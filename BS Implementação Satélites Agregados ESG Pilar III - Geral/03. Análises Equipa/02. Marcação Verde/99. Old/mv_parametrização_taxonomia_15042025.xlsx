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MV - Script\"/>
    </mc:Choice>
  </mc:AlternateContent>
  <bookViews>
    <workbookView xWindow="0" yWindow="0" windowWidth="28800" windowHeight="12300" tabRatio="799" activeTab="8"/>
  </bookViews>
  <sheets>
    <sheet name="Versão Importada" sheetId="1" r:id="rId1"/>
    <sheet name="1º Marcação&gt;&gt;" sheetId="2" r:id="rId2"/>
    <sheet name="1A. Operação" sheetId="8" r:id="rId3"/>
    <sheet name="1B. Cliente" sheetId="9" r:id="rId4"/>
    <sheet name="1C. Produto" sheetId="10" r:id="rId5"/>
    <sheet name="Pais e Filhos" sheetId="11" r:id="rId6"/>
    <sheet name="2º Marcação &gt;&gt; " sheetId="12" r:id="rId7"/>
    <sheet name="Regras" sheetId="21" r:id="rId8"/>
    <sheet name="Sheet4" sheetId="24" r:id="rId9"/>
    <sheet name="Incidências &gt;&gt;" sheetId="18" r:id="rId10"/>
    <sheet name="v1" sheetId="19" r:id="rId11"/>
    <sheet name="v2" sheetId="23" r:id="rId12"/>
    <sheet name="Outros" sheetId="20" r:id="rId13"/>
  </sheets>
  <definedNames>
    <definedName name="_xlnm._FilterDatabase" localSheetId="2" hidden="1">'1A. Operação'!$B$2:$M$1170</definedName>
    <definedName name="_xlnm._FilterDatabase" localSheetId="12" hidden="1">Outros!$B$4:$F$10</definedName>
    <definedName name="_xlnm._FilterDatabase" localSheetId="5" hidden="1">'Pais e Filhos'!$A$1:$S$678</definedName>
    <definedName name="_xlnm._FilterDatabase" localSheetId="7" hidden="1">Regras!$A$2:$BY$70</definedName>
    <definedName name="_xlnm._FilterDatabase" localSheetId="11" hidden="1">'v2'!$B$2:$Q$46</definedName>
    <definedName name="_xlnm._FilterDatabase" localSheetId="0" hidden="1">'Versão Importada'!$A$1:$AQ$1266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4" l="1"/>
  <c r="BG2" i="24"/>
  <c r="BF2" i="24"/>
  <c r="BE2" i="24"/>
  <c r="BD2" i="24"/>
  <c r="BC2" i="24"/>
  <c r="BB2" i="24"/>
  <c r="BA2" i="24"/>
  <c r="AZ2" i="24"/>
  <c r="AY2" i="24"/>
  <c r="AX2" i="24"/>
  <c r="AW2" i="24"/>
  <c r="AV2" i="24"/>
  <c r="AU2" i="24"/>
  <c r="AT2" i="24"/>
  <c r="AS2" i="24"/>
  <c r="AR2" i="24"/>
  <c r="AQ2" i="24"/>
  <c r="AP2" i="24"/>
  <c r="AO2" i="24"/>
  <c r="AN2" i="24"/>
  <c r="AM2" i="24"/>
  <c r="AL2" i="24"/>
  <c r="AK2" i="24"/>
  <c r="AJ2" i="24"/>
  <c r="AI2" i="24"/>
  <c r="AH2" i="24"/>
  <c r="AG2" i="24"/>
  <c r="AF2" i="24"/>
  <c r="AE2" i="24"/>
  <c r="AD2" i="24"/>
  <c r="AC2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CA3" i="21"/>
  <c r="A4" i="21" l="1"/>
  <c r="BE6" i="21"/>
  <c r="BI39" i="21"/>
  <c r="BI18" i="21"/>
  <c r="BI1" i="21"/>
  <c r="AZ1" i="21"/>
  <c r="BQ1" i="21"/>
  <c r="BQ68" i="21" s="1"/>
  <c r="BP1" i="21"/>
  <c r="BO1" i="21"/>
  <c r="BN1" i="21"/>
  <c r="BM1" i="21"/>
  <c r="BL1" i="21"/>
  <c r="BK1" i="21"/>
  <c r="BJ1" i="21"/>
  <c r="BH1" i="21"/>
  <c r="BH39" i="21" s="1"/>
  <c r="BG1" i="21"/>
  <c r="BG38" i="21" s="1"/>
  <c r="BF1" i="21"/>
  <c r="BD1" i="21"/>
  <c r="BC1" i="21"/>
  <c r="BC48" i="21" s="1"/>
  <c r="BB1" i="21"/>
  <c r="BA1" i="21"/>
  <c r="AY1" i="21"/>
  <c r="AX1" i="21"/>
  <c r="AW1" i="21"/>
  <c r="AV1" i="21"/>
  <c r="AU1" i="21"/>
  <c r="AU50" i="21" s="1"/>
  <c r="AT1" i="21"/>
  <c r="BE70" i="21"/>
  <c r="BE69" i="21"/>
  <c r="BE68" i="21"/>
  <c r="BE67" i="21"/>
  <c r="BE66" i="21"/>
  <c r="BE65" i="21"/>
  <c r="BE64" i="21"/>
  <c r="BE63" i="21"/>
  <c r="BE62" i="21"/>
  <c r="BE61" i="21"/>
  <c r="BE60" i="21"/>
  <c r="BE59" i="21"/>
  <c r="BE58" i="21"/>
  <c r="BE57" i="21"/>
  <c r="BE56" i="21"/>
  <c r="BE55" i="21"/>
  <c r="BE54" i="21"/>
  <c r="BE53" i="21"/>
  <c r="BE52" i="21"/>
  <c r="BE51" i="21"/>
  <c r="BE50" i="21"/>
  <c r="BE49" i="21"/>
  <c r="BE48" i="21"/>
  <c r="BE47" i="21"/>
  <c r="BE46" i="21"/>
  <c r="BE43" i="21"/>
  <c r="BE42" i="21"/>
  <c r="BE41" i="21"/>
  <c r="BE40" i="21"/>
  <c r="BE39" i="21"/>
  <c r="BE38" i="21"/>
  <c r="BE37" i="21"/>
  <c r="BE36" i="21"/>
  <c r="BE35" i="21"/>
  <c r="BE34" i="21"/>
  <c r="BE33" i="21"/>
  <c r="BE32" i="21"/>
  <c r="BE31" i="21"/>
  <c r="BE30" i="21"/>
  <c r="BE29" i="21"/>
  <c r="BE28" i="21"/>
  <c r="BE27" i="21"/>
  <c r="BE26" i="21"/>
  <c r="BE25" i="21"/>
  <c r="BE24" i="21"/>
  <c r="BE23" i="21"/>
  <c r="BE22" i="21"/>
  <c r="BE21" i="21"/>
  <c r="BE20" i="21"/>
  <c r="BE19" i="21"/>
  <c r="BE18" i="21"/>
  <c r="BE17" i="21"/>
  <c r="BE16" i="21"/>
  <c r="BE15" i="21"/>
  <c r="BE14" i="21"/>
  <c r="BE12" i="21"/>
  <c r="BE11" i="21"/>
  <c r="BE10" i="21"/>
  <c r="BE9" i="21"/>
  <c r="BE7" i="21"/>
  <c r="BE4" i="21"/>
  <c r="BE3" i="21"/>
  <c r="BQ70" i="21"/>
  <c r="BP70" i="21"/>
  <c r="BO70" i="21"/>
  <c r="BN70" i="21"/>
  <c r="BM70" i="21"/>
  <c r="BL70" i="21"/>
  <c r="BK70" i="21"/>
  <c r="BJ70" i="21"/>
  <c r="BI70" i="21"/>
  <c r="BH70" i="21"/>
  <c r="BG70" i="21"/>
  <c r="BF70" i="21"/>
  <c r="BD70" i="21"/>
  <c r="BC70" i="21"/>
  <c r="BB70" i="21"/>
  <c r="BA70" i="21"/>
  <c r="AZ70" i="21"/>
  <c r="AY70" i="21"/>
  <c r="AX70" i="21"/>
  <c r="AW70" i="21"/>
  <c r="AV70" i="21"/>
  <c r="AU70" i="21"/>
  <c r="AT70" i="21"/>
  <c r="BQ69" i="21"/>
  <c r="BP69" i="21"/>
  <c r="BO69" i="21"/>
  <c r="BN69" i="21"/>
  <c r="BM69" i="21"/>
  <c r="BL69" i="21"/>
  <c r="BK69" i="21"/>
  <c r="BJ69" i="21"/>
  <c r="BI69" i="21"/>
  <c r="BH69" i="21"/>
  <c r="BG69" i="21"/>
  <c r="BF69" i="21"/>
  <c r="BD69" i="21"/>
  <c r="BC69" i="21"/>
  <c r="BB69" i="21"/>
  <c r="BA69" i="21"/>
  <c r="AY69" i="21"/>
  <c r="AX69" i="21"/>
  <c r="AW69" i="21"/>
  <c r="AV69" i="21"/>
  <c r="AU69" i="21"/>
  <c r="AT69" i="21"/>
  <c r="BP68" i="21"/>
  <c r="BO68" i="21"/>
  <c r="BN68" i="21"/>
  <c r="BM68" i="21"/>
  <c r="BL68" i="21"/>
  <c r="BK68" i="21"/>
  <c r="BJ68" i="21"/>
  <c r="BI68" i="21"/>
  <c r="BH68" i="21"/>
  <c r="BG68" i="21"/>
  <c r="BF68" i="21"/>
  <c r="BD68" i="21"/>
  <c r="BC68" i="21"/>
  <c r="BB68" i="21"/>
  <c r="BA68" i="21"/>
  <c r="AZ68" i="21"/>
  <c r="AY68" i="21"/>
  <c r="AX68" i="21"/>
  <c r="AW68" i="21"/>
  <c r="AV68" i="21"/>
  <c r="AU68" i="21"/>
  <c r="AT68" i="21"/>
  <c r="BQ67" i="21"/>
  <c r="BP67" i="21"/>
  <c r="BO67" i="21"/>
  <c r="BN67" i="21"/>
  <c r="BM67" i="21"/>
  <c r="BL67" i="21"/>
  <c r="BK67" i="21"/>
  <c r="BJ67" i="21"/>
  <c r="BI67" i="21"/>
  <c r="BH67" i="21"/>
  <c r="BG67" i="21"/>
  <c r="BF67" i="21"/>
  <c r="BD67" i="21"/>
  <c r="BC67" i="21"/>
  <c r="BB67" i="21"/>
  <c r="BA67" i="21"/>
  <c r="AZ67" i="21"/>
  <c r="AY67" i="21"/>
  <c r="AW67" i="21"/>
  <c r="AV67" i="21"/>
  <c r="AU67" i="21"/>
  <c r="AT67" i="21"/>
  <c r="BQ66" i="21"/>
  <c r="BP66" i="21"/>
  <c r="BO66" i="21"/>
  <c r="BN66" i="21"/>
  <c r="BM66" i="21"/>
  <c r="BL66" i="21"/>
  <c r="BK66" i="21"/>
  <c r="BJ66" i="21"/>
  <c r="BH66" i="21"/>
  <c r="BG66" i="21"/>
  <c r="BF66" i="21"/>
  <c r="BD66" i="21"/>
  <c r="BC66" i="21"/>
  <c r="BB66" i="21"/>
  <c r="BA66" i="21"/>
  <c r="AZ66" i="21"/>
  <c r="AY66" i="21"/>
  <c r="AW66" i="21"/>
  <c r="AV66" i="21"/>
  <c r="AU66" i="21"/>
  <c r="AT66" i="21"/>
  <c r="BQ65" i="21"/>
  <c r="BP65" i="21"/>
  <c r="BO65" i="21"/>
  <c r="BN65" i="21"/>
  <c r="BM65" i="21"/>
  <c r="BL65" i="21"/>
  <c r="BK65" i="21"/>
  <c r="BJ65" i="21"/>
  <c r="BI65" i="21"/>
  <c r="BH65" i="21"/>
  <c r="BG65" i="21"/>
  <c r="BF65" i="21"/>
  <c r="BD65" i="21"/>
  <c r="BC65" i="21"/>
  <c r="BB65" i="21"/>
  <c r="BA65" i="21"/>
  <c r="AZ65" i="21"/>
  <c r="AY65" i="21"/>
  <c r="AX65" i="21"/>
  <c r="AW65" i="21"/>
  <c r="AV65" i="21"/>
  <c r="AU65" i="21"/>
  <c r="AT65" i="21"/>
  <c r="BQ64" i="21"/>
  <c r="BP64" i="21"/>
  <c r="BO64" i="21"/>
  <c r="BN64" i="21"/>
  <c r="BM64" i="21"/>
  <c r="BL64" i="21"/>
  <c r="BK64" i="21"/>
  <c r="BJ64" i="21"/>
  <c r="BI64" i="21"/>
  <c r="BH64" i="21"/>
  <c r="BG64" i="21"/>
  <c r="BF64" i="21"/>
  <c r="BD64" i="21"/>
  <c r="BC64" i="21"/>
  <c r="BB64" i="21"/>
  <c r="BA64" i="21"/>
  <c r="AZ64" i="21"/>
  <c r="AY64" i="21"/>
  <c r="AX64" i="21"/>
  <c r="AW64" i="21"/>
  <c r="AV64" i="21"/>
  <c r="AU64" i="21"/>
  <c r="AT64" i="21"/>
  <c r="BQ63" i="21"/>
  <c r="BP63" i="21"/>
  <c r="BO63" i="21"/>
  <c r="BN63" i="21"/>
  <c r="BM63" i="21"/>
  <c r="BL63" i="21"/>
  <c r="BK63" i="21"/>
  <c r="BJ63" i="21"/>
  <c r="BI63" i="21"/>
  <c r="BH63" i="21"/>
  <c r="BG63" i="21"/>
  <c r="BF63" i="21"/>
  <c r="BD63" i="21"/>
  <c r="BC63" i="21"/>
  <c r="BB63" i="21"/>
  <c r="BA63" i="21"/>
  <c r="AZ63" i="21"/>
  <c r="AY63" i="21"/>
  <c r="AX63" i="21"/>
  <c r="AW63" i="21"/>
  <c r="AV63" i="21"/>
  <c r="AU63" i="21"/>
  <c r="BQ62" i="21"/>
  <c r="BP62" i="21"/>
  <c r="BO62" i="21"/>
  <c r="BN62" i="21"/>
  <c r="BM62" i="21"/>
  <c r="BL62" i="21"/>
  <c r="BK62" i="21"/>
  <c r="BJ62" i="21"/>
  <c r="BI62" i="21"/>
  <c r="BH62" i="21"/>
  <c r="BG62" i="21"/>
  <c r="BF62" i="21"/>
  <c r="BD62" i="21"/>
  <c r="BC62" i="21"/>
  <c r="BB62" i="21"/>
  <c r="BA62" i="21"/>
  <c r="AZ62" i="21"/>
  <c r="AY62" i="21"/>
  <c r="AX62" i="21"/>
  <c r="AW62" i="21"/>
  <c r="AV62" i="21"/>
  <c r="AU62" i="21"/>
  <c r="AT62" i="21"/>
  <c r="BP61" i="21"/>
  <c r="BO61" i="21"/>
  <c r="BN61" i="21"/>
  <c r="BM61" i="21"/>
  <c r="BL61" i="21"/>
  <c r="BK61" i="21"/>
  <c r="BJ61" i="21"/>
  <c r="BI61" i="21"/>
  <c r="BH61" i="21"/>
  <c r="BG61" i="21"/>
  <c r="BF61" i="21"/>
  <c r="BD61" i="21"/>
  <c r="BC61" i="21"/>
  <c r="BB61" i="21"/>
  <c r="BA61" i="21"/>
  <c r="AZ61" i="21"/>
  <c r="AY61" i="21"/>
  <c r="AW61" i="21"/>
  <c r="AV61" i="21"/>
  <c r="AU61" i="21"/>
  <c r="AT61" i="21"/>
  <c r="BQ60" i="21"/>
  <c r="BP60" i="21"/>
  <c r="BO60" i="21"/>
  <c r="BN60" i="21"/>
  <c r="BM60" i="21"/>
  <c r="BL60" i="21"/>
  <c r="BK60" i="21"/>
  <c r="BJ60" i="21"/>
  <c r="BI60" i="21"/>
  <c r="BH60" i="21"/>
  <c r="BG60" i="21"/>
  <c r="BF60" i="21"/>
  <c r="BD60" i="21"/>
  <c r="BC60" i="21"/>
  <c r="BB60" i="21"/>
  <c r="BA60" i="21"/>
  <c r="AZ60" i="21"/>
  <c r="AY60" i="21"/>
  <c r="AX60" i="21"/>
  <c r="AW60" i="21"/>
  <c r="AV60" i="21"/>
  <c r="AU60" i="21"/>
  <c r="AT60" i="21"/>
  <c r="BQ59" i="21"/>
  <c r="BP59" i="21"/>
  <c r="BO59" i="21"/>
  <c r="BN59" i="21"/>
  <c r="BM59" i="21"/>
  <c r="BL59" i="21"/>
  <c r="BK59" i="21"/>
  <c r="BJ59" i="21"/>
  <c r="BI59" i="21"/>
  <c r="BH59" i="21"/>
  <c r="BG59" i="21"/>
  <c r="BF59" i="21"/>
  <c r="BD59" i="21"/>
  <c r="BC59" i="21"/>
  <c r="BB59" i="21"/>
  <c r="BA59" i="21"/>
  <c r="AZ59" i="21"/>
  <c r="AY59" i="21"/>
  <c r="AX59" i="21"/>
  <c r="AW59" i="21"/>
  <c r="AV59" i="21"/>
  <c r="AU59" i="21"/>
  <c r="AT59" i="21"/>
  <c r="BP58" i="21"/>
  <c r="BO58" i="21"/>
  <c r="BN58" i="21"/>
  <c r="BM58" i="21"/>
  <c r="BL58" i="21"/>
  <c r="BK58" i="21"/>
  <c r="BJ58" i="21"/>
  <c r="BH58" i="21"/>
  <c r="BG58" i="21"/>
  <c r="BF58" i="21"/>
  <c r="BD58" i="21"/>
  <c r="BC58" i="21"/>
  <c r="BB58" i="21"/>
  <c r="BA58" i="21"/>
  <c r="AZ58" i="21"/>
  <c r="AY58" i="21"/>
  <c r="AX58" i="21"/>
  <c r="AW58" i="21"/>
  <c r="AV58" i="21"/>
  <c r="AU58" i="21"/>
  <c r="AT58" i="21"/>
  <c r="BQ57" i="21"/>
  <c r="BP57" i="21"/>
  <c r="BO57" i="21"/>
  <c r="BN57" i="21"/>
  <c r="BM57" i="21"/>
  <c r="BL57" i="21"/>
  <c r="BK57" i="21"/>
  <c r="BJ57" i="21"/>
  <c r="BI57" i="21"/>
  <c r="BH57" i="21"/>
  <c r="BG57" i="21"/>
  <c r="BD57" i="21"/>
  <c r="BC57" i="21"/>
  <c r="BB57" i="21"/>
  <c r="BA57" i="21"/>
  <c r="AZ57" i="21"/>
  <c r="AY57" i="21"/>
  <c r="AX57" i="21"/>
  <c r="AW57" i="21"/>
  <c r="AV57" i="21"/>
  <c r="AU57" i="21"/>
  <c r="AT57" i="21"/>
  <c r="BQ56" i="21"/>
  <c r="BP56" i="21"/>
  <c r="BO56" i="21"/>
  <c r="BN56" i="21"/>
  <c r="BM56" i="21"/>
  <c r="BL56" i="21"/>
  <c r="BK56" i="21"/>
  <c r="BJ56" i="21"/>
  <c r="BI56" i="21"/>
  <c r="BH56" i="21"/>
  <c r="BG56" i="21"/>
  <c r="BF56" i="21"/>
  <c r="BD56" i="21"/>
  <c r="BC56" i="21"/>
  <c r="BB56" i="21"/>
  <c r="BA56" i="21"/>
  <c r="AY56" i="21"/>
  <c r="AX56" i="21"/>
  <c r="AW56" i="21"/>
  <c r="AV56" i="21"/>
  <c r="AU56" i="21"/>
  <c r="AT56" i="21"/>
  <c r="BP55" i="21"/>
  <c r="BO55" i="21"/>
  <c r="BN55" i="21"/>
  <c r="BM55" i="21"/>
  <c r="BL55" i="21"/>
  <c r="BK55" i="21"/>
  <c r="BJ55" i="21"/>
  <c r="BI55" i="21"/>
  <c r="BH55" i="21"/>
  <c r="BG55" i="21"/>
  <c r="BF55" i="21"/>
  <c r="BD55" i="21"/>
  <c r="BC55" i="21"/>
  <c r="BB55" i="21"/>
  <c r="BA55" i="21"/>
  <c r="AZ55" i="21"/>
  <c r="AY55" i="21"/>
  <c r="AX55" i="21"/>
  <c r="AW55" i="21"/>
  <c r="AV55" i="21"/>
  <c r="AU55" i="21"/>
  <c r="AT55" i="21"/>
  <c r="BQ54" i="21"/>
  <c r="BP54" i="21"/>
  <c r="BO54" i="21"/>
  <c r="BN54" i="21"/>
  <c r="BM54" i="21"/>
  <c r="BL54" i="21"/>
  <c r="BK54" i="21"/>
  <c r="BJ54" i="21"/>
  <c r="BI54" i="21"/>
  <c r="BH54" i="21"/>
  <c r="BG54" i="21"/>
  <c r="BF54" i="21"/>
  <c r="BD54" i="21"/>
  <c r="BB54" i="21"/>
  <c r="BA54" i="21"/>
  <c r="AZ54" i="21"/>
  <c r="AY54" i="21"/>
  <c r="AX54" i="21"/>
  <c r="AW54" i="21"/>
  <c r="AV54" i="21"/>
  <c r="AU54" i="21"/>
  <c r="AT54" i="21"/>
  <c r="BQ53" i="21"/>
  <c r="BP53" i="21"/>
  <c r="BO53" i="21"/>
  <c r="BN53" i="21"/>
  <c r="BM53" i="21"/>
  <c r="BL53" i="21"/>
  <c r="BK53" i="21"/>
  <c r="BJ53" i="21"/>
  <c r="BI53" i="21"/>
  <c r="BH53" i="21"/>
  <c r="BG53" i="21"/>
  <c r="BF53" i="21"/>
  <c r="BD53" i="21"/>
  <c r="BC53" i="21"/>
  <c r="BB53" i="21"/>
  <c r="BA53" i="21"/>
  <c r="AZ53" i="21"/>
  <c r="AY53" i="21"/>
  <c r="AX53" i="21"/>
  <c r="AW53" i="21"/>
  <c r="AV53" i="21"/>
  <c r="AU53" i="21"/>
  <c r="AT53" i="21"/>
  <c r="BQ52" i="21"/>
  <c r="BP52" i="21"/>
  <c r="BO52" i="21"/>
  <c r="BN52" i="21"/>
  <c r="BM52" i="21"/>
  <c r="BL52" i="21"/>
  <c r="BK52" i="21"/>
  <c r="BJ52" i="21"/>
  <c r="BI52" i="21"/>
  <c r="BH52" i="21"/>
  <c r="BG52" i="21"/>
  <c r="BF52" i="21"/>
  <c r="BD52" i="21"/>
  <c r="BC52" i="21"/>
  <c r="BB52" i="21"/>
  <c r="BA52" i="21"/>
  <c r="AZ52" i="21"/>
  <c r="AY52" i="21"/>
  <c r="AX52" i="21"/>
  <c r="AW52" i="21"/>
  <c r="AV52" i="21"/>
  <c r="AU52" i="21"/>
  <c r="AT52" i="21"/>
  <c r="BQ51" i="21"/>
  <c r="BP51" i="21"/>
  <c r="BO51" i="21"/>
  <c r="BN51" i="21"/>
  <c r="BM51" i="21"/>
  <c r="BL51" i="21"/>
  <c r="BK51" i="21"/>
  <c r="BJ51" i="21"/>
  <c r="BI51" i="21"/>
  <c r="BH51" i="21"/>
  <c r="BG51" i="21"/>
  <c r="BF51" i="21"/>
  <c r="BD51" i="21"/>
  <c r="BB51" i="21"/>
  <c r="BA51" i="21"/>
  <c r="AZ51" i="21"/>
  <c r="AY51" i="21"/>
  <c r="AX51" i="21"/>
  <c r="AW51" i="21"/>
  <c r="AV51" i="21"/>
  <c r="BQ50" i="21"/>
  <c r="BP50" i="21"/>
  <c r="BO50" i="21"/>
  <c r="BN50" i="21"/>
  <c r="BM50" i="21"/>
  <c r="BL50" i="21"/>
  <c r="BK50" i="21"/>
  <c r="BJ50" i="21"/>
  <c r="BI50" i="21"/>
  <c r="BH50" i="21"/>
  <c r="BG50" i="21"/>
  <c r="BF50" i="21"/>
  <c r="BD50" i="21"/>
  <c r="BC50" i="21"/>
  <c r="BB50" i="21"/>
  <c r="BA50" i="21"/>
  <c r="AZ50" i="21"/>
  <c r="AY50" i="21"/>
  <c r="AX50" i="21"/>
  <c r="AW50" i="21"/>
  <c r="AV50" i="21"/>
  <c r="BQ49" i="21"/>
  <c r="BP49" i="21"/>
  <c r="BO49" i="21"/>
  <c r="BN49" i="21"/>
  <c r="BM49" i="21"/>
  <c r="BL49" i="21"/>
  <c r="BK49" i="21"/>
  <c r="BJ49" i="21"/>
  <c r="BI49" i="21"/>
  <c r="BH49" i="21"/>
  <c r="BG49" i="21"/>
  <c r="BF49" i="21"/>
  <c r="BD49" i="21"/>
  <c r="BC49" i="21"/>
  <c r="BB49" i="21"/>
  <c r="BA49" i="21"/>
  <c r="AZ49" i="21"/>
  <c r="AX49" i="21"/>
  <c r="AW49" i="21"/>
  <c r="AV49" i="21"/>
  <c r="AU49" i="21"/>
  <c r="AT49" i="21"/>
  <c r="BQ48" i="21"/>
  <c r="BP48" i="21"/>
  <c r="BO48" i="21"/>
  <c r="BN48" i="21"/>
  <c r="BM48" i="21"/>
  <c r="BL48" i="21"/>
  <c r="BK48" i="21"/>
  <c r="BJ48" i="21"/>
  <c r="BI48" i="21"/>
  <c r="BH48" i="21"/>
  <c r="BG48" i="21"/>
  <c r="BF48" i="21"/>
  <c r="BD48" i="21"/>
  <c r="BB48" i="21"/>
  <c r="BA48" i="21"/>
  <c r="AZ48" i="21"/>
  <c r="AY48" i="21"/>
  <c r="AX48" i="21"/>
  <c r="AW48" i="21"/>
  <c r="AV48" i="21"/>
  <c r="AU48" i="21"/>
  <c r="AT48" i="21"/>
  <c r="BQ47" i="21"/>
  <c r="BP47" i="21"/>
  <c r="BO47" i="21"/>
  <c r="BN47" i="21"/>
  <c r="BM47" i="21"/>
  <c r="BL47" i="21"/>
  <c r="BK47" i="21"/>
  <c r="BJ47" i="21"/>
  <c r="BI47" i="21"/>
  <c r="BH47" i="21"/>
  <c r="BG47" i="21"/>
  <c r="BF47" i="21"/>
  <c r="BD47" i="21"/>
  <c r="BC47" i="21"/>
  <c r="BB47" i="21"/>
  <c r="BA47" i="21"/>
  <c r="AZ47" i="21"/>
  <c r="AY47" i="21"/>
  <c r="AX47" i="21"/>
  <c r="AW47" i="21"/>
  <c r="AV47" i="21"/>
  <c r="AU47" i="21"/>
  <c r="AT47" i="21"/>
  <c r="BQ46" i="21"/>
  <c r="BP46" i="21"/>
  <c r="BO46" i="21"/>
  <c r="BN46" i="21"/>
  <c r="BM46" i="21"/>
  <c r="BL46" i="21"/>
  <c r="BJ46" i="21"/>
  <c r="BI46" i="21"/>
  <c r="BH46" i="21"/>
  <c r="BG46" i="21"/>
  <c r="BF46" i="21"/>
  <c r="BD46" i="21"/>
  <c r="BC46" i="21"/>
  <c r="BB46" i="21"/>
  <c r="BA46" i="21"/>
  <c r="AZ46" i="21"/>
  <c r="AY46" i="21"/>
  <c r="AX46" i="21"/>
  <c r="AW46" i="21"/>
  <c r="AV46" i="21"/>
  <c r="AU46" i="21"/>
  <c r="AT46" i="21"/>
  <c r="BQ45" i="21"/>
  <c r="BP45" i="21"/>
  <c r="BO45" i="21"/>
  <c r="BN45" i="21"/>
  <c r="BM45" i="21"/>
  <c r="BL45" i="21"/>
  <c r="BJ45" i="21"/>
  <c r="BI45" i="21"/>
  <c r="BH45" i="21"/>
  <c r="BG45" i="21"/>
  <c r="BF45" i="21"/>
  <c r="BD45" i="21"/>
  <c r="BC45" i="21"/>
  <c r="BB45" i="21"/>
  <c r="BA45" i="21"/>
  <c r="AZ45" i="21"/>
  <c r="AY45" i="21"/>
  <c r="AX45" i="21"/>
  <c r="AW45" i="21"/>
  <c r="AV45" i="21"/>
  <c r="AU45" i="21"/>
  <c r="AT45" i="21"/>
  <c r="BQ44" i="21"/>
  <c r="BP44" i="21"/>
  <c r="BO44" i="21"/>
  <c r="BN44" i="21"/>
  <c r="BM44" i="21"/>
  <c r="BL44" i="21"/>
  <c r="BK44" i="21"/>
  <c r="BJ44" i="21"/>
  <c r="BI44" i="21"/>
  <c r="BH44" i="21"/>
  <c r="BG44" i="21"/>
  <c r="BF44" i="21"/>
  <c r="BD44" i="21"/>
  <c r="BB44" i="21"/>
  <c r="BA44" i="21"/>
  <c r="AZ44" i="21"/>
  <c r="AY44" i="21"/>
  <c r="AX44" i="21"/>
  <c r="AW44" i="21"/>
  <c r="AV44" i="21"/>
  <c r="AU44" i="21"/>
  <c r="AT44" i="21"/>
  <c r="BQ43" i="21"/>
  <c r="BP43" i="21"/>
  <c r="BO43" i="21"/>
  <c r="BN43" i="21"/>
  <c r="BM43" i="21"/>
  <c r="BL43" i="21"/>
  <c r="BJ43" i="21"/>
  <c r="BI43" i="21"/>
  <c r="BH43" i="21"/>
  <c r="BG43" i="21"/>
  <c r="BF43" i="21"/>
  <c r="BD43" i="21"/>
  <c r="BB43" i="21"/>
  <c r="BA43" i="21"/>
  <c r="AZ43" i="21"/>
  <c r="AY43" i="21"/>
  <c r="AX43" i="21"/>
  <c r="AW43" i="21"/>
  <c r="AV43" i="21"/>
  <c r="AU43" i="21"/>
  <c r="AT43" i="21"/>
  <c r="BQ42" i="21"/>
  <c r="BP42" i="21"/>
  <c r="BO42" i="21"/>
  <c r="BN42" i="21"/>
  <c r="BM42" i="21"/>
  <c r="BL42" i="21"/>
  <c r="BK42" i="21"/>
  <c r="BJ42" i="21"/>
  <c r="BI42" i="21"/>
  <c r="BH42" i="21"/>
  <c r="BG42" i="21"/>
  <c r="BF42" i="21"/>
  <c r="BD42" i="21"/>
  <c r="BB42" i="21"/>
  <c r="BA42" i="21"/>
  <c r="AZ42" i="21"/>
  <c r="AY42" i="21"/>
  <c r="AX42" i="21"/>
  <c r="AW42" i="21"/>
  <c r="AV42" i="21"/>
  <c r="AU42" i="21"/>
  <c r="AT42" i="21"/>
  <c r="BQ41" i="21"/>
  <c r="BP41" i="21"/>
  <c r="BO41" i="21"/>
  <c r="BN41" i="21"/>
  <c r="BM41" i="21"/>
  <c r="BL41" i="21"/>
  <c r="BK41" i="21"/>
  <c r="BI41" i="21"/>
  <c r="BH41" i="21"/>
  <c r="BG41" i="21"/>
  <c r="BF41" i="21"/>
  <c r="BD41" i="21"/>
  <c r="BC41" i="21"/>
  <c r="BB41" i="21"/>
  <c r="BA41" i="21"/>
  <c r="AZ41" i="21"/>
  <c r="AY41" i="21"/>
  <c r="AX41" i="21"/>
  <c r="AW41" i="21"/>
  <c r="AV41" i="21"/>
  <c r="AU41" i="21"/>
  <c r="AT41" i="21"/>
  <c r="BQ40" i="21"/>
  <c r="BP40" i="21"/>
  <c r="BO40" i="21"/>
  <c r="BM40" i="21"/>
  <c r="BK40" i="21"/>
  <c r="BJ40" i="21"/>
  <c r="BI40" i="21"/>
  <c r="BH40" i="21"/>
  <c r="BG40" i="21"/>
  <c r="BF40" i="21"/>
  <c r="BD40" i="21"/>
  <c r="BC40" i="21"/>
  <c r="BB40" i="21"/>
  <c r="BA40" i="21"/>
  <c r="AZ40" i="21"/>
  <c r="AY40" i="21"/>
  <c r="AX40" i="21"/>
  <c r="AW40" i="21"/>
  <c r="AV40" i="21"/>
  <c r="AU40" i="21"/>
  <c r="AT40" i="21"/>
  <c r="BQ39" i="21"/>
  <c r="BP39" i="21"/>
  <c r="BO39" i="21"/>
  <c r="BM39" i="21"/>
  <c r="BK39" i="21"/>
  <c r="BJ39" i="21"/>
  <c r="BF39" i="21"/>
  <c r="BD39" i="21"/>
  <c r="BC39" i="21"/>
  <c r="BB39" i="21"/>
  <c r="BA39" i="21"/>
  <c r="AZ39" i="21"/>
  <c r="AY39" i="21"/>
  <c r="AX39" i="21"/>
  <c r="AW39" i="21"/>
  <c r="AV39" i="21"/>
  <c r="AU39" i="21"/>
  <c r="AT39" i="21"/>
  <c r="BQ38" i="21"/>
  <c r="BP38" i="21"/>
  <c r="BO38" i="21"/>
  <c r="BN38" i="21"/>
  <c r="BL38" i="21"/>
  <c r="BK38" i="21"/>
  <c r="BJ38" i="21"/>
  <c r="BI38" i="21"/>
  <c r="BH38" i="21"/>
  <c r="BF38" i="21"/>
  <c r="BD38" i="21"/>
  <c r="BC38" i="21"/>
  <c r="BB38" i="21"/>
  <c r="BA38" i="21"/>
  <c r="AZ38" i="21"/>
  <c r="AY38" i="21"/>
  <c r="AX38" i="21"/>
  <c r="AW38" i="21"/>
  <c r="AV38" i="21"/>
  <c r="AU38" i="21"/>
  <c r="AT38" i="21"/>
  <c r="BQ37" i="21"/>
  <c r="BP37" i="21"/>
  <c r="BO37" i="21"/>
  <c r="BN37" i="21"/>
  <c r="BL37" i="21"/>
  <c r="BK37" i="21"/>
  <c r="BJ37" i="21"/>
  <c r="BI37" i="21"/>
  <c r="BG37" i="21"/>
  <c r="BF37" i="21"/>
  <c r="BD37" i="21"/>
  <c r="BC37" i="21"/>
  <c r="BB37" i="21"/>
  <c r="BA37" i="21"/>
  <c r="AZ37" i="21"/>
  <c r="AY37" i="21"/>
  <c r="AX37" i="21"/>
  <c r="AW37" i="21"/>
  <c r="AV37" i="21"/>
  <c r="AU37" i="21"/>
  <c r="AT37" i="21"/>
  <c r="BQ36" i="21"/>
  <c r="BP36" i="21"/>
  <c r="BO36" i="21"/>
  <c r="BN36" i="21"/>
  <c r="BL36" i="21"/>
  <c r="BK36" i="21"/>
  <c r="BJ36" i="21"/>
  <c r="BI36" i="21"/>
  <c r="BF36" i="21"/>
  <c r="BD36" i="21"/>
  <c r="BC36" i="21"/>
  <c r="BB36" i="21"/>
  <c r="BA36" i="21"/>
  <c r="AZ36" i="21"/>
  <c r="AY36" i="21"/>
  <c r="AX36" i="21"/>
  <c r="AW36" i="21"/>
  <c r="AV36" i="21"/>
  <c r="AU36" i="21"/>
  <c r="AT36" i="21"/>
  <c r="BQ35" i="21"/>
  <c r="BP35" i="21"/>
  <c r="BO35" i="21"/>
  <c r="BN35" i="21"/>
  <c r="BL35" i="21"/>
  <c r="BK35" i="21"/>
  <c r="BJ35" i="21"/>
  <c r="BI35" i="21"/>
  <c r="BH35" i="21"/>
  <c r="BF35" i="21"/>
  <c r="BD35" i="21"/>
  <c r="BC35" i="21"/>
  <c r="BB35" i="21"/>
  <c r="BA35" i="21"/>
  <c r="AZ35" i="21"/>
  <c r="AY35" i="21"/>
  <c r="AX35" i="21"/>
  <c r="AW35" i="21"/>
  <c r="AV35" i="21"/>
  <c r="AU35" i="21"/>
  <c r="AT35" i="21"/>
  <c r="BQ34" i="21"/>
  <c r="BP34" i="21"/>
  <c r="BO34" i="21"/>
  <c r="BN34" i="21"/>
  <c r="BM34" i="21"/>
  <c r="BL34" i="21"/>
  <c r="BK34" i="21"/>
  <c r="BJ34" i="21"/>
  <c r="BI34" i="21"/>
  <c r="BG34" i="21"/>
  <c r="BF34" i="21"/>
  <c r="BD34" i="21"/>
  <c r="BC34" i="21"/>
  <c r="BB34" i="21"/>
  <c r="BA34" i="21"/>
  <c r="AZ34" i="21"/>
  <c r="AY34" i="21"/>
  <c r="AX34" i="21"/>
  <c r="AW34" i="21"/>
  <c r="AV34" i="21"/>
  <c r="AU34" i="21"/>
  <c r="AT34" i="21"/>
  <c r="BQ33" i="21"/>
  <c r="BP33" i="21"/>
  <c r="BO33" i="21"/>
  <c r="BN33" i="21"/>
  <c r="BM33" i="21"/>
  <c r="BL33" i="21"/>
  <c r="BK33" i="21"/>
  <c r="BJ33" i="21"/>
  <c r="BI33" i="21"/>
  <c r="BG33" i="21"/>
  <c r="BF33" i="21"/>
  <c r="BD33" i="21"/>
  <c r="BC33" i="21"/>
  <c r="BB33" i="21"/>
  <c r="BA33" i="21"/>
  <c r="AZ33" i="21"/>
  <c r="AY33" i="21"/>
  <c r="AX33" i="21"/>
  <c r="AW33" i="21"/>
  <c r="AV33" i="21"/>
  <c r="AU33" i="21"/>
  <c r="AT33" i="21"/>
  <c r="BQ32" i="21"/>
  <c r="BP32" i="21"/>
  <c r="BO32" i="21"/>
  <c r="BN32" i="21"/>
  <c r="BM32" i="21"/>
  <c r="BL32" i="21"/>
  <c r="BK32" i="21"/>
  <c r="BJ32" i="21"/>
  <c r="BI32" i="21"/>
  <c r="BG32" i="21"/>
  <c r="BF32" i="21"/>
  <c r="BD32" i="21"/>
  <c r="BC32" i="21"/>
  <c r="BB32" i="21"/>
  <c r="BA32" i="21"/>
  <c r="AZ32" i="21"/>
  <c r="AY32" i="21"/>
  <c r="AX32" i="21"/>
  <c r="AW32" i="21"/>
  <c r="AV32" i="21"/>
  <c r="AU32" i="21"/>
  <c r="AT32" i="21"/>
  <c r="BQ31" i="21"/>
  <c r="BP31" i="21"/>
  <c r="BO31" i="21"/>
  <c r="BN31" i="21"/>
  <c r="BM31" i="21"/>
  <c r="BL31" i="21"/>
  <c r="BK31" i="21"/>
  <c r="BJ31" i="21"/>
  <c r="BI31" i="21"/>
  <c r="BG31" i="21"/>
  <c r="BF31" i="21"/>
  <c r="BD31" i="21"/>
  <c r="BC31" i="21"/>
  <c r="BB31" i="21"/>
  <c r="BA31" i="21"/>
  <c r="AZ31" i="21"/>
  <c r="AY31" i="21"/>
  <c r="AX31" i="21"/>
  <c r="AW31" i="21"/>
  <c r="AV31" i="21"/>
  <c r="AU31" i="21"/>
  <c r="AT31" i="21"/>
  <c r="BQ30" i="21"/>
  <c r="BP30" i="21"/>
  <c r="BO30" i="21"/>
  <c r="BN30" i="21"/>
  <c r="BM30" i="21"/>
  <c r="BL30" i="21"/>
  <c r="BK30" i="21"/>
  <c r="BJ30" i="21"/>
  <c r="BI30" i="21"/>
  <c r="BH30" i="21"/>
  <c r="BF30" i="21"/>
  <c r="BD30" i="21"/>
  <c r="BC30" i="21"/>
  <c r="BB30" i="21"/>
  <c r="BA30" i="21"/>
  <c r="AZ30" i="21"/>
  <c r="AY30" i="21"/>
  <c r="AX30" i="21"/>
  <c r="AW30" i="21"/>
  <c r="AV30" i="21"/>
  <c r="AU30" i="21"/>
  <c r="AT30" i="21"/>
  <c r="BQ29" i="21"/>
  <c r="BP29" i="21"/>
  <c r="BO29" i="21"/>
  <c r="BN29" i="21"/>
  <c r="BM29" i="21"/>
  <c r="BL29" i="21"/>
  <c r="BK29" i="21"/>
  <c r="BJ29" i="21"/>
  <c r="BI29" i="21"/>
  <c r="BH29" i="21"/>
  <c r="BF29" i="21"/>
  <c r="BD29" i="21"/>
  <c r="BC29" i="21"/>
  <c r="BB29" i="21"/>
  <c r="BA29" i="21"/>
  <c r="AZ29" i="21"/>
  <c r="AY29" i="21"/>
  <c r="AX29" i="21"/>
  <c r="AW29" i="21"/>
  <c r="AV29" i="21"/>
  <c r="AU29" i="21"/>
  <c r="AT29" i="21"/>
  <c r="BQ28" i="21"/>
  <c r="BP28" i="21"/>
  <c r="BO28" i="21"/>
  <c r="BN28" i="21"/>
  <c r="BM28" i="21"/>
  <c r="BL28" i="21"/>
  <c r="BK28" i="21"/>
  <c r="BJ28" i="21"/>
  <c r="BI28" i="21"/>
  <c r="BH28" i="21"/>
  <c r="BF28" i="21"/>
  <c r="BD28" i="21"/>
  <c r="BC28" i="21"/>
  <c r="BB28" i="21"/>
  <c r="BA28" i="21"/>
  <c r="AZ28" i="21"/>
  <c r="AY28" i="21"/>
  <c r="AX28" i="21"/>
  <c r="AW28" i="21"/>
  <c r="AV28" i="21"/>
  <c r="AU28" i="21"/>
  <c r="AT28" i="21"/>
  <c r="BQ27" i="21"/>
  <c r="BP27" i="21"/>
  <c r="BO27" i="21"/>
  <c r="BN27" i="21"/>
  <c r="BM27" i="21"/>
  <c r="BL27" i="21"/>
  <c r="BK27" i="21"/>
  <c r="BJ27" i="21"/>
  <c r="BI27" i="21"/>
  <c r="BH27" i="21"/>
  <c r="BF27" i="21"/>
  <c r="BD27" i="21"/>
  <c r="BC27" i="21"/>
  <c r="BB27" i="21"/>
  <c r="BA27" i="21"/>
  <c r="AZ27" i="21"/>
  <c r="AY27" i="21"/>
  <c r="AX27" i="21"/>
  <c r="AW27" i="21"/>
  <c r="AV27" i="21"/>
  <c r="AU27" i="21"/>
  <c r="AT27" i="21"/>
  <c r="BQ26" i="21"/>
  <c r="BP26" i="21"/>
  <c r="BO26" i="21"/>
  <c r="BN26" i="21"/>
  <c r="BM26" i="21"/>
  <c r="BL26" i="21"/>
  <c r="BK26" i="21"/>
  <c r="BJ26" i="21"/>
  <c r="BI26" i="21"/>
  <c r="BH26" i="21"/>
  <c r="BG26" i="21"/>
  <c r="BF26" i="21"/>
  <c r="BD26" i="21"/>
  <c r="BB26" i="21"/>
  <c r="BA26" i="21"/>
  <c r="AZ26" i="21"/>
  <c r="AY26" i="21"/>
  <c r="AX26" i="21"/>
  <c r="AW26" i="21"/>
  <c r="AV26" i="21"/>
  <c r="AU26" i="21"/>
  <c r="AT26" i="21"/>
  <c r="BQ25" i="21"/>
  <c r="BP25" i="21"/>
  <c r="BO25" i="21"/>
  <c r="BN25" i="21"/>
  <c r="BM25" i="21"/>
  <c r="BL25" i="21"/>
  <c r="BK25" i="21"/>
  <c r="BJ25" i="21"/>
  <c r="BI25" i="21"/>
  <c r="BH25" i="21"/>
  <c r="BG25" i="21"/>
  <c r="BF25" i="21"/>
  <c r="BD25" i="21"/>
  <c r="BC25" i="21"/>
  <c r="BB25" i="21"/>
  <c r="BA25" i="21"/>
  <c r="AZ25" i="21"/>
  <c r="AY25" i="21"/>
  <c r="AX25" i="21"/>
  <c r="AW25" i="21"/>
  <c r="AV25" i="21"/>
  <c r="AU25" i="21"/>
  <c r="AT25" i="21"/>
  <c r="BQ24" i="21"/>
  <c r="BP24" i="21"/>
  <c r="BO24" i="21"/>
  <c r="BN24" i="21"/>
  <c r="BM24" i="21"/>
  <c r="BL24" i="21"/>
  <c r="BK24" i="21"/>
  <c r="BJ24" i="21"/>
  <c r="BI24" i="21"/>
  <c r="BH24" i="21"/>
  <c r="BG24" i="21"/>
  <c r="BF24" i="21"/>
  <c r="BD24" i="21"/>
  <c r="BC24" i="21"/>
  <c r="BB24" i="21"/>
  <c r="BA24" i="21"/>
  <c r="AZ24" i="21"/>
  <c r="AY24" i="21"/>
  <c r="AX24" i="21"/>
  <c r="AW24" i="21"/>
  <c r="AV24" i="21"/>
  <c r="AU24" i="21"/>
  <c r="AT24" i="21"/>
  <c r="BQ23" i="21"/>
  <c r="BP23" i="21"/>
  <c r="BO23" i="21"/>
  <c r="BN23" i="21"/>
  <c r="BM23" i="21"/>
  <c r="BL23" i="21"/>
  <c r="BK23" i="21"/>
  <c r="BJ23" i="21"/>
  <c r="BI23" i="21"/>
  <c r="BH23" i="21"/>
  <c r="BG23" i="21"/>
  <c r="BF23" i="21"/>
  <c r="BD23" i="21"/>
  <c r="BC23" i="21"/>
  <c r="BB23" i="21"/>
  <c r="BA23" i="21"/>
  <c r="AZ23" i="21"/>
  <c r="AY23" i="21"/>
  <c r="AX23" i="21"/>
  <c r="AW23" i="21"/>
  <c r="AV23" i="21"/>
  <c r="AU23" i="21"/>
  <c r="AT23" i="21"/>
  <c r="BQ22" i="21"/>
  <c r="BP22" i="21"/>
  <c r="BO22" i="21"/>
  <c r="BN22" i="21"/>
  <c r="BM22" i="21"/>
  <c r="BK22" i="21"/>
  <c r="BJ22" i="21"/>
  <c r="BI22" i="21"/>
  <c r="BF22" i="21"/>
  <c r="BD22" i="21"/>
  <c r="BB22" i="21"/>
  <c r="BA22" i="21"/>
  <c r="AZ22" i="21"/>
  <c r="AY22" i="21"/>
  <c r="AX22" i="21"/>
  <c r="AW22" i="21"/>
  <c r="AV22" i="21"/>
  <c r="AU22" i="21"/>
  <c r="AT22" i="21"/>
  <c r="BQ21" i="21"/>
  <c r="BP21" i="21"/>
  <c r="BO21" i="21"/>
  <c r="BN21" i="21"/>
  <c r="BM21" i="21"/>
  <c r="BL21" i="21"/>
  <c r="BK21" i="21"/>
  <c r="BJ21" i="21"/>
  <c r="BI21" i="21"/>
  <c r="BH21" i="21"/>
  <c r="BF21" i="21"/>
  <c r="BD21" i="21"/>
  <c r="BB21" i="21"/>
  <c r="BA21" i="21"/>
  <c r="AZ21" i="21"/>
  <c r="AY21" i="21"/>
  <c r="AX21" i="21"/>
  <c r="AW21" i="21"/>
  <c r="AV21" i="21"/>
  <c r="AU21" i="21"/>
  <c r="AT21" i="21"/>
  <c r="BQ20" i="21"/>
  <c r="BP20" i="21"/>
  <c r="BO20" i="21"/>
  <c r="BN20" i="21"/>
  <c r="BM20" i="21"/>
  <c r="BK20" i="21"/>
  <c r="BJ20" i="21"/>
  <c r="BI20" i="21"/>
  <c r="BG20" i="21"/>
  <c r="BF20" i="21"/>
  <c r="BD20" i="21"/>
  <c r="BB20" i="21"/>
  <c r="BA20" i="21"/>
  <c r="AZ20" i="21"/>
  <c r="AY20" i="21"/>
  <c r="AX20" i="21"/>
  <c r="AW20" i="21"/>
  <c r="AV20" i="21"/>
  <c r="AU20" i="21"/>
  <c r="AT20" i="21"/>
  <c r="BQ19" i="21"/>
  <c r="BP19" i="21"/>
  <c r="BO19" i="21"/>
  <c r="BN19" i="21"/>
  <c r="BM19" i="21"/>
  <c r="BL19" i="21"/>
  <c r="BK19" i="21"/>
  <c r="BJ19" i="21"/>
  <c r="BI19" i="21"/>
  <c r="BF19" i="21"/>
  <c r="BD19" i="21"/>
  <c r="BB19" i="21"/>
  <c r="BA19" i="21"/>
  <c r="AZ19" i="21"/>
  <c r="AY19" i="21"/>
  <c r="AX19" i="21"/>
  <c r="AW19" i="21"/>
  <c r="AV19" i="21"/>
  <c r="AU19" i="21"/>
  <c r="AT19" i="21"/>
  <c r="BQ18" i="21"/>
  <c r="BP18" i="21"/>
  <c r="BM18" i="21"/>
  <c r="BK18" i="21"/>
  <c r="BJ18" i="21"/>
  <c r="BG18" i="21"/>
  <c r="BF18" i="21"/>
  <c r="BD18" i="21"/>
  <c r="BC18" i="21"/>
  <c r="BB18" i="21"/>
  <c r="BA18" i="21"/>
  <c r="AZ18" i="21"/>
  <c r="AY18" i="21"/>
  <c r="AX18" i="21"/>
  <c r="AW18" i="21"/>
  <c r="AV18" i="21"/>
  <c r="AU18" i="21"/>
  <c r="AT18" i="21"/>
  <c r="BQ17" i="21"/>
  <c r="BP17" i="21"/>
  <c r="BO17" i="21"/>
  <c r="BN17" i="21"/>
  <c r="BM17" i="21"/>
  <c r="BK17" i="21"/>
  <c r="BJ17" i="21"/>
  <c r="BI17" i="21"/>
  <c r="BH17" i="21"/>
  <c r="BF17" i="21"/>
  <c r="BD17" i="21"/>
  <c r="BC17" i="21"/>
  <c r="BB17" i="21"/>
  <c r="BA17" i="21"/>
  <c r="AZ17" i="21"/>
  <c r="AY17" i="21"/>
  <c r="AX17" i="21"/>
  <c r="AW17" i="21"/>
  <c r="AV17" i="21"/>
  <c r="AU17" i="21"/>
  <c r="AT17" i="21"/>
  <c r="BQ16" i="21"/>
  <c r="BP16" i="21"/>
  <c r="BO16" i="21"/>
  <c r="BN16" i="21"/>
  <c r="BM16" i="21"/>
  <c r="BL16" i="21"/>
  <c r="BK16" i="21"/>
  <c r="BJ16" i="21"/>
  <c r="BI16" i="21"/>
  <c r="BH16" i="21"/>
  <c r="BF16" i="21"/>
  <c r="BD16" i="21"/>
  <c r="BC16" i="21"/>
  <c r="BB16" i="21"/>
  <c r="BA16" i="21"/>
  <c r="AZ16" i="21"/>
  <c r="AY16" i="21"/>
  <c r="AX16" i="21"/>
  <c r="AW16" i="21"/>
  <c r="AV16" i="21"/>
  <c r="AU16" i="21"/>
  <c r="AT16" i="21"/>
  <c r="BQ15" i="21"/>
  <c r="BP15" i="21"/>
  <c r="BO15" i="21"/>
  <c r="BN15" i="21"/>
  <c r="BM15" i="21"/>
  <c r="BK15" i="21"/>
  <c r="BJ15" i="21"/>
  <c r="BI15" i="21"/>
  <c r="BF15" i="21"/>
  <c r="BD15" i="21"/>
  <c r="BC15" i="21"/>
  <c r="BB15" i="21"/>
  <c r="BA15" i="21"/>
  <c r="AZ15" i="21"/>
  <c r="AY15" i="21"/>
  <c r="AX15" i="21"/>
  <c r="AW15" i="21"/>
  <c r="AV15" i="21"/>
  <c r="AU15" i="21"/>
  <c r="AT15" i="21"/>
  <c r="BQ14" i="21"/>
  <c r="BP14" i="21"/>
  <c r="BO14" i="21"/>
  <c r="BN14" i="21"/>
  <c r="BM14" i="21"/>
  <c r="BL14" i="21"/>
  <c r="BK14" i="21"/>
  <c r="BJ14" i="21"/>
  <c r="BI14" i="21"/>
  <c r="BF14" i="21"/>
  <c r="BD14" i="21"/>
  <c r="BC14" i="21"/>
  <c r="BB14" i="21"/>
  <c r="BA14" i="21"/>
  <c r="AZ14" i="21"/>
  <c r="AY14" i="21"/>
  <c r="AX14" i="21"/>
  <c r="AW14" i="21"/>
  <c r="AV14" i="21"/>
  <c r="AU14" i="21"/>
  <c r="AT14" i="21"/>
  <c r="BQ13" i="21"/>
  <c r="BP13" i="21"/>
  <c r="BO13" i="21"/>
  <c r="BN13" i="21"/>
  <c r="BM13" i="21"/>
  <c r="BL13" i="21"/>
  <c r="BK13" i="21"/>
  <c r="BJ13" i="21"/>
  <c r="BI13" i="21"/>
  <c r="BH13" i="21"/>
  <c r="BG13" i="21"/>
  <c r="BF13" i="21"/>
  <c r="BD13" i="21"/>
  <c r="BC13" i="21"/>
  <c r="BB13" i="21"/>
  <c r="BA13" i="21"/>
  <c r="AZ13" i="21"/>
  <c r="AY13" i="21"/>
  <c r="AX13" i="21"/>
  <c r="AW13" i="21"/>
  <c r="AV13" i="21"/>
  <c r="AU13" i="21"/>
  <c r="AT13" i="21"/>
  <c r="BQ12" i="21"/>
  <c r="BP12" i="21"/>
  <c r="BO12" i="21"/>
  <c r="BN12" i="21"/>
  <c r="BM12" i="21"/>
  <c r="BL12" i="21"/>
  <c r="BI12" i="21"/>
  <c r="BH12" i="21"/>
  <c r="BG12" i="21"/>
  <c r="BF12" i="21"/>
  <c r="BD12" i="21"/>
  <c r="BC12" i="21"/>
  <c r="BB12" i="21"/>
  <c r="BA12" i="21"/>
  <c r="AZ12" i="21"/>
  <c r="AY12" i="21"/>
  <c r="AX12" i="21"/>
  <c r="AW12" i="21"/>
  <c r="AV12" i="21"/>
  <c r="AU12" i="21"/>
  <c r="AT12" i="21"/>
  <c r="BQ11" i="21"/>
  <c r="BP11" i="21"/>
  <c r="BO11" i="21"/>
  <c r="BN11" i="21"/>
  <c r="BM11" i="21"/>
  <c r="BL11" i="21"/>
  <c r="BK11" i="21"/>
  <c r="BJ11" i="21"/>
  <c r="BI11" i="21"/>
  <c r="BH11" i="21"/>
  <c r="BG11" i="21"/>
  <c r="BF11" i="21"/>
  <c r="BD11" i="21"/>
  <c r="BC11" i="21"/>
  <c r="BB11" i="21"/>
  <c r="BA11" i="21"/>
  <c r="AZ11" i="21"/>
  <c r="AY11" i="21"/>
  <c r="AX11" i="21"/>
  <c r="AW11" i="21"/>
  <c r="AV11" i="21"/>
  <c r="AU11" i="21"/>
  <c r="AT11" i="21"/>
  <c r="BQ10" i="21"/>
  <c r="BP10" i="21"/>
  <c r="BO10" i="21"/>
  <c r="BN10" i="21"/>
  <c r="BM10" i="21"/>
  <c r="BL10" i="21"/>
  <c r="BK10" i="21"/>
  <c r="BJ10" i="21"/>
  <c r="BI10" i="21"/>
  <c r="BH10" i="21"/>
  <c r="BG10" i="21"/>
  <c r="BF10" i="21"/>
  <c r="BD10" i="21"/>
  <c r="BC10" i="21"/>
  <c r="BB10" i="21"/>
  <c r="BA10" i="21"/>
  <c r="AZ10" i="21"/>
  <c r="AY10" i="21"/>
  <c r="AX10" i="21"/>
  <c r="AW10" i="21"/>
  <c r="AV10" i="21"/>
  <c r="AU10" i="21"/>
  <c r="AT10" i="21"/>
  <c r="BQ9" i="21"/>
  <c r="BP9" i="21"/>
  <c r="BO9" i="21"/>
  <c r="BN9" i="21"/>
  <c r="BM9" i="21"/>
  <c r="BL9" i="21"/>
  <c r="BI9" i="21"/>
  <c r="BH9" i="21"/>
  <c r="BG9" i="21"/>
  <c r="BF9" i="21"/>
  <c r="BD9" i="21"/>
  <c r="BC9" i="21"/>
  <c r="BB9" i="21"/>
  <c r="BA9" i="21"/>
  <c r="AZ9" i="21"/>
  <c r="AY9" i="21"/>
  <c r="AX9" i="21"/>
  <c r="AW9" i="21"/>
  <c r="AV9" i="21"/>
  <c r="AT9" i="21"/>
  <c r="BQ8" i="21"/>
  <c r="BP8" i="21"/>
  <c r="BO8" i="21"/>
  <c r="BN8" i="21"/>
  <c r="BM8" i="21"/>
  <c r="BL8" i="21"/>
  <c r="BI8" i="21"/>
  <c r="BH8" i="21"/>
  <c r="BG8" i="21"/>
  <c r="BF8" i="21"/>
  <c r="BD8" i="21"/>
  <c r="BC8" i="21"/>
  <c r="BB8" i="21"/>
  <c r="BA8" i="21"/>
  <c r="AZ8" i="21"/>
  <c r="AY8" i="21"/>
  <c r="AX8" i="21"/>
  <c r="AW8" i="21"/>
  <c r="AV8" i="21"/>
  <c r="AT8" i="21"/>
  <c r="BQ7" i="21"/>
  <c r="BP7" i="21"/>
  <c r="BO7" i="21"/>
  <c r="BN7" i="21"/>
  <c r="BM7" i="21"/>
  <c r="BL7" i="21"/>
  <c r="BI7" i="21"/>
  <c r="BH7" i="21"/>
  <c r="BG7" i="21"/>
  <c r="BF7" i="21"/>
  <c r="BD7" i="21"/>
  <c r="BC7" i="21"/>
  <c r="BB7" i="21"/>
  <c r="BA7" i="21"/>
  <c r="AZ7" i="21"/>
  <c r="AY7" i="21"/>
  <c r="AX7" i="21"/>
  <c r="AW7" i="21"/>
  <c r="AV7" i="21"/>
  <c r="AT7" i="21"/>
  <c r="BQ6" i="21"/>
  <c r="BP6" i="21"/>
  <c r="BO6" i="21"/>
  <c r="BN6" i="21"/>
  <c r="BM6" i="21"/>
  <c r="BL6" i="21"/>
  <c r="BJ6" i="21"/>
  <c r="BI6" i="21"/>
  <c r="BH6" i="21"/>
  <c r="BG6" i="21"/>
  <c r="BF6" i="21"/>
  <c r="BD6" i="21"/>
  <c r="BB6" i="21"/>
  <c r="BA6" i="21"/>
  <c r="AZ6" i="21"/>
  <c r="AY6" i="21"/>
  <c r="AX6" i="21"/>
  <c r="AW6" i="21"/>
  <c r="AV6" i="21"/>
  <c r="AT6" i="21"/>
  <c r="BQ5" i="21"/>
  <c r="BP5" i="21"/>
  <c r="BO5" i="21"/>
  <c r="BN5" i="21"/>
  <c r="BM5" i="21"/>
  <c r="BL5" i="21"/>
  <c r="BJ5" i="21"/>
  <c r="BI5" i="21"/>
  <c r="BH5" i="21"/>
  <c r="BG5" i="21"/>
  <c r="BF5" i="21"/>
  <c r="BD5" i="21"/>
  <c r="BB5" i="21"/>
  <c r="BA5" i="21"/>
  <c r="AZ5" i="21"/>
  <c r="AY5" i="21"/>
  <c r="AX5" i="21"/>
  <c r="AW5" i="21"/>
  <c r="AV5" i="21"/>
  <c r="AT5" i="21"/>
  <c r="BQ4" i="21"/>
  <c r="BP4" i="21"/>
  <c r="BO4" i="21"/>
  <c r="BN4" i="21"/>
  <c r="BM4" i="21"/>
  <c r="BL4" i="21"/>
  <c r="BJ4" i="21"/>
  <c r="BI4" i="21"/>
  <c r="BH4" i="21"/>
  <c r="BG4" i="21"/>
  <c r="BF4" i="21"/>
  <c r="BD4" i="21"/>
  <c r="BB4" i="21"/>
  <c r="BA4" i="21"/>
  <c r="AZ4" i="21"/>
  <c r="AY4" i="21"/>
  <c r="AX4" i="21"/>
  <c r="AW4" i="21"/>
  <c r="AV4" i="21"/>
  <c r="AT4" i="21"/>
  <c r="BQ3" i="21"/>
  <c r="BP3" i="21"/>
  <c r="BO3" i="21"/>
  <c r="BN3" i="21"/>
  <c r="BM3" i="21"/>
  <c r="BL3" i="21"/>
  <c r="BK3" i="21"/>
  <c r="BJ3" i="21"/>
  <c r="BI3" i="21"/>
  <c r="BH3" i="21"/>
  <c r="BG3" i="21"/>
  <c r="BF3" i="21"/>
  <c r="BD3" i="21"/>
  <c r="BB3" i="21"/>
  <c r="BA3" i="21"/>
  <c r="AZ3" i="21"/>
  <c r="AY3" i="21"/>
  <c r="AX3" i="21"/>
  <c r="AW3" i="21"/>
  <c r="AV3" i="21"/>
  <c r="AT3" i="21"/>
  <c r="AU3" i="21"/>
  <c r="A5" i="21" l="1"/>
  <c r="CA4" i="21"/>
  <c r="BH34" i="21"/>
  <c r="BH15" i="21"/>
  <c r="BH20" i="21"/>
  <c r="BH33" i="21"/>
  <c r="BH37" i="21"/>
  <c r="BS37" i="21" s="1"/>
  <c r="BH18" i="21"/>
  <c r="BZ18" i="21" s="1"/>
  <c r="BH22" i="21"/>
  <c r="BH32" i="21"/>
  <c r="BU32" i="21" s="1"/>
  <c r="BH14" i="21"/>
  <c r="BH19" i="21"/>
  <c r="BH31" i="21"/>
  <c r="BZ31" i="21" s="1"/>
  <c r="BH36" i="21"/>
  <c r="BG30" i="21"/>
  <c r="BU30" i="21" s="1"/>
  <c r="BG17" i="21"/>
  <c r="BV17" i="21" s="1"/>
  <c r="BG19" i="21"/>
  <c r="BG29" i="21"/>
  <c r="BS29" i="21" s="1"/>
  <c r="BG36" i="21"/>
  <c r="BG39" i="21"/>
  <c r="BZ39" i="21" s="1"/>
  <c r="BG16" i="21"/>
  <c r="BV16" i="21" s="1"/>
  <c r="BG28" i="21"/>
  <c r="BZ28" i="21" s="1"/>
  <c r="BG27" i="21"/>
  <c r="BV27" i="21" s="1"/>
  <c r="BG35" i="21"/>
  <c r="BV35" i="21" s="1"/>
  <c r="BG15" i="21"/>
  <c r="BG21" i="21"/>
  <c r="BG22" i="21"/>
  <c r="BG14" i="21"/>
  <c r="BV11" i="21"/>
  <c r="BW46" i="21"/>
  <c r="BZ47" i="21"/>
  <c r="BV59" i="21"/>
  <c r="BW62" i="21"/>
  <c r="BV67" i="21"/>
  <c r="BW38" i="21"/>
  <c r="BT69" i="21"/>
  <c r="BU24" i="21"/>
  <c r="BZ53" i="21"/>
  <c r="BS50" i="21"/>
  <c r="BU64" i="21"/>
  <c r="BV57" i="21"/>
  <c r="BT53" i="21"/>
  <c r="BW52" i="21"/>
  <c r="BV41" i="21"/>
  <c r="BV49" i="21"/>
  <c r="BU48" i="21"/>
  <c r="BU56" i="21"/>
  <c r="BW23" i="21"/>
  <c r="BV23" i="21"/>
  <c r="BZ23" i="21"/>
  <c r="BU23" i="21"/>
  <c r="BT23" i="21"/>
  <c r="BS23" i="21"/>
  <c r="BU40" i="21"/>
  <c r="BW12" i="21"/>
  <c r="BT13" i="21"/>
  <c r="BV33" i="21"/>
  <c r="BW60" i="21"/>
  <c r="BV65" i="21"/>
  <c r="BZ69" i="21"/>
  <c r="BZ13" i="21"/>
  <c r="BV25" i="21"/>
  <c r="BS34" i="21"/>
  <c r="BW68" i="21"/>
  <c r="BS10" i="21"/>
  <c r="BU11" i="21"/>
  <c r="BS13" i="21"/>
  <c r="BT24" i="21"/>
  <c r="BW25" i="21"/>
  <c r="BW33" i="21"/>
  <c r="BV38" i="21"/>
  <c r="BT40" i="21"/>
  <c r="BW41" i="21"/>
  <c r="BV46" i="21"/>
  <c r="BT48" i="21"/>
  <c r="BW49" i="21"/>
  <c r="BS53" i="21"/>
  <c r="BT56" i="21"/>
  <c r="BW57" i="21"/>
  <c r="BU59" i="21"/>
  <c r="BV62" i="21"/>
  <c r="BT64" i="21"/>
  <c r="BW65" i="21"/>
  <c r="BU67" i="21"/>
  <c r="BS69" i="21"/>
  <c r="BZ14" i="21"/>
  <c r="BZ38" i="21"/>
  <c r="BZ46" i="21"/>
  <c r="BZ62" i="21"/>
  <c r="BT10" i="21"/>
  <c r="BW11" i="21"/>
  <c r="BU13" i="21"/>
  <c r="BV24" i="21"/>
  <c r="BT34" i="21"/>
  <c r="BV40" i="21"/>
  <c r="BS47" i="21"/>
  <c r="BV48" i="21"/>
  <c r="BT50" i="21"/>
  <c r="BU53" i="21"/>
  <c r="BV56" i="21"/>
  <c r="BW59" i="21"/>
  <c r="BV64" i="21"/>
  <c r="BW67" i="21"/>
  <c r="BU69" i="21"/>
  <c r="BZ24" i="21"/>
  <c r="BZ40" i="21"/>
  <c r="BZ48" i="21"/>
  <c r="BZ56" i="21"/>
  <c r="BZ64" i="21"/>
  <c r="BU10" i="21"/>
  <c r="BS12" i="21"/>
  <c r="BV13" i="21"/>
  <c r="BW24" i="21"/>
  <c r="BU34" i="21"/>
  <c r="BS36" i="21"/>
  <c r="BT39" i="21"/>
  <c r="BW40" i="21"/>
  <c r="BT47" i="21"/>
  <c r="BW48" i="21"/>
  <c r="BU50" i="21"/>
  <c r="BS52" i="21"/>
  <c r="BV53" i="21"/>
  <c r="BW56" i="21"/>
  <c r="BS60" i="21"/>
  <c r="BW64" i="21"/>
  <c r="BS68" i="21"/>
  <c r="BV69" i="21"/>
  <c r="BZ25" i="21"/>
  <c r="BZ33" i="21"/>
  <c r="BZ41" i="21"/>
  <c r="BZ49" i="21"/>
  <c r="BZ57" i="21"/>
  <c r="BZ65" i="21"/>
  <c r="BV10" i="21"/>
  <c r="BT12" i="21"/>
  <c r="BW13" i="21"/>
  <c r="BS25" i="21"/>
  <c r="BS33" i="21"/>
  <c r="BV34" i="21"/>
  <c r="BU39" i="21"/>
  <c r="BS41" i="21"/>
  <c r="BU47" i="21"/>
  <c r="BS49" i="21"/>
  <c r="BV50" i="21"/>
  <c r="BT52" i="21"/>
  <c r="BW53" i="21"/>
  <c r="BS57" i="21"/>
  <c r="BT60" i="21"/>
  <c r="BS65" i="21"/>
  <c r="BT68" i="21"/>
  <c r="BW69" i="21"/>
  <c r="BZ10" i="21"/>
  <c r="BZ34" i="21"/>
  <c r="BZ50" i="21"/>
  <c r="BW10" i="21"/>
  <c r="BU12" i="21"/>
  <c r="BS14" i="21"/>
  <c r="BT25" i="21"/>
  <c r="BT33" i="21"/>
  <c r="BW34" i="21"/>
  <c r="BU36" i="21"/>
  <c r="BS38" i="21"/>
  <c r="BV39" i="21"/>
  <c r="BT41" i="21"/>
  <c r="BS46" i="21"/>
  <c r="BV47" i="21"/>
  <c r="BT49" i="21"/>
  <c r="BW50" i="21"/>
  <c r="BU52" i="21"/>
  <c r="BT57" i="21"/>
  <c r="BU60" i="21"/>
  <c r="BS62" i="21"/>
  <c r="BT65" i="21"/>
  <c r="BU68" i="21"/>
  <c r="BZ11" i="21"/>
  <c r="BZ59" i="21"/>
  <c r="BZ67" i="21"/>
  <c r="BS11" i="21"/>
  <c r="BV12" i="21"/>
  <c r="BT14" i="21"/>
  <c r="BU25" i="21"/>
  <c r="BU33" i="21"/>
  <c r="BV36" i="21"/>
  <c r="BT38" i="21"/>
  <c r="BW39" i="21"/>
  <c r="BU41" i="21"/>
  <c r="BT46" i="21"/>
  <c r="BW47" i="21"/>
  <c r="BU49" i="21"/>
  <c r="BV52" i="21"/>
  <c r="BU57" i="21"/>
  <c r="BS59" i="21"/>
  <c r="BV60" i="21"/>
  <c r="BT62" i="21"/>
  <c r="BU65" i="21"/>
  <c r="BS67" i="21"/>
  <c r="BV68" i="21"/>
  <c r="BZ12" i="21"/>
  <c r="BZ36" i="21"/>
  <c r="BZ52" i="21"/>
  <c r="BZ60" i="21"/>
  <c r="BZ68" i="21"/>
  <c r="BT11" i="21"/>
  <c r="BU14" i="21"/>
  <c r="BS24" i="21"/>
  <c r="BU38" i="21"/>
  <c r="BS40" i="21"/>
  <c r="BU46" i="21"/>
  <c r="BS48" i="21"/>
  <c r="BS56" i="21"/>
  <c r="BT59" i="21"/>
  <c r="BU62" i="21"/>
  <c r="BS64" i="21"/>
  <c r="BT67" i="21"/>
  <c r="BI66" i="21"/>
  <c r="BQ58" i="21"/>
  <c r="BT58" i="21" s="1"/>
  <c r="BQ55" i="21"/>
  <c r="BQ61" i="21"/>
  <c r="BZ61" i="21" s="1"/>
  <c r="AT51" i="21"/>
  <c r="AU51" i="21"/>
  <c r="BC51" i="21"/>
  <c r="BC54" i="21"/>
  <c r="BW54" i="21" s="1"/>
  <c r="BC3" i="21"/>
  <c r="BV3" i="21" s="1"/>
  <c r="AU4" i="21"/>
  <c r="BC4" i="21"/>
  <c r="BK4" i="21"/>
  <c r="AU5" i="21"/>
  <c r="BC5" i="21"/>
  <c r="BK5" i="21"/>
  <c r="AU6" i="21"/>
  <c r="BC6" i="21"/>
  <c r="BK6" i="21"/>
  <c r="AU7" i="21"/>
  <c r="BK7" i="21"/>
  <c r="AU8" i="21"/>
  <c r="BK8" i="21"/>
  <c r="AU9" i="21"/>
  <c r="BK9" i="21"/>
  <c r="BC19" i="21"/>
  <c r="BC20" i="21"/>
  <c r="BC21" i="21"/>
  <c r="BC22" i="21"/>
  <c r="BC26" i="21"/>
  <c r="BC42" i="21"/>
  <c r="BC43" i="21"/>
  <c r="BS43" i="21" s="1"/>
  <c r="BC44" i="21"/>
  <c r="BW44" i="21" s="1"/>
  <c r="BK45" i="21"/>
  <c r="BZ45" i="21" s="1"/>
  <c r="AT63" i="21"/>
  <c r="Q5" i="10"/>
  <c r="BV31" i="21" l="1"/>
  <c r="BW27" i="21"/>
  <c r="BW17" i="21"/>
  <c r="BZ35" i="21"/>
  <c r="BU31" i="21"/>
  <c r="BU18" i="21"/>
  <c r="BW31" i="21"/>
  <c r="BT31" i="21"/>
  <c r="BV14" i="21"/>
  <c r="BS20" i="21"/>
  <c r="BS31" i="21"/>
  <c r="BS39" i="21"/>
  <c r="BW35" i="21"/>
  <c r="BW18" i="21"/>
  <c r="BU17" i="21"/>
  <c r="BS17" i="21"/>
  <c r="BT17" i="21"/>
  <c r="BU35" i="21"/>
  <c r="BZ17" i="21"/>
  <c r="BT35" i="21"/>
  <c r="BS35" i="21"/>
  <c r="BS18" i="21"/>
  <c r="BT18" i="21"/>
  <c r="BZ27" i="21"/>
  <c r="BT37" i="21"/>
  <c r="BZ30" i="21"/>
  <c r="BV37" i="21"/>
  <c r="BU27" i="21"/>
  <c r="A6" i="21"/>
  <c r="CA5" i="21"/>
  <c r="BZ15" i="21"/>
  <c r="BW21" i="21"/>
  <c r="BV18" i="21"/>
  <c r="BV29" i="21"/>
  <c r="BW29" i="21"/>
  <c r="BU29" i="21"/>
  <c r="BT32" i="21"/>
  <c r="BV30" i="21"/>
  <c r="BW30" i="21"/>
  <c r="BS30" i="21"/>
  <c r="BT27" i="21"/>
  <c r="BW37" i="21"/>
  <c r="BW32" i="21"/>
  <c r="BU37" i="21"/>
  <c r="BZ37" i="21"/>
  <c r="BT29" i="21"/>
  <c r="BS27" i="21"/>
  <c r="BT30" i="21"/>
  <c r="BW36" i="21"/>
  <c r="BS15" i="21"/>
  <c r="BV19" i="21"/>
  <c r="BV15" i="21"/>
  <c r="BZ29" i="21"/>
  <c r="BW14" i="21"/>
  <c r="BW15" i="21"/>
  <c r="BT15" i="21"/>
  <c r="BU15" i="21"/>
  <c r="BS32" i="21"/>
  <c r="BZ32" i="21"/>
  <c r="BV32" i="21"/>
  <c r="BU16" i="21"/>
  <c r="BZ16" i="21"/>
  <c r="BW28" i="21"/>
  <c r="BV28" i="21"/>
  <c r="BT28" i="21"/>
  <c r="BU28" i="21"/>
  <c r="BS28" i="21"/>
  <c r="BT16" i="21"/>
  <c r="BT36" i="21"/>
  <c r="BS16" i="21"/>
  <c r="BW16" i="21"/>
  <c r="BV44" i="21"/>
  <c r="BT5" i="21"/>
  <c r="BZ7" i="21"/>
  <c r="BU54" i="21"/>
  <c r="BZ44" i="21"/>
  <c r="BW4" i="21"/>
  <c r="BU22" i="21"/>
  <c r="BU44" i="21"/>
  <c r="BW45" i="21"/>
  <c r="BT54" i="21"/>
  <c r="BW58" i="21"/>
  <c r="BV58" i="21"/>
  <c r="BT55" i="21"/>
  <c r="BZ22" i="21"/>
  <c r="BW7" i="21"/>
  <c r="BV6" i="21"/>
  <c r="BV54" i="21"/>
  <c r="BU5" i="21"/>
  <c r="BT43" i="21"/>
  <c r="BZ9" i="21"/>
  <c r="BU6" i="21"/>
  <c r="BZ19" i="21"/>
  <c r="BV55" i="21"/>
  <c r="BW42" i="21"/>
  <c r="BT44" i="21"/>
  <c r="BY6" i="21"/>
  <c r="BS55" i="21"/>
  <c r="BT26" i="21"/>
  <c r="BY4" i="21"/>
  <c r="BV22" i="21"/>
  <c r="BT8" i="21"/>
  <c r="BY3" i="21"/>
  <c r="BS58" i="21"/>
  <c r="BT20" i="21"/>
  <c r="BY5" i="21"/>
  <c r="BZ55" i="21"/>
  <c r="BU43" i="21"/>
  <c r="BS9" i="21"/>
  <c r="BU8" i="21"/>
  <c r="BU42" i="21"/>
  <c r="BT3" i="21"/>
  <c r="BZ4" i="21"/>
  <c r="BW55" i="21"/>
  <c r="BT6" i="21"/>
  <c r="BX6" i="21"/>
  <c r="BS54" i="21"/>
  <c r="BW26" i="21"/>
  <c r="BS6" i="21"/>
  <c r="BZ26" i="21"/>
  <c r="BU55" i="21"/>
  <c r="BV42" i="21"/>
  <c r="BU66" i="21"/>
  <c r="BU26" i="21"/>
  <c r="BW8" i="21"/>
  <c r="BX3" i="21"/>
  <c r="BV8" i="21"/>
  <c r="BZ6" i="21"/>
  <c r="BS21" i="21"/>
  <c r="BS7" i="21"/>
  <c r="BU20" i="21"/>
  <c r="BV5" i="21"/>
  <c r="BW43" i="21"/>
  <c r="BT9" i="21"/>
  <c r="BS26" i="21"/>
  <c r="BT22" i="21"/>
  <c r="BV4" i="21"/>
  <c r="BZ3" i="21"/>
  <c r="BW66" i="21"/>
  <c r="BU4" i="21"/>
  <c r="BX4" i="21"/>
  <c r="BS4" i="21"/>
  <c r="BZ8" i="21"/>
  <c r="BT66" i="21"/>
  <c r="BU21" i="21"/>
  <c r="BW3" i="21"/>
  <c r="BU19" i="21"/>
  <c r="BU3" i="21"/>
  <c r="BT7" i="21"/>
  <c r="BZ21" i="21"/>
  <c r="BW5" i="21"/>
  <c r="BW22" i="21"/>
  <c r="BT51" i="21"/>
  <c r="BS51" i="21"/>
  <c r="BZ51" i="21"/>
  <c r="BV51" i="21"/>
  <c r="BW51" i="21"/>
  <c r="BU51" i="21"/>
  <c r="BZ42" i="21"/>
  <c r="BW63" i="21"/>
  <c r="BV63" i="21"/>
  <c r="BU63" i="21"/>
  <c r="BT63" i="21"/>
  <c r="BS63" i="21"/>
  <c r="BZ63" i="21"/>
  <c r="BT19" i="21"/>
  <c r="BS19" i="21"/>
  <c r="BS3" i="21"/>
  <c r="BS22" i="21"/>
  <c r="BR3" i="21"/>
  <c r="BV66" i="21"/>
  <c r="BV26" i="21"/>
  <c r="BT4" i="21"/>
  <c r="BV61" i="21"/>
  <c r="BV21" i="21"/>
  <c r="BW19" i="21"/>
  <c r="BS61" i="21"/>
  <c r="BT45" i="21"/>
  <c r="BV20" i="21"/>
  <c r="BX5" i="21"/>
  <c r="BU9" i="21"/>
  <c r="BT21" i="21"/>
  <c r="BS8" i="21"/>
  <c r="BW6" i="21"/>
  <c r="BZ66" i="21"/>
  <c r="BU61" i="21"/>
  <c r="BZ54" i="21"/>
  <c r="BS45" i="21"/>
  <c r="BU7" i="21"/>
  <c r="BZ20" i="21"/>
  <c r="BS66" i="21"/>
  <c r="BV43" i="21"/>
  <c r="BW9" i="21"/>
  <c r="BV9" i="21"/>
  <c r="BZ58" i="21"/>
  <c r="BW61" i="21"/>
  <c r="BU58" i="21"/>
  <c r="BV45" i="21"/>
  <c r="BU45" i="21"/>
  <c r="BS42" i="21"/>
  <c r="BV7" i="21"/>
  <c r="BW20" i="21"/>
  <c r="BZ5" i="21"/>
  <c r="BZ43" i="21"/>
  <c r="BS44" i="21"/>
  <c r="BT42" i="21"/>
  <c r="BT61" i="21"/>
  <c r="BS5" i="21"/>
  <c r="S678" i="11"/>
  <c r="S677" i="11"/>
  <c r="S676" i="11"/>
  <c r="S675" i="11"/>
  <c r="S674" i="11"/>
  <c r="S673" i="11"/>
  <c r="S672" i="11"/>
  <c r="S671" i="11"/>
  <c r="S670" i="11"/>
  <c r="S669" i="11"/>
  <c r="S668" i="11"/>
  <c r="S667" i="11"/>
  <c r="S666" i="11"/>
  <c r="S665" i="11"/>
  <c r="S664" i="11"/>
  <c r="S663" i="11"/>
  <c r="S662" i="11"/>
  <c r="S661" i="11"/>
  <c r="S660" i="11"/>
  <c r="S659" i="11"/>
  <c r="S658" i="11"/>
  <c r="S657" i="11"/>
  <c r="S656" i="11"/>
  <c r="S655" i="11"/>
  <c r="S654" i="11"/>
  <c r="S653" i="11"/>
  <c r="S652" i="11"/>
  <c r="S651" i="11"/>
  <c r="S650" i="11"/>
  <c r="S649" i="11"/>
  <c r="S648" i="11"/>
  <c r="S647" i="11"/>
  <c r="S646" i="11"/>
  <c r="S645" i="11"/>
  <c r="S644" i="11"/>
  <c r="S643" i="11"/>
  <c r="S642" i="11"/>
  <c r="S641" i="11"/>
  <c r="S640" i="11"/>
  <c r="S639" i="11"/>
  <c r="S638" i="11"/>
  <c r="S637" i="11"/>
  <c r="S636" i="11"/>
  <c r="S635" i="11"/>
  <c r="S634" i="11"/>
  <c r="S633" i="11"/>
  <c r="S632" i="11"/>
  <c r="S631" i="11"/>
  <c r="S630" i="11"/>
  <c r="S629" i="11"/>
  <c r="S628" i="11"/>
  <c r="S627" i="11"/>
  <c r="S626" i="11"/>
  <c r="S625" i="11"/>
  <c r="S624" i="11"/>
  <c r="S623" i="11"/>
  <c r="S622" i="11"/>
  <c r="S621" i="11"/>
  <c r="S620" i="11"/>
  <c r="S619" i="11"/>
  <c r="S618" i="11"/>
  <c r="S617" i="11"/>
  <c r="S616" i="11"/>
  <c r="S615" i="11"/>
  <c r="S614" i="11"/>
  <c r="S613" i="11"/>
  <c r="S612" i="11"/>
  <c r="S611" i="11"/>
  <c r="S610" i="11"/>
  <c r="S609" i="11"/>
  <c r="S608" i="11"/>
  <c r="S607" i="11"/>
  <c r="S606" i="11"/>
  <c r="S605" i="11"/>
  <c r="S604" i="11"/>
  <c r="S603" i="11"/>
  <c r="S602" i="11"/>
  <c r="S601" i="11"/>
  <c r="S600" i="11"/>
  <c r="S599" i="11"/>
  <c r="S598" i="11"/>
  <c r="S597" i="11"/>
  <c r="S596" i="11"/>
  <c r="S595" i="11"/>
  <c r="S594" i="11"/>
  <c r="S593" i="11"/>
  <c r="S592" i="11"/>
  <c r="S591" i="11"/>
  <c r="S590" i="11"/>
  <c r="S589" i="11"/>
  <c r="S588" i="11"/>
  <c r="S587" i="11"/>
  <c r="S586" i="11"/>
  <c r="S585" i="11"/>
  <c r="S584" i="11"/>
  <c r="S583" i="11"/>
  <c r="S582" i="11"/>
  <c r="S581" i="11"/>
  <c r="S580" i="11"/>
  <c r="S579" i="11"/>
  <c r="S578" i="11"/>
  <c r="S577" i="11"/>
  <c r="S576" i="11"/>
  <c r="S575" i="11"/>
  <c r="S574" i="11"/>
  <c r="S573" i="11"/>
  <c r="S572" i="11"/>
  <c r="S571" i="11"/>
  <c r="S570" i="11"/>
  <c r="S569" i="11"/>
  <c r="S568" i="11"/>
  <c r="S567" i="11"/>
  <c r="S566" i="11"/>
  <c r="S565" i="11"/>
  <c r="S564" i="11"/>
  <c r="S563" i="11"/>
  <c r="S562" i="11"/>
  <c r="S561" i="11"/>
  <c r="S560" i="11"/>
  <c r="S559" i="11"/>
  <c r="S558" i="11"/>
  <c r="S557" i="11"/>
  <c r="S556" i="11"/>
  <c r="S555" i="11"/>
  <c r="S554" i="11"/>
  <c r="S553" i="11"/>
  <c r="S552" i="11"/>
  <c r="S551" i="11"/>
  <c r="S550" i="11"/>
  <c r="S549" i="11"/>
  <c r="S548" i="11"/>
  <c r="S547" i="11"/>
  <c r="S546" i="11"/>
  <c r="S545" i="11"/>
  <c r="S544" i="11"/>
  <c r="S543" i="11"/>
  <c r="S542" i="11"/>
  <c r="S541" i="11"/>
  <c r="S540" i="11"/>
  <c r="S539" i="11"/>
  <c r="S538" i="11"/>
  <c r="S537" i="11"/>
  <c r="S536" i="11"/>
  <c r="S535" i="11"/>
  <c r="S534" i="11"/>
  <c r="S533" i="11"/>
  <c r="S532" i="11"/>
  <c r="S531" i="11"/>
  <c r="S530" i="11"/>
  <c r="S529" i="11"/>
  <c r="S528" i="11"/>
  <c r="S527" i="11"/>
  <c r="S526" i="11"/>
  <c r="S525" i="11"/>
  <c r="S524" i="11"/>
  <c r="S523" i="11"/>
  <c r="S522" i="11"/>
  <c r="S521" i="11"/>
  <c r="S520" i="11"/>
  <c r="S519" i="11"/>
  <c r="S518" i="11"/>
  <c r="S517" i="11"/>
  <c r="S516" i="11"/>
  <c r="S515" i="11"/>
  <c r="S514" i="11"/>
  <c r="S513" i="11"/>
  <c r="S512" i="11"/>
  <c r="S511" i="11"/>
  <c r="S510" i="11"/>
  <c r="S509" i="11"/>
  <c r="S508" i="11"/>
  <c r="S507" i="11"/>
  <c r="S506" i="11"/>
  <c r="S505" i="11"/>
  <c r="S504" i="11"/>
  <c r="S503" i="11"/>
  <c r="S502" i="11"/>
  <c r="S501" i="11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8" i="11"/>
  <c r="S487" i="11"/>
  <c r="S486" i="11"/>
  <c r="S485" i="11"/>
  <c r="S484" i="11"/>
  <c r="S483" i="11"/>
  <c r="S482" i="11"/>
  <c r="S481" i="11"/>
  <c r="S480" i="11"/>
  <c r="S479" i="11"/>
  <c r="S478" i="11"/>
  <c r="S477" i="11"/>
  <c r="S476" i="11"/>
  <c r="S475" i="11"/>
  <c r="S474" i="11"/>
  <c r="S473" i="11"/>
  <c r="S472" i="11"/>
  <c r="S471" i="11"/>
  <c r="S470" i="11"/>
  <c r="S469" i="11"/>
  <c r="S468" i="11"/>
  <c r="S467" i="11"/>
  <c r="S466" i="1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52" i="11"/>
  <c r="S451" i="11"/>
  <c r="S450" i="11"/>
  <c r="S449" i="11"/>
  <c r="S448" i="11"/>
  <c r="S447" i="11"/>
  <c r="S446" i="11"/>
  <c r="S445" i="11"/>
  <c r="S444" i="11"/>
  <c r="S443" i="11"/>
  <c r="S442" i="11"/>
  <c r="S441" i="11"/>
  <c r="S440" i="11"/>
  <c r="S439" i="11"/>
  <c r="S438" i="11"/>
  <c r="S437" i="11"/>
  <c r="S436" i="11"/>
  <c r="S435" i="11"/>
  <c r="S434" i="11"/>
  <c r="S433" i="11"/>
  <c r="S432" i="11"/>
  <c r="S431" i="11"/>
  <c r="S430" i="11"/>
  <c r="S429" i="11"/>
  <c r="S428" i="11"/>
  <c r="S427" i="11"/>
  <c r="S426" i="11"/>
  <c r="S425" i="11"/>
  <c r="S424" i="11"/>
  <c r="S423" i="11"/>
  <c r="S422" i="11"/>
  <c r="S421" i="11"/>
  <c r="S420" i="11"/>
  <c r="S419" i="11"/>
  <c r="S418" i="11"/>
  <c r="S417" i="11"/>
  <c r="S416" i="11"/>
  <c r="S415" i="11"/>
  <c r="S414" i="11"/>
  <c r="S413" i="11"/>
  <c r="S412" i="11"/>
  <c r="S411" i="11"/>
  <c r="S410" i="11"/>
  <c r="S409" i="11"/>
  <c r="S408" i="11"/>
  <c r="S407" i="11"/>
  <c r="S406" i="11"/>
  <c r="S405" i="11"/>
  <c r="S404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391" i="11"/>
  <c r="S390" i="11"/>
  <c r="S389" i="11"/>
  <c r="S388" i="11"/>
  <c r="S387" i="11"/>
  <c r="S386" i="11"/>
  <c r="S385" i="11"/>
  <c r="S384" i="11"/>
  <c r="S383" i="11"/>
  <c r="S382" i="11"/>
  <c r="S381" i="11"/>
  <c r="S380" i="11"/>
  <c r="S379" i="11"/>
  <c r="S378" i="11"/>
  <c r="S377" i="11"/>
  <c r="S376" i="11"/>
  <c r="S375" i="11"/>
  <c r="S374" i="11"/>
  <c r="S373" i="11"/>
  <c r="S372" i="11"/>
  <c r="S371" i="11"/>
  <c r="S370" i="11"/>
  <c r="S369" i="11"/>
  <c r="S368" i="11"/>
  <c r="S367" i="11"/>
  <c r="S366" i="11"/>
  <c r="S365" i="11"/>
  <c r="S364" i="11"/>
  <c r="S363" i="11"/>
  <c r="S362" i="11"/>
  <c r="S361" i="11"/>
  <c r="S360" i="11"/>
  <c r="S359" i="11"/>
  <c r="S358" i="11"/>
  <c r="S357" i="11"/>
  <c r="S356" i="11"/>
  <c r="S355" i="11"/>
  <c r="S354" i="11"/>
  <c r="S353" i="11"/>
  <c r="S352" i="11"/>
  <c r="S351" i="11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S3" i="11"/>
  <c r="S2" i="11"/>
  <c r="A7" i="21" l="1"/>
  <c r="CA6" i="21"/>
  <c r="R28" i="10"/>
  <c r="R27" i="10"/>
  <c r="R26" i="10"/>
  <c r="R25" i="10"/>
  <c r="R24" i="10"/>
  <c r="R23" i="10"/>
  <c r="R22" i="10"/>
  <c r="R21" i="10"/>
  <c r="R20" i="10"/>
  <c r="S20" i="10" s="1"/>
  <c r="S21" i="10" s="1"/>
  <c r="S22" i="10" s="1"/>
  <c r="S23" i="10" s="1"/>
  <c r="S24" i="10" s="1"/>
  <c r="S25" i="10" s="1"/>
  <c r="S26" i="10" s="1"/>
  <c r="S27" i="10" s="1"/>
  <c r="S28" i="10" s="1"/>
  <c r="O27" i="10"/>
  <c r="P27" i="10" s="1"/>
  <c r="O26" i="10"/>
  <c r="O25" i="10"/>
  <c r="O24" i="10"/>
  <c r="O23" i="10"/>
  <c r="O22" i="10"/>
  <c r="P22" i="10" s="1"/>
  <c r="P23" i="10" s="1"/>
  <c r="P24" i="10" s="1"/>
  <c r="P25" i="10" s="1"/>
  <c r="P26" i="10" s="1"/>
  <c r="O21" i="10"/>
  <c r="O20" i="10"/>
  <c r="P20" i="10" s="1"/>
  <c r="P21" i="10" s="1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I23" i="10"/>
  <c r="I22" i="10"/>
  <c r="I21" i="10"/>
  <c r="I20" i="10"/>
  <c r="J20" i="10" s="1"/>
  <c r="J21" i="10" s="1"/>
  <c r="J22" i="10" s="1"/>
  <c r="J23" i="10" s="1"/>
  <c r="F27" i="10"/>
  <c r="F26" i="10"/>
  <c r="F25" i="10"/>
  <c r="F24" i="10"/>
  <c r="F23" i="10"/>
  <c r="F22" i="10"/>
  <c r="F21" i="10"/>
  <c r="F20" i="10"/>
  <c r="G20" i="10" s="1"/>
  <c r="C27" i="10"/>
  <c r="C26" i="10"/>
  <c r="C25" i="10"/>
  <c r="C24" i="10"/>
  <c r="C23" i="10"/>
  <c r="C22" i="10"/>
  <c r="C21" i="10"/>
  <c r="C20" i="10"/>
  <c r="D20" i="10" s="1"/>
  <c r="A8" i="21" l="1"/>
  <c r="CA7" i="21"/>
  <c r="BY7" i="21"/>
  <c r="BX7" i="21"/>
  <c r="D21" i="10"/>
  <c r="D22" i="10" s="1"/>
  <c r="D23" i="10" s="1"/>
  <c r="D24" i="10" s="1"/>
  <c r="D25" i="10" s="1"/>
  <c r="D26" i="10" s="1"/>
  <c r="D27" i="10" s="1"/>
  <c r="G21" i="10"/>
  <c r="G22" i="10" s="1"/>
  <c r="G23" i="10" s="1"/>
  <c r="G24" i="10" s="1"/>
  <c r="G25" i="10" s="1"/>
  <c r="G26" i="10" s="1"/>
  <c r="G27" i="10" s="1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L3" i="9" s="1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K1170" i="8"/>
  <c r="J1170" i="8"/>
  <c r="I1170" i="8"/>
  <c r="H1170" i="8"/>
  <c r="K1169" i="8"/>
  <c r="J1169" i="8"/>
  <c r="I1169" i="8"/>
  <c r="H1169" i="8"/>
  <c r="M1169" i="8" s="1"/>
  <c r="K1168" i="8"/>
  <c r="J1168" i="8"/>
  <c r="I1168" i="8"/>
  <c r="H1168" i="8"/>
  <c r="K1167" i="8"/>
  <c r="J1167" i="8"/>
  <c r="I1167" i="8"/>
  <c r="H1167" i="8"/>
  <c r="K1166" i="8"/>
  <c r="J1166" i="8"/>
  <c r="I1166" i="8"/>
  <c r="H1166" i="8"/>
  <c r="K1165" i="8"/>
  <c r="J1165" i="8"/>
  <c r="I1165" i="8"/>
  <c r="H1165" i="8"/>
  <c r="K1164" i="8"/>
  <c r="J1164" i="8"/>
  <c r="I1164" i="8"/>
  <c r="H1164" i="8"/>
  <c r="K1163" i="8"/>
  <c r="J1163" i="8"/>
  <c r="I1163" i="8"/>
  <c r="H1163" i="8"/>
  <c r="K1162" i="8"/>
  <c r="J1162" i="8"/>
  <c r="I1162" i="8"/>
  <c r="H1162" i="8"/>
  <c r="L1162" i="8" s="1"/>
  <c r="K1161" i="8"/>
  <c r="J1161" i="8"/>
  <c r="L1161" i="8" s="1"/>
  <c r="I1161" i="8"/>
  <c r="H1161" i="8"/>
  <c r="K1160" i="8"/>
  <c r="J1160" i="8"/>
  <c r="I1160" i="8"/>
  <c r="H1160" i="8"/>
  <c r="K1159" i="8"/>
  <c r="J1159" i="8"/>
  <c r="I1159" i="8"/>
  <c r="H1159" i="8"/>
  <c r="K1158" i="8"/>
  <c r="J1158" i="8"/>
  <c r="I1158" i="8"/>
  <c r="H1158" i="8"/>
  <c r="K1157" i="8"/>
  <c r="J1157" i="8"/>
  <c r="L1157" i="8" s="1"/>
  <c r="I1157" i="8"/>
  <c r="H1157" i="8"/>
  <c r="K1156" i="8"/>
  <c r="J1156" i="8"/>
  <c r="I1156" i="8"/>
  <c r="H1156" i="8"/>
  <c r="K1155" i="8"/>
  <c r="J1155" i="8"/>
  <c r="I1155" i="8"/>
  <c r="H1155" i="8"/>
  <c r="K1154" i="8"/>
  <c r="J1154" i="8"/>
  <c r="I1154" i="8"/>
  <c r="H1154" i="8"/>
  <c r="M1154" i="8" s="1"/>
  <c r="K1153" i="8"/>
  <c r="J1153" i="8"/>
  <c r="I1153" i="8"/>
  <c r="H1153" i="8"/>
  <c r="K1152" i="8"/>
  <c r="J1152" i="8"/>
  <c r="I1152" i="8"/>
  <c r="H1152" i="8"/>
  <c r="K1151" i="8"/>
  <c r="J1151" i="8"/>
  <c r="I1151" i="8"/>
  <c r="H1151" i="8"/>
  <c r="K1150" i="8"/>
  <c r="J1150" i="8"/>
  <c r="I1150" i="8"/>
  <c r="H1150" i="8"/>
  <c r="M1150" i="8" s="1"/>
  <c r="K1149" i="8"/>
  <c r="J1149" i="8"/>
  <c r="I1149" i="8"/>
  <c r="H1149" i="8"/>
  <c r="K1148" i="8"/>
  <c r="J1148" i="8"/>
  <c r="I1148" i="8"/>
  <c r="H1148" i="8"/>
  <c r="K1147" i="8"/>
  <c r="J1147" i="8"/>
  <c r="I1147" i="8"/>
  <c r="H1147" i="8"/>
  <c r="K1146" i="8"/>
  <c r="J1146" i="8"/>
  <c r="I1146" i="8"/>
  <c r="H1146" i="8"/>
  <c r="K1145" i="8"/>
  <c r="J1145" i="8"/>
  <c r="I1145" i="8"/>
  <c r="H1145" i="8"/>
  <c r="K1144" i="8"/>
  <c r="J1144" i="8"/>
  <c r="I1144" i="8"/>
  <c r="H1144" i="8"/>
  <c r="K1143" i="8"/>
  <c r="J1143" i="8"/>
  <c r="I1143" i="8"/>
  <c r="H1143" i="8"/>
  <c r="K1142" i="8"/>
  <c r="J1142" i="8"/>
  <c r="I1142" i="8"/>
  <c r="M1142" i="8" s="1"/>
  <c r="H1142" i="8"/>
  <c r="L1142" i="8" s="1"/>
  <c r="K1141" i="8"/>
  <c r="J1141" i="8"/>
  <c r="I1141" i="8"/>
  <c r="H1141" i="8"/>
  <c r="K1140" i="8"/>
  <c r="J1140" i="8"/>
  <c r="I1140" i="8"/>
  <c r="H1140" i="8"/>
  <c r="K1139" i="8"/>
  <c r="J1139" i="8"/>
  <c r="I1139" i="8"/>
  <c r="H1139" i="8"/>
  <c r="K1138" i="8"/>
  <c r="J1138" i="8"/>
  <c r="I1138" i="8"/>
  <c r="H1138" i="8"/>
  <c r="M1137" i="8"/>
  <c r="K1137" i="8"/>
  <c r="J1137" i="8"/>
  <c r="I1137" i="8"/>
  <c r="H1137" i="8"/>
  <c r="K1136" i="8"/>
  <c r="J1136" i="8"/>
  <c r="I1136" i="8"/>
  <c r="H1136" i="8"/>
  <c r="M1136" i="8" s="1"/>
  <c r="K1135" i="8"/>
  <c r="J1135" i="8"/>
  <c r="I1135" i="8"/>
  <c r="H1135" i="8"/>
  <c r="K1134" i="8"/>
  <c r="J1134" i="8"/>
  <c r="I1134" i="8"/>
  <c r="H1134" i="8"/>
  <c r="K1133" i="8"/>
  <c r="J1133" i="8"/>
  <c r="I1133" i="8"/>
  <c r="H1133" i="8"/>
  <c r="K1132" i="8"/>
  <c r="J1132" i="8"/>
  <c r="I1132" i="8"/>
  <c r="H1132" i="8"/>
  <c r="K1131" i="8"/>
  <c r="J1131" i="8"/>
  <c r="I1131" i="8"/>
  <c r="H1131" i="8"/>
  <c r="K1130" i="8"/>
  <c r="J1130" i="8"/>
  <c r="I1130" i="8"/>
  <c r="H1130" i="8"/>
  <c r="M1130" i="8" s="1"/>
  <c r="K1129" i="8"/>
  <c r="J1129" i="8"/>
  <c r="I1129" i="8"/>
  <c r="H1129" i="8"/>
  <c r="K1128" i="8"/>
  <c r="J1128" i="8"/>
  <c r="I1128" i="8"/>
  <c r="H1128" i="8"/>
  <c r="K1127" i="8"/>
  <c r="J1127" i="8"/>
  <c r="I1127" i="8"/>
  <c r="H1127" i="8"/>
  <c r="K1126" i="8"/>
  <c r="J1126" i="8"/>
  <c r="I1126" i="8"/>
  <c r="H1126" i="8"/>
  <c r="K1125" i="8"/>
  <c r="J1125" i="8"/>
  <c r="I1125" i="8"/>
  <c r="H1125" i="8"/>
  <c r="K1124" i="8"/>
  <c r="J1124" i="8"/>
  <c r="I1124" i="8"/>
  <c r="H1124" i="8"/>
  <c r="K1123" i="8"/>
  <c r="J1123" i="8"/>
  <c r="I1123" i="8"/>
  <c r="H1123" i="8"/>
  <c r="K1122" i="8"/>
  <c r="J1122" i="8"/>
  <c r="I1122" i="8"/>
  <c r="H1122" i="8"/>
  <c r="K1121" i="8"/>
  <c r="J1121" i="8"/>
  <c r="I1121" i="8"/>
  <c r="H1121" i="8"/>
  <c r="K1120" i="8"/>
  <c r="J1120" i="8"/>
  <c r="I1120" i="8"/>
  <c r="H1120" i="8"/>
  <c r="K1119" i="8"/>
  <c r="J1119" i="8"/>
  <c r="I1119" i="8"/>
  <c r="H1119" i="8"/>
  <c r="K1118" i="8"/>
  <c r="J1118" i="8"/>
  <c r="I1118" i="8"/>
  <c r="H1118" i="8"/>
  <c r="K1117" i="8"/>
  <c r="M1117" i="8" s="1"/>
  <c r="J1117" i="8"/>
  <c r="I1117" i="8"/>
  <c r="H1117" i="8"/>
  <c r="K1116" i="8"/>
  <c r="J1116" i="8"/>
  <c r="I1116" i="8"/>
  <c r="H1116" i="8"/>
  <c r="K1115" i="8"/>
  <c r="J1115" i="8"/>
  <c r="I1115" i="8"/>
  <c r="H1115" i="8"/>
  <c r="K1114" i="8"/>
  <c r="J1114" i="8"/>
  <c r="I1114" i="8"/>
  <c r="H1114" i="8"/>
  <c r="K1113" i="8"/>
  <c r="M1113" i="8" s="1"/>
  <c r="J1113" i="8"/>
  <c r="I1113" i="8"/>
  <c r="H1113" i="8"/>
  <c r="K1112" i="8"/>
  <c r="J1112" i="8"/>
  <c r="I1112" i="8"/>
  <c r="H1112" i="8"/>
  <c r="K1111" i="8"/>
  <c r="J1111" i="8"/>
  <c r="I1111" i="8"/>
  <c r="H1111" i="8"/>
  <c r="K1110" i="8"/>
  <c r="M1110" i="8" s="1"/>
  <c r="J1110" i="8"/>
  <c r="I1110" i="8"/>
  <c r="H1110" i="8"/>
  <c r="L1110" i="8" s="1"/>
  <c r="K1109" i="8"/>
  <c r="J1109" i="8"/>
  <c r="I1109" i="8"/>
  <c r="L1109" i="8" s="1"/>
  <c r="H1109" i="8"/>
  <c r="K1108" i="8"/>
  <c r="J1108" i="8"/>
  <c r="I1108" i="8"/>
  <c r="H1108" i="8"/>
  <c r="K1107" i="8"/>
  <c r="J1107" i="8"/>
  <c r="I1107" i="8"/>
  <c r="H1107" i="8"/>
  <c r="K1106" i="8"/>
  <c r="J1106" i="8"/>
  <c r="I1106" i="8"/>
  <c r="H1106" i="8"/>
  <c r="K1105" i="8"/>
  <c r="J1105" i="8"/>
  <c r="I1105" i="8"/>
  <c r="H1105" i="8"/>
  <c r="M1105" i="8" s="1"/>
  <c r="K1104" i="8"/>
  <c r="J1104" i="8"/>
  <c r="I1104" i="8"/>
  <c r="H1104" i="8"/>
  <c r="K1103" i="8"/>
  <c r="J1103" i="8"/>
  <c r="I1103" i="8"/>
  <c r="H1103" i="8"/>
  <c r="K1102" i="8"/>
  <c r="J1102" i="8"/>
  <c r="I1102" i="8"/>
  <c r="H1102" i="8"/>
  <c r="K1101" i="8"/>
  <c r="J1101" i="8"/>
  <c r="I1101" i="8"/>
  <c r="H1101" i="8"/>
  <c r="M1101" i="8" s="1"/>
  <c r="K1100" i="8"/>
  <c r="J1100" i="8"/>
  <c r="I1100" i="8"/>
  <c r="H1100" i="8"/>
  <c r="K1099" i="8"/>
  <c r="J1099" i="8"/>
  <c r="I1099" i="8"/>
  <c r="H1099" i="8"/>
  <c r="K1098" i="8"/>
  <c r="J1098" i="8"/>
  <c r="I1098" i="8"/>
  <c r="H1098" i="8"/>
  <c r="M1098" i="8" s="1"/>
  <c r="K1097" i="8"/>
  <c r="J1097" i="8"/>
  <c r="I1097" i="8"/>
  <c r="H1097" i="8"/>
  <c r="K1096" i="8"/>
  <c r="J1096" i="8"/>
  <c r="I1096" i="8"/>
  <c r="H1096" i="8"/>
  <c r="K1095" i="8"/>
  <c r="J1095" i="8"/>
  <c r="I1095" i="8"/>
  <c r="H1095" i="8"/>
  <c r="K1094" i="8"/>
  <c r="J1094" i="8"/>
  <c r="I1094" i="8"/>
  <c r="H1094" i="8"/>
  <c r="K1093" i="8"/>
  <c r="J1093" i="8"/>
  <c r="I1093" i="8"/>
  <c r="H1093" i="8"/>
  <c r="K1092" i="8"/>
  <c r="J1092" i="8"/>
  <c r="I1092" i="8"/>
  <c r="H1092" i="8"/>
  <c r="K1091" i="8"/>
  <c r="J1091" i="8"/>
  <c r="I1091" i="8"/>
  <c r="H1091" i="8"/>
  <c r="K1090" i="8"/>
  <c r="L1090" i="8" s="1"/>
  <c r="J1090" i="8"/>
  <c r="I1090" i="8"/>
  <c r="H1090" i="8"/>
  <c r="K1089" i="8"/>
  <c r="J1089" i="8"/>
  <c r="I1089" i="8"/>
  <c r="H1089" i="8"/>
  <c r="K1088" i="8"/>
  <c r="J1088" i="8"/>
  <c r="I1088" i="8"/>
  <c r="H1088" i="8"/>
  <c r="K1087" i="8"/>
  <c r="J1087" i="8"/>
  <c r="I1087" i="8"/>
  <c r="H1087" i="8"/>
  <c r="K1086" i="8"/>
  <c r="L1086" i="8" s="1"/>
  <c r="J1086" i="8"/>
  <c r="I1086" i="8"/>
  <c r="H1086" i="8"/>
  <c r="K1085" i="8"/>
  <c r="J1085" i="8"/>
  <c r="I1085" i="8"/>
  <c r="H1085" i="8"/>
  <c r="K1084" i="8"/>
  <c r="J1084" i="8"/>
  <c r="I1084" i="8"/>
  <c r="H1084" i="8"/>
  <c r="K1083" i="8"/>
  <c r="J1083" i="8"/>
  <c r="I1083" i="8"/>
  <c r="H1083" i="8"/>
  <c r="K1082" i="8"/>
  <c r="J1082" i="8"/>
  <c r="I1082" i="8"/>
  <c r="H1082" i="8"/>
  <c r="K1081" i="8"/>
  <c r="J1081" i="8"/>
  <c r="I1081" i="8"/>
  <c r="H1081" i="8"/>
  <c r="K1080" i="8"/>
  <c r="J1080" i="8"/>
  <c r="I1080" i="8"/>
  <c r="H1080" i="8"/>
  <c r="K1079" i="8"/>
  <c r="J1079" i="8"/>
  <c r="I1079" i="8"/>
  <c r="H1079" i="8"/>
  <c r="K1078" i="8"/>
  <c r="J1078" i="8"/>
  <c r="I1078" i="8"/>
  <c r="M1078" i="8" s="1"/>
  <c r="H1078" i="8"/>
  <c r="L1078" i="8" s="1"/>
  <c r="K1077" i="8"/>
  <c r="J1077" i="8"/>
  <c r="I1077" i="8"/>
  <c r="H1077" i="8"/>
  <c r="K1076" i="8"/>
  <c r="J1076" i="8"/>
  <c r="I1076" i="8"/>
  <c r="H1076" i="8"/>
  <c r="K1075" i="8"/>
  <c r="J1075" i="8"/>
  <c r="I1075" i="8"/>
  <c r="H1075" i="8"/>
  <c r="K1074" i="8"/>
  <c r="J1074" i="8"/>
  <c r="I1074" i="8"/>
  <c r="H1074" i="8"/>
  <c r="M1073" i="8"/>
  <c r="K1073" i="8"/>
  <c r="J1073" i="8"/>
  <c r="I1073" i="8"/>
  <c r="H1073" i="8"/>
  <c r="K1072" i="8"/>
  <c r="J1072" i="8"/>
  <c r="I1072" i="8"/>
  <c r="H1072" i="8"/>
  <c r="M1072" i="8" s="1"/>
  <c r="K1071" i="8"/>
  <c r="J1071" i="8"/>
  <c r="I1071" i="8"/>
  <c r="H1071" i="8"/>
  <c r="K1070" i="8"/>
  <c r="J1070" i="8"/>
  <c r="I1070" i="8"/>
  <c r="H1070" i="8"/>
  <c r="K1069" i="8"/>
  <c r="J1069" i="8"/>
  <c r="I1069" i="8"/>
  <c r="H1069" i="8"/>
  <c r="K1068" i="8"/>
  <c r="J1068" i="8"/>
  <c r="I1068" i="8"/>
  <c r="H1068" i="8"/>
  <c r="K1067" i="8"/>
  <c r="J1067" i="8"/>
  <c r="I1067" i="8"/>
  <c r="H1067" i="8"/>
  <c r="K1066" i="8"/>
  <c r="J1066" i="8"/>
  <c r="I1066" i="8"/>
  <c r="M1066" i="8" s="1"/>
  <c r="H1066" i="8"/>
  <c r="K1065" i="8"/>
  <c r="J1065" i="8"/>
  <c r="I1065" i="8"/>
  <c r="H1065" i="8"/>
  <c r="K1064" i="8"/>
  <c r="J1064" i="8"/>
  <c r="I1064" i="8"/>
  <c r="H1064" i="8"/>
  <c r="K1063" i="8"/>
  <c r="J1063" i="8"/>
  <c r="I1063" i="8"/>
  <c r="H1063" i="8"/>
  <c r="K1062" i="8"/>
  <c r="J1062" i="8"/>
  <c r="I1062" i="8"/>
  <c r="H1062" i="8"/>
  <c r="K1061" i="8"/>
  <c r="J1061" i="8"/>
  <c r="I1061" i="8"/>
  <c r="H1061" i="8"/>
  <c r="K1060" i="8"/>
  <c r="J1060" i="8"/>
  <c r="I1060" i="8"/>
  <c r="H1060" i="8"/>
  <c r="K1059" i="8"/>
  <c r="J1059" i="8"/>
  <c r="I1059" i="8"/>
  <c r="H1059" i="8"/>
  <c r="K1058" i="8"/>
  <c r="J1058" i="8"/>
  <c r="I1058" i="8"/>
  <c r="H1058" i="8"/>
  <c r="K1057" i="8"/>
  <c r="J1057" i="8"/>
  <c r="I1057" i="8"/>
  <c r="H1057" i="8"/>
  <c r="K1056" i="8"/>
  <c r="J1056" i="8"/>
  <c r="I1056" i="8"/>
  <c r="H1056" i="8"/>
  <c r="K1055" i="8"/>
  <c r="J1055" i="8"/>
  <c r="I1055" i="8"/>
  <c r="H1055" i="8"/>
  <c r="K1054" i="8"/>
  <c r="J1054" i="8"/>
  <c r="I1054" i="8"/>
  <c r="H1054" i="8"/>
  <c r="K1053" i="8"/>
  <c r="J1053" i="8"/>
  <c r="I1053" i="8"/>
  <c r="H1053" i="8"/>
  <c r="K1052" i="8"/>
  <c r="J1052" i="8"/>
  <c r="I1052" i="8"/>
  <c r="H1052" i="8"/>
  <c r="K1051" i="8"/>
  <c r="J1051" i="8"/>
  <c r="I1051" i="8"/>
  <c r="H1051" i="8"/>
  <c r="K1050" i="8"/>
  <c r="J1050" i="8"/>
  <c r="I1050" i="8"/>
  <c r="M1050" i="8" s="1"/>
  <c r="H1050" i="8"/>
  <c r="K1049" i="8"/>
  <c r="M1049" i="8" s="1"/>
  <c r="J1049" i="8"/>
  <c r="I1049" i="8"/>
  <c r="H1049" i="8"/>
  <c r="K1048" i="8"/>
  <c r="J1048" i="8"/>
  <c r="I1048" i="8"/>
  <c r="H1048" i="8"/>
  <c r="K1047" i="8"/>
  <c r="J1047" i="8"/>
  <c r="I1047" i="8"/>
  <c r="H1047" i="8"/>
  <c r="K1046" i="8"/>
  <c r="J1046" i="8"/>
  <c r="I1046" i="8"/>
  <c r="H1046" i="8"/>
  <c r="L1046" i="8" s="1"/>
  <c r="K1045" i="8"/>
  <c r="J1045" i="8"/>
  <c r="I1045" i="8"/>
  <c r="H1045" i="8"/>
  <c r="M1045" i="8" s="1"/>
  <c r="K1044" i="8"/>
  <c r="J1044" i="8"/>
  <c r="I1044" i="8"/>
  <c r="H1044" i="8"/>
  <c r="K1043" i="8"/>
  <c r="J1043" i="8"/>
  <c r="I1043" i="8"/>
  <c r="H1043" i="8"/>
  <c r="K1042" i="8"/>
  <c r="J1042" i="8"/>
  <c r="I1042" i="8"/>
  <c r="H1042" i="8"/>
  <c r="L1042" i="8" s="1"/>
  <c r="K1041" i="8"/>
  <c r="J1041" i="8"/>
  <c r="I1041" i="8"/>
  <c r="H1041" i="8"/>
  <c r="M1041" i="8" s="1"/>
  <c r="K1040" i="8"/>
  <c r="J1040" i="8"/>
  <c r="I1040" i="8"/>
  <c r="H1040" i="8"/>
  <c r="K1039" i="8"/>
  <c r="J1039" i="8"/>
  <c r="I1039" i="8"/>
  <c r="H1039" i="8"/>
  <c r="K1038" i="8"/>
  <c r="J1038" i="8"/>
  <c r="I1038" i="8"/>
  <c r="H1038" i="8"/>
  <c r="K1037" i="8"/>
  <c r="J1037" i="8"/>
  <c r="I1037" i="8"/>
  <c r="H1037" i="8"/>
  <c r="M1037" i="8" s="1"/>
  <c r="K1036" i="8"/>
  <c r="J1036" i="8"/>
  <c r="I1036" i="8"/>
  <c r="H1036" i="8"/>
  <c r="K1035" i="8"/>
  <c r="J1035" i="8"/>
  <c r="I1035" i="8"/>
  <c r="H1035" i="8"/>
  <c r="M1034" i="8"/>
  <c r="K1034" i="8"/>
  <c r="J1034" i="8"/>
  <c r="I1034" i="8"/>
  <c r="H1034" i="8"/>
  <c r="L1034" i="8" s="1"/>
  <c r="K1033" i="8"/>
  <c r="J1033" i="8"/>
  <c r="L1033" i="8" s="1"/>
  <c r="I1033" i="8"/>
  <c r="H1033" i="8"/>
  <c r="K1032" i="8"/>
  <c r="J1032" i="8"/>
  <c r="I1032" i="8"/>
  <c r="H1032" i="8"/>
  <c r="K1031" i="8"/>
  <c r="J1031" i="8"/>
  <c r="I1031" i="8"/>
  <c r="H1031" i="8"/>
  <c r="K1030" i="8"/>
  <c r="J1030" i="8"/>
  <c r="I1030" i="8"/>
  <c r="H1030" i="8"/>
  <c r="K1029" i="8"/>
  <c r="J1029" i="8"/>
  <c r="L1029" i="8" s="1"/>
  <c r="I1029" i="8"/>
  <c r="H1029" i="8"/>
  <c r="K1028" i="8"/>
  <c r="J1028" i="8"/>
  <c r="I1028" i="8"/>
  <c r="H1028" i="8"/>
  <c r="K1027" i="8"/>
  <c r="J1027" i="8"/>
  <c r="I1027" i="8"/>
  <c r="H1027" i="8"/>
  <c r="K1026" i="8"/>
  <c r="J1026" i="8"/>
  <c r="I1026" i="8"/>
  <c r="H1026" i="8"/>
  <c r="M1026" i="8" s="1"/>
  <c r="K1025" i="8"/>
  <c r="J1025" i="8"/>
  <c r="I1025" i="8"/>
  <c r="H1025" i="8"/>
  <c r="K1024" i="8"/>
  <c r="J1024" i="8"/>
  <c r="I1024" i="8"/>
  <c r="H1024" i="8"/>
  <c r="K1023" i="8"/>
  <c r="J1023" i="8"/>
  <c r="I1023" i="8"/>
  <c r="H1023" i="8"/>
  <c r="K1022" i="8"/>
  <c r="J1022" i="8"/>
  <c r="I1022" i="8"/>
  <c r="H1022" i="8"/>
  <c r="M1022" i="8" s="1"/>
  <c r="K1021" i="8"/>
  <c r="J1021" i="8"/>
  <c r="I1021" i="8"/>
  <c r="H1021" i="8"/>
  <c r="K1020" i="8"/>
  <c r="J1020" i="8"/>
  <c r="I1020" i="8"/>
  <c r="H1020" i="8"/>
  <c r="K1019" i="8"/>
  <c r="J1019" i="8"/>
  <c r="I1019" i="8"/>
  <c r="H1019" i="8"/>
  <c r="K1018" i="8"/>
  <c r="J1018" i="8"/>
  <c r="I1018" i="8"/>
  <c r="H1018" i="8"/>
  <c r="L1018" i="8" s="1"/>
  <c r="K1017" i="8"/>
  <c r="J1017" i="8"/>
  <c r="I1017" i="8"/>
  <c r="H1017" i="8"/>
  <c r="K1016" i="8"/>
  <c r="J1016" i="8"/>
  <c r="I1016" i="8"/>
  <c r="H1016" i="8"/>
  <c r="K1015" i="8"/>
  <c r="J1015" i="8"/>
  <c r="I1015" i="8"/>
  <c r="H1015" i="8"/>
  <c r="K1014" i="8"/>
  <c r="J1014" i="8"/>
  <c r="I1014" i="8"/>
  <c r="M1014" i="8" s="1"/>
  <c r="H1014" i="8"/>
  <c r="L1014" i="8" s="1"/>
  <c r="K1013" i="8"/>
  <c r="J1013" i="8"/>
  <c r="I1013" i="8"/>
  <c r="H1013" i="8"/>
  <c r="K1012" i="8"/>
  <c r="J1012" i="8"/>
  <c r="I1012" i="8"/>
  <c r="H1012" i="8"/>
  <c r="K1011" i="8"/>
  <c r="J1011" i="8"/>
  <c r="I1011" i="8"/>
  <c r="H1011" i="8"/>
  <c r="K1010" i="8"/>
  <c r="J1010" i="8"/>
  <c r="I1010" i="8"/>
  <c r="H1010" i="8"/>
  <c r="M1010" i="8" s="1"/>
  <c r="K1009" i="8"/>
  <c r="J1009" i="8"/>
  <c r="I1009" i="8"/>
  <c r="H1009" i="8"/>
  <c r="M1009" i="8" s="1"/>
  <c r="K1008" i="8"/>
  <c r="J1008" i="8"/>
  <c r="I1008" i="8"/>
  <c r="H1008" i="8"/>
  <c r="K1007" i="8"/>
  <c r="J1007" i="8"/>
  <c r="I1007" i="8"/>
  <c r="H1007" i="8"/>
  <c r="K1006" i="8"/>
  <c r="J1006" i="8"/>
  <c r="I1006" i="8"/>
  <c r="H1006" i="8"/>
  <c r="K1005" i="8"/>
  <c r="J1005" i="8"/>
  <c r="I1005" i="8"/>
  <c r="H1005" i="8"/>
  <c r="L1005" i="8" s="1"/>
  <c r="K1004" i="8"/>
  <c r="J1004" i="8"/>
  <c r="I1004" i="8"/>
  <c r="H1004" i="8"/>
  <c r="K1003" i="8"/>
  <c r="J1003" i="8"/>
  <c r="I1003" i="8"/>
  <c r="H1003" i="8"/>
  <c r="K1002" i="8"/>
  <c r="J1002" i="8"/>
  <c r="I1002" i="8"/>
  <c r="H1002" i="8"/>
  <c r="M1002" i="8" s="1"/>
  <c r="K1001" i="8"/>
  <c r="J1001" i="8"/>
  <c r="I1001" i="8"/>
  <c r="H1001" i="8"/>
  <c r="K1000" i="8"/>
  <c r="J1000" i="8"/>
  <c r="I1000" i="8"/>
  <c r="H1000" i="8"/>
  <c r="K999" i="8"/>
  <c r="J999" i="8"/>
  <c r="I999" i="8"/>
  <c r="H999" i="8"/>
  <c r="K998" i="8"/>
  <c r="J998" i="8"/>
  <c r="I998" i="8"/>
  <c r="H998" i="8"/>
  <c r="K997" i="8"/>
  <c r="J997" i="8"/>
  <c r="L997" i="8" s="1"/>
  <c r="I997" i="8"/>
  <c r="H997" i="8"/>
  <c r="K996" i="8"/>
  <c r="J996" i="8"/>
  <c r="I996" i="8"/>
  <c r="H996" i="8"/>
  <c r="K995" i="8"/>
  <c r="J995" i="8"/>
  <c r="I995" i="8"/>
  <c r="H995" i="8"/>
  <c r="K994" i="8"/>
  <c r="J994" i="8"/>
  <c r="I994" i="8"/>
  <c r="H994" i="8"/>
  <c r="K993" i="8"/>
  <c r="J993" i="8"/>
  <c r="I993" i="8"/>
  <c r="H993" i="8"/>
  <c r="K992" i="8"/>
  <c r="J992" i="8"/>
  <c r="I992" i="8"/>
  <c r="H992" i="8"/>
  <c r="K991" i="8"/>
  <c r="J991" i="8"/>
  <c r="I991" i="8"/>
  <c r="H991" i="8"/>
  <c r="K990" i="8"/>
  <c r="L990" i="8" s="1"/>
  <c r="J990" i="8"/>
  <c r="I990" i="8"/>
  <c r="H990" i="8"/>
  <c r="K989" i="8"/>
  <c r="J989" i="8"/>
  <c r="I989" i="8"/>
  <c r="H989" i="8"/>
  <c r="K988" i="8"/>
  <c r="J988" i="8"/>
  <c r="I988" i="8"/>
  <c r="H988" i="8"/>
  <c r="K987" i="8"/>
  <c r="J987" i="8"/>
  <c r="I987" i="8"/>
  <c r="H987" i="8"/>
  <c r="K986" i="8"/>
  <c r="J986" i="8"/>
  <c r="I986" i="8"/>
  <c r="H986" i="8"/>
  <c r="K985" i="8"/>
  <c r="J985" i="8"/>
  <c r="I985" i="8"/>
  <c r="H985" i="8"/>
  <c r="K984" i="8"/>
  <c r="J984" i="8"/>
  <c r="I984" i="8"/>
  <c r="H984" i="8"/>
  <c r="K983" i="8"/>
  <c r="J983" i="8"/>
  <c r="I983" i="8"/>
  <c r="H983" i="8"/>
  <c r="L982" i="8"/>
  <c r="K982" i="8"/>
  <c r="J982" i="8"/>
  <c r="I982" i="8"/>
  <c r="H982" i="8"/>
  <c r="K981" i="8"/>
  <c r="J981" i="8"/>
  <c r="I981" i="8"/>
  <c r="H981" i="8"/>
  <c r="K980" i="8"/>
  <c r="J980" i="8"/>
  <c r="I980" i="8"/>
  <c r="H980" i="8"/>
  <c r="K979" i="8"/>
  <c r="J979" i="8"/>
  <c r="I979" i="8"/>
  <c r="H979" i="8"/>
  <c r="K978" i="8"/>
  <c r="J978" i="8"/>
  <c r="I978" i="8"/>
  <c r="H978" i="8"/>
  <c r="M978" i="8" s="1"/>
  <c r="K977" i="8"/>
  <c r="J977" i="8"/>
  <c r="I977" i="8"/>
  <c r="M977" i="8" s="1"/>
  <c r="H977" i="8"/>
  <c r="K976" i="8"/>
  <c r="J976" i="8"/>
  <c r="I976" i="8"/>
  <c r="H976" i="8"/>
  <c r="K975" i="8"/>
  <c r="J975" i="8"/>
  <c r="I975" i="8"/>
  <c r="H975" i="8"/>
  <c r="K974" i="8"/>
  <c r="J974" i="8"/>
  <c r="I974" i="8"/>
  <c r="H974" i="8"/>
  <c r="K973" i="8"/>
  <c r="J973" i="8"/>
  <c r="I973" i="8"/>
  <c r="H973" i="8"/>
  <c r="K972" i="8"/>
  <c r="J972" i="8"/>
  <c r="I972" i="8"/>
  <c r="H972" i="8"/>
  <c r="K971" i="8"/>
  <c r="J971" i="8"/>
  <c r="I971" i="8"/>
  <c r="H971" i="8"/>
  <c r="K970" i="8"/>
  <c r="J970" i="8"/>
  <c r="I970" i="8"/>
  <c r="H970" i="8"/>
  <c r="L970" i="8" s="1"/>
  <c r="K969" i="8"/>
  <c r="J969" i="8"/>
  <c r="I969" i="8"/>
  <c r="H969" i="8"/>
  <c r="K968" i="8"/>
  <c r="J968" i="8"/>
  <c r="I968" i="8"/>
  <c r="H968" i="8"/>
  <c r="K967" i="8"/>
  <c r="J967" i="8"/>
  <c r="I967" i="8"/>
  <c r="H967" i="8"/>
  <c r="K966" i="8"/>
  <c r="J966" i="8"/>
  <c r="I966" i="8"/>
  <c r="H966" i="8"/>
  <c r="M966" i="8" s="1"/>
  <c r="K965" i="8"/>
  <c r="J965" i="8"/>
  <c r="I965" i="8"/>
  <c r="H965" i="8"/>
  <c r="K964" i="8"/>
  <c r="J964" i="8"/>
  <c r="I964" i="8"/>
  <c r="H964" i="8"/>
  <c r="K963" i="8"/>
  <c r="J963" i="8"/>
  <c r="I963" i="8"/>
  <c r="H963" i="8"/>
  <c r="K962" i="8"/>
  <c r="J962" i="8"/>
  <c r="I962" i="8"/>
  <c r="H962" i="8"/>
  <c r="K961" i="8"/>
  <c r="J961" i="8"/>
  <c r="I961" i="8"/>
  <c r="H961" i="8"/>
  <c r="K960" i="8"/>
  <c r="J960" i="8"/>
  <c r="I960" i="8"/>
  <c r="H960" i="8"/>
  <c r="K959" i="8"/>
  <c r="J959" i="8"/>
  <c r="I959" i="8"/>
  <c r="H959" i="8"/>
  <c r="K958" i="8"/>
  <c r="J958" i="8"/>
  <c r="I958" i="8"/>
  <c r="H958" i="8"/>
  <c r="K957" i="8"/>
  <c r="J957" i="8"/>
  <c r="I957" i="8"/>
  <c r="H957" i="8"/>
  <c r="K956" i="8"/>
  <c r="J956" i="8"/>
  <c r="I956" i="8"/>
  <c r="H956" i="8"/>
  <c r="K955" i="8"/>
  <c r="J955" i="8"/>
  <c r="I955" i="8"/>
  <c r="H955" i="8"/>
  <c r="K954" i="8"/>
  <c r="J954" i="8"/>
  <c r="I954" i="8"/>
  <c r="M954" i="8" s="1"/>
  <c r="H954" i="8"/>
  <c r="K953" i="8"/>
  <c r="J953" i="8"/>
  <c r="I953" i="8"/>
  <c r="H953" i="8"/>
  <c r="M953" i="8" s="1"/>
  <c r="K952" i="8"/>
  <c r="J952" i="8"/>
  <c r="I952" i="8"/>
  <c r="H952" i="8"/>
  <c r="K951" i="8"/>
  <c r="J951" i="8"/>
  <c r="I951" i="8"/>
  <c r="H951" i="8"/>
  <c r="K950" i="8"/>
  <c r="J950" i="8"/>
  <c r="I950" i="8"/>
  <c r="H950" i="8"/>
  <c r="L950" i="8" s="1"/>
  <c r="K949" i="8"/>
  <c r="J949" i="8"/>
  <c r="I949" i="8"/>
  <c r="H949" i="8"/>
  <c r="M949" i="8" s="1"/>
  <c r="K948" i="8"/>
  <c r="J948" i="8"/>
  <c r="I948" i="8"/>
  <c r="H948" i="8"/>
  <c r="K947" i="8"/>
  <c r="J947" i="8"/>
  <c r="I947" i="8"/>
  <c r="H947" i="8"/>
  <c r="K946" i="8"/>
  <c r="J946" i="8"/>
  <c r="I946" i="8"/>
  <c r="H946" i="8"/>
  <c r="K945" i="8"/>
  <c r="J945" i="8"/>
  <c r="I945" i="8"/>
  <c r="H945" i="8"/>
  <c r="M945" i="8" s="1"/>
  <c r="K944" i="8"/>
  <c r="J944" i="8"/>
  <c r="I944" i="8"/>
  <c r="H944" i="8"/>
  <c r="K943" i="8"/>
  <c r="J943" i="8"/>
  <c r="I943" i="8"/>
  <c r="H943" i="8"/>
  <c r="K942" i="8"/>
  <c r="J942" i="8"/>
  <c r="I942" i="8"/>
  <c r="H942" i="8"/>
  <c r="M942" i="8" s="1"/>
  <c r="K941" i="8"/>
  <c r="J941" i="8"/>
  <c r="I941" i="8"/>
  <c r="H941" i="8"/>
  <c r="K940" i="8"/>
  <c r="J940" i="8"/>
  <c r="I940" i="8"/>
  <c r="H940" i="8"/>
  <c r="K939" i="8"/>
  <c r="J939" i="8"/>
  <c r="I939" i="8"/>
  <c r="H939" i="8"/>
  <c r="K938" i="8"/>
  <c r="J938" i="8"/>
  <c r="I938" i="8"/>
  <c r="H938" i="8"/>
  <c r="K937" i="8"/>
  <c r="J937" i="8"/>
  <c r="I937" i="8"/>
  <c r="H937" i="8"/>
  <c r="K936" i="8"/>
  <c r="J936" i="8"/>
  <c r="I936" i="8"/>
  <c r="H936" i="8"/>
  <c r="K935" i="8"/>
  <c r="J935" i="8"/>
  <c r="I935" i="8"/>
  <c r="H935" i="8"/>
  <c r="K934" i="8"/>
  <c r="J934" i="8"/>
  <c r="I934" i="8"/>
  <c r="H934" i="8"/>
  <c r="K933" i="8"/>
  <c r="J933" i="8"/>
  <c r="M933" i="8" s="1"/>
  <c r="I933" i="8"/>
  <c r="H933" i="8"/>
  <c r="K932" i="8"/>
  <c r="J932" i="8"/>
  <c r="I932" i="8"/>
  <c r="H932" i="8"/>
  <c r="K931" i="8"/>
  <c r="J931" i="8"/>
  <c r="I931" i="8"/>
  <c r="H931" i="8"/>
  <c r="K930" i="8"/>
  <c r="J930" i="8"/>
  <c r="I930" i="8"/>
  <c r="H930" i="8"/>
  <c r="K929" i="8"/>
  <c r="J929" i="8"/>
  <c r="I929" i="8"/>
  <c r="H929" i="8"/>
  <c r="K928" i="8"/>
  <c r="J928" i="8"/>
  <c r="I928" i="8"/>
  <c r="H928" i="8"/>
  <c r="K927" i="8"/>
  <c r="J927" i="8"/>
  <c r="I927" i="8"/>
  <c r="H927" i="8"/>
  <c r="K926" i="8"/>
  <c r="J926" i="8"/>
  <c r="L926" i="8" s="1"/>
  <c r="I926" i="8"/>
  <c r="H926" i="8"/>
  <c r="M926" i="8" s="1"/>
  <c r="K925" i="8"/>
  <c r="J925" i="8"/>
  <c r="I925" i="8"/>
  <c r="H925" i="8"/>
  <c r="K924" i="8"/>
  <c r="J924" i="8"/>
  <c r="I924" i="8"/>
  <c r="H924" i="8"/>
  <c r="K923" i="8"/>
  <c r="J923" i="8"/>
  <c r="I923" i="8"/>
  <c r="H923" i="8"/>
  <c r="K922" i="8"/>
  <c r="J922" i="8"/>
  <c r="I922" i="8"/>
  <c r="H922" i="8"/>
  <c r="K921" i="8"/>
  <c r="J921" i="8"/>
  <c r="I921" i="8"/>
  <c r="H921" i="8"/>
  <c r="M921" i="8" s="1"/>
  <c r="K920" i="8"/>
  <c r="J920" i="8"/>
  <c r="I920" i="8"/>
  <c r="H920" i="8"/>
  <c r="K919" i="8"/>
  <c r="J919" i="8"/>
  <c r="I919" i="8"/>
  <c r="H919" i="8"/>
  <c r="K918" i="8"/>
  <c r="J918" i="8"/>
  <c r="I918" i="8"/>
  <c r="H918" i="8"/>
  <c r="K917" i="8"/>
  <c r="J917" i="8"/>
  <c r="I917" i="8"/>
  <c r="H917" i="8"/>
  <c r="M917" i="8" s="1"/>
  <c r="K916" i="8"/>
  <c r="J916" i="8"/>
  <c r="I916" i="8"/>
  <c r="H916" i="8"/>
  <c r="K915" i="8"/>
  <c r="J915" i="8"/>
  <c r="I915" i="8"/>
  <c r="H915" i="8"/>
  <c r="K914" i="8"/>
  <c r="J914" i="8"/>
  <c r="I914" i="8"/>
  <c r="H914" i="8"/>
  <c r="M914" i="8" s="1"/>
  <c r="K913" i="8"/>
  <c r="J913" i="8"/>
  <c r="L913" i="8" s="1"/>
  <c r="I913" i="8"/>
  <c r="H913" i="8"/>
  <c r="K912" i="8"/>
  <c r="J912" i="8"/>
  <c r="I912" i="8"/>
  <c r="H912" i="8"/>
  <c r="K911" i="8"/>
  <c r="J911" i="8"/>
  <c r="I911" i="8"/>
  <c r="H911" i="8"/>
  <c r="K910" i="8"/>
  <c r="J910" i="8"/>
  <c r="I910" i="8"/>
  <c r="H910" i="8"/>
  <c r="K909" i="8"/>
  <c r="J909" i="8"/>
  <c r="I909" i="8"/>
  <c r="H909" i="8"/>
  <c r="K908" i="8"/>
  <c r="J908" i="8"/>
  <c r="I908" i="8"/>
  <c r="H908" i="8"/>
  <c r="K907" i="8"/>
  <c r="J907" i="8"/>
  <c r="I907" i="8"/>
  <c r="H907" i="8"/>
  <c r="K906" i="8"/>
  <c r="J906" i="8"/>
  <c r="I906" i="8"/>
  <c r="H906" i="8"/>
  <c r="K905" i="8"/>
  <c r="J905" i="8"/>
  <c r="I905" i="8"/>
  <c r="H905" i="8"/>
  <c r="K904" i="8"/>
  <c r="J904" i="8"/>
  <c r="I904" i="8"/>
  <c r="H904" i="8"/>
  <c r="K903" i="8"/>
  <c r="J903" i="8"/>
  <c r="I903" i="8"/>
  <c r="H903" i="8"/>
  <c r="L902" i="8"/>
  <c r="K902" i="8"/>
  <c r="J902" i="8"/>
  <c r="I902" i="8"/>
  <c r="H902" i="8"/>
  <c r="K901" i="8"/>
  <c r="J901" i="8"/>
  <c r="I901" i="8"/>
  <c r="H901" i="8"/>
  <c r="M901" i="8" s="1"/>
  <c r="K900" i="8"/>
  <c r="J900" i="8"/>
  <c r="I900" i="8"/>
  <c r="H900" i="8"/>
  <c r="K899" i="8"/>
  <c r="J899" i="8"/>
  <c r="I899" i="8"/>
  <c r="H899" i="8"/>
  <c r="K898" i="8"/>
  <c r="J898" i="8"/>
  <c r="I898" i="8"/>
  <c r="H898" i="8"/>
  <c r="K897" i="8"/>
  <c r="J897" i="8"/>
  <c r="I897" i="8"/>
  <c r="H897" i="8"/>
  <c r="K896" i="8"/>
  <c r="J896" i="8"/>
  <c r="I896" i="8"/>
  <c r="H896" i="8"/>
  <c r="K895" i="8"/>
  <c r="J895" i="8"/>
  <c r="I895" i="8"/>
  <c r="L895" i="8" s="1"/>
  <c r="H895" i="8"/>
  <c r="K894" i="8"/>
  <c r="J894" i="8"/>
  <c r="I894" i="8"/>
  <c r="H894" i="8"/>
  <c r="K893" i="8"/>
  <c r="J893" i="8"/>
  <c r="I893" i="8"/>
  <c r="H893" i="8"/>
  <c r="K892" i="8"/>
  <c r="J892" i="8"/>
  <c r="I892" i="8"/>
  <c r="H892" i="8"/>
  <c r="K891" i="8"/>
  <c r="J891" i="8"/>
  <c r="I891" i="8"/>
  <c r="H891" i="8"/>
  <c r="K890" i="8"/>
  <c r="J890" i="8"/>
  <c r="I890" i="8"/>
  <c r="H890" i="8"/>
  <c r="K889" i="8"/>
  <c r="J889" i="8"/>
  <c r="I889" i="8"/>
  <c r="H889" i="8"/>
  <c r="K888" i="8"/>
  <c r="J888" i="8"/>
  <c r="I888" i="8"/>
  <c r="H888" i="8"/>
  <c r="K887" i="8"/>
  <c r="J887" i="8"/>
  <c r="I887" i="8"/>
  <c r="H887" i="8"/>
  <c r="L887" i="8" s="1"/>
  <c r="K886" i="8"/>
  <c r="J886" i="8"/>
  <c r="I886" i="8"/>
  <c r="H886" i="8"/>
  <c r="K885" i="8"/>
  <c r="J885" i="8"/>
  <c r="I885" i="8"/>
  <c r="H885" i="8"/>
  <c r="K884" i="8"/>
  <c r="J884" i="8"/>
  <c r="I884" i="8"/>
  <c r="H884" i="8"/>
  <c r="K883" i="8"/>
  <c r="J883" i="8"/>
  <c r="I883" i="8"/>
  <c r="H883" i="8"/>
  <c r="K882" i="8"/>
  <c r="J882" i="8"/>
  <c r="I882" i="8"/>
  <c r="H882" i="8"/>
  <c r="K881" i="8"/>
  <c r="J881" i="8"/>
  <c r="I881" i="8"/>
  <c r="H881" i="8"/>
  <c r="K880" i="8"/>
  <c r="J880" i="8"/>
  <c r="I880" i="8"/>
  <c r="H880" i="8"/>
  <c r="K879" i="8"/>
  <c r="J879" i="8"/>
  <c r="I879" i="8"/>
  <c r="H879" i="8"/>
  <c r="K878" i="8"/>
  <c r="J878" i="8"/>
  <c r="I878" i="8"/>
  <c r="H878" i="8"/>
  <c r="K877" i="8"/>
  <c r="J877" i="8"/>
  <c r="I877" i="8"/>
  <c r="H877" i="8"/>
  <c r="K876" i="8"/>
  <c r="J876" i="8"/>
  <c r="I876" i="8"/>
  <c r="H876" i="8"/>
  <c r="K875" i="8"/>
  <c r="J875" i="8"/>
  <c r="I875" i="8"/>
  <c r="H875" i="8"/>
  <c r="L875" i="8" s="1"/>
  <c r="K874" i="8"/>
  <c r="J874" i="8"/>
  <c r="I874" i="8"/>
  <c r="H874" i="8"/>
  <c r="K873" i="8"/>
  <c r="J873" i="8"/>
  <c r="I873" i="8"/>
  <c r="H873" i="8"/>
  <c r="K872" i="8"/>
  <c r="J872" i="8"/>
  <c r="I872" i="8"/>
  <c r="H872" i="8"/>
  <c r="K871" i="8"/>
  <c r="J871" i="8"/>
  <c r="I871" i="8"/>
  <c r="H871" i="8"/>
  <c r="K870" i="8"/>
  <c r="J870" i="8"/>
  <c r="M870" i="8" s="1"/>
  <c r="I870" i="8"/>
  <c r="H870" i="8"/>
  <c r="K869" i="8"/>
  <c r="J869" i="8"/>
  <c r="I869" i="8"/>
  <c r="H869" i="8"/>
  <c r="K868" i="8"/>
  <c r="J868" i="8"/>
  <c r="I868" i="8"/>
  <c r="H868" i="8"/>
  <c r="L867" i="8"/>
  <c r="K867" i="8"/>
  <c r="J867" i="8"/>
  <c r="I867" i="8"/>
  <c r="H867" i="8"/>
  <c r="K866" i="8"/>
  <c r="J866" i="8"/>
  <c r="I866" i="8"/>
  <c r="L866" i="8" s="1"/>
  <c r="H866" i="8"/>
  <c r="K865" i="8"/>
  <c r="J865" i="8"/>
  <c r="I865" i="8"/>
  <c r="H865" i="8"/>
  <c r="K864" i="8"/>
  <c r="J864" i="8"/>
  <c r="I864" i="8"/>
  <c r="H864" i="8"/>
  <c r="K863" i="8"/>
  <c r="J863" i="8"/>
  <c r="I863" i="8"/>
  <c r="H863" i="8"/>
  <c r="L863" i="8" s="1"/>
  <c r="K862" i="8"/>
  <c r="J862" i="8"/>
  <c r="I862" i="8"/>
  <c r="H862" i="8"/>
  <c r="K861" i="8"/>
  <c r="J861" i="8"/>
  <c r="I861" i="8"/>
  <c r="H861" i="8"/>
  <c r="K860" i="8"/>
  <c r="J860" i="8"/>
  <c r="I860" i="8"/>
  <c r="H860" i="8"/>
  <c r="K859" i="8"/>
  <c r="J859" i="8"/>
  <c r="I859" i="8"/>
  <c r="H859" i="8"/>
  <c r="K858" i="8"/>
  <c r="J858" i="8"/>
  <c r="I858" i="8"/>
  <c r="H858" i="8"/>
  <c r="K857" i="8"/>
  <c r="J857" i="8"/>
  <c r="I857" i="8"/>
  <c r="H857" i="8"/>
  <c r="K856" i="8"/>
  <c r="J856" i="8"/>
  <c r="I856" i="8"/>
  <c r="H856" i="8"/>
  <c r="K855" i="8"/>
  <c r="J855" i="8"/>
  <c r="I855" i="8"/>
  <c r="H855" i="8"/>
  <c r="K854" i="8"/>
  <c r="J854" i="8"/>
  <c r="I854" i="8"/>
  <c r="H854" i="8"/>
  <c r="K853" i="8"/>
  <c r="J853" i="8"/>
  <c r="I853" i="8"/>
  <c r="H853" i="8"/>
  <c r="K852" i="8"/>
  <c r="J852" i="8"/>
  <c r="I852" i="8"/>
  <c r="H852" i="8"/>
  <c r="K851" i="8"/>
  <c r="J851" i="8"/>
  <c r="I851" i="8"/>
  <c r="H851" i="8"/>
  <c r="K850" i="8"/>
  <c r="J850" i="8"/>
  <c r="I850" i="8"/>
  <c r="H850" i="8"/>
  <c r="K849" i="8"/>
  <c r="J849" i="8"/>
  <c r="I849" i="8"/>
  <c r="H849" i="8"/>
  <c r="L849" i="8" s="1"/>
  <c r="K848" i="8"/>
  <c r="J848" i="8"/>
  <c r="I848" i="8"/>
  <c r="H848" i="8"/>
  <c r="K847" i="8"/>
  <c r="J847" i="8"/>
  <c r="I847" i="8"/>
  <c r="H847" i="8"/>
  <c r="K846" i="8"/>
  <c r="J846" i="8"/>
  <c r="I846" i="8"/>
  <c r="H846" i="8"/>
  <c r="K845" i="8"/>
  <c r="J845" i="8"/>
  <c r="I845" i="8"/>
  <c r="H845" i="8"/>
  <c r="K844" i="8"/>
  <c r="J844" i="8"/>
  <c r="I844" i="8"/>
  <c r="H844" i="8"/>
  <c r="K843" i="8"/>
  <c r="J843" i="8"/>
  <c r="I843" i="8"/>
  <c r="H843" i="8"/>
  <c r="K842" i="8"/>
  <c r="J842" i="8"/>
  <c r="I842" i="8"/>
  <c r="H842" i="8"/>
  <c r="K841" i="8"/>
  <c r="J841" i="8"/>
  <c r="I841" i="8"/>
  <c r="H841" i="8"/>
  <c r="L840" i="8"/>
  <c r="K840" i="8"/>
  <c r="J840" i="8"/>
  <c r="I840" i="8"/>
  <c r="H840" i="8"/>
  <c r="K839" i="8"/>
  <c r="J839" i="8"/>
  <c r="I839" i="8"/>
  <c r="H839" i="8"/>
  <c r="K838" i="8"/>
  <c r="J838" i="8"/>
  <c r="I838" i="8"/>
  <c r="H838" i="8"/>
  <c r="K837" i="8"/>
  <c r="J837" i="8"/>
  <c r="I837" i="8"/>
  <c r="H837" i="8"/>
  <c r="K836" i="8"/>
  <c r="J836" i="8"/>
  <c r="I836" i="8"/>
  <c r="H836" i="8"/>
  <c r="K835" i="8"/>
  <c r="J835" i="8"/>
  <c r="I835" i="8"/>
  <c r="H835" i="8"/>
  <c r="K834" i="8"/>
  <c r="J834" i="8"/>
  <c r="I834" i="8"/>
  <c r="H834" i="8"/>
  <c r="K833" i="8"/>
  <c r="J833" i="8"/>
  <c r="I833" i="8"/>
  <c r="H833" i="8"/>
  <c r="K832" i="8"/>
  <c r="J832" i="8"/>
  <c r="I832" i="8"/>
  <c r="H832" i="8"/>
  <c r="K831" i="8"/>
  <c r="J831" i="8"/>
  <c r="I831" i="8"/>
  <c r="H831" i="8"/>
  <c r="K830" i="8"/>
  <c r="J830" i="8"/>
  <c r="I830" i="8"/>
  <c r="H830" i="8"/>
  <c r="K829" i="8"/>
  <c r="J829" i="8"/>
  <c r="I829" i="8"/>
  <c r="H829" i="8"/>
  <c r="K828" i="8"/>
  <c r="J828" i="8"/>
  <c r="I828" i="8"/>
  <c r="H828" i="8"/>
  <c r="K827" i="8"/>
  <c r="J827" i="8"/>
  <c r="I827" i="8"/>
  <c r="H827" i="8"/>
  <c r="K826" i="8"/>
  <c r="J826" i="8"/>
  <c r="I826" i="8"/>
  <c r="H826" i="8"/>
  <c r="L826" i="8" s="1"/>
  <c r="K825" i="8"/>
  <c r="J825" i="8"/>
  <c r="I825" i="8"/>
  <c r="H825" i="8"/>
  <c r="K824" i="8"/>
  <c r="J824" i="8"/>
  <c r="I824" i="8"/>
  <c r="H824" i="8"/>
  <c r="K823" i="8"/>
  <c r="J823" i="8"/>
  <c r="I823" i="8"/>
  <c r="H823" i="8"/>
  <c r="K822" i="8"/>
  <c r="J822" i="8"/>
  <c r="I822" i="8"/>
  <c r="H822" i="8"/>
  <c r="K821" i="8"/>
  <c r="J821" i="8"/>
  <c r="I821" i="8"/>
  <c r="H821" i="8"/>
  <c r="K820" i="8"/>
  <c r="J820" i="8"/>
  <c r="I820" i="8"/>
  <c r="H820" i="8"/>
  <c r="K819" i="8"/>
  <c r="J819" i="8"/>
  <c r="I819" i="8"/>
  <c r="H819" i="8"/>
  <c r="K818" i="8"/>
  <c r="J818" i="8"/>
  <c r="I818" i="8"/>
  <c r="H818" i="8"/>
  <c r="L818" i="8" s="1"/>
  <c r="K817" i="8"/>
  <c r="J817" i="8"/>
  <c r="I817" i="8"/>
  <c r="H817" i="8"/>
  <c r="K816" i="8"/>
  <c r="J816" i="8"/>
  <c r="I816" i="8"/>
  <c r="H816" i="8"/>
  <c r="K815" i="8"/>
  <c r="J815" i="8"/>
  <c r="I815" i="8"/>
  <c r="H815" i="8"/>
  <c r="K814" i="8"/>
  <c r="J814" i="8"/>
  <c r="I814" i="8"/>
  <c r="H814" i="8"/>
  <c r="K813" i="8"/>
  <c r="J813" i="8"/>
  <c r="I813" i="8"/>
  <c r="H813" i="8"/>
  <c r="K812" i="8"/>
  <c r="J812" i="8"/>
  <c r="I812" i="8"/>
  <c r="H812" i="8"/>
  <c r="K811" i="8"/>
  <c r="J811" i="8"/>
  <c r="I811" i="8"/>
  <c r="H811" i="8"/>
  <c r="K810" i="8"/>
  <c r="J810" i="8"/>
  <c r="I810" i="8"/>
  <c r="H810" i="8"/>
  <c r="K809" i="8"/>
  <c r="J809" i="8"/>
  <c r="L809" i="8" s="1"/>
  <c r="I809" i="8"/>
  <c r="H809" i="8"/>
  <c r="K808" i="8"/>
  <c r="J808" i="8"/>
  <c r="I808" i="8"/>
  <c r="H808" i="8"/>
  <c r="K807" i="8"/>
  <c r="J807" i="8"/>
  <c r="I807" i="8"/>
  <c r="H807" i="8"/>
  <c r="K806" i="8"/>
  <c r="J806" i="8"/>
  <c r="I806" i="8"/>
  <c r="H806" i="8"/>
  <c r="K805" i="8"/>
  <c r="J805" i="8"/>
  <c r="I805" i="8"/>
  <c r="H805" i="8"/>
  <c r="L805" i="8" s="1"/>
  <c r="K804" i="8"/>
  <c r="J804" i="8"/>
  <c r="I804" i="8"/>
  <c r="H804" i="8"/>
  <c r="K803" i="8"/>
  <c r="J803" i="8"/>
  <c r="I803" i="8"/>
  <c r="H803" i="8"/>
  <c r="K802" i="8"/>
  <c r="J802" i="8"/>
  <c r="I802" i="8"/>
  <c r="H802" i="8"/>
  <c r="L802" i="8" s="1"/>
  <c r="K801" i="8"/>
  <c r="J801" i="8"/>
  <c r="I801" i="8"/>
  <c r="H801" i="8"/>
  <c r="K800" i="8"/>
  <c r="J800" i="8"/>
  <c r="I800" i="8"/>
  <c r="H800" i="8"/>
  <c r="K799" i="8"/>
  <c r="J799" i="8"/>
  <c r="I799" i="8"/>
  <c r="H799" i="8"/>
  <c r="K798" i="8"/>
  <c r="J798" i="8"/>
  <c r="I798" i="8"/>
  <c r="H798" i="8"/>
  <c r="K797" i="8"/>
  <c r="J797" i="8"/>
  <c r="I797" i="8"/>
  <c r="H797" i="8"/>
  <c r="K796" i="8"/>
  <c r="J796" i="8"/>
  <c r="I796" i="8"/>
  <c r="H796" i="8"/>
  <c r="K795" i="8"/>
  <c r="J795" i="8"/>
  <c r="I795" i="8"/>
  <c r="H795" i="8"/>
  <c r="K794" i="8"/>
  <c r="J794" i="8"/>
  <c r="I794" i="8"/>
  <c r="H794" i="8"/>
  <c r="K793" i="8"/>
  <c r="J793" i="8"/>
  <c r="I793" i="8"/>
  <c r="H793" i="8"/>
  <c r="K792" i="8"/>
  <c r="J792" i="8"/>
  <c r="I792" i="8"/>
  <c r="H792" i="8"/>
  <c r="K791" i="8"/>
  <c r="J791" i="8"/>
  <c r="I791" i="8"/>
  <c r="H791" i="8"/>
  <c r="K790" i="8"/>
  <c r="J790" i="8"/>
  <c r="I790" i="8"/>
  <c r="L790" i="8" s="1"/>
  <c r="H790" i="8"/>
  <c r="K789" i="8"/>
  <c r="J789" i="8"/>
  <c r="I789" i="8"/>
  <c r="H789" i="8"/>
  <c r="L789" i="8" s="1"/>
  <c r="K788" i="8"/>
  <c r="J788" i="8"/>
  <c r="I788" i="8"/>
  <c r="H788" i="8"/>
  <c r="K787" i="8"/>
  <c r="J787" i="8"/>
  <c r="I787" i="8"/>
  <c r="H787" i="8"/>
  <c r="K786" i="8"/>
  <c r="J786" i="8"/>
  <c r="I786" i="8"/>
  <c r="H786" i="8"/>
  <c r="K785" i="8"/>
  <c r="J785" i="8"/>
  <c r="I785" i="8"/>
  <c r="H785" i="8"/>
  <c r="K784" i="8"/>
  <c r="J784" i="8"/>
  <c r="I784" i="8"/>
  <c r="H784" i="8"/>
  <c r="K783" i="8"/>
  <c r="J783" i="8"/>
  <c r="I783" i="8"/>
  <c r="H783" i="8"/>
  <c r="K782" i="8"/>
  <c r="J782" i="8"/>
  <c r="I782" i="8"/>
  <c r="H782" i="8"/>
  <c r="K781" i="8"/>
  <c r="J781" i="8"/>
  <c r="I781" i="8"/>
  <c r="H781" i="8"/>
  <c r="K780" i="8"/>
  <c r="J780" i="8"/>
  <c r="I780" i="8"/>
  <c r="H780" i="8"/>
  <c r="K779" i="8"/>
  <c r="J779" i="8"/>
  <c r="I779" i="8"/>
  <c r="H779" i="8"/>
  <c r="K778" i="8"/>
  <c r="J778" i="8"/>
  <c r="I778" i="8"/>
  <c r="H778" i="8"/>
  <c r="K777" i="8"/>
  <c r="J777" i="8"/>
  <c r="I777" i="8"/>
  <c r="H777" i="8"/>
  <c r="K776" i="8"/>
  <c r="J776" i="8"/>
  <c r="I776" i="8"/>
  <c r="H776" i="8"/>
  <c r="K775" i="8"/>
  <c r="J775" i="8"/>
  <c r="I775" i="8"/>
  <c r="H775" i="8"/>
  <c r="K774" i="8"/>
  <c r="J774" i="8"/>
  <c r="I774" i="8"/>
  <c r="H774" i="8"/>
  <c r="L774" i="8" s="1"/>
  <c r="K773" i="8"/>
  <c r="J773" i="8"/>
  <c r="I773" i="8"/>
  <c r="H773" i="8"/>
  <c r="K772" i="8"/>
  <c r="J772" i="8"/>
  <c r="I772" i="8"/>
  <c r="H772" i="8"/>
  <c r="K771" i="8"/>
  <c r="J771" i="8"/>
  <c r="I771" i="8"/>
  <c r="H771" i="8"/>
  <c r="K770" i="8"/>
  <c r="J770" i="8"/>
  <c r="I770" i="8"/>
  <c r="H770" i="8"/>
  <c r="K769" i="8"/>
  <c r="J769" i="8"/>
  <c r="I769" i="8"/>
  <c r="H769" i="8"/>
  <c r="K768" i="8"/>
  <c r="J768" i="8"/>
  <c r="I768" i="8"/>
  <c r="H768" i="8"/>
  <c r="K767" i="8"/>
  <c r="J767" i="8"/>
  <c r="I767" i="8"/>
  <c r="H767" i="8"/>
  <c r="K766" i="8"/>
  <c r="J766" i="8"/>
  <c r="I766" i="8"/>
  <c r="H766" i="8"/>
  <c r="K765" i="8"/>
  <c r="J765" i="8"/>
  <c r="I765" i="8"/>
  <c r="H765" i="8"/>
  <c r="K764" i="8"/>
  <c r="J764" i="8"/>
  <c r="I764" i="8"/>
  <c r="H764" i="8"/>
  <c r="K763" i="8"/>
  <c r="J763" i="8"/>
  <c r="I763" i="8"/>
  <c r="H763" i="8"/>
  <c r="K762" i="8"/>
  <c r="J762" i="8"/>
  <c r="I762" i="8"/>
  <c r="H762" i="8"/>
  <c r="K761" i="8"/>
  <c r="J761" i="8"/>
  <c r="L761" i="8" s="1"/>
  <c r="I761" i="8"/>
  <c r="H761" i="8"/>
  <c r="K760" i="8"/>
  <c r="J760" i="8"/>
  <c r="I760" i="8"/>
  <c r="H760" i="8"/>
  <c r="K759" i="8"/>
  <c r="J759" i="8"/>
  <c r="I759" i="8"/>
  <c r="H759" i="8"/>
  <c r="K758" i="8"/>
  <c r="J758" i="8"/>
  <c r="I758" i="8"/>
  <c r="H758" i="8"/>
  <c r="K757" i="8"/>
  <c r="J757" i="8"/>
  <c r="I757" i="8"/>
  <c r="H757" i="8"/>
  <c r="L757" i="8" s="1"/>
  <c r="K756" i="8"/>
  <c r="J756" i="8"/>
  <c r="I756" i="8"/>
  <c r="H756" i="8"/>
  <c r="K755" i="8"/>
  <c r="J755" i="8"/>
  <c r="I755" i="8"/>
  <c r="H755" i="8"/>
  <c r="K754" i="8"/>
  <c r="J754" i="8"/>
  <c r="I754" i="8"/>
  <c r="H754" i="8"/>
  <c r="K753" i="8"/>
  <c r="J753" i="8"/>
  <c r="I753" i="8"/>
  <c r="H753" i="8"/>
  <c r="K752" i="8"/>
  <c r="J752" i="8"/>
  <c r="I752" i="8"/>
  <c r="H752" i="8"/>
  <c r="K751" i="8"/>
  <c r="J751" i="8"/>
  <c r="I751" i="8"/>
  <c r="H751" i="8"/>
  <c r="K750" i="8"/>
  <c r="J750" i="8"/>
  <c r="I750" i="8"/>
  <c r="H750" i="8"/>
  <c r="K749" i="8"/>
  <c r="J749" i="8"/>
  <c r="I749" i="8"/>
  <c r="H749" i="8"/>
  <c r="K748" i="8"/>
  <c r="J748" i="8"/>
  <c r="I748" i="8"/>
  <c r="H748" i="8"/>
  <c r="K747" i="8"/>
  <c r="J747" i="8"/>
  <c r="I747" i="8"/>
  <c r="H747" i="8"/>
  <c r="K746" i="8"/>
  <c r="J746" i="8"/>
  <c r="I746" i="8"/>
  <c r="H746" i="8"/>
  <c r="K745" i="8"/>
  <c r="J745" i="8"/>
  <c r="I745" i="8"/>
  <c r="H745" i="8"/>
  <c r="K744" i="8"/>
  <c r="J744" i="8"/>
  <c r="I744" i="8"/>
  <c r="H744" i="8"/>
  <c r="K743" i="8"/>
  <c r="J743" i="8"/>
  <c r="I743" i="8"/>
  <c r="H743" i="8"/>
  <c r="K742" i="8"/>
  <c r="J742" i="8"/>
  <c r="I742" i="8"/>
  <c r="H742" i="8"/>
  <c r="L742" i="8" s="1"/>
  <c r="K741" i="8"/>
  <c r="J741" i="8"/>
  <c r="I741" i="8"/>
  <c r="H741" i="8"/>
  <c r="L741" i="8" s="1"/>
  <c r="K740" i="8"/>
  <c r="J740" i="8"/>
  <c r="I740" i="8"/>
  <c r="H740" i="8"/>
  <c r="K739" i="8"/>
  <c r="J739" i="8"/>
  <c r="I739" i="8"/>
  <c r="H739" i="8"/>
  <c r="K738" i="8"/>
  <c r="J738" i="8"/>
  <c r="I738" i="8"/>
  <c r="L738" i="8" s="1"/>
  <c r="H738" i="8"/>
  <c r="K737" i="8"/>
  <c r="J737" i="8"/>
  <c r="I737" i="8"/>
  <c r="H737" i="8"/>
  <c r="K736" i="8"/>
  <c r="J736" i="8"/>
  <c r="I736" i="8"/>
  <c r="H736" i="8"/>
  <c r="K735" i="8"/>
  <c r="J735" i="8"/>
  <c r="I735" i="8"/>
  <c r="H735" i="8"/>
  <c r="K734" i="8"/>
  <c r="J734" i="8"/>
  <c r="I734" i="8"/>
  <c r="H734" i="8"/>
  <c r="K733" i="8"/>
  <c r="J733" i="8"/>
  <c r="I733" i="8"/>
  <c r="H733" i="8"/>
  <c r="K732" i="8"/>
  <c r="J732" i="8"/>
  <c r="I732" i="8"/>
  <c r="H732" i="8"/>
  <c r="K731" i="8"/>
  <c r="J731" i="8"/>
  <c r="I731" i="8"/>
  <c r="H731" i="8"/>
  <c r="K730" i="8"/>
  <c r="J730" i="8"/>
  <c r="I730" i="8"/>
  <c r="H730" i="8"/>
  <c r="K729" i="8"/>
  <c r="J729" i="8"/>
  <c r="I729" i="8"/>
  <c r="H729" i="8"/>
  <c r="K728" i="8"/>
  <c r="J728" i="8"/>
  <c r="I728" i="8"/>
  <c r="H728" i="8"/>
  <c r="K727" i="8"/>
  <c r="J727" i="8"/>
  <c r="I727" i="8"/>
  <c r="H727" i="8"/>
  <c r="K726" i="8"/>
  <c r="J726" i="8"/>
  <c r="I726" i="8"/>
  <c r="H726" i="8"/>
  <c r="L726" i="8" s="1"/>
  <c r="K725" i="8"/>
  <c r="J725" i="8"/>
  <c r="I725" i="8"/>
  <c r="H725" i="8"/>
  <c r="K724" i="8"/>
  <c r="J724" i="8"/>
  <c r="I724" i="8"/>
  <c r="H724" i="8"/>
  <c r="K723" i="8"/>
  <c r="J723" i="8"/>
  <c r="I723" i="8"/>
  <c r="H723" i="8"/>
  <c r="K722" i="8"/>
  <c r="J722" i="8"/>
  <c r="I722" i="8"/>
  <c r="H722" i="8"/>
  <c r="K721" i="8"/>
  <c r="J721" i="8"/>
  <c r="I721" i="8"/>
  <c r="H721" i="8"/>
  <c r="K720" i="8"/>
  <c r="J720" i="8"/>
  <c r="I720" i="8"/>
  <c r="H720" i="8"/>
  <c r="K719" i="8"/>
  <c r="J719" i="8"/>
  <c r="I719" i="8"/>
  <c r="H719" i="8"/>
  <c r="K718" i="8"/>
  <c r="J718" i="8"/>
  <c r="I718" i="8"/>
  <c r="H718" i="8"/>
  <c r="L718" i="8" s="1"/>
  <c r="K717" i="8"/>
  <c r="J717" i="8"/>
  <c r="I717" i="8"/>
  <c r="H717" i="8"/>
  <c r="L717" i="8" s="1"/>
  <c r="K716" i="8"/>
  <c r="J716" i="8"/>
  <c r="I716" i="8"/>
  <c r="H716" i="8"/>
  <c r="K715" i="8"/>
  <c r="J715" i="8"/>
  <c r="I715" i="8"/>
  <c r="H715" i="8"/>
  <c r="K714" i="8"/>
  <c r="J714" i="8"/>
  <c r="I714" i="8"/>
  <c r="H714" i="8"/>
  <c r="K713" i="8"/>
  <c r="J713" i="8"/>
  <c r="I713" i="8"/>
  <c r="H713" i="8"/>
  <c r="K712" i="8"/>
  <c r="J712" i="8"/>
  <c r="I712" i="8"/>
  <c r="H712" i="8"/>
  <c r="K711" i="8"/>
  <c r="J711" i="8"/>
  <c r="I711" i="8"/>
  <c r="H711" i="8"/>
  <c r="K710" i="8"/>
  <c r="J710" i="8"/>
  <c r="I710" i="8"/>
  <c r="H710" i="8"/>
  <c r="K709" i="8"/>
  <c r="J709" i="8"/>
  <c r="I709" i="8"/>
  <c r="H709" i="8"/>
  <c r="K708" i="8"/>
  <c r="J708" i="8"/>
  <c r="I708" i="8"/>
  <c r="H708" i="8"/>
  <c r="K707" i="8"/>
  <c r="J707" i="8"/>
  <c r="I707" i="8"/>
  <c r="M707" i="8" s="1"/>
  <c r="H707" i="8"/>
  <c r="K706" i="8"/>
  <c r="J706" i="8"/>
  <c r="I706" i="8"/>
  <c r="H706" i="8"/>
  <c r="K705" i="8"/>
  <c r="J705" i="8"/>
  <c r="I705" i="8"/>
  <c r="H705" i="8"/>
  <c r="K704" i="8"/>
  <c r="J704" i="8"/>
  <c r="I704" i="8"/>
  <c r="H704" i="8"/>
  <c r="K703" i="8"/>
  <c r="J703" i="8"/>
  <c r="I703" i="8"/>
  <c r="H703" i="8"/>
  <c r="K702" i="8"/>
  <c r="J702" i="8"/>
  <c r="L702" i="8" s="1"/>
  <c r="I702" i="8"/>
  <c r="H702" i="8"/>
  <c r="K701" i="8"/>
  <c r="J701" i="8"/>
  <c r="I701" i="8"/>
  <c r="L701" i="8" s="1"/>
  <c r="H701" i="8"/>
  <c r="K700" i="8"/>
  <c r="J700" i="8"/>
  <c r="I700" i="8"/>
  <c r="H700" i="8"/>
  <c r="K699" i="8"/>
  <c r="J699" i="8"/>
  <c r="I699" i="8"/>
  <c r="H699" i="8"/>
  <c r="K698" i="8"/>
  <c r="J698" i="8"/>
  <c r="I698" i="8"/>
  <c r="H698" i="8"/>
  <c r="K697" i="8"/>
  <c r="J697" i="8"/>
  <c r="I697" i="8"/>
  <c r="H697" i="8"/>
  <c r="K696" i="8"/>
  <c r="J696" i="8"/>
  <c r="I696" i="8"/>
  <c r="H696" i="8"/>
  <c r="K695" i="8"/>
  <c r="J695" i="8"/>
  <c r="I695" i="8"/>
  <c r="H695" i="8"/>
  <c r="K694" i="8"/>
  <c r="J694" i="8"/>
  <c r="I694" i="8"/>
  <c r="H694" i="8"/>
  <c r="K693" i="8"/>
  <c r="J693" i="8"/>
  <c r="I693" i="8"/>
  <c r="L693" i="8" s="1"/>
  <c r="H693" i="8"/>
  <c r="K692" i="8"/>
  <c r="J692" i="8"/>
  <c r="I692" i="8"/>
  <c r="H692" i="8"/>
  <c r="K691" i="8"/>
  <c r="J691" i="8"/>
  <c r="I691" i="8"/>
  <c r="H691" i="8"/>
  <c r="K690" i="8"/>
  <c r="J690" i="8"/>
  <c r="I690" i="8"/>
  <c r="H690" i="8"/>
  <c r="K689" i="8"/>
  <c r="J689" i="8"/>
  <c r="I689" i="8"/>
  <c r="H689" i="8"/>
  <c r="K688" i="8"/>
  <c r="J688" i="8"/>
  <c r="I688" i="8"/>
  <c r="H688" i="8"/>
  <c r="K687" i="8"/>
  <c r="J687" i="8"/>
  <c r="I687" i="8"/>
  <c r="H687" i="8"/>
  <c r="K686" i="8"/>
  <c r="J686" i="8"/>
  <c r="I686" i="8"/>
  <c r="H686" i="8"/>
  <c r="K685" i="8"/>
  <c r="J685" i="8"/>
  <c r="I685" i="8"/>
  <c r="H685" i="8"/>
  <c r="K684" i="8"/>
  <c r="J684" i="8"/>
  <c r="I684" i="8"/>
  <c r="H684" i="8"/>
  <c r="K683" i="8"/>
  <c r="J683" i="8"/>
  <c r="I683" i="8"/>
  <c r="H683" i="8"/>
  <c r="K682" i="8"/>
  <c r="J682" i="8"/>
  <c r="I682" i="8"/>
  <c r="H682" i="8"/>
  <c r="K681" i="8"/>
  <c r="J681" i="8"/>
  <c r="I681" i="8"/>
  <c r="H681" i="8"/>
  <c r="K680" i="8"/>
  <c r="J680" i="8"/>
  <c r="I680" i="8"/>
  <c r="H680" i="8"/>
  <c r="K679" i="8"/>
  <c r="J679" i="8"/>
  <c r="I679" i="8"/>
  <c r="H679" i="8"/>
  <c r="K678" i="8"/>
  <c r="J678" i="8"/>
  <c r="I678" i="8"/>
  <c r="H678" i="8"/>
  <c r="K677" i="8"/>
  <c r="J677" i="8"/>
  <c r="L677" i="8" s="1"/>
  <c r="I677" i="8"/>
  <c r="H677" i="8"/>
  <c r="K676" i="8"/>
  <c r="J676" i="8"/>
  <c r="I676" i="8"/>
  <c r="H676" i="8"/>
  <c r="K675" i="8"/>
  <c r="J675" i="8"/>
  <c r="I675" i="8"/>
  <c r="H675" i="8"/>
  <c r="K674" i="8"/>
  <c r="J674" i="8"/>
  <c r="I674" i="8"/>
  <c r="H674" i="8"/>
  <c r="K673" i="8"/>
  <c r="J673" i="8"/>
  <c r="I673" i="8"/>
  <c r="H673" i="8"/>
  <c r="K672" i="8"/>
  <c r="J672" i="8"/>
  <c r="I672" i="8"/>
  <c r="H672" i="8"/>
  <c r="K671" i="8"/>
  <c r="J671" i="8"/>
  <c r="I671" i="8"/>
  <c r="H671" i="8"/>
  <c r="M671" i="8" s="1"/>
  <c r="K670" i="8"/>
  <c r="J670" i="8"/>
  <c r="I670" i="8"/>
  <c r="H670" i="8"/>
  <c r="K669" i="8"/>
  <c r="J669" i="8"/>
  <c r="I669" i="8"/>
  <c r="H669" i="8"/>
  <c r="K668" i="8"/>
  <c r="J668" i="8"/>
  <c r="I668" i="8"/>
  <c r="H668" i="8"/>
  <c r="M668" i="8" s="1"/>
  <c r="K667" i="8"/>
  <c r="J667" i="8"/>
  <c r="I667" i="8"/>
  <c r="H667" i="8"/>
  <c r="K666" i="8"/>
  <c r="J666" i="8"/>
  <c r="I666" i="8"/>
  <c r="H666" i="8"/>
  <c r="K665" i="8"/>
  <c r="J665" i="8"/>
  <c r="I665" i="8"/>
  <c r="H665" i="8"/>
  <c r="K664" i="8"/>
  <c r="J664" i="8"/>
  <c r="I664" i="8"/>
  <c r="H664" i="8"/>
  <c r="K663" i="8"/>
  <c r="J663" i="8"/>
  <c r="I663" i="8"/>
  <c r="H663" i="8"/>
  <c r="K662" i="8"/>
  <c r="J662" i="8"/>
  <c r="I662" i="8"/>
  <c r="L662" i="8" s="1"/>
  <c r="H662" i="8"/>
  <c r="K661" i="8"/>
  <c r="J661" i="8"/>
  <c r="I661" i="8"/>
  <c r="H661" i="8"/>
  <c r="K660" i="8"/>
  <c r="J660" i="8"/>
  <c r="I660" i="8"/>
  <c r="H660" i="8"/>
  <c r="K659" i="8"/>
  <c r="J659" i="8"/>
  <c r="M659" i="8" s="1"/>
  <c r="I659" i="8"/>
  <c r="H659" i="8"/>
  <c r="K658" i="8"/>
  <c r="J658" i="8"/>
  <c r="I658" i="8"/>
  <c r="H658" i="8"/>
  <c r="K657" i="8"/>
  <c r="J657" i="8"/>
  <c r="I657" i="8"/>
  <c r="H657" i="8"/>
  <c r="K656" i="8"/>
  <c r="J656" i="8"/>
  <c r="I656" i="8"/>
  <c r="H656" i="8"/>
  <c r="K655" i="8"/>
  <c r="J655" i="8"/>
  <c r="I655" i="8"/>
  <c r="H655" i="8"/>
  <c r="K654" i="8"/>
  <c r="J654" i="8"/>
  <c r="I654" i="8"/>
  <c r="H654" i="8"/>
  <c r="K653" i="8"/>
  <c r="J653" i="8"/>
  <c r="I653" i="8"/>
  <c r="H653" i="8"/>
  <c r="K652" i="8"/>
  <c r="J652" i="8"/>
  <c r="I652" i="8"/>
  <c r="L652" i="8" s="1"/>
  <c r="H652" i="8"/>
  <c r="K651" i="8"/>
  <c r="J651" i="8"/>
  <c r="I651" i="8"/>
  <c r="H651" i="8"/>
  <c r="K650" i="8"/>
  <c r="J650" i="8"/>
  <c r="I650" i="8"/>
  <c r="H650" i="8"/>
  <c r="K649" i="8"/>
  <c r="J649" i="8"/>
  <c r="I649" i="8"/>
  <c r="H649" i="8"/>
  <c r="K648" i="8"/>
  <c r="J648" i="8"/>
  <c r="I648" i="8"/>
  <c r="H648" i="8"/>
  <c r="K647" i="8"/>
  <c r="J647" i="8"/>
  <c r="I647" i="8"/>
  <c r="H647" i="8"/>
  <c r="K646" i="8"/>
  <c r="J646" i="8"/>
  <c r="I646" i="8"/>
  <c r="H646" i="8"/>
  <c r="K645" i="8"/>
  <c r="J645" i="8"/>
  <c r="I645" i="8"/>
  <c r="H645" i="8"/>
  <c r="K644" i="8"/>
  <c r="J644" i="8"/>
  <c r="I644" i="8"/>
  <c r="H644" i="8"/>
  <c r="K643" i="8"/>
  <c r="J643" i="8"/>
  <c r="M643" i="8" s="1"/>
  <c r="I643" i="8"/>
  <c r="H643" i="8"/>
  <c r="K642" i="8"/>
  <c r="J642" i="8"/>
  <c r="I642" i="8"/>
  <c r="H642" i="8"/>
  <c r="K641" i="8"/>
  <c r="J641" i="8"/>
  <c r="I641" i="8"/>
  <c r="H641" i="8"/>
  <c r="K640" i="8"/>
  <c r="J640" i="8"/>
  <c r="I640" i="8"/>
  <c r="H640" i="8"/>
  <c r="K639" i="8"/>
  <c r="J639" i="8"/>
  <c r="I639" i="8"/>
  <c r="H639" i="8"/>
  <c r="K638" i="8"/>
  <c r="J638" i="8"/>
  <c r="I638" i="8"/>
  <c r="H638" i="8"/>
  <c r="K637" i="8"/>
  <c r="J637" i="8"/>
  <c r="I637" i="8"/>
  <c r="H637" i="8"/>
  <c r="K636" i="8"/>
  <c r="J636" i="8"/>
  <c r="I636" i="8"/>
  <c r="H636" i="8"/>
  <c r="K635" i="8"/>
  <c r="J635" i="8"/>
  <c r="I635" i="8"/>
  <c r="H635" i="8"/>
  <c r="K634" i="8"/>
  <c r="J634" i="8"/>
  <c r="I634" i="8"/>
  <c r="H634" i="8"/>
  <c r="L634" i="8" s="1"/>
  <c r="K633" i="8"/>
  <c r="J633" i="8"/>
  <c r="I633" i="8"/>
  <c r="H633" i="8"/>
  <c r="K632" i="8"/>
  <c r="J632" i="8"/>
  <c r="I632" i="8"/>
  <c r="H632" i="8"/>
  <c r="K631" i="8"/>
  <c r="J631" i="8"/>
  <c r="I631" i="8"/>
  <c r="H631" i="8"/>
  <c r="M631" i="8" s="1"/>
  <c r="K630" i="8"/>
  <c r="J630" i="8"/>
  <c r="I630" i="8"/>
  <c r="H630" i="8"/>
  <c r="K629" i="8"/>
  <c r="J629" i="8"/>
  <c r="I629" i="8"/>
  <c r="H629" i="8"/>
  <c r="K628" i="8"/>
  <c r="J628" i="8"/>
  <c r="I628" i="8"/>
  <c r="H628" i="8"/>
  <c r="K627" i="8"/>
  <c r="J627" i="8"/>
  <c r="I627" i="8"/>
  <c r="H627" i="8"/>
  <c r="K626" i="8"/>
  <c r="J626" i="8"/>
  <c r="I626" i="8"/>
  <c r="H626" i="8"/>
  <c r="K625" i="8"/>
  <c r="J625" i="8"/>
  <c r="I625" i="8"/>
  <c r="H625" i="8"/>
  <c r="M625" i="8" s="1"/>
  <c r="K624" i="8"/>
  <c r="J624" i="8"/>
  <c r="I624" i="8"/>
  <c r="H624" i="8"/>
  <c r="K623" i="8"/>
  <c r="J623" i="8"/>
  <c r="I623" i="8"/>
  <c r="H623" i="8"/>
  <c r="K622" i="8"/>
  <c r="J622" i="8"/>
  <c r="I622" i="8"/>
  <c r="H622" i="8"/>
  <c r="K621" i="8"/>
  <c r="J621" i="8"/>
  <c r="I621" i="8"/>
  <c r="H621" i="8"/>
  <c r="K620" i="8"/>
  <c r="J620" i="8"/>
  <c r="I620" i="8"/>
  <c r="H620" i="8"/>
  <c r="K619" i="8"/>
  <c r="J619" i="8"/>
  <c r="I619" i="8"/>
  <c r="H619" i="8"/>
  <c r="K618" i="8"/>
  <c r="J618" i="8"/>
  <c r="I618" i="8"/>
  <c r="H618" i="8"/>
  <c r="K617" i="8"/>
  <c r="J617" i="8"/>
  <c r="I617" i="8"/>
  <c r="H617" i="8"/>
  <c r="K616" i="8"/>
  <c r="J616" i="8"/>
  <c r="I616" i="8"/>
  <c r="H616" i="8"/>
  <c r="K615" i="8"/>
  <c r="J615" i="8"/>
  <c r="I615" i="8"/>
  <c r="H615" i="8"/>
  <c r="M615" i="8" s="1"/>
  <c r="K614" i="8"/>
  <c r="J614" i="8"/>
  <c r="I614" i="8"/>
  <c r="H614" i="8"/>
  <c r="K613" i="8"/>
  <c r="J613" i="8"/>
  <c r="I613" i="8"/>
  <c r="H613" i="8"/>
  <c r="K612" i="8"/>
  <c r="J612" i="8"/>
  <c r="I612" i="8"/>
  <c r="H612" i="8"/>
  <c r="K611" i="8"/>
  <c r="J611" i="8"/>
  <c r="I611" i="8"/>
  <c r="H611" i="8"/>
  <c r="K610" i="8"/>
  <c r="J610" i="8"/>
  <c r="I610" i="8"/>
  <c r="H610" i="8"/>
  <c r="K609" i="8"/>
  <c r="J609" i="8"/>
  <c r="I609" i="8"/>
  <c r="H609" i="8"/>
  <c r="K608" i="8"/>
  <c r="J608" i="8"/>
  <c r="I608" i="8"/>
  <c r="H608" i="8"/>
  <c r="K607" i="8"/>
  <c r="J607" i="8"/>
  <c r="I607" i="8"/>
  <c r="L607" i="8" s="1"/>
  <c r="H607" i="8"/>
  <c r="M607" i="8" s="1"/>
  <c r="K606" i="8"/>
  <c r="J606" i="8"/>
  <c r="I606" i="8"/>
  <c r="H606" i="8"/>
  <c r="K605" i="8"/>
  <c r="J605" i="8"/>
  <c r="I605" i="8"/>
  <c r="H605" i="8"/>
  <c r="K604" i="8"/>
  <c r="J604" i="8"/>
  <c r="I604" i="8"/>
  <c r="H604" i="8"/>
  <c r="K603" i="8"/>
  <c r="J603" i="8"/>
  <c r="I603" i="8"/>
  <c r="H603" i="8"/>
  <c r="L603" i="8" s="1"/>
  <c r="K602" i="8"/>
  <c r="L602" i="8" s="1"/>
  <c r="J602" i="8"/>
  <c r="I602" i="8"/>
  <c r="H602" i="8"/>
  <c r="K601" i="8"/>
  <c r="J601" i="8"/>
  <c r="I601" i="8"/>
  <c r="H601" i="8"/>
  <c r="K600" i="8"/>
  <c r="J600" i="8"/>
  <c r="I600" i="8"/>
  <c r="H600" i="8"/>
  <c r="K599" i="8"/>
  <c r="J599" i="8"/>
  <c r="I599" i="8"/>
  <c r="H599" i="8"/>
  <c r="K598" i="8"/>
  <c r="J598" i="8"/>
  <c r="I598" i="8"/>
  <c r="H598" i="8"/>
  <c r="K597" i="8"/>
  <c r="J597" i="8"/>
  <c r="I597" i="8"/>
  <c r="H597" i="8"/>
  <c r="K596" i="8"/>
  <c r="J596" i="8"/>
  <c r="I596" i="8"/>
  <c r="H596" i="8"/>
  <c r="K595" i="8"/>
  <c r="J595" i="8"/>
  <c r="I595" i="8"/>
  <c r="H595" i="8"/>
  <c r="K594" i="8"/>
  <c r="J594" i="8"/>
  <c r="I594" i="8"/>
  <c r="H594" i="8"/>
  <c r="K593" i="8"/>
  <c r="J593" i="8"/>
  <c r="I593" i="8"/>
  <c r="H593" i="8"/>
  <c r="K592" i="8"/>
  <c r="J592" i="8"/>
  <c r="I592" i="8"/>
  <c r="H592" i="8"/>
  <c r="K591" i="8"/>
  <c r="J591" i="8"/>
  <c r="I591" i="8"/>
  <c r="H591" i="8"/>
  <c r="K590" i="8"/>
  <c r="J590" i="8"/>
  <c r="I590" i="8"/>
  <c r="H590" i="8"/>
  <c r="K589" i="8"/>
  <c r="J589" i="8"/>
  <c r="I589" i="8"/>
  <c r="H589" i="8"/>
  <c r="K588" i="8"/>
  <c r="J588" i="8"/>
  <c r="I588" i="8"/>
  <c r="H588" i="8"/>
  <c r="K587" i="8"/>
  <c r="J587" i="8"/>
  <c r="I587" i="8"/>
  <c r="H587" i="8"/>
  <c r="K586" i="8"/>
  <c r="J586" i="8"/>
  <c r="I586" i="8"/>
  <c r="H586" i="8"/>
  <c r="K585" i="8"/>
  <c r="J585" i="8"/>
  <c r="I585" i="8"/>
  <c r="H585" i="8"/>
  <c r="K584" i="8"/>
  <c r="J584" i="8"/>
  <c r="I584" i="8"/>
  <c r="H584" i="8"/>
  <c r="K583" i="8"/>
  <c r="J583" i="8"/>
  <c r="I583" i="8"/>
  <c r="H583" i="8"/>
  <c r="K582" i="8"/>
  <c r="J582" i="8"/>
  <c r="I582" i="8"/>
  <c r="H582" i="8"/>
  <c r="K581" i="8"/>
  <c r="J581" i="8"/>
  <c r="I581" i="8"/>
  <c r="H581" i="8"/>
  <c r="K580" i="8"/>
  <c r="J580" i="8"/>
  <c r="I580" i="8"/>
  <c r="H580" i="8"/>
  <c r="K579" i="8"/>
  <c r="J579" i="8"/>
  <c r="I579" i="8"/>
  <c r="H579" i="8"/>
  <c r="K578" i="8"/>
  <c r="J578" i="8"/>
  <c r="I578" i="8"/>
  <c r="H578" i="8"/>
  <c r="K577" i="8"/>
  <c r="J577" i="8"/>
  <c r="I577" i="8"/>
  <c r="H577" i="8"/>
  <c r="K576" i="8"/>
  <c r="J576" i="8"/>
  <c r="I576" i="8"/>
  <c r="H576" i="8"/>
  <c r="K575" i="8"/>
  <c r="J575" i="8"/>
  <c r="I575" i="8"/>
  <c r="H575" i="8"/>
  <c r="L575" i="8" s="1"/>
  <c r="K574" i="8"/>
  <c r="J574" i="8"/>
  <c r="I574" i="8"/>
  <c r="H574" i="8"/>
  <c r="K573" i="8"/>
  <c r="J573" i="8"/>
  <c r="I573" i="8"/>
  <c r="H573" i="8"/>
  <c r="K572" i="8"/>
  <c r="J572" i="8"/>
  <c r="I572" i="8"/>
  <c r="H572" i="8"/>
  <c r="K571" i="8"/>
  <c r="J571" i="8"/>
  <c r="I571" i="8"/>
  <c r="H571" i="8"/>
  <c r="K570" i="8"/>
  <c r="L570" i="8" s="1"/>
  <c r="J570" i="8"/>
  <c r="I570" i="8"/>
  <c r="H570" i="8"/>
  <c r="K569" i="8"/>
  <c r="J569" i="8"/>
  <c r="I569" i="8"/>
  <c r="H569" i="8"/>
  <c r="K568" i="8"/>
  <c r="J568" i="8"/>
  <c r="I568" i="8"/>
  <c r="H568" i="8"/>
  <c r="K567" i="8"/>
  <c r="J567" i="8"/>
  <c r="I567" i="8"/>
  <c r="H567" i="8"/>
  <c r="M567" i="8" s="1"/>
  <c r="K566" i="8"/>
  <c r="J566" i="8"/>
  <c r="I566" i="8"/>
  <c r="H566" i="8"/>
  <c r="K565" i="8"/>
  <c r="J565" i="8"/>
  <c r="I565" i="8"/>
  <c r="H565" i="8"/>
  <c r="K564" i="8"/>
  <c r="J564" i="8"/>
  <c r="I564" i="8"/>
  <c r="H564" i="8"/>
  <c r="K563" i="8"/>
  <c r="J563" i="8"/>
  <c r="I563" i="8"/>
  <c r="L563" i="8" s="1"/>
  <c r="H563" i="8"/>
  <c r="K562" i="8"/>
  <c r="J562" i="8"/>
  <c r="I562" i="8"/>
  <c r="H562" i="8"/>
  <c r="K561" i="8"/>
  <c r="J561" i="8"/>
  <c r="I561" i="8"/>
  <c r="H561" i="8"/>
  <c r="K560" i="8"/>
  <c r="J560" i="8"/>
  <c r="I560" i="8"/>
  <c r="H560" i="8"/>
  <c r="K559" i="8"/>
  <c r="J559" i="8"/>
  <c r="I559" i="8"/>
  <c r="H559" i="8"/>
  <c r="K558" i="8"/>
  <c r="J558" i="8"/>
  <c r="I558" i="8"/>
  <c r="H558" i="8"/>
  <c r="L558" i="8" s="1"/>
  <c r="K557" i="8"/>
  <c r="J557" i="8"/>
  <c r="I557" i="8"/>
  <c r="H557" i="8"/>
  <c r="K556" i="8"/>
  <c r="J556" i="8"/>
  <c r="I556" i="8"/>
  <c r="H556" i="8"/>
  <c r="K555" i="8"/>
  <c r="J555" i="8"/>
  <c r="M555" i="8" s="1"/>
  <c r="I555" i="8"/>
  <c r="H555" i="8"/>
  <c r="K554" i="8"/>
  <c r="J554" i="8"/>
  <c r="I554" i="8"/>
  <c r="H554" i="8"/>
  <c r="K553" i="8"/>
  <c r="J553" i="8"/>
  <c r="I553" i="8"/>
  <c r="H553" i="8"/>
  <c r="K552" i="8"/>
  <c r="J552" i="8"/>
  <c r="I552" i="8"/>
  <c r="H552" i="8"/>
  <c r="L551" i="8"/>
  <c r="K551" i="8"/>
  <c r="M551" i="8" s="1"/>
  <c r="J551" i="8"/>
  <c r="I551" i="8"/>
  <c r="H551" i="8"/>
  <c r="K550" i="8"/>
  <c r="J550" i="8"/>
  <c r="I550" i="8"/>
  <c r="H550" i="8"/>
  <c r="K549" i="8"/>
  <c r="J549" i="8"/>
  <c r="I549" i="8"/>
  <c r="H549" i="8"/>
  <c r="K548" i="8"/>
  <c r="J548" i="8"/>
  <c r="I548" i="8"/>
  <c r="H548" i="8"/>
  <c r="K547" i="8"/>
  <c r="J547" i="8"/>
  <c r="I547" i="8"/>
  <c r="H547" i="8"/>
  <c r="K546" i="8"/>
  <c r="J546" i="8"/>
  <c r="I546" i="8"/>
  <c r="H546" i="8"/>
  <c r="K545" i="8"/>
  <c r="J545" i="8"/>
  <c r="I545" i="8"/>
  <c r="H545" i="8"/>
  <c r="K544" i="8"/>
  <c r="J544" i="8"/>
  <c r="I544" i="8"/>
  <c r="H544" i="8"/>
  <c r="K543" i="8"/>
  <c r="J543" i="8"/>
  <c r="I543" i="8"/>
  <c r="H543" i="8"/>
  <c r="K542" i="8"/>
  <c r="J542" i="8"/>
  <c r="I542" i="8"/>
  <c r="H542" i="8"/>
  <c r="K541" i="8"/>
  <c r="J541" i="8"/>
  <c r="I541" i="8"/>
  <c r="H541" i="8"/>
  <c r="K540" i="8"/>
  <c r="J540" i="8"/>
  <c r="I540" i="8"/>
  <c r="H540" i="8"/>
  <c r="K539" i="8"/>
  <c r="J539" i="8"/>
  <c r="I539" i="8"/>
  <c r="H539" i="8"/>
  <c r="K538" i="8"/>
  <c r="J538" i="8"/>
  <c r="I538" i="8"/>
  <c r="H538" i="8"/>
  <c r="K537" i="8"/>
  <c r="J537" i="8"/>
  <c r="I537" i="8"/>
  <c r="H537" i="8"/>
  <c r="K536" i="8"/>
  <c r="J536" i="8"/>
  <c r="I536" i="8"/>
  <c r="H536" i="8"/>
  <c r="K535" i="8"/>
  <c r="J535" i="8"/>
  <c r="I535" i="8"/>
  <c r="H535" i="8"/>
  <c r="M535" i="8" s="1"/>
  <c r="K534" i="8"/>
  <c r="J534" i="8"/>
  <c r="I534" i="8"/>
  <c r="H534" i="8"/>
  <c r="K533" i="8"/>
  <c r="J533" i="8"/>
  <c r="I533" i="8"/>
  <c r="H533" i="8"/>
  <c r="K532" i="8"/>
  <c r="J532" i="8"/>
  <c r="I532" i="8"/>
  <c r="H532" i="8"/>
  <c r="K531" i="8"/>
  <c r="J531" i="8"/>
  <c r="I531" i="8"/>
  <c r="H531" i="8"/>
  <c r="M531" i="8" s="1"/>
  <c r="K530" i="8"/>
  <c r="J530" i="8"/>
  <c r="I530" i="8"/>
  <c r="H530" i="8"/>
  <c r="K529" i="8"/>
  <c r="J529" i="8"/>
  <c r="I529" i="8"/>
  <c r="H529" i="8"/>
  <c r="K528" i="8"/>
  <c r="J528" i="8"/>
  <c r="I528" i="8"/>
  <c r="H528" i="8"/>
  <c r="K527" i="8"/>
  <c r="J527" i="8"/>
  <c r="I527" i="8"/>
  <c r="H527" i="8"/>
  <c r="M527" i="8" s="1"/>
  <c r="L526" i="8"/>
  <c r="K526" i="8"/>
  <c r="J526" i="8"/>
  <c r="I526" i="8"/>
  <c r="H526" i="8"/>
  <c r="K525" i="8"/>
  <c r="J525" i="8"/>
  <c r="I525" i="8"/>
  <c r="H525" i="8"/>
  <c r="K524" i="8"/>
  <c r="J524" i="8"/>
  <c r="I524" i="8"/>
  <c r="H524" i="8"/>
  <c r="K523" i="8"/>
  <c r="J523" i="8"/>
  <c r="I523" i="8"/>
  <c r="H523" i="8"/>
  <c r="M523" i="8" s="1"/>
  <c r="K522" i="8"/>
  <c r="J522" i="8"/>
  <c r="I522" i="8"/>
  <c r="H522" i="8"/>
  <c r="K521" i="8"/>
  <c r="J521" i="8"/>
  <c r="I521" i="8"/>
  <c r="H521" i="8"/>
  <c r="K520" i="8"/>
  <c r="J520" i="8"/>
  <c r="I520" i="8"/>
  <c r="H520" i="8"/>
  <c r="K519" i="8"/>
  <c r="J519" i="8"/>
  <c r="I519" i="8"/>
  <c r="H519" i="8"/>
  <c r="M519" i="8" s="1"/>
  <c r="K518" i="8"/>
  <c r="J518" i="8"/>
  <c r="I518" i="8"/>
  <c r="H518" i="8"/>
  <c r="L518" i="8" s="1"/>
  <c r="K517" i="8"/>
  <c r="J517" i="8"/>
  <c r="I517" i="8"/>
  <c r="H517" i="8"/>
  <c r="K516" i="8"/>
  <c r="J516" i="8"/>
  <c r="I516" i="8"/>
  <c r="H516" i="8"/>
  <c r="K515" i="8"/>
  <c r="J515" i="8"/>
  <c r="I515" i="8"/>
  <c r="M515" i="8" s="1"/>
  <c r="H515" i="8"/>
  <c r="K514" i="8"/>
  <c r="J514" i="8"/>
  <c r="I514" i="8"/>
  <c r="H514" i="8"/>
  <c r="M514" i="8" s="1"/>
  <c r="K513" i="8"/>
  <c r="J513" i="8"/>
  <c r="I513" i="8"/>
  <c r="H513" i="8"/>
  <c r="K512" i="8"/>
  <c r="J512" i="8"/>
  <c r="I512" i="8"/>
  <c r="H512" i="8"/>
  <c r="K511" i="8"/>
  <c r="J511" i="8"/>
  <c r="I511" i="8"/>
  <c r="H511" i="8"/>
  <c r="K510" i="8"/>
  <c r="J510" i="8"/>
  <c r="I510" i="8"/>
  <c r="H510" i="8"/>
  <c r="K509" i="8"/>
  <c r="J509" i="8"/>
  <c r="I509" i="8"/>
  <c r="H509" i="8"/>
  <c r="K508" i="8"/>
  <c r="J508" i="8"/>
  <c r="I508" i="8"/>
  <c r="H508" i="8"/>
  <c r="K507" i="8"/>
  <c r="J507" i="8"/>
  <c r="I507" i="8"/>
  <c r="H507" i="8"/>
  <c r="K506" i="8"/>
  <c r="J506" i="8"/>
  <c r="I506" i="8"/>
  <c r="H506" i="8"/>
  <c r="K505" i="8"/>
  <c r="J505" i="8"/>
  <c r="I505" i="8"/>
  <c r="H505" i="8"/>
  <c r="K504" i="8"/>
  <c r="J504" i="8"/>
  <c r="I504" i="8"/>
  <c r="H504" i="8"/>
  <c r="K503" i="8"/>
  <c r="J503" i="8"/>
  <c r="I503" i="8"/>
  <c r="H503" i="8"/>
  <c r="K502" i="8"/>
  <c r="J502" i="8"/>
  <c r="I502" i="8"/>
  <c r="L502" i="8" s="1"/>
  <c r="H502" i="8"/>
  <c r="K501" i="8"/>
  <c r="J501" i="8"/>
  <c r="I501" i="8"/>
  <c r="H501" i="8"/>
  <c r="K500" i="8"/>
  <c r="J500" i="8"/>
  <c r="I500" i="8"/>
  <c r="H500" i="8"/>
  <c r="L499" i="8"/>
  <c r="K499" i="8"/>
  <c r="J499" i="8"/>
  <c r="I499" i="8"/>
  <c r="H499" i="8"/>
  <c r="M499" i="8" s="1"/>
  <c r="K498" i="8"/>
  <c r="J498" i="8"/>
  <c r="I498" i="8"/>
  <c r="L498" i="8" s="1"/>
  <c r="H498" i="8"/>
  <c r="K497" i="8"/>
  <c r="J497" i="8"/>
  <c r="I497" i="8"/>
  <c r="H497" i="8"/>
  <c r="K496" i="8"/>
  <c r="J496" i="8"/>
  <c r="I496" i="8"/>
  <c r="H496" i="8"/>
  <c r="K495" i="8"/>
  <c r="J495" i="8"/>
  <c r="I495" i="8"/>
  <c r="H495" i="8"/>
  <c r="M495" i="8" s="1"/>
  <c r="K494" i="8"/>
  <c r="J494" i="8"/>
  <c r="I494" i="8"/>
  <c r="H494" i="8"/>
  <c r="L494" i="8" s="1"/>
  <c r="K493" i="8"/>
  <c r="J493" i="8"/>
  <c r="I493" i="8"/>
  <c r="H493" i="8"/>
  <c r="K492" i="8"/>
  <c r="J492" i="8"/>
  <c r="I492" i="8"/>
  <c r="H492" i="8"/>
  <c r="K491" i="8"/>
  <c r="J491" i="8"/>
  <c r="I491" i="8"/>
  <c r="H491" i="8"/>
  <c r="K490" i="8"/>
  <c r="J490" i="8"/>
  <c r="I490" i="8"/>
  <c r="H490" i="8"/>
  <c r="K489" i="8"/>
  <c r="J489" i="8"/>
  <c r="I489" i="8"/>
  <c r="H489" i="8"/>
  <c r="K488" i="8"/>
  <c r="J488" i="8"/>
  <c r="I488" i="8"/>
  <c r="H488" i="8"/>
  <c r="K487" i="8"/>
  <c r="J487" i="8"/>
  <c r="I487" i="8"/>
  <c r="L487" i="8" s="1"/>
  <c r="H487" i="8"/>
  <c r="K486" i="8"/>
  <c r="J486" i="8"/>
  <c r="I486" i="8"/>
  <c r="L486" i="8" s="1"/>
  <c r="H486" i="8"/>
  <c r="K485" i="8"/>
  <c r="J485" i="8"/>
  <c r="I485" i="8"/>
  <c r="H485" i="8"/>
  <c r="K484" i="8"/>
  <c r="J484" i="8"/>
  <c r="I484" i="8"/>
  <c r="H484" i="8"/>
  <c r="K483" i="8"/>
  <c r="J483" i="8"/>
  <c r="I483" i="8"/>
  <c r="H483" i="8"/>
  <c r="K482" i="8"/>
  <c r="J482" i="8"/>
  <c r="I482" i="8"/>
  <c r="H482" i="8"/>
  <c r="K481" i="8"/>
  <c r="J481" i="8"/>
  <c r="I481" i="8"/>
  <c r="H481" i="8"/>
  <c r="K480" i="8"/>
  <c r="J480" i="8"/>
  <c r="I480" i="8"/>
  <c r="H480" i="8"/>
  <c r="K479" i="8"/>
  <c r="J479" i="8"/>
  <c r="I479" i="8"/>
  <c r="H479" i="8"/>
  <c r="K478" i="8"/>
  <c r="J478" i="8"/>
  <c r="I478" i="8"/>
  <c r="H478" i="8"/>
  <c r="K477" i="8"/>
  <c r="J477" i="8"/>
  <c r="I477" i="8"/>
  <c r="H477" i="8"/>
  <c r="K476" i="8"/>
  <c r="J476" i="8"/>
  <c r="I476" i="8"/>
  <c r="H476" i="8"/>
  <c r="K475" i="8"/>
  <c r="L475" i="8" s="1"/>
  <c r="J475" i="8"/>
  <c r="I475" i="8"/>
  <c r="H475" i="8"/>
  <c r="K474" i="8"/>
  <c r="J474" i="8"/>
  <c r="L474" i="8" s="1"/>
  <c r="I474" i="8"/>
  <c r="H474" i="8"/>
  <c r="K473" i="8"/>
  <c r="J473" i="8"/>
  <c r="I473" i="8"/>
  <c r="H473" i="8"/>
  <c r="K472" i="8"/>
  <c r="J472" i="8"/>
  <c r="I472" i="8"/>
  <c r="H472" i="8"/>
  <c r="L471" i="8"/>
  <c r="K471" i="8"/>
  <c r="J471" i="8"/>
  <c r="I471" i="8"/>
  <c r="H471" i="8"/>
  <c r="K470" i="8"/>
  <c r="J470" i="8"/>
  <c r="I470" i="8"/>
  <c r="H470" i="8"/>
  <c r="K469" i="8"/>
  <c r="J469" i="8"/>
  <c r="I469" i="8"/>
  <c r="H469" i="8"/>
  <c r="K468" i="8"/>
  <c r="J468" i="8"/>
  <c r="I468" i="8"/>
  <c r="H468" i="8"/>
  <c r="K467" i="8"/>
  <c r="J467" i="8"/>
  <c r="I467" i="8"/>
  <c r="H467" i="8"/>
  <c r="K466" i="8"/>
  <c r="J466" i="8"/>
  <c r="I466" i="8"/>
  <c r="L466" i="8" s="1"/>
  <c r="H466" i="8"/>
  <c r="K465" i="8"/>
  <c r="J465" i="8"/>
  <c r="I465" i="8"/>
  <c r="H465" i="8"/>
  <c r="K464" i="8"/>
  <c r="J464" i="8"/>
  <c r="I464" i="8"/>
  <c r="H464" i="8"/>
  <c r="K463" i="8"/>
  <c r="J463" i="8"/>
  <c r="I463" i="8"/>
  <c r="H463" i="8"/>
  <c r="M463" i="8" s="1"/>
  <c r="K462" i="8"/>
  <c r="J462" i="8"/>
  <c r="I462" i="8"/>
  <c r="L462" i="8" s="1"/>
  <c r="H462" i="8"/>
  <c r="K461" i="8"/>
  <c r="J461" i="8"/>
  <c r="I461" i="8"/>
  <c r="H461" i="8"/>
  <c r="L461" i="8" s="1"/>
  <c r="K460" i="8"/>
  <c r="J460" i="8"/>
  <c r="I460" i="8"/>
  <c r="H460" i="8"/>
  <c r="K459" i="8"/>
  <c r="J459" i="8"/>
  <c r="I459" i="8"/>
  <c r="H459" i="8"/>
  <c r="K458" i="8"/>
  <c r="J458" i="8"/>
  <c r="I458" i="8"/>
  <c r="H458" i="8"/>
  <c r="K457" i="8"/>
  <c r="J457" i="8"/>
  <c r="I457" i="8"/>
  <c r="H457" i="8"/>
  <c r="L457" i="8" s="1"/>
  <c r="K456" i="8"/>
  <c r="J456" i="8"/>
  <c r="I456" i="8"/>
  <c r="H456" i="8"/>
  <c r="K455" i="8"/>
  <c r="J455" i="8"/>
  <c r="I455" i="8"/>
  <c r="H455" i="8"/>
  <c r="K454" i="8"/>
  <c r="J454" i="8"/>
  <c r="I454" i="8"/>
  <c r="H454" i="8"/>
  <c r="K453" i="8"/>
  <c r="J453" i="8"/>
  <c r="I453" i="8"/>
  <c r="H453" i="8"/>
  <c r="K452" i="8"/>
  <c r="J452" i="8"/>
  <c r="I452" i="8"/>
  <c r="H452" i="8"/>
  <c r="K451" i="8"/>
  <c r="J451" i="8"/>
  <c r="I451" i="8"/>
  <c r="H451" i="8"/>
  <c r="K450" i="8"/>
  <c r="J450" i="8"/>
  <c r="I450" i="8"/>
  <c r="H450" i="8"/>
  <c r="K449" i="8"/>
  <c r="J449" i="8"/>
  <c r="I449" i="8"/>
  <c r="H449" i="8"/>
  <c r="K448" i="8"/>
  <c r="J448" i="8"/>
  <c r="I448" i="8"/>
  <c r="H448" i="8"/>
  <c r="K447" i="8"/>
  <c r="J447" i="8"/>
  <c r="I447" i="8"/>
  <c r="H447" i="8"/>
  <c r="K446" i="8"/>
  <c r="J446" i="8"/>
  <c r="I446" i="8"/>
  <c r="H446" i="8"/>
  <c r="K445" i="8"/>
  <c r="J445" i="8"/>
  <c r="I445" i="8"/>
  <c r="H445" i="8"/>
  <c r="K444" i="8"/>
  <c r="M444" i="8" s="1"/>
  <c r="J444" i="8"/>
  <c r="I444" i="8"/>
  <c r="H444" i="8"/>
  <c r="K443" i="8"/>
  <c r="J443" i="8"/>
  <c r="I443" i="8"/>
  <c r="H443" i="8"/>
  <c r="K442" i="8"/>
  <c r="J442" i="8"/>
  <c r="I442" i="8"/>
  <c r="H442" i="8"/>
  <c r="K441" i="8"/>
  <c r="J441" i="8"/>
  <c r="I441" i="8"/>
  <c r="H441" i="8"/>
  <c r="L441" i="8" s="1"/>
  <c r="K440" i="8"/>
  <c r="M440" i="8" s="1"/>
  <c r="J440" i="8"/>
  <c r="I440" i="8"/>
  <c r="H440" i="8"/>
  <c r="K439" i="8"/>
  <c r="J439" i="8"/>
  <c r="I439" i="8"/>
  <c r="H439" i="8"/>
  <c r="K438" i="8"/>
  <c r="J438" i="8"/>
  <c r="I438" i="8"/>
  <c r="H438" i="8"/>
  <c r="K437" i="8"/>
  <c r="J437" i="8"/>
  <c r="I437" i="8"/>
  <c r="L437" i="8" s="1"/>
  <c r="H437" i="8"/>
  <c r="K436" i="8"/>
  <c r="J436" i="8"/>
  <c r="I436" i="8"/>
  <c r="H436" i="8"/>
  <c r="M436" i="8" s="1"/>
  <c r="K435" i="8"/>
  <c r="J435" i="8"/>
  <c r="I435" i="8"/>
  <c r="H435" i="8"/>
  <c r="K434" i="8"/>
  <c r="J434" i="8"/>
  <c r="I434" i="8"/>
  <c r="H434" i="8"/>
  <c r="K433" i="8"/>
  <c r="J433" i="8"/>
  <c r="I433" i="8"/>
  <c r="H433" i="8"/>
  <c r="K432" i="8"/>
  <c r="J432" i="8"/>
  <c r="I432" i="8"/>
  <c r="H432" i="8"/>
  <c r="K431" i="8"/>
  <c r="J431" i="8"/>
  <c r="I431" i="8"/>
  <c r="H431" i="8"/>
  <c r="K430" i="8"/>
  <c r="J430" i="8"/>
  <c r="I430" i="8"/>
  <c r="H430" i="8"/>
  <c r="K429" i="8"/>
  <c r="J429" i="8"/>
  <c r="I429" i="8"/>
  <c r="H429" i="8"/>
  <c r="K428" i="8"/>
  <c r="J428" i="8"/>
  <c r="I428" i="8"/>
  <c r="H428" i="8"/>
  <c r="K427" i="8"/>
  <c r="J427" i="8"/>
  <c r="I427" i="8"/>
  <c r="H427" i="8"/>
  <c r="K426" i="8"/>
  <c r="J426" i="8"/>
  <c r="I426" i="8"/>
  <c r="H426" i="8"/>
  <c r="L426" i="8" s="1"/>
  <c r="K425" i="8"/>
  <c r="J425" i="8"/>
  <c r="I425" i="8"/>
  <c r="H425" i="8"/>
  <c r="K424" i="8"/>
  <c r="J424" i="8"/>
  <c r="I424" i="8"/>
  <c r="H424" i="8"/>
  <c r="K423" i="8"/>
  <c r="J423" i="8"/>
  <c r="I423" i="8"/>
  <c r="H423" i="8"/>
  <c r="K422" i="8"/>
  <c r="J422" i="8"/>
  <c r="I422" i="8"/>
  <c r="H422" i="8"/>
  <c r="K421" i="8"/>
  <c r="J421" i="8"/>
  <c r="I421" i="8"/>
  <c r="H421" i="8"/>
  <c r="K420" i="8"/>
  <c r="J420" i="8"/>
  <c r="I420" i="8"/>
  <c r="H420" i="8"/>
  <c r="L420" i="8" s="1"/>
  <c r="K419" i="8"/>
  <c r="J419" i="8"/>
  <c r="I419" i="8"/>
  <c r="H419" i="8"/>
  <c r="K418" i="8"/>
  <c r="J418" i="8"/>
  <c r="I418" i="8"/>
  <c r="H418" i="8"/>
  <c r="K417" i="8"/>
  <c r="J417" i="8"/>
  <c r="I417" i="8"/>
  <c r="H417" i="8"/>
  <c r="K416" i="8"/>
  <c r="J416" i="8"/>
  <c r="I416" i="8"/>
  <c r="H416" i="8"/>
  <c r="M416" i="8" s="1"/>
  <c r="K415" i="8"/>
  <c r="J415" i="8"/>
  <c r="I415" i="8"/>
  <c r="H415" i="8"/>
  <c r="K414" i="8"/>
  <c r="J414" i="8"/>
  <c r="I414" i="8"/>
  <c r="H414" i="8"/>
  <c r="K413" i="8"/>
  <c r="J413" i="8"/>
  <c r="I413" i="8"/>
  <c r="H413" i="8"/>
  <c r="K412" i="8"/>
  <c r="J412" i="8"/>
  <c r="I412" i="8"/>
  <c r="H412" i="8"/>
  <c r="L412" i="8" s="1"/>
  <c r="K411" i="8"/>
  <c r="J411" i="8"/>
  <c r="I411" i="8"/>
  <c r="M411" i="8" s="1"/>
  <c r="H411" i="8"/>
  <c r="K410" i="8"/>
  <c r="J410" i="8"/>
  <c r="I410" i="8"/>
  <c r="H410" i="8"/>
  <c r="K409" i="8"/>
  <c r="J409" i="8"/>
  <c r="I409" i="8"/>
  <c r="H409" i="8"/>
  <c r="K408" i="8"/>
  <c r="J408" i="8"/>
  <c r="I408" i="8"/>
  <c r="H408" i="8"/>
  <c r="M408" i="8" s="1"/>
  <c r="K407" i="8"/>
  <c r="J407" i="8"/>
  <c r="I407" i="8"/>
  <c r="H407" i="8"/>
  <c r="K406" i="8"/>
  <c r="J406" i="8"/>
  <c r="I406" i="8"/>
  <c r="H406" i="8"/>
  <c r="K405" i="8"/>
  <c r="J405" i="8"/>
  <c r="I405" i="8"/>
  <c r="H405" i="8"/>
  <c r="K404" i="8"/>
  <c r="J404" i="8"/>
  <c r="I404" i="8"/>
  <c r="H404" i="8"/>
  <c r="K403" i="8"/>
  <c r="J403" i="8"/>
  <c r="I403" i="8"/>
  <c r="H403" i="8"/>
  <c r="K402" i="8"/>
  <c r="J402" i="8"/>
  <c r="I402" i="8"/>
  <c r="H402" i="8"/>
  <c r="K401" i="8"/>
  <c r="J401" i="8"/>
  <c r="I401" i="8"/>
  <c r="H401" i="8"/>
  <c r="K400" i="8"/>
  <c r="J400" i="8"/>
  <c r="I400" i="8"/>
  <c r="H400" i="8"/>
  <c r="L400" i="8" s="1"/>
  <c r="K399" i="8"/>
  <c r="J399" i="8"/>
  <c r="I399" i="8"/>
  <c r="H399" i="8"/>
  <c r="K398" i="8"/>
  <c r="J398" i="8"/>
  <c r="I398" i="8"/>
  <c r="H398" i="8"/>
  <c r="K397" i="8"/>
  <c r="J397" i="8"/>
  <c r="I397" i="8"/>
  <c r="H397" i="8"/>
  <c r="K396" i="8"/>
  <c r="J396" i="8"/>
  <c r="I396" i="8"/>
  <c r="H396" i="8"/>
  <c r="M395" i="8"/>
  <c r="K395" i="8"/>
  <c r="J395" i="8"/>
  <c r="I395" i="8"/>
  <c r="H395" i="8"/>
  <c r="K394" i="8"/>
  <c r="J394" i="8"/>
  <c r="I394" i="8"/>
  <c r="H394" i="8"/>
  <c r="K393" i="8"/>
  <c r="J393" i="8"/>
  <c r="I393" i="8"/>
  <c r="H393" i="8"/>
  <c r="K392" i="8"/>
  <c r="J392" i="8"/>
  <c r="I392" i="8"/>
  <c r="H392" i="8"/>
  <c r="K391" i="8"/>
  <c r="J391" i="8"/>
  <c r="I391" i="8"/>
  <c r="H391" i="8"/>
  <c r="K390" i="8"/>
  <c r="J390" i="8"/>
  <c r="I390" i="8"/>
  <c r="H390" i="8"/>
  <c r="K389" i="8"/>
  <c r="J389" i="8"/>
  <c r="I389" i="8"/>
  <c r="H389" i="8"/>
  <c r="K388" i="8"/>
  <c r="J388" i="8"/>
  <c r="I388" i="8"/>
  <c r="H388" i="8"/>
  <c r="L388" i="8" s="1"/>
  <c r="K387" i="8"/>
  <c r="M387" i="8" s="1"/>
  <c r="J387" i="8"/>
  <c r="I387" i="8"/>
  <c r="H387" i="8"/>
  <c r="K386" i="8"/>
  <c r="J386" i="8"/>
  <c r="I386" i="8"/>
  <c r="H386" i="8"/>
  <c r="K385" i="8"/>
  <c r="J385" i="8"/>
  <c r="I385" i="8"/>
  <c r="H385" i="8"/>
  <c r="K384" i="8"/>
  <c r="J384" i="8"/>
  <c r="I384" i="8"/>
  <c r="H384" i="8"/>
  <c r="M384" i="8" s="1"/>
  <c r="K383" i="8"/>
  <c r="J383" i="8"/>
  <c r="I383" i="8"/>
  <c r="H383" i="8"/>
  <c r="K382" i="8"/>
  <c r="J382" i="8"/>
  <c r="I382" i="8"/>
  <c r="H382" i="8"/>
  <c r="K381" i="8"/>
  <c r="J381" i="8"/>
  <c r="I381" i="8"/>
  <c r="H381" i="8"/>
  <c r="K380" i="8"/>
  <c r="J380" i="8"/>
  <c r="I380" i="8"/>
  <c r="H380" i="8"/>
  <c r="L380" i="8" s="1"/>
  <c r="K379" i="8"/>
  <c r="J379" i="8"/>
  <c r="I379" i="8"/>
  <c r="H379" i="8"/>
  <c r="K378" i="8"/>
  <c r="J378" i="8"/>
  <c r="I378" i="8"/>
  <c r="H378" i="8"/>
  <c r="K377" i="8"/>
  <c r="J377" i="8"/>
  <c r="I377" i="8"/>
  <c r="H377" i="8"/>
  <c r="K376" i="8"/>
  <c r="J376" i="8"/>
  <c r="I376" i="8"/>
  <c r="L376" i="8" s="1"/>
  <c r="H376" i="8"/>
  <c r="K375" i="8"/>
  <c r="J375" i="8"/>
  <c r="I375" i="8"/>
  <c r="H375" i="8"/>
  <c r="K374" i="8"/>
  <c r="J374" i="8"/>
  <c r="I374" i="8"/>
  <c r="H374" i="8"/>
  <c r="K373" i="8"/>
  <c r="J373" i="8"/>
  <c r="I373" i="8"/>
  <c r="H373" i="8"/>
  <c r="K372" i="8"/>
  <c r="J372" i="8"/>
  <c r="I372" i="8"/>
  <c r="H372" i="8"/>
  <c r="K371" i="8"/>
  <c r="J371" i="8"/>
  <c r="I371" i="8"/>
  <c r="H371" i="8"/>
  <c r="M371" i="8" s="1"/>
  <c r="K370" i="8"/>
  <c r="J370" i="8"/>
  <c r="I370" i="8"/>
  <c r="H370" i="8"/>
  <c r="K369" i="8"/>
  <c r="J369" i="8"/>
  <c r="I369" i="8"/>
  <c r="H369" i="8"/>
  <c r="L368" i="8"/>
  <c r="K368" i="8"/>
  <c r="J368" i="8"/>
  <c r="I368" i="8"/>
  <c r="H368" i="8"/>
  <c r="K367" i="8"/>
  <c r="J367" i="8"/>
  <c r="I367" i="8"/>
  <c r="H367" i="8"/>
  <c r="M367" i="8" s="1"/>
  <c r="K366" i="8"/>
  <c r="J366" i="8"/>
  <c r="I366" i="8"/>
  <c r="H366" i="8"/>
  <c r="K365" i="8"/>
  <c r="J365" i="8"/>
  <c r="I365" i="8"/>
  <c r="H365" i="8"/>
  <c r="K364" i="8"/>
  <c r="J364" i="8"/>
  <c r="I364" i="8"/>
  <c r="H364" i="8"/>
  <c r="K363" i="8"/>
  <c r="J363" i="8"/>
  <c r="I363" i="8"/>
  <c r="M363" i="8" s="1"/>
  <c r="H363" i="8"/>
  <c r="K362" i="8"/>
  <c r="J362" i="8"/>
  <c r="I362" i="8"/>
  <c r="H362" i="8"/>
  <c r="K361" i="8"/>
  <c r="J361" i="8"/>
  <c r="I361" i="8"/>
  <c r="H361" i="8"/>
  <c r="K360" i="8"/>
  <c r="J360" i="8"/>
  <c r="I360" i="8"/>
  <c r="H360" i="8"/>
  <c r="L360" i="8" s="1"/>
  <c r="K359" i="8"/>
  <c r="J359" i="8"/>
  <c r="I359" i="8"/>
  <c r="H359" i="8"/>
  <c r="K358" i="8"/>
  <c r="J358" i="8"/>
  <c r="I358" i="8"/>
  <c r="H358" i="8"/>
  <c r="K357" i="8"/>
  <c r="J357" i="8"/>
  <c r="I357" i="8"/>
  <c r="H357" i="8"/>
  <c r="K356" i="8"/>
  <c r="J356" i="8"/>
  <c r="I356" i="8"/>
  <c r="H356" i="8"/>
  <c r="L356" i="8" s="1"/>
  <c r="K355" i="8"/>
  <c r="J355" i="8"/>
  <c r="I355" i="8"/>
  <c r="M355" i="8" s="1"/>
  <c r="H355" i="8"/>
  <c r="K354" i="8"/>
  <c r="J354" i="8"/>
  <c r="I354" i="8"/>
  <c r="H354" i="8"/>
  <c r="K353" i="8"/>
  <c r="J353" i="8"/>
  <c r="I353" i="8"/>
  <c r="H353" i="8"/>
  <c r="K352" i="8"/>
  <c r="J352" i="8"/>
  <c r="I352" i="8"/>
  <c r="H352" i="8"/>
  <c r="M352" i="8" s="1"/>
  <c r="K351" i="8"/>
  <c r="J351" i="8"/>
  <c r="I351" i="8"/>
  <c r="L351" i="8" s="1"/>
  <c r="H351" i="8"/>
  <c r="K350" i="8"/>
  <c r="J350" i="8"/>
  <c r="I350" i="8"/>
  <c r="H350" i="8"/>
  <c r="K349" i="8"/>
  <c r="J349" i="8"/>
  <c r="I349" i="8"/>
  <c r="H349" i="8"/>
  <c r="K348" i="8"/>
  <c r="J348" i="8"/>
  <c r="I348" i="8"/>
  <c r="H348" i="8"/>
  <c r="K347" i="8"/>
  <c r="J347" i="8"/>
  <c r="I347" i="8"/>
  <c r="H347" i="8"/>
  <c r="K346" i="8"/>
  <c r="J346" i="8"/>
  <c r="I346" i="8"/>
  <c r="H346" i="8"/>
  <c r="K345" i="8"/>
  <c r="J345" i="8"/>
  <c r="I345" i="8"/>
  <c r="H345" i="8"/>
  <c r="K344" i="8"/>
  <c r="J344" i="8"/>
  <c r="I344" i="8"/>
  <c r="H344" i="8"/>
  <c r="L344" i="8" s="1"/>
  <c r="L343" i="8"/>
  <c r="K343" i="8"/>
  <c r="J343" i="8"/>
  <c r="I343" i="8"/>
  <c r="H343" i="8"/>
  <c r="K342" i="8"/>
  <c r="J342" i="8"/>
  <c r="I342" i="8"/>
  <c r="H342" i="8"/>
  <c r="M342" i="8" s="1"/>
  <c r="K341" i="8"/>
  <c r="J341" i="8"/>
  <c r="I341" i="8"/>
  <c r="H341" i="8"/>
  <c r="K340" i="8"/>
  <c r="J340" i="8"/>
  <c r="I340" i="8"/>
  <c r="H340" i="8"/>
  <c r="L340" i="8" s="1"/>
  <c r="K339" i="8"/>
  <c r="J339" i="8"/>
  <c r="I339" i="8"/>
  <c r="H339" i="8"/>
  <c r="M339" i="8" s="1"/>
  <c r="K338" i="8"/>
  <c r="J338" i="8"/>
  <c r="I338" i="8"/>
  <c r="H338" i="8"/>
  <c r="K337" i="8"/>
  <c r="J337" i="8"/>
  <c r="I337" i="8"/>
  <c r="H337" i="8"/>
  <c r="K336" i="8"/>
  <c r="J336" i="8"/>
  <c r="I336" i="8"/>
  <c r="H336" i="8"/>
  <c r="K335" i="8"/>
  <c r="J335" i="8"/>
  <c r="I335" i="8"/>
  <c r="H335" i="8"/>
  <c r="K334" i="8"/>
  <c r="J334" i="8"/>
  <c r="I334" i="8"/>
  <c r="H334" i="8"/>
  <c r="K333" i="8"/>
  <c r="J333" i="8"/>
  <c r="I333" i="8"/>
  <c r="H333" i="8"/>
  <c r="K332" i="8"/>
  <c r="J332" i="8"/>
  <c r="I332" i="8"/>
  <c r="H332" i="8"/>
  <c r="K331" i="8"/>
  <c r="J331" i="8"/>
  <c r="I331" i="8"/>
  <c r="M331" i="8" s="1"/>
  <c r="H331" i="8"/>
  <c r="K330" i="8"/>
  <c r="J330" i="8"/>
  <c r="I330" i="8"/>
  <c r="H330" i="8"/>
  <c r="K329" i="8"/>
  <c r="J329" i="8"/>
  <c r="I329" i="8"/>
  <c r="H329" i="8"/>
  <c r="K328" i="8"/>
  <c r="J328" i="8"/>
  <c r="I328" i="8"/>
  <c r="H328" i="8"/>
  <c r="K327" i="8"/>
  <c r="J327" i="8"/>
  <c r="I327" i="8"/>
  <c r="H327" i="8"/>
  <c r="K326" i="8"/>
  <c r="J326" i="8"/>
  <c r="I326" i="8"/>
  <c r="H326" i="8"/>
  <c r="K325" i="8"/>
  <c r="J325" i="8"/>
  <c r="I325" i="8"/>
  <c r="H325" i="8"/>
  <c r="K324" i="8"/>
  <c r="J324" i="8"/>
  <c r="I324" i="8"/>
  <c r="H324" i="8"/>
  <c r="K323" i="8"/>
  <c r="J323" i="8"/>
  <c r="I323" i="8"/>
  <c r="H323" i="8"/>
  <c r="K322" i="8"/>
  <c r="J322" i="8"/>
  <c r="I322" i="8"/>
  <c r="H322" i="8"/>
  <c r="K321" i="8"/>
  <c r="J321" i="8"/>
  <c r="I321" i="8"/>
  <c r="H321" i="8"/>
  <c r="L320" i="8"/>
  <c r="K320" i="8"/>
  <c r="J320" i="8"/>
  <c r="I320" i="8"/>
  <c r="H320" i="8"/>
  <c r="K319" i="8"/>
  <c r="J319" i="8"/>
  <c r="I319" i="8"/>
  <c r="H319" i="8"/>
  <c r="M319" i="8" s="1"/>
  <c r="K318" i="8"/>
  <c r="J318" i="8"/>
  <c r="I318" i="8"/>
  <c r="H318" i="8"/>
  <c r="K317" i="8"/>
  <c r="J317" i="8"/>
  <c r="I317" i="8"/>
  <c r="H317" i="8"/>
  <c r="K316" i="8"/>
  <c r="J316" i="8"/>
  <c r="I316" i="8"/>
  <c r="H316" i="8"/>
  <c r="K315" i="8"/>
  <c r="J315" i="8"/>
  <c r="I315" i="8"/>
  <c r="H315" i="8"/>
  <c r="K314" i="8"/>
  <c r="J314" i="8"/>
  <c r="I314" i="8"/>
  <c r="H314" i="8"/>
  <c r="K313" i="8"/>
  <c r="J313" i="8"/>
  <c r="I313" i="8"/>
  <c r="H313" i="8"/>
  <c r="K312" i="8"/>
  <c r="J312" i="8"/>
  <c r="I312" i="8"/>
  <c r="H312" i="8"/>
  <c r="K311" i="8"/>
  <c r="J311" i="8"/>
  <c r="I311" i="8"/>
  <c r="L311" i="8" s="1"/>
  <c r="H311" i="8"/>
  <c r="K310" i="8"/>
  <c r="J310" i="8"/>
  <c r="I310" i="8"/>
  <c r="H310" i="8"/>
  <c r="K309" i="8"/>
  <c r="J309" i="8"/>
  <c r="I309" i="8"/>
  <c r="H309" i="8"/>
  <c r="K308" i="8"/>
  <c r="J308" i="8"/>
  <c r="I308" i="8"/>
  <c r="H308" i="8"/>
  <c r="K307" i="8"/>
  <c r="J307" i="8"/>
  <c r="I307" i="8"/>
  <c r="M307" i="8" s="1"/>
  <c r="H307" i="8"/>
  <c r="K306" i="8"/>
  <c r="J306" i="8"/>
  <c r="I306" i="8"/>
  <c r="H306" i="8"/>
  <c r="K305" i="8"/>
  <c r="J305" i="8"/>
  <c r="I305" i="8"/>
  <c r="H305" i="8"/>
  <c r="K304" i="8"/>
  <c r="J304" i="8"/>
  <c r="I304" i="8"/>
  <c r="H304" i="8"/>
  <c r="L304" i="8" s="1"/>
  <c r="K303" i="8"/>
  <c r="J303" i="8"/>
  <c r="I303" i="8"/>
  <c r="H303" i="8"/>
  <c r="K302" i="8"/>
  <c r="J302" i="8"/>
  <c r="I302" i="8"/>
  <c r="H302" i="8"/>
  <c r="K301" i="8"/>
  <c r="J301" i="8"/>
  <c r="I301" i="8"/>
  <c r="H301" i="8"/>
  <c r="K300" i="8"/>
  <c r="J300" i="8"/>
  <c r="I300" i="8"/>
  <c r="M300" i="8" s="1"/>
  <c r="H300" i="8"/>
  <c r="K299" i="8"/>
  <c r="J299" i="8"/>
  <c r="M299" i="8" s="1"/>
  <c r="I299" i="8"/>
  <c r="H299" i="8"/>
  <c r="K298" i="8"/>
  <c r="J298" i="8"/>
  <c r="I298" i="8"/>
  <c r="H298" i="8"/>
  <c r="K297" i="8"/>
  <c r="J297" i="8"/>
  <c r="I297" i="8"/>
  <c r="H297" i="8"/>
  <c r="K296" i="8"/>
  <c r="J296" i="8"/>
  <c r="I296" i="8"/>
  <c r="H296" i="8"/>
  <c r="K295" i="8"/>
  <c r="J295" i="8"/>
  <c r="I295" i="8"/>
  <c r="H295" i="8"/>
  <c r="K294" i="8"/>
  <c r="J294" i="8"/>
  <c r="I294" i="8"/>
  <c r="H294" i="8"/>
  <c r="K293" i="8"/>
  <c r="J293" i="8"/>
  <c r="I293" i="8"/>
  <c r="H293" i="8"/>
  <c r="K292" i="8"/>
  <c r="J292" i="8"/>
  <c r="I292" i="8"/>
  <c r="H292" i="8"/>
  <c r="K291" i="8"/>
  <c r="J291" i="8"/>
  <c r="I291" i="8"/>
  <c r="H291" i="8"/>
  <c r="K290" i="8"/>
  <c r="J290" i="8"/>
  <c r="I290" i="8"/>
  <c r="H290" i="8"/>
  <c r="K289" i="8"/>
  <c r="J289" i="8"/>
  <c r="I289" i="8"/>
  <c r="H289" i="8"/>
  <c r="K288" i="8"/>
  <c r="J288" i="8"/>
  <c r="I288" i="8"/>
  <c r="H288" i="8"/>
  <c r="L288" i="8" s="1"/>
  <c r="K287" i="8"/>
  <c r="J287" i="8"/>
  <c r="I287" i="8"/>
  <c r="H287" i="8"/>
  <c r="L287" i="8" s="1"/>
  <c r="K286" i="8"/>
  <c r="J286" i="8"/>
  <c r="I286" i="8"/>
  <c r="H286" i="8"/>
  <c r="K285" i="8"/>
  <c r="J285" i="8"/>
  <c r="I285" i="8"/>
  <c r="H285" i="8"/>
  <c r="K284" i="8"/>
  <c r="J284" i="8"/>
  <c r="I284" i="8"/>
  <c r="M284" i="8" s="1"/>
  <c r="H284" i="8"/>
  <c r="K283" i="8"/>
  <c r="J283" i="8"/>
  <c r="I283" i="8"/>
  <c r="H283" i="8"/>
  <c r="K282" i="8"/>
  <c r="J282" i="8"/>
  <c r="I282" i="8"/>
  <c r="H282" i="8"/>
  <c r="K281" i="8"/>
  <c r="J281" i="8"/>
  <c r="I281" i="8"/>
  <c r="H281" i="8"/>
  <c r="K280" i="8"/>
  <c r="J280" i="8"/>
  <c r="I280" i="8"/>
  <c r="H280" i="8"/>
  <c r="K279" i="8"/>
  <c r="J279" i="8"/>
  <c r="I279" i="8"/>
  <c r="H279" i="8"/>
  <c r="M279" i="8" s="1"/>
  <c r="K278" i="8"/>
  <c r="J278" i="8"/>
  <c r="I278" i="8"/>
  <c r="H278" i="8"/>
  <c r="K277" i="8"/>
  <c r="J277" i="8"/>
  <c r="I277" i="8"/>
  <c r="H277" i="8"/>
  <c r="K276" i="8"/>
  <c r="J276" i="8"/>
  <c r="I276" i="8"/>
  <c r="H276" i="8"/>
  <c r="K275" i="8"/>
  <c r="J275" i="8"/>
  <c r="I275" i="8"/>
  <c r="H275" i="8"/>
  <c r="K274" i="8"/>
  <c r="J274" i="8"/>
  <c r="I274" i="8"/>
  <c r="M274" i="8" s="1"/>
  <c r="H274" i="8"/>
  <c r="K273" i="8"/>
  <c r="J273" i="8"/>
  <c r="I273" i="8"/>
  <c r="H273" i="8"/>
  <c r="K272" i="8"/>
  <c r="J272" i="8"/>
  <c r="I272" i="8"/>
  <c r="H272" i="8"/>
  <c r="K271" i="8"/>
  <c r="J271" i="8"/>
  <c r="I271" i="8"/>
  <c r="H271" i="8"/>
  <c r="K270" i="8"/>
  <c r="J270" i="8"/>
  <c r="I270" i="8"/>
  <c r="H270" i="8"/>
  <c r="K269" i="8"/>
  <c r="J269" i="8"/>
  <c r="I269" i="8"/>
  <c r="H269" i="8"/>
  <c r="K268" i="8"/>
  <c r="J268" i="8"/>
  <c r="I268" i="8"/>
  <c r="H268" i="8"/>
  <c r="K267" i="8"/>
  <c r="J267" i="8"/>
  <c r="I267" i="8"/>
  <c r="H267" i="8"/>
  <c r="K266" i="8"/>
  <c r="J266" i="8"/>
  <c r="I266" i="8"/>
  <c r="H266" i="8"/>
  <c r="K265" i="8"/>
  <c r="J265" i="8"/>
  <c r="I265" i="8"/>
  <c r="H265" i="8"/>
  <c r="L264" i="8"/>
  <c r="K264" i="8"/>
  <c r="J264" i="8"/>
  <c r="I264" i="8"/>
  <c r="H264" i="8"/>
  <c r="K263" i="8"/>
  <c r="J263" i="8"/>
  <c r="I263" i="8"/>
  <c r="H263" i="8"/>
  <c r="M263" i="8" s="1"/>
  <c r="K262" i="8"/>
  <c r="J262" i="8"/>
  <c r="I262" i="8"/>
  <c r="H262" i="8"/>
  <c r="K261" i="8"/>
  <c r="J261" i="8"/>
  <c r="I261" i="8"/>
  <c r="H261" i="8"/>
  <c r="K260" i="8"/>
  <c r="J260" i="8"/>
  <c r="I260" i="8"/>
  <c r="H260" i="8"/>
  <c r="K259" i="8"/>
  <c r="J259" i="8"/>
  <c r="I259" i="8"/>
  <c r="H259" i="8"/>
  <c r="K258" i="8"/>
  <c r="J258" i="8"/>
  <c r="I258" i="8"/>
  <c r="H258" i="8"/>
  <c r="K257" i="8"/>
  <c r="J257" i="8"/>
  <c r="I257" i="8"/>
  <c r="H257" i="8"/>
  <c r="K256" i="8"/>
  <c r="J256" i="8"/>
  <c r="I256" i="8"/>
  <c r="H256" i="8"/>
  <c r="K255" i="8"/>
  <c r="J255" i="8"/>
  <c r="I255" i="8"/>
  <c r="H255" i="8"/>
  <c r="K254" i="8"/>
  <c r="J254" i="8"/>
  <c r="I254" i="8"/>
  <c r="H254" i="8"/>
  <c r="K253" i="8"/>
  <c r="J253" i="8"/>
  <c r="I253" i="8"/>
  <c r="H253" i="8"/>
  <c r="K252" i="8"/>
  <c r="J252" i="8"/>
  <c r="I252" i="8"/>
  <c r="H252" i="8"/>
  <c r="L252" i="8" s="1"/>
  <c r="K251" i="8"/>
  <c r="J251" i="8"/>
  <c r="I251" i="8"/>
  <c r="H251" i="8"/>
  <c r="K250" i="8"/>
  <c r="J250" i="8"/>
  <c r="I250" i="8"/>
  <c r="H250" i="8"/>
  <c r="K249" i="8"/>
  <c r="J249" i="8"/>
  <c r="I249" i="8"/>
  <c r="H249" i="8"/>
  <c r="K248" i="8"/>
  <c r="J248" i="8"/>
  <c r="I248" i="8"/>
  <c r="H248" i="8"/>
  <c r="L248" i="8" s="1"/>
  <c r="L247" i="8"/>
  <c r="K247" i="8"/>
  <c r="J247" i="8"/>
  <c r="I247" i="8"/>
  <c r="H247" i="8"/>
  <c r="K246" i="8"/>
  <c r="J246" i="8"/>
  <c r="I246" i="8"/>
  <c r="H246" i="8"/>
  <c r="M246" i="8" s="1"/>
  <c r="K245" i="8"/>
  <c r="J245" i="8"/>
  <c r="I245" i="8"/>
  <c r="H245" i="8"/>
  <c r="K244" i="8"/>
  <c r="J244" i="8"/>
  <c r="I244" i="8"/>
  <c r="H244" i="8"/>
  <c r="L244" i="8" s="1"/>
  <c r="K243" i="8"/>
  <c r="J243" i="8"/>
  <c r="I243" i="8"/>
  <c r="H243" i="8"/>
  <c r="K242" i="8"/>
  <c r="J242" i="8"/>
  <c r="I242" i="8"/>
  <c r="H242" i="8"/>
  <c r="M242" i="8" s="1"/>
  <c r="K241" i="8"/>
  <c r="J241" i="8"/>
  <c r="I241" i="8"/>
  <c r="H241" i="8"/>
  <c r="K240" i="8"/>
  <c r="J240" i="8"/>
  <c r="I240" i="8"/>
  <c r="H240" i="8"/>
  <c r="K239" i="8"/>
  <c r="J239" i="8"/>
  <c r="I239" i="8"/>
  <c r="H239" i="8"/>
  <c r="K238" i="8"/>
  <c r="J238" i="8"/>
  <c r="I238" i="8"/>
  <c r="H238" i="8"/>
  <c r="K237" i="8"/>
  <c r="J237" i="8"/>
  <c r="I237" i="8"/>
  <c r="H237" i="8"/>
  <c r="K236" i="8"/>
  <c r="J236" i="8"/>
  <c r="I236" i="8"/>
  <c r="H236" i="8"/>
  <c r="L236" i="8" s="1"/>
  <c r="K235" i="8"/>
  <c r="J235" i="8"/>
  <c r="I235" i="8"/>
  <c r="H235" i="8"/>
  <c r="K234" i="8"/>
  <c r="J234" i="8"/>
  <c r="I234" i="8"/>
  <c r="H234" i="8"/>
  <c r="K233" i="8"/>
  <c r="J233" i="8"/>
  <c r="I233" i="8"/>
  <c r="H233" i="8"/>
  <c r="K232" i="8"/>
  <c r="J232" i="8"/>
  <c r="I232" i="8"/>
  <c r="H232" i="8"/>
  <c r="K231" i="8"/>
  <c r="J231" i="8"/>
  <c r="I231" i="8"/>
  <c r="H231" i="8"/>
  <c r="K230" i="8"/>
  <c r="J230" i="8"/>
  <c r="I230" i="8"/>
  <c r="H230" i="8"/>
  <c r="K229" i="8"/>
  <c r="J229" i="8"/>
  <c r="I229" i="8"/>
  <c r="H229" i="8"/>
  <c r="K228" i="8"/>
  <c r="J228" i="8"/>
  <c r="I228" i="8"/>
  <c r="H228" i="8"/>
  <c r="K227" i="8"/>
  <c r="J227" i="8"/>
  <c r="I227" i="8"/>
  <c r="H227" i="8"/>
  <c r="K226" i="8"/>
  <c r="J226" i="8"/>
  <c r="I226" i="8"/>
  <c r="H226" i="8"/>
  <c r="K225" i="8"/>
  <c r="J225" i="8"/>
  <c r="I225" i="8"/>
  <c r="H225" i="8"/>
  <c r="K224" i="8"/>
  <c r="J224" i="8"/>
  <c r="I224" i="8"/>
  <c r="H224" i="8"/>
  <c r="K223" i="8"/>
  <c r="J223" i="8"/>
  <c r="I223" i="8"/>
  <c r="H223" i="8"/>
  <c r="K222" i="8"/>
  <c r="J222" i="8"/>
  <c r="I222" i="8"/>
  <c r="H222" i="8"/>
  <c r="K221" i="8"/>
  <c r="J221" i="8"/>
  <c r="I221" i="8"/>
  <c r="H221" i="8"/>
  <c r="K220" i="8"/>
  <c r="J220" i="8"/>
  <c r="I220" i="8"/>
  <c r="H220" i="8"/>
  <c r="K219" i="8"/>
  <c r="J219" i="8"/>
  <c r="M219" i="8" s="1"/>
  <c r="I219" i="8"/>
  <c r="H219" i="8"/>
  <c r="K218" i="8"/>
  <c r="J218" i="8"/>
  <c r="I218" i="8"/>
  <c r="H218" i="8"/>
  <c r="K217" i="8"/>
  <c r="J217" i="8"/>
  <c r="I217" i="8"/>
  <c r="H217" i="8"/>
  <c r="K216" i="8"/>
  <c r="J216" i="8"/>
  <c r="I216" i="8"/>
  <c r="H216" i="8"/>
  <c r="K215" i="8"/>
  <c r="J215" i="8"/>
  <c r="I215" i="8"/>
  <c r="H215" i="8"/>
  <c r="K214" i="8"/>
  <c r="J214" i="8"/>
  <c r="I214" i="8"/>
  <c r="H214" i="8"/>
  <c r="K213" i="8"/>
  <c r="J213" i="8"/>
  <c r="I213" i="8"/>
  <c r="H213" i="8"/>
  <c r="K212" i="8"/>
  <c r="J212" i="8"/>
  <c r="I212" i="8"/>
  <c r="H212" i="8"/>
  <c r="K211" i="8"/>
  <c r="J211" i="8"/>
  <c r="I211" i="8"/>
  <c r="H211" i="8"/>
  <c r="K210" i="8"/>
  <c r="J210" i="8"/>
  <c r="I210" i="8"/>
  <c r="H210" i="8"/>
  <c r="K209" i="8"/>
  <c r="J209" i="8"/>
  <c r="I209" i="8"/>
  <c r="H209" i="8"/>
  <c r="K208" i="8"/>
  <c r="J208" i="8"/>
  <c r="I208" i="8"/>
  <c r="H208" i="8"/>
  <c r="K207" i="8"/>
  <c r="J207" i="8"/>
  <c r="I207" i="8"/>
  <c r="H207" i="8"/>
  <c r="K206" i="8"/>
  <c r="J206" i="8"/>
  <c r="I206" i="8"/>
  <c r="H206" i="8"/>
  <c r="K205" i="8"/>
  <c r="J205" i="8"/>
  <c r="I205" i="8"/>
  <c r="H205" i="8"/>
  <c r="K204" i="8"/>
  <c r="J204" i="8"/>
  <c r="I204" i="8"/>
  <c r="H204" i="8"/>
  <c r="K203" i="8"/>
  <c r="J203" i="8"/>
  <c r="I203" i="8"/>
  <c r="H203" i="8"/>
  <c r="K202" i="8"/>
  <c r="J202" i="8"/>
  <c r="I202" i="8"/>
  <c r="H202" i="8"/>
  <c r="K201" i="8"/>
  <c r="J201" i="8"/>
  <c r="I201" i="8"/>
  <c r="H201" i="8"/>
  <c r="M201" i="8" s="1"/>
  <c r="K200" i="8"/>
  <c r="J200" i="8"/>
  <c r="I200" i="8"/>
  <c r="H200" i="8"/>
  <c r="K199" i="8"/>
  <c r="J199" i="8"/>
  <c r="I199" i="8"/>
  <c r="H199" i="8"/>
  <c r="K198" i="8"/>
  <c r="J198" i="8"/>
  <c r="I198" i="8"/>
  <c r="H198" i="8"/>
  <c r="K197" i="8"/>
  <c r="J197" i="8"/>
  <c r="I197" i="8"/>
  <c r="H197" i="8"/>
  <c r="K196" i="8"/>
  <c r="J196" i="8"/>
  <c r="I196" i="8"/>
  <c r="H196" i="8"/>
  <c r="K195" i="8"/>
  <c r="J195" i="8"/>
  <c r="I195" i="8"/>
  <c r="H195" i="8"/>
  <c r="K194" i="8"/>
  <c r="J194" i="8"/>
  <c r="I194" i="8"/>
  <c r="H194" i="8"/>
  <c r="K193" i="8"/>
  <c r="J193" i="8"/>
  <c r="I193" i="8"/>
  <c r="H193" i="8"/>
  <c r="K192" i="8"/>
  <c r="J192" i="8"/>
  <c r="I192" i="8"/>
  <c r="H192" i="8"/>
  <c r="K191" i="8"/>
  <c r="J191" i="8"/>
  <c r="I191" i="8"/>
  <c r="H191" i="8"/>
  <c r="K190" i="8"/>
  <c r="J190" i="8"/>
  <c r="I190" i="8"/>
  <c r="H190" i="8"/>
  <c r="K189" i="8"/>
  <c r="J189" i="8"/>
  <c r="I189" i="8"/>
  <c r="H189" i="8"/>
  <c r="K188" i="8"/>
  <c r="J188" i="8"/>
  <c r="I188" i="8"/>
  <c r="H188" i="8"/>
  <c r="K187" i="8"/>
  <c r="J187" i="8"/>
  <c r="I187" i="8"/>
  <c r="H187" i="8"/>
  <c r="M187" i="8" s="1"/>
  <c r="K186" i="8"/>
  <c r="J186" i="8"/>
  <c r="I186" i="8"/>
  <c r="H186" i="8"/>
  <c r="K185" i="8"/>
  <c r="J185" i="8"/>
  <c r="I185" i="8"/>
  <c r="H185" i="8"/>
  <c r="M184" i="8"/>
  <c r="K184" i="8"/>
  <c r="J184" i="8"/>
  <c r="I184" i="8"/>
  <c r="H184" i="8"/>
  <c r="K183" i="8"/>
  <c r="J183" i="8"/>
  <c r="I183" i="8"/>
  <c r="H183" i="8"/>
  <c r="K182" i="8"/>
  <c r="J182" i="8"/>
  <c r="I182" i="8"/>
  <c r="H182" i="8"/>
  <c r="K181" i="8"/>
  <c r="J181" i="8"/>
  <c r="I181" i="8"/>
  <c r="H181" i="8"/>
  <c r="K180" i="8"/>
  <c r="J180" i="8"/>
  <c r="I180" i="8"/>
  <c r="H180" i="8"/>
  <c r="M180" i="8" s="1"/>
  <c r="K179" i="8"/>
  <c r="J179" i="8"/>
  <c r="I179" i="8"/>
  <c r="H179" i="8"/>
  <c r="K178" i="8"/>
  <c r="J178" i="8"/>
  <c r="I178" i="8"/>
  <c r="H178" i="8"/>
  <c r="K177" i="8"/>
  <c r="J177" i="8"/>
  <c r="I177" i="8"/>
  <c r="H177" i="8"/>
  <c r="K176" i="8"/>
  <c r="J176" i="8"/>
  <c r="I176" i="8"/>
  <c r="H176" i="8"/>
  <c r="M176" i="8" s="1"/>
  <c r="K175" i="8"/>
  <c r="J175" i="8"/>
  <c r="I175" i="8"/>
  <c r="H175" i="8"/>
  <c r="K174" i="8"/>
  <c r="J174" i="8"/>
  <c r="I174" i="8"/>
  <c r="H174" i="8"/>
  <c r="K173" i="8"/>
  <c r="J173" i="8"/>
  <c r="I173" i="8"/>
  <c r="H173" i="8"/>
  <c r="K172" i="8"/>
  <c r="J172" i="8"/>
  <c r="I172" i="8"/>
  <c r="H172" i="8"/>
  <c r="L172" i="8" s="1"/>
  <c r="K171" i="8"/>
  <c r="J171" i="8"/>
  <c r="I171" i="8"/>
  <c r="H171" i="8"/>
  <c r="K170" i="8"/>
  <c r="J170" i="8"/>
  <c r="I170" i="8"/>
  <c r="H170" i="8"/>
  <c r="K169" i="8"/>
  <c r="J169" i="8"/>
  <c r="I169" i="8"/>
  <c r="H169" i="8"/>
  <c r="K168" i="8"/>
  <c r="J168" i="8"/>
  <c r="I168" i="8"/>
  <c r="H168" i="8"/>
  <c r="K167" i="8"/>
  <c r="J167" i="8"/>
  <c r="I167" i="8"/>
  <c r="H167" i="8"/>
  <c r="K166" i="8"/>
  <c r="J166" i="8"/>
  <c r="I166" i="8"/>
  <c r="H166" i="8"/>
  <c r="K165" i="8"/>
  <c r="J165" i="8"/>
  <c r="I165" i="8"/>
  <c r="H165" i="8"/>
  <c r="K164" i="8"/>
  <c r="J164" i="8"/>
  <c r="I164" i="8"/>
  <c r="H164" i="8"/>
  <c r="K163" i="8"/>
  <c r="J163" i="8"/>
  <c r="I163" i="8"/>
  <c r="H163" i="8"/>
  <c r="K162" i="8"/>
  <c r="J162" i="8"/>
  <c r="I162" i="8"/>
  <c r="H162" i="8"/>
  <c r="K161" i="8"/>
  <c r="J161" i="8"/>
  <c r="I161" i="8"/>
  <c r="H161" i="8"/>
  <c r="K160" i="8"/>
  <c r="J160" i="8"/>
  <c r="I160" i="8"/>
  <c r="H160" i="8"/>
  <c r="K159" i="8"/>
  <c r="J159" i="8"/>
  <c r="I159" i="8"/>
  <c r="H159" i="8"/>
  <c r="K158" i="8"/>
  <c r="J158" i="8"/>
  <c r="I158" i="8"/>
  <c r="H158" i="8"/>
  <c r="K157" i="8"/>
  <c r="J157" i="8"/>
  <c r="I157" i="8"/>
  <c r="H157" i="8"/>
  <c r="K156" i="8"/>
  <c r="J156" i="8"/>
  <c r="I156" i="8"/>
  <c r="H156" i="8"/>
  <c r="L156" i="8" s="1"/>
  <c r="K155" i="8"/>
  <c r="J155" i="8"/>
  <c r="I155" i="8"/>
  <c r="H155" i="8"/>
  <c r="K154" i="8"/>
  <c r="J154" i="8"/>
  <c r="I154" i="8"/>
  <c r="H154" i="8"/>
  <c r="K153" i="8"/>
  <c r="J153" i="8"/>
  <c r="I153" i="8"/>
  <c r="H153" i="8"/>
  <c r="K152" i="8"/>
  <c r="J152" i="8"/>
  <c r="I152" i="8"/>
  <c r="H152" i="8"/>
  <c r="K151" i="8"/>
  <c r="J151" i="8"/>
  <c r="I151" i="8"/>
  <c r="H151" i="8"/>
  <c r="K150" i="8"/>
  <c r="J150" i="8"/>
  <c r="I150" i="8"/>
  <c r="H150" i="8"/>
  <c r="K149" i="8"/>
  <c r="J149" i="8"/>
  <c r="I149" i="8"/>
  <c r="H149" i="8"/>
  <c r="K148" i="8"/>
  <c r="J148" i="8"/>
  <c r="I148" i="8"/>
  <c r="H148" i="8"/>
  <c r="K147" i="8"/>
  <c r="J147" i="8"/>
  <c r="I147" i="8"/>
  <c r="H147" i="8"/>
  <c r="K146" i="8"/>
  <c r="J146" i="8"/>
  <c r="I146" i="8"/>
  <c r="H146" i="8"/>
  <c r="K145" i="8"/>
  <c r="J145" i="8"/>
  <c r="I145" i="8"/>
  <c r="H145" i="8"/>
  <c r="K144" i="8"/>
  <c r="J144" i="8"/>
  <c r="I144" i="8"/>
  <c r="H144" i="8"/>
  <c r="K143" i="8"/>
  <c r="J143" i="8"/>
  <c r="I143" i="8"/>
  <c r="H143" i="8"/>
  <c r="M143" i="8" s="1"/>
  <c r="K142" i="8"/>
  <c r="J142" i="8"/>
  <c r="I142" i="8"/>
  <c r="H142" i="8"/>
  <c r="K141" i="8"/>
  <c r="J141" i="8"/>
  <c r="I141" i="8"/>
  <c r="H141" i="8"/>
  <c r="M141" i="8" s="1"/>
  <c r="K140" i="8"/>
  <c r="J140" i="8"/>
  <c r="M140" i="8" s="1"/>
  <c r="I140" i="8"/>
  <c r="H140" i="8"/>
  <c r="K139" i="8"/>
  <c r="J139" i="8"/>
  <c r="I139" i="8"/>
  <c r="H139" i="8"/>
  <c r="K138" i="8"/>
  <c r="J138" i="8"/>
  <c r="I138" i="8"/>
  <c r="H138" i="8"/>
  <c r="K137" i="8"/>
  <c r="J137" i="8"/>
  <c r="I137" i="8"/>
  <c r="H137" i="8"/>
  <c r="K136" i="8"/>
  <c r="J136" i="8"/>
  <c r="I136" i="8"/>
  <c r="L136" i="8" s="1"/>
  <c r="H136" i="8"/>
  <c r="K135" i="8"/>
  <c r="J135" i="8"/>
  <c r="I135" i="8"/>
  <c r="H135" i="8"/>
  <c r="K134" i="8"/>
  <c r="J134" i="8"/>
  <c r="I134" i="8"/>
  <c r="H134" i="8"/>
  <c r="K133" i="8"/>
  <c r="J133" i="8"/>
  <c r="I133" i="8"/>
  <c r="H133" i="8"/>
  <c r="K132" i="8"/>
  <c r="J132" i="8"/>
  <c r="I132" i="8"/>
  <c r="H132" i="8"/>
  <c r="K131" i="8"/>
  <c r="J131" i="8"/>
  <c r="I131" i="8"/>
  <c r="H131" i="8"/>
  <c r="K130" i="8"/>
  <c r="J130" i="8"/>
  <c r="I130" i="8"/>
  <c r="H130" i="8"/>
  <c r="K129" i="8"/>
  <c r="J129" i="8"/>
  <c r="I129" i="8"/>
  <c r="H129" i="8"/>
  <c r="K128" i="8"/>
  <c r="J128" i="8"/>
  <c r="I128" i="8"/>
  <c r="H128" i="8"/>
  <c r="K127" i="8"/>
  <c r="J127" i="8"/>
  <c r="I127" i="8"/>
  <c r="H127" i="8"/>
  <c r="K126" i="8"/>
  <c r="J126" i="8"/>
  <c r="I126" i="8"/>
  <c r="H126" i="8"/>
  <c r="K125" i="8"/>
  <c r="J125" i="8"/>
  <c r="I125" i="8"/>
  <c r="H125" i="8"/>
  <c r="L124" i="8"/>
  <c r="K124" i="8"/>
  <c r="J124" i="8"/>
  <c r="I124" i="8"/>
  <c r="H124" i="8"/>
  <c r="K123" i="8"/>
  <c r="J123" i="8"/>
  <c r="I123" i="8"/>
  <c r="H123" i="8"/>
  <c r="L123" i="8" s="1"/>
  <c r="K122" i="8"/>
  <c r="J122" i="8"/>
  <c r="I122" i="8"/>
  <c r="H122" i="8"/>
  <c r="K121" i="8"/>
  <c r="J121" i="8"/>
  <c r="I121" i="8"/>
  <c r="H121" i="8"/>
  <c r="M120" i="8"/>
  <c r="K120" i="8"/>
  <c r="J120" i="8"/>
  <c r="I120" i="8"/>
  <c r="H120" i="8"/>
  <c r="L120" i="8" s="1"/>
  <c r="K119" i="8"/>
  <c r="J119" i="8"/>
  <c r="I119" i="8"/>
  <c r="H119" i="8"/>
  <c r="K118" i="8"/>
  <c r="J118" i="8"/>
  <c r="I118" i="8"/>
  <c r="H118" i="8"/>
  <c r="K117" i="8"/>
  <c r="J117" i="8"/>
  <c r="I117" i="8"/>
  <c r="H117" i="8"/>
  <c r="K116" i="8"/>
  <c r="J116" i="8"/>
  <c r="I116" i="8"/>
  <c r="H116" i="8"/>
  <c r="M116" i="8" s="1"/>
  <c r="K115" i="8"/>
  <c r="J115" i="8"/>
  <c r="I115" i="8"/>
  <c r="H115" i="8"/>
  <c r="K114" i="8"/>
  <c r="J114" i="8"/>
  <c r="I114" i="8"/>
  <c r="H114" i="8"/>
  <c r="K113" i="8"/>
  <c r="J113" i="8"/>
  <c r="I113" i="8"/>
  <c r="H113" i="8"/>
  <c r="K112" i="8"/>
  <c r="J112" i="8"/>
  <c r="I112" i="8"/>
  <c r="H112" i="8"/>
  <c r="K111" i="8"/>
  <c r="J111" i="8"/>
  <c r="I111" i="8"/>
  <c r="H111" i="8"/>
  <c r="K110" i="8"/>
  <c r="J110" i="8"/>
  <c r="I110" i="8"/>
  <c r="H110" i="8"/>
  <c r="K109" i="8"/>
  <c r="J109" i="8"/>
  <c r="I109" i="8"/>
  <c r="H109" i="8"/>
  <c r="K108" i="8"/>
  <c r="J108" i="8"/>
  <c r="I108" i="8"/>
  <c r="H108" i="8"/>
  <c r="K107" i="8"/>
  <c r="J107" i="8"/>
  <c r="L107" i="8" s="1"/>
  <c r="I107" i="8"/>
  <c r="H107" i="8"/>
  <c r="K106" i="8"/>
  <c r="J106" i="8"/>
  <c r="I106" i="8"/>
  <c r="H106" i="8"/>
  <c r="K105" i="8"/>
  <c r="J105" i="8"/>
  <c r="I105" i="8"/>
  <c r="H105" i="8"/>
  <c r="K104" i="8"/>
  <c r="J104" i="8"/>
  <c r="I104" i="8"/>
  <c r="H104" i="8"/>
  <c r="K103" i="8"/>
  <c r="J103" i="8"/>
  <c r="I103" i="8"/>
  <c r="H103" i="8"/>
  <c r="K102" i="8"/>
  <c r="J102" i="8"/>
  <c r="I102" i="8"/>
  <c r="H102" i="8"/>
  <c r="K101" i="8"/>
  <c r="J101" i="8"/>
  <c r="I101" i="8"/>
  <c r="H101" i="8"/>
  <c r="K100" i="8"/>
  <c r="J100" i="8"/>
  <c r="I100" i="8"/>
  <c r="H100" i="8"/>
  <c r="K99" i="8"/>
  <c r="J99" i="8"/>
  <c r="I99" i="8"/>
  <c r="H99" i="8"/>
  <c r="K98" i="8"/>
  <c r="J98" i="8"/>
  <c r="I98" i="8"/>
  <c r="H98" i="8"/>
  <c r="K97" i="8"/>
  <c r="J97" i="8"/>
  <c r="I97" i="8"/>
  <c r="H97" i="8"/>
  <c r="K96" i="8"/>
  <c r="J96" i="8"/>
  <c r="I96" i="8"/>
  <c r="H96" i="8"/>
  <c r="L96" i="8" s="1"/>
  <c r="K95" i="8"/>
  <c r="J95" i="8"/>
  <c r="I95" i="8"/>
  <c r="H95" i="8"/>
  <c r="K94" i="8"/>
  <c r="J94" i="8"/>
  <c r="I94" i="8"/>
  <c r="H94" i="8"/>
  <c r="K93" i="8"/>
  <c r="J93" i="8"/>
  <c r="I93" i="8"/>
  <c r="H93" i="8"/>
  <c r="K92" i="8"/>
  <c r="J92" i="8"/>
  <c r="I92" i="8"/>
  <c r="H92" i="8"/>
  <c r="K91" i="8"/>
  <c r="J91" i="8"/>
  <c r="I91" i="8"/>
  <c r="H91" i="8"/>
  <c r="K90" i="8"/>
  <c r="J90" i="8"/>
  <c r="I90" i="8"/>
  <c r="H90" i="8"/>
  <c r="K89" i="8"/>
  <c r="J89" i="8"/>
  <c r="I89" i="8"/>
  <c r="H89" i="8"/>
  <c r="K88" i="8"/>
  <c r="J88" i="8"/>
  <c r="I88" i="8"/>
  <c r="H88" i="8"/>
  <c r="K87" i="8"/>
  <c r="J87" i="8"/>
  <c r="I87" i="8"/>
  <c r="H87" i="8"/>
  <c r="K86" i="8"/>
  <c r="J86" i="8"/>
  <c r="I86" i="8"/>
  <c r="H86" i="8"/>
  <c r="K85" i="8"/>
  <c r="J85" i="8"/>
  <c r="I85" i="8"/>
  <c r="H85" i="8"/>
  <c r="K84" i="8"/>
  <c r="J84" i="8"/>
  <c r="I84" i="8"/>
  <c r="M84" i="8" s="1"/>
  <c r="H84" i="8"/>
  <c r="K83" i="8"/>
  <c r="J83" i="8"/>
  <c r="I83" i="8"/>
  <c r="H83" i="8"/>
  <c r="K82" i="8"/>
  <c r="J82" i="8"/>
  <c r="I82" i="8"/>
  <c r="H82" i="8"/>
  <c r="K81" i="8"/>
  <c r="J81" i="8"/>
  <c r="I81" i="8"/>
  <c r="H81" i="8"/>
  <c r="K80" i="8"/>
  <c r="J80" i="8"/>
  <c r="I80" i="8"/>
  <c r="H80" i="8"/>
  <c r="K79" i="8"/>
  <c r="J79" i="8"/>
  <c r="I79" i="8"/>
  <c r="H79" i="8"/>
  <c r="K78" i="8"/>
  <c r="J78" i="8"/>
  <c r="I78" i="8"/>
  <c r="H78" i="8"/>
  <c r="K77" i="8"/>
  <c r="J77" i="8"/>
  <c r="I77" i="8"/>
  <c r="H77" i="8"/>
  <c r="K76" i="8"/>
  <c r="J76" i="8"/>
  <c r="I76" i="8"/>
  <c r="H76" i="8"/>
  <c r="K75" i="8"/>
  <c r="J75" i="8"/>
  <c r="I75" i="8"/>
  <c r="H75" i="8"/>
  <c r="K74" i="8"/>
  <c r="J74" i="8"/>
  <c r="I74" i="8"/>
  <c r="H74" i="8"/>
  <c r="K73" i="8"/>
  <c r="J73" i="8"/>
  <c r="I73" i="8"/>
  <c r="H73" i="8"/>
  <c r="K72" i="8"/>
  <c r="J72" i="8"/>
  <c r="I72" i="8"/>
  <c r="H72" i="8"/>
  <c r="K71" i="8"/>
  <c r="J71" i="8"/>
  <c r="I71" i="8"/>
  <c r="H71" i="8"/>
  <c r="K70" i="8"/>
  <c r="J70" i="8"/>
  <c r="I70" i="8"/>
  <c r="H70" i="8"/>
  <c r="K69" i="8"/>
  <c r="J69" i="8"/>
  <c r="I69" i="8"/>
  <c r="H69" i="8"/>
  <c r="K68" i="8"/>
  <c r="J68" i="8"/>
  <c r="I68" i="8"/>
  <c r="L68" i="8" s="1"/>
  <c r="H68" i="8"/>
  <c r="K67" i="8"/>
  <c r="J67" i="8"/>
  <c r="I67" i="8"/>
  <c r="H67" i="8"/>
  <c r="K66" i="8"/>
  <c r="J66" i="8"/>
  <c r="I66" i="8"/>
  <c r="H66" i="8"/>
  <c r="K65" i="8"/>
  <c r="J65" i="8"/>
  <c r="I65" i="8"/>
  <c r="H65" i="8"/>
  <c r="K64" i="8"/>
  <c r="J64" i="8"/>
  <c r="L64" i="8" s="1"/>
  <c r="I64" i="8"/>
  <c r="H64" i="8"/>
  <c r="K63" i="8"/>
  <c r="J63" i="8"/>
  <c r="I63" i="8"/>
  <c r="H63" i="8"/>
  <c r="K62" i="8"/>
  <c r="J62" i="8"/>
  <c r="I62" i="8"/>
  <c r="H62" i="8"/>
  <c r="K61" i="8"/>
  <c r="J61" i="8"/>
  <c r="I61" i="8"/>
  <c r="H61" i="8"/>
  <c r="K60" i="8"/>
  <c r="J60" i="8"/>
  <c r="I60" i="8"/>
  <c r="H60" i="8"/>
  <c r="K59" i="8"/>
  <c r="J59" i="8"/>
  <c r="I59" i="8"/>
  <c r="H59" i="8"/>
  <c r="K58" i="8"/>
  <c r="J58" i="8"/>
  <c r="I58" i="8"/>
  <c r="H58" i="8"/>
  <c r="K57" i="8"/>
  <c r="J57" i="8"/>
  <c r="I57" i="8"/>
  <c r="H57" i="8"/>
  <c r="K56" i="8"/>
  <c r="J56" i="8"/>
  <c r="I56" i="8"/>
  <c r="H56" i="8"/>
  <c r="K55" i="8"/>
  <c r="J55" i="8"/>
  <c r="I55" i="8"/>
  <c r="H55" i="8"/>
  <c r="M55" i="8" s="1"/>
  <c r="K54" i="8"/>
  <c r="J54" i="8"/>
  <c r="I54" i="8"/>
  <c r="H54" i="8"/>
  <c r="K53" i="8"/>
  <c r="J53" i="8"/>
  <c r="I53" i="8"/>
  <c r="H53" i="8"/>
  <c r="K52" i="8"/>
  <c r="L52" i="8" s="1"/>
  <c r="J52" i="8"/>
  <c r="I52" i="8"/>
  <c r="H52" i="8"/>
  <c r="K51" i="8"/>
  <c r="J51" i="8"/>
  <c r="I51" i="8"/>
  <c r="H51" i="8"/>
  <c r="K50" i="8"/>
  <c r="J50" i="8"/>
  <c r="I50" i="8"/>
  <c r="H50" i="8"/>
  <c r="K49" i="8"/>
  <c r="J49" i="8"/>
  <c r="I49" i="8"/>
  <c r="H49" i="8"/>
  <c r="M48" i="8"/>
  <c r="K48" i="8"/>
  <c r="J48" i="8"/>
  <c r="I48" i="8"/>
  <c r="H48" i="8"/>
  <c r="L48" i="8" s="1"/>
  <c r="K47" i="8"/>
  <c r="J47" i="8"/>
  <c r="I47" i="8"/>
  <c r="H47" i="8"/>
  <c r="K46" i="8"/>
  <c r="J46" i="8"/>
  <c r="I46" i="8"/>
  <c r="H46" i="8"/>
  <c r="K45" i="8"/>
  <c r="J45" i="8"/>
  <c r="I45" i="8"/>
  <c r="H45" i="8"/>
  <c r="K44" i="8"/>
  <c r="J44" i="8"/>
  <c r="I44" i="8"/>
  <c r="H44" i="8"/>
  <c r="K43" i="8"/>
  <c r="J43" i="8"/>
  <c r="I43" i="8"/>
  <c r="H43" i="8"/>
  <c r="K42" i="8"/>
  <c r="J42" i="8"/>
  <c r="I42" i="8"/>
  <c r="H42" i="8"/>
  <c r="K41" i="8"/>
  <c r="J41" i="8"/>
  <c r="I41" i="8"/>
  <c r="H41" i="8"/>
  <c r="K40" i="8"/>
  <c r="J40" i="8"/>
  <c r="I40" i="8"/>
  <c r="H40" i="8"/>
  <c r="L40" i="8" s="1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K23" i="8"/>
  <c r="J23" i="8"/>
  <c r="I23" i="8"/>
  <c r="H23" i="8"/>
  <c r="K22" i="8"/>
  <c r="J22" i="8"/>
  <c r="I22" i="8"/>
  <c r="H22" i="8"/>
  <c r="K21" i="8"/>
  <c r="J21" i="8"/>
  <c r="I21" i="8"/>
  <c r="H21" i="8"/>
  <c r="K20" i="8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K16" i="8"/>
  <c r="J16" i="8"/>
  <c r="I16" i="8"/>
  <c r="H16" i="8"/>
  <c r="K15" i="8"/>
  <c r="J15" i="8"/>
  <c r="I15" i="8"/>
  <c r="H15" i="8"/>
  <c r="K14" i="8"/>
  <c r="J14" i="8"/>
  <c r="I14" i="8"/>
  <c r="H14" i="8"/>
  <c r="K13" i="8"/>
  <c r="J13" i="8"/>
  <c r="I13" i="8"/>
  <c r="H13" i="8"/>
  <c r="L12" i="8"/>
  <c r="K12" i="8"/>
  <c r="J12" i="8"/>
  <c r="I12" i="8"/>
  <c r="H12" i="8"/>
  <c r="K11" i="8"/>
  <c r="J11" i="8"/>
  <c r="I11" i="8"/>
  <c r="H11" i="8"/>
  <c r="K10" i="8"/>
  <c r="J10" i="8"/>
  <c r="I10" i="8"/>
  <c r="H10" i="8"/>
  <c r="K9" i="8"/>
  <c r="J9" i="8"/>
  <c r="I9" i="8"/>
  <c r="H9" i="8"/>
  <c r="M8" i="8"/>
  <c r="K8" i="8"/>
  <c r="J8" i="8"/>
  <c r="I8" i="8"/>
  <c r="H8" i="8"/>
  <c r="L8" i="8" s="1"/>
  <c r="K7" i="8"/>
  <c r="J7" i="8"/>
  <c r="I7" i="8"/>
  <c r="H7" i="8"/>
  <c r="K6" i="8"/>
  <c r="J6" i="8"/>
  <c r="I6" i="8"/>
  <c r="H6" i="8"/>
  <c r="K5" i="8"/>
  <c r="J5" i="8"/>
  <c r="I5" i="8"/>
  <c r="H5" i="8"/>
  <c r="K4" i="8"/>
  <c r="J4" i="8"/>
  <c r="I4" i="8"/>
  <c r="H4" i="8"/>
  <c r="K3" i="8"/>
  <c r="J3" i="8"/>
  <c r="M3" i="8" s="1"/>
  <c r="I3" i="8"/>
  <c r="H3" i="8"/>
  <c r="A9" i="21" l="1"/>
  <c r="CA8" i="21"/>
  <c r="BX8" i="21"/>
  <c r="BY8" i="21"/>
  <c r="L17" i="9"/>
  <c r="L18" i="9" s="1"/>
  <c r="L19" i="9" s="1"/>
  <c r="L20" i="9" s="1"/>
  <c r="M11" i="8"/>
  <c r="L72" i="8"/>
  <c r="M76" i="8"/>
  <c r="M80" i="8"/>
  <c r="M88" i="8"/>
  <c r="M92" i="8"/>
  <c r="L92" i="8"/>
  <c r="M255" i="8"/>
  <c r="L479" i="8"/>
  <c r="M922" i="8"/>
  <c r="L922" i="8"/>
  <c r="L47" i="8"/>
  <c r="M52" i="8"/>
  <c r="M68" i="8"/>
  <c r="L140" i="8"/>
  <c r="L152" i="8"/>
  <c r="M595" i="8"/>
  <c r="L595" i="8"/>
  <c r="M24" i="8"/>
  <c r="M28" i="8"/>
  <c r="M32" i="8"/>
  <c r="M36" i="8"/>
  <c r="L36" i="8"/>
  <c r="M226" i="8"/>
  <c r="M447" i="8"/>
  <c r="L447" i="8"/>
  <c r="L407" i="8"/>
  <c r="M487" i="8"/>
  <c r="L686" i="8"/>
  <c r="M846" i="8"/>
  <c r="M15" i="8"/>
  <c r="L15" i="8"/>
  <c r="M20" i="8"/>
  <c r="L336" i="8"/>
  <c r="L503" i="8"/>
  <c r="M160" i="8"/>
  <c r="M164" i="8"/>
  <c r="M168" i="8"/>
  <c r="L179" i="8"/>
  <c r="M207" i="8"/>
  <c r="M215" i="8"/>
  <c r="L240" i="8"/>
  <c r="M244" i="8"/>
  <c r="L271" i="8"/>
  <c r="L296" i="8"/>
  <c r="L323" i="8"/>
  <c r="M340" i="8"/>
  <c r="M398" i="8"/>
  <c r="L445" i="8"/>
  <c r="M451" i="8"/>
  <c r="L491" i="8"/>
  <c r="L550" i="8"/>
  <c r="L567" i="8"/>
  <c r="M587" i="8"/>
  <c r="L599" i="8"/>
  <c r="M624" i="8"/>
  <c r="M640" i="8"/>
  <c r="L681" i="8"/>
  <c r="M683" i="8"/>
  <c r="L769" i="8"/>
  <c r="L841" i="8"/>
  <c r="M843" i="8"/>
  <c r="M850" i="8"/>
  <c r="M862" i="8"/>
  <c r="L891" i="8"/>
  <c r="M913" i="8"/>
  <c r="M989" i="8"/>
  <c r="M991" i="8"/>
  <c r="M993" i="8"/>
  <c r="M997" i="8"/>
  <c r="M1001" i="8"/>
  <c r="M1017" i="8"/>
  <c r="M1074" i="8"/>
  <c r="L1105" i="8"/>
  <c r="M1109" i="8"/>
  <c r="M1138" i="8"/>
  <c r="M1145" i="8"/>
  <c r="M4" i="8"/>
  <c r="L24" i="8"/>
  <c r="L44" i="8"/>
  <c r="M67" i="8"/>
  <c r="L80" i="8"/>
  <c r="L100" i="8"/>
  <c r="M104" i="8"/>
  <c r="M108" i="8"/>
  <c r="M137" i="8"/>
  <c r="M156" i="8"/>
  <c r="M223" i="8"/>
  <c r="M231" i="8"/>
  <c r="M250" i="8"/>
  <c r="L292" i="8"/>
  <c r="L300" i="8"/>
  <c r="L331" i="8"/>
  <c r="L348" i="8"/>
  <c r="L371" i="8"/>
  <c r="M375" i="8"/>
  <c r="L392" i="8"/>
  <c r="L396" i="8"/>
  <c r="M406" i="8"/>
  <c r="M419" i="8"/>
  <c r="L515" i="8"/>
  <c r="M563" i="8"/>
  <c r="L579" i="8"/>
  <c r="L591" i="8"/>
  <c r="M599" i="8"/>
  <c r="L610" i="8"/>
  <c r="M699" i="8"/>
  <c r="L705" i="8"/>
  <c r="M740" i="8"/>
  <c r="L798" i="8"/>
  <c r="L806" i="8"/>
  <c r="L829" i="8"/>
  <c r="L837" i="8"/>
  <c r="L907" i="8"/>
  <c r="M930" i="8"/>
  <c r="M934" i="8"/>
  <c r="M938" i="8"/>
  <c r="M970" i="8"/>
  <c r="M974" i="8"/>
  <c r="L1054" i="8"/>
  <c r="M1081" i="8"/>
  <c r="M1085" i="8"/>
  <c r="L1118" i="8"/>
  <c r="L1122" i="8"/>
  <c r="L131" i="8"/>
  <c r="L191" i="8"/>
  <c r="L470" i="8"/>
  <c r="M634" i="8"/>
  <c r="M833" i="8"/>
  <c r="L954" i="8"/>
  <c r="L966" i="8"/>
  <c r="L1001" i="8"/>
  <c r="M1018" i="8"/>
  <c r="M1055" i="8"/>
  <c r="M1061" i="8"/>
  <c r="L1082" i="8"/>
  <c r="M1086" i="8"/>
  <c r="M1119" i="8"/>
  <c r="M1125" i="8"/>
  <c r="M1168" i="8"/>
  <c r="M96" i="8"/>
  <c r="L59" i="8"/>
  <c r="M112" i="8"/>
  <c r="M153" i="8"/>
  <c r="M172" i="8"/>
  <c r="L239" i="8"/>
  <c r="L256" i="8"/>
  <c r="M258" i="8"/>
  <c r="L260" i="8"/>
  <c r="L308" i="8"/>
  <c r="L312" i="8"/>
  <c r="L316" i="8"/>
  <c r="M327" i="8"/>
  <c r="L339" i="8"/>
  <c r="M366" i="8"/>
  <c r="L383" i="8"/>
  <c r="L387" i="8"/>
  <c r="M391" i="8"/>
  <c r="L395" i="8"/>
  <c r="L438" i="8"/>
  <c r="L440" i="8"/>
  <c r="L444" i="8"/>
  <c r="M543" i="8"/>
  <c r="L562" i="8"/>
  <c r="L582" i="8"/>
  <c r="M603" i="8"/>
  <c r="L650" i="8"/>
  <c r="L689" i="8"/>
  <c r="M691" i="8"/>
  <c r="M736" i="8"/>
  <c r="L785" i="8"/>
  <c r="L853" i="8"/>
  <c r="M878" i="8"/>
  <c r="M882" i="8"/>
  <c r="L898" i="8"/>
  <c r="M985" i="8"/>
  <c r="L1010" i="8"/>
  <c r="M1040" i="8"/>
  <c r="M1069" i="8"/>
  <c r="M1082" i="8"/>
  <c r="L1098" i="8"/>
  <c r="M1104" i="8"/>
  <c r="L1133" i="8"/>
  <c r="M1170" i="8"/>
  <c r="M60" i="8"/>
  <c r="M64" i="8"/>
  <c r="L75" i="8"/>
  <c r="L91" i="8"/>
  <c r="M128" i="8"/>
  <c r="M132" i="8"/>
  <c r="M136" i="8"/>
  <c r="L147" i="8"/>
  <c r="M157" i="8"/>
  <c r="M159" i="8"/>
  <c r="L168" i="8"/>
  <c r="M188" i="8"/>
  <c r="L204" i="8"/>
  <c r="L216" i="8"/>
  <c r="M218" i="8"/>
  <c r="L220" i="8"/>
  <c r="L224" i="8"/>
  <c r="M235" i="8"/>
  <c r="M239" i="8"/>
  <c r="M256" i="8"/>
  <c r="M260" i="8"/>
  <c r="L268" i="8"/>
  <c r="M271" i="8"/>
  <c r="M287" i="8"/>
  <c r="L291" i="8"/>
  <c r="L299" i="8"/>
  <c r="M316" i="8"/>
  <c r="M323" i="8"/>
  <c r="M343" i="8"/>
  <c r="L364" i="8"/>
  <c r="M379" i="8"/>
  <c r="M399" i="8"/>
  <c r="L430" i="8"/>
  <c r="M448" i="8"/>
  <c r="M475" i="8"/>
  <c r="M479" i="8"/>
  <c r="M491" i="8"/>
  <c r="L527" i="8"/>
  <c r="M566" i="8"/>
  <c r="L619" i="8"/>
  <c r="M639" i="8"/>
  <c r="L640" i="8"/>
  <c r="M650" i="8"/>
  <c r="L668" i="8"/>
  <c r="L674" i="8"/>
  <c r="L713" i="8"/>
  <c r="L721" i="8"/>
  <c r="L758" i="8"/>
  <c r="M766" i="8"/>
  <c r="M772" i="8"/>
  <c r="M797" i="8"/>
  <c r="L822" i="8"/>
  <c r="L861" i="8"/>
  <c r="M902" i="8"/>
  <c r="M906" i="8"/>
  <c r="L942" i="8"/>
  <c r="M946" i="8"/>
  <c r="M967" i="8"/>
  <c r="M982" i="8"/>
  <c r="M990" i="8"/>
  <c r="M994" i="8"/>
  <c r="L1002" i="8"/>
  <c r="L1022" i="8"/>
  <c r="M1042" i="8"/>
  <c r="M1071" i="8"/>
  <c r="M1106" i="8"/>
  <c r="L1150" i="8"/>
  <c r="L1154" i="8"/>
  <c r="M40" i="8"/>
  <c r="L63" i="8"/>
  <c r="L27" i="8"/>
  <c r="M12" i="8"/>
  <c r="M16" i="8"/>
  <c r="L20" i="8"/>
  <c r="L31" i="8"/>
  <c r="L35" i="8"/>
  <c r="M43" i="8"/>
  <c r="M56" i="8"/>
  <c r="M99" i="8"/>
  <c r="L108" i="8"/>
  <c r="M124" i="8"/>
  <c r="M169" i="8"/>
  <c r="L231" i="8"/>
  <c r="M247" i="8"/>
  <c r="M266" i="8"/>
  <c r="L272" i="8"/>
  <c r="M291" i="8"/>
  <c r="L324" i="8"/>
  <c r="L328" i="8"/>
  <c r="L332" i="8"/>
  <c r="M351" i="8"/>
  <c r="M374" i="8"/>
  <c r="L375" i="8"/>
  <c r="M407" i="8"/>
  <c r="L450" i="8"/>
  <c r="M460" i="8"/>
  <c r="M483" i="8"/>
  <c r="M503" i="8"/>
  <c r="L555" i="8"/>
  <c r="M619" i="8"/>
  <c r="L653" i="8"/>
  <c r="L694" i="8"/>
  <c r="L737" i="8"/>
  <c r="L750" i="8"/>
  <c r="L762" i="8"/>
  <c r="L782" i="8"/>
  <c r="L793" i="8"/>
  <c r="L834" i="8"/>
  <c r="L883" i="8"/>
  <c r="M927" i="8"/>
  <c r="L938" i="8"/>
  <c r="M950" i="8"/>
  <c r="M965" i="8"/>
  <c r="M986" i="8"/>
  <c r="M1005" i="8"/>
  <c r="M1023" i="8"/>
  <c r="M1025" i="8"/>
  <c r="M1029" i="8"/>
  <c r="M1033" i="8"/>
  <c r="M1075" i="8"/>
  <c r="M1151" i="8"/>
  <c r="M1153" i="8"/>
  <c r="M1157" i="8"/>
  <c r="M1161" i="8"/>
  <c r="M1162" i="8"/>
  <c r="M111" i="8"/>
  <c r="M144" i="8"/>
  <c r="M148" i="8"/>
  <c r="M152" i="8"/>
  <c r="L163" i="8"/>
  <c r="M173" i="8"/>
  <c r="M175" i="8"/>
  <c r="L212" i="8"/>
  <c r="L228" i="8"/>
  <c r="L232" i="8"/>
  <c r="M234" i="8"/>
  <c r="L255" i="8"/>
  <c r="M272" i="8"/>
  <c r="L276" i="8"/>
  <c r="L280" i="8"/>
  <c r="L284" i="8"/>
  <c r="L307" i="8"/>
  <c r="M311" i="8"/>
  <c r="M324" i="8"/>
  <c r="M347" i="8"/>
  <c r="L355" i="8"/>
  <c r="M359" i="8"/>
  <c r="L363" i="8"/>
  <c r="M376" i="8"/>
  <c r="L399" i="8"/>
  <c r="M403" i="8"/>
  <c r="L415" i="8"/>
  <c r="L419" i="8"/>
  <c r="L423" i="8"/>
  <c r="M427" i="8"/>
  <c r="M429" i="8"/>
  <c r="L433" i="8"/>
  <c r="M437" i="8"/>
  <c r="L464" i="8"/>
  <c r="M507" i="8"/>
  <c r="M511" i="8"/>
  <c r="L535" i="8"/>
  <c r="M561" i="8"/>
  <c r="L598" i="8"/>
  <c r="M616" i="8"/>
  <c r="L645" i="8"/>
  <c r="M813" i="8"/>
  <c r="M842" i="8"/>
  <c r="M854" i="8"/>
  <c r="M873" i="8"/>
  <c r="M881" i="8"/>
  <c r="M889" i="8"/>
  <c r="L914" i="8"/>
  <c r="L978" i="8"/>
  <c r="M1008" i="8"/>
  <c r="M1046" i="8"/>
  <c r="L1050" i="8"/>
  <c r="M1054" i="8"/>
  <c r="L1066" i="8"/>
  <c r="L1087" i="8"/>
  <c r="M1093" i="8"/>
  <c r="M1118" i="8"/>
  <c r="L1130" i="8"/>
  <c r="M1165" i="8"/>
  <c r="M35" i="8"/>
  <c r="M79" i="8"/>
  <c r="M133" i="8"/>
  <c r="M149" i="8"/>
  <c r="L19" i="8"/>
  <c r="M23" i="8"/>
  <c r="L103" i="8"/>
  <c r="L119" i="8"/>
  <c r="M191" i="8"/>
  <c r="M197" i="8"/>
  <c r="L201" i="8"/>
  <c r="L203" i="8"/>
  <c r="M210" i="8"/>
  <c r="M216" i="8"/>
  <c r="M259" i="8"/>
  <c r="M268" i="8"/>
  <c r="M270" i="8"/>
  <c r="M280" i="8"/>
  <c r="M296" i="8"/>
  <c r="M372" i="8"/>
  <c r="M383" i="8"/>
  <c r="M404" i="8"/>
  <c r="M415" i="8"/>
  <c r="M502" i="8"/>
  <c r="M547" i="8"/>
  <c r="M583" i="8"/>
  <c r="L587" i="8"/>
  <c r="L745" i="8"/>
  <c r="M753" i="8"/>
  <c r="L753" i="8"/>
  <c r="M897" i="8"/>
  <c r="L899" i="8"/>
  <c r="M958" i="8"/>
  <c r="M962" i="8"/>
  <c r="L962" i="8"/>
  <c r="M981" i="8"/>
  <c r="M1070" i="8"/>
  <c r="M1114" i="8"/>
  <c r="L1114" i="8"/>
  <c r="M1134" i="8"/>
  <c r="L56" i="8"/>
  <c r="L84" i="8"/>
  <c r="L112" i="8"/>
  <c r="M183" i="8"/>
  <c r="L188" i="8"/>
  <c r="M190" i="8"/>
  <c r="M192" i="8"/>
  <c r="M220" i="8"/>
  <c r="M222" i="8"/>
  <c r="L223" i="8"/>
  <c r="M232" i="8"/>
  <c r="M275" i="8"/>
  <c r="M312" i="8"/>
  <c r="M328" i="8"/>
  <c r="M354" i="8"/>
  <c r="M364" i="8"/>
  <c r="M386" i="8"/>
  <c r="M396" i="8"/>
  <c r="M418" i="8"/>
  <c r="M443" i="8"/>
  <c r="L446" i="8"/>
  <c r="L453" i="8"/>
  <c r="L463" i="8"/>
  <c r="L465" i="8"/>
  <c r="M469" i="8"/>
  <c r="M471" i="8"/>
  <c r="L490" i="8"/>
  <c r="L519" i="8"/>
  <c r="L534" i="8"/>
  <c r="L566" i="8"/>
  <c r="M646" i="8"/>
  <c r="L646" i="8"/>
  <c r="M656" i="8"/>
  <c r="L660" i="8"/>
  <c r="M660" i="8"/>
  <c r="L697" i="8"/>
  <c r="M732" i="8"/>
  <c r="M814" i="8"/>
  <c r="L814" i="8"/>
  <c r="M1030" i="8"/>
  <c r="L1030" i="8"/>
  <c r="M1158" i="8"/>
  <c r="L1158" i="8"/>
  <c r="L23" i="8"/>
  <c r="L28" i="8"/>
  <c r="L95" i="8"/>
  <c r="L128" i="8"/>
  <c r="L139" i="8"/>
  <c r="L144" i="8"/>
  <c r="L155" i="8"/>
  <c r="L160" i="8"/>
  <c r="L171" i="8"/>
  <c r="L176" i="8"/>
  <c r="L200" i="8"/>
  <c r="L207" i="8"/>
  <c r="M251" i="8"/>
  <c r="L263" i="8"/>
  <c r="L319" i="8"/>
  <c r="L367" i="8"/>
  <c r="M459" i="8"/>
  <c r="L460" i="8"/>
  <c r="L478" i="8"/>
  <c r="M482" i="8"/>
  <c r="L483" i="8"/>
  <c r="L495" i="8"/>
  <c r="L507" i="8"/>
  <c r="L523" i="8"/>
  <c r="L530" i="8"/>
  <c r="L543" i="8"/>
  <c r="M575" i="8"/>
  <c r="M611" i="8"/>
  <c r="M623" i="8"/>
  <c r="M627" i="8"/>
  <c r="L627" i="8"/>
  <c r="M861" i="8"/>
  <c r="M1053" i="8"/>
  <c r="L1057" i="8"/>
  <c r="M1057" i="8"/>
  <c r="M1065" i="8"/>
  <c r="M1090" i="8"/>
  <c r="M1094" i="8"/>
  <c r="L1094" i="8"/>
  <c r="L1121" i="8"/>
  <c r="M1121" i="8"/>
  <c r="M1129" i="8"/>
  <c r="M1146" i="8"/>
  <c r="L1146" i="8"/>
  <c r="M1166" i="8"/>
  <c r="L7" i="8"/>
  <c r="L3" i="8"/>
  <c r="L67" i="8"/>
  <c r="L16" i="8"/>
  <c r="L39" i="8"/>
  <c r="M44" i="8"/>
  <c r="L55" i="8"/>
  <c r="M59" i="8"/>
  <c r="M72" i="8"/>
  <c r="L83" i="8"/>
  <c r="M87" i="8"/>
  <c r="L88" i="8"/>
  <c r="M100" i="8"/>
  <c r="L116" i="8"/>
  <c r="M186" i="8"/>
  <c r="L187" i="8"/>
  <c r="M194" i="8"/>
  <c r="M198" i="8"/>
  <c r="L209" i="8"/>
  <c r="M227" i="8"/>
  <c r="M236" i="8"/>
  <c r="M248" i="8"/>
  <c r="M288" i="8"/>
  <c r="M304" i="8"/>
  <c r="M344" i="8"/>
  <c r="L347" i="8"/>
  <c r="M356" i="8"/>
  <c r="L372" i="8"/>
  <c r="L379" i="8"/>
  <c r="M388" i="8"/>
  <c r="L404" i="8"/>
  <c r="L411" i="8"/>
  <c r="M420" i="8"/>
  <c r="L427" i="8"/>
  <c r="L531" i="8"/>
  <c r="M559" i="8"/>
  <c r="L590" i="8"/>
  <c r="L830" i="8"/>
  <c r="M834" i="8"/>
  <c r="M838" i="8"/>
  <c r="L838" i="8"/>
  <c r="M1038" i="8"/>
  <c r="M1102" i="8"/>
  <c r="L32" i="8"/>
  <c r="L43" i="8"/>
  <c r="M47" i="8"/>
  <c r="L60" i="8"/>
  <c r="M75" i="8"/>
  <c r="L76" i="8"/>
  <c r="L99" i="8"/>
  <c r="L104" i="8"/>
  <c r="L111" i="8"/>
  <c r="L127" i="8"/>
  <c r="M131" i="8"/>
  <c r="L132" i="8"/>
  <c r="L143" i="8"/>
  <c r="M145" i="8"/>
  <c r="M147" i="8"/>
  <c r="L148" i="8"/>
  <c r="L159" i="8"/>
  <c r="M161" i="8"/>
  <c r="M163" i="8"/>
  <c r="L164" i="8"/>
  <c r="L175" i="8"/>
  <c r="M177" i="8"/>
  <c r="M179" i="8"/>
  <c r="L180" i="8"/>
  <c r="M193" i="8"/>
  <c r="M195" i="8"/>
  <c r="L215" i="8"/>
  <c r="M224" i="8"/>
  <c r="M267" i="8"/>
  <c r="M276" i="8"/>
  <c r="L279" i="8"/>
  <c r="M295" i="8"/>
  <c r="M332" i="8"/>
  <c r="L352" i="8"/>
  <c r="L359" i="8"/>
  <c r="M368" i="8"/>
  <c r="L384" i="8"/>
  <c r="L391" i="8"/>
  <c r="M400" i="8"/>
  <c r="L416" i="8"/>
  <c r="M423" i="8"/>
  <c r="M433" i="8"/>
  <c r="M441" i="8"/>
  <c r="L451" i="8"/>
  <c r="L482" i="8"/>
  <c r="L506" i="8"/>
  <c r="L511" i="8"/>
  <c r="L522" i="8"/>
  <c r="L538" i="8"/>
  <c r="L637" i="8"/>
  <c r="M680" i="8"/>
  <c r="L680" i="8"/>
  <c r="M764" i="8"/>
  <c r="L768" i="8"/>
  <c r="M768" i="8"/>
  <c r="M910" i="8"/>
  <c r="L910" i="8"/>
  <c r="L986" i="8"/>
  <c r="M998" i="8"/>
  <c r="L998" i="8"/>
  <c r="M1141" i="8"/>
  <c r="L51" i="8"/>
  <c r="L11" i="8"/>
  <c r="L79" i="8"/>
  <c r="L4" i="8"/>
  <c r="L71" i="8"/>
  <c r="L87" i="8"/>
  <c r="L115" i="8"/>
  <c r="M119" i="8"/>
  <c r="L184" i="8"/>
  <c r="M208" i="8"/>
  <c r="M243" i="8"/>
  <c r="M252" i="8"/>
  <c r="M264" i="8"/>
  <c r="M320" i="8"/>
  <c r="M336" i="8"/>
  <c r="M348" i="8"/>
  <c r="M380" i="8"/>
  <c r="L403" i="8"/>
  <c r="M412" i="8"/>
  <c r="M470" i="8"/>
  <c r="M647" i="8"/>
  <c r="L688" i="8"/>
  <c r="L778" i="8"/>
  <c r="L879" i="8"/>
  <c r="M1021" i="8"/>
  <c r="M1149" i="8"/>
  <c r="M107" i="8"/>
  <c r="M165" i="8"/>
  <c r="M181" i="8"/>
  <c r="M228" i="8"/>
  <c r="M230" i="8"/>
  <c r="M240" i="8"/>
  <c r="M292" i="8"/>
  <c r="M308" i="8"/>
  <c r="M360" i="8"/>
  <c r="M392" i="8"/>
  <c r="L408" i="8"/>
  <c r="L448" i="8"/>
  <c r="L539" i="8"/>
  <c r="L546" i="8"/>
  <c r="M571" i="8"/>
  <c r="L620" i="8"/>
  <c r="M620" i="8"/>
  <c r="M628" i="8"/>
  <c r="L665" i="8"/>
  <c r="M712" i="8"/>
  <c r="L821" i="8"/>
  <c r="M858" i="8"/>
  <c r="L858" i="8"/>
  <c r="M918" i="8"/>
  <c r="M1006" i="8"/>
  <c r="M1058" i="8"/>
  <c r="M1062" i="8"/>
  <c r="L1062" i="8"/>
  <c r="L1089" i="8"/>
  <c r="M1089" i="8"/>
  <c r="M1097" i="8"/>
  <c r="M1122" i="8"/>
  <c r="M1126" i="8"/>
  <c r="L1126" i="8"/>
  <c r="M539" i="8"/>
  <c r="L574" i="8"/>
  <c r="M579" i="8"/>
  <c r="M591" i="8"/>
  <c r="M618" i="8"/>
  <c r="M630" i="8"/>
  <c r="L644" i="8"/>
  <c r="L649" i="8"/>
  <c r="M658" i="8"/>
  <c r="M667" i="8"/>
  <c r="M676" i="8"/>
  <c r="L710" i="8"/>
  <c r="M725" i="8"/>
  <c r="L734" i="8"/>
  <c r="M773" i="8"/>
  <c r="M786" i="8"/>
  <c r="M810" i="8"/>
  <c r="L817" i="8"/>
  <c r="M821" i="8"/>
  <c r="M837" i="8"/>
  <c r="L862" i="8"/>
  <c r="L882" i="8"/>
  <c r="M886" i="8"/>
  <c r="L989" i="8"/>
  <c r="L1013" i="8"/>
  <c r="L1065" i="8"/>
  <c r="L1077" i="8"/>
  <c r="L1149" i="8"/>
  <c r="L514" i="8"/>
  <c r="L554" i="8"/>
  <c r="L578" i="8"/>
  <c r="M582" i="8"/>
  <c r="L583" i="8"/>
  <c r="L611" i="8"/>
  <c r="L623" i="8"/>
  <c r="M632" i="8"/>
  <c r="L656" i="8"/>
  <c r="L676" i="8"/>
  <c r="L685" i="8"/>
  <c r="L687" i="8"/>
  <c r="L707" i="8"/>
  <c r="L714" i="8"/>
  <c r="M742" i="8"/>
  <c r="L749" i="8"/>
  <c r="M757" i="8"/>
  <c r="M760" i="8"/>
  <c r="L766" i="8"/>
  <c r="M790" i="8"/>
  <c r="L797" i="8"/>
  <c r="M801" i="8"/>
  <c r="M818" i="8"/>
  <c r="M825" i="8"/>
  <c r="L836" i="8"/>
  <c r="M849" i="8"/>
  <c r="L854" i="8"/>
  <c r="M885" i="8"/>
  <c r="M887" i="8"/>
  <c r="L930" i="8"/>
  <c r="L941" i="8"/>
  <c r="L994" i="8"/>
  <c r="L1026" i="8"/>
  <c r="L1045" i="8"/>
  <c r="L1058" i="8"/>
  <c r="M1087" i="8"/>
  <c r="L1141" i="8"/>
  <c r="L542" i="8"/>
  <c r="M546" i="8"/>
  <c r="L547" i="8"/>
  <c r="L559" i="8"/>
  <c r="L571" i="8"/>
  <c r="L606" i="8"/>
  <c r="M664" i="8"/>
  <c r="L669" i="8"/>
  <c r="L720" i="8"/>
  <c r="M733" i="8"/>
  <c r="M744" i="8"/>
  <c r="M781" i="8"/>
  <c r="M794" i="8"/>
  <c r="L801" i="8"/>
  <c r="M805" i="8"/>
  <c r="L825" i="8"/>
  <c r="M829" i="8"/>
  <c r="L847" i="8"/>
  <c r="M853" i="8"/>
  <c r="M869" i="8"/>
  <c r="M871" i="8"/>
  <c r="M894" i="8"/>
  <c r="M903" i="8"/>
  <c r="L906" i="8"/>
  <c r="L918" i="8"/>
  <c r="L946" i="8"/>
  <c r="L958" i="8"/>
  <c r="L974" i="8"/>
  <c r="L993" i="8"/>
  <c r="M1000" i="8"/>
  <c r="L1006" i="8"/>
  <c r="L1017" i="8"/>
  <c r="L1025" i="8"/>
  <c r="M1032" i="8"/>
  <c r="L1038" i="8"/>
  <c r="M1064" i="8"/>
  <c r="M1067" i="8"/>
  <c r="L1069" i="8"/>
  <c r="L1070" i="8"/>
  <c r="L1081" i="8"/>
  <c r="M1096" i="8"/>
  <c r="L1101" i="8"/>
  <c r="L1102" i="8"/>
  <c r="M1111" i="8"/>
  <c r="M1128" i="8"/>
  <c r="L1134" i="8"/>
  <c r="M1143" i="8"/>
  <c r="L1153" i="8"/>
  <c r="M1160" i="8"/>
  <c r="L1166" i="8"/>
  <c r="M534" i="8"/>
  <c r="L594" i="8"/>
  <c r="M598" i="8"/>
  <c r="M612" i="8"/>
  <c r="L615" i="8"/>
  <c r="L624" i="8"/>
  <c r="L630" i="8"/>
  <c r="M636" i="8"/>
  <c r="L641" i="8"/>
  <c r="M644" i="8"/>
  <c r="L673" i="8"/>
  <c r="M677" i="8"/>
  <c r="M696" i="8"/>
  <c r="L698" i="8"/>
  <c r="L709" i="8"/>
  <c r="M724" i="8"/>
  <c r="L725" i="8"/>
  <c r="L729" i="8"/>
  <c r="L770" i="8"/>
  <c r="L773" i="8"/>
  <c r="L777" i="8"/>
  <c r="L786" i="8"/>
  <c r="M798" i="8"/>
  <c r="L810" i="8"/>
  <c r="M822" i="8"/>
  <c r="L842" i="8"/>
  <c r="M845" i="8"/>
  <c r="L903" i="8"/>
  <c r="M931" i="8"/>
  <c r="L934" i="8"/>
  <c r="L945" i="8"/>
  <c r="M995" i="8"/>
  <c r="M1013" i="8"/>
  <c r="M1027" i="8"/>
  <c r="L1037" i="8"/>
  <c r="M1059" i="8"/>
  <c r="M1076" i="8"/>
  <c r="M1077" i="8"/>
  <c r="M1079" i="8"/>
  <c r="L1091" i="8"/>
  <c r="M1108" i="8"/>
  <c r="L1113" i="8"/>
  <c r="M1123" i="8"/>
  <c r="L1125" i="8"/>
  <c r="M1155" i="8"/>
  <c r="L1165" i="8"/>
  <c r="M586" i="8"/>
  <c r="M593" i="8"/>
  <c r="M614" i="8"/>
  <c r="L629" i="8"/>
  <c r="L636" i="8"/>
  <c r="M652" i="8"/>
  <c r="L657" i="8"/>
  <c r="M684" i="8"/>
  <c r="L722" i="8"/>
  <c r="M726" i="8"/>
  <c r="L733" i="8"/>
  <c r="M741" i="8"/>
  <c r="L746" i="8"/>
  <c r="L752" i="8"/>
  <c r="M774" i="8"/>
  <c r="L781" i="8"/>
  <c r="M789" i="8"/>
  <c r="M802" i="8"/>
  <c r="M826" i="8"/>
  <c r="L835" i="8"/>
  <c r="M855" i="8"/>
  <c r="M893" i="8"/>
  <c r="M895" i="8"/>
  <c r="M898" i="8"/>
  <c r="M905" i="8"/>
  <c r="M959" i="8"/>
  <c r="L973" i="8"/>
  <c r="L1009" i="8"/>
  <c r="L1049" i="8"/>
  <c r="L1061" i="8"/>
  <c r="L1073" i="8"/>
  <c r="M1091" i="8"/>
  <c r="L1093" i="8"/>
  <c r="L1145" i="8"/>
  <c r="L1169" i="8"/>
  <c r="L616" i="8"/>
  <c r="M621" i="8"/>
  <c r="L670" i="8"/>
  <c r="M688" i="8"/>
  <c r="L728" i="8"/>
  <c r="M778" i="8"/>
  <c r="M830" i="8"/>
  <c r="L839" i="8"/>
  <c r="M877" i="8"/>
  <c r="M879" i="8"/>
  <c r="M935" i="8"/>
  <c r="L1021" i="8"/>
  <c r="L1074" i="8"/>
  <c r="L1106" i="8"/>
  <c r="L1117" i="8"/>
  <c r="M1133" i="8"/>
  <c r="L1138" i="8"/>
  <c r="L1170" i="8"/>
  <c r="L586" i="8"/>
  <c r="L628" i="8"/>
  <c r="M642" i="8"/>
  <c r="L661" i="8"/>
  <c r="M681" i="8"/>
  <c r="M704" i="8"/>
  <c r="L706" i="8"/>
  <c r="M721" i="8"/>
  <c r="L730" i="8"/>
  <c r="M734" i="8"/>
  <c r="L754" i="8"/>
  <c r="M758" i="8"/>
  <c r="L765" i="8"/>
  <c r="M782" i="8"/>
  <c r="L794" i="8"/>
  <c r="M806" i="8"/>
  <c r="L813" i="8"/>
  <c r="M817" i="8"/>
  <c r="M841" i="8"/>
  <c r="L846" i="8"/>
  <c r="L857" i="8"/>
  <c r="M866" i="8"/>
  <c r="L871" i="8"/>
  <c r="M909" i="8"/>
  <c r="M963" i="8"/>
  <c r="L977" i="8"/>
  <c r="M984" i="8"/>
  <c r="M999" i="8"/>
  <c r="M1016" i="8"/>
  <c r="M1031" i="8"/>
  <c r="L1041" i="8"/>
  <c r="M1048" i="8"/>
  <c r="L1053" i="8"/>
  <c r="M1063" i="8"/>
  <c r="M1080" i="8"/>
  <c r="M1083" i="8"/>
  <c r="L1085" i="8"/>
  <c r="M1095" i="8"/>
  <c r="L1097" i="8"/>
  <c r="M1112" i="8"/>
  <c r="M1127" i="8"/>
  <c r="L1129" i="8"/>
  <c r="L1137" i="8"/>
  <c r="M1144" i="8"/>
  <c r="M1159" i="8"/>
  <c r="M73" i="8"/>
  <c r="L73" i="8"/>
  <c r="M205" i="8"/>
  <c r="L205" i="8"/>
  <c r="M310" i="8"/>
  <c r="L310" i="8"/>
  <c r="M6" i="8"/>
  <c r="L6" i="8"/>
  <c r="M70" i="8"/>
  <c r="L70" i="8"/>
  <c r="L197" i="8"/>
  <c r="M315" i="8"/>
  <c r="L315" i="8"/>
  <c r="M976" i="8"/>
  <c r="L976" i="8"/>
  <c r="M18" i="8"/>
  <c r="L18" i="8"/>
  <c r="M33" i="8"/>
  <c r="L33" i="8"/>
  <c r="M50" i="8"/>
  <c r="L50" i="8"/>
  <c r="M65" i="8"/>
  <c r="L65" i="8"/>
  <c r="M82" i="8"/>
  <c r="L82" i="8"/>
  <c r="M97" i="8"/>
  <c r="L97" i="8"/>
  <c r="M114" i="8"/>
  <c r="L114" i="8"/>
  <c r="M129" i="8"/>
  <c r="L129" i="8"/>
  <c r="M196" i="8"/>
  <c r="L196" i="8"/>
  <c r="M211" i="8"/>
  <c r="L211" i="8"/>
  <c r="L303" i="8"/>
  <c r="M303" i="8"/>
  <c r="M357" i="8"/>
  <c r="L357" i="8"/>
  <c r="M389" i="8"/>
  <c r="L389" i="8"/>
  <c r="M421" i="8"/>
  <c r="L421" i="8"/>
  <c r="M439" i="8"/>
  <c r="L439" i="8"/>
  <c r="M26" i="8"/>
  <c r="L26" i="8"/>
  <c r="M90" i="8"/>
  <c r="L90" i="8"/>
  <c r="M38" i="8"/>
  <c r="L38" i="8"/>
  <c r="M117" i="8"/>
  <c r="L117" i="8"/>
  <c r="L182" i="8"/>
  <c r="M182" i="8"/>
  <c r="M305" i="8"/>
  <c r="L305" i="8"/>
  <c r="M30" i="8"/>
  <c r="L30" i="8"/>
  <c r="M62" i="8"/>
  <c r="L62" i="8"/>
  <c r="M94" i="8"/>
  <c r="L94" i="8"/>
  <c r="M109" i="8"/>
  <c r="L109" i="8"/>
  <c r="M189" i="8"/>
  <c r="L189" i="8"/>
  <c r="L202" i="8"/>
  <c r="M202" i="8"/>
  <c r="M57" i="8"/>
  <c r="L57" i="8"/>
  <c r="M74" i="8"/>
  <c r="L74" i="8"/>
  <c r="M89" i="8"/>
  <c r="L89" i="8"/>
  <c r="M91" i="8"/>
  <c r="M106" i="8"/>
  <c r="L106" i="8"/>
  <c r="M121" i="8"/>
  <c r="L121" i="8"/>
  <c r="M123" i="8"/>
  <c r="M262" i="8"/>
  <c r="M293" i="8"/>
  <c r="L293" i="8"/>
  <c r="L335" i="8"/>
  <c r="M335" i="8"/>
  <c r="M58" i="8"/>
  <c r="L58" i="8"/>
  <c r="L183" i="8"/>
  <c r="L651" i="8"/>
  <c r="M651" i="8"/>
  <c r="M678" i="8"/>
  <c r="L678" i="8"/>
  <c r="L716" i="8"/>
  <c r="M716" i="8"/>
  <c r="M13" i="8"/>
  <c r="L13" i="8"/>
  <c r="M154" i="8"/>
  <c r="L154" i="8"/>
  <c r="M170" i="8"/>
  <c r="L170" i="8"/>
  <c r="M337" i="8"/>
  <c r="L337" i="8"/>
  <c r="M455" i="8"/>
  <c r="L455" i="8"/>
  <c r="M467" i="8"/>
  <c r="L467" i="8"/>
  <c r="M10" i="8"/>
  <c r="L10" i="8"/>
  <c r="M27" i="8"/>
  <c r="M22" i="8"/>
  <c r="L22" i="8"/>
  <c r="M37" i="8"/>
  <c r="L37" i="8"/>
  <c r="M39" i="8"/>
  <c r="M54" i="8"/>
  <c r="L54" i="8"/>
  <c r="M69" i="8"/>
  <c r="L69" i="8"/>
  <c r="M71" i="8"/>
  <c r="M86" i="8"/>
  <c r="L86" i="8"/>
  <c r="M101" i="8"/>
  <c r="L101" i="8"/>
  <c r="M103" i="8"/>
  <c r="M118" i="8"/>
  <c r="L118" i="8"/>
  <c r="M135" i="8"/>
  <c r="M142" i="8"/>
  <c r="L142" i="8"/>
  <c r="M151" i="8"/>
  <c r="M158" i="8"/>
  <c r="L158" i="8"/>
  <c r="M167" i="8"/>
  <c r="M174" i="8"/>
  <c r="L174" i="8"/>
  <c r="M238" i="8"/>
  <c r="M290" i="8"/>
  <c r="L290" i="8"/>
  <c r="M21" i="8"/>
  <c r="L21" i="8"/>
  <c r="M53" i="8"/>
  <c r="L53" i="8"/>
  <c r="M85" i="8"/>
  <c r="L85" i="8"/>
  <c r="M102" i="8"/>
  <c r="L102" i="8"/>
  <c r="M126" i="8"/>
  <c r="L126" i="8"/>
  <c r="M138" i="8"/>
  <c r="L138" i="8"/>
  <c r="M25" i="8"/>
  <c r="L25" i="8"/>
  <c r="M42" i="8"/>
  <c r="L42" i="8"/>
  <c r="M5" i="8"/>
  <c r="L5" i="8"/>
  <c r="M7" i="8"/>
  <c r="M17" i="8"/>
  <c r="L17" i="8"/>
  <c r="M19" i="8"/>
  <c r="M34" i="8"/>
  <c r="L34" i="8"/>
  <c r="M49" i="8"/>
  <c r="L49" i="8"/>
  <c r="M51" i="8"/>
  <c r="M66" i="8"/>
  <c r="L66" i="8"/>
  <c r="M81" i="8"/>
  <c r="L81" i="8"/>
  <c r="M83" i="8"/>
  <c r="M98" i="8"/>
  <c r="L98" i="8"/>
  <c r="M113" i="8"/>
  <c r="L113" i="8"/>
  <c r="M115" i="8"/>
  <c r="M130" i="8"/>
  <c r="L130" i="8"/>
  <c r="M199" i="8"/>
  <c r="L199" i="8"/>
  <c r="M206" i="8"/>
  <c r="M214" i="8"/>
  <c r="M278" i="8"/>
  <c r="M325" i="8"/>
  <c r="L325" i="8"/>
  <c r="M9" i="8"/>
  <c r="L9" i="8"/>
  <c r="M41" i="8"/>
  <c r="L41" i="8"/>
  <c r="M105" i="8"/>
  <c r="L105" i="8"/>
  <c r="M122" i="8"/>
  <c r="L122" i="8"/>
  <c r="M134" i="8"/>
  <c r="L134" i="8"/>
  <c r="M150" i="8"/>
  <c r="L150" i="8"/>
  <c r="M166" i="8"/>
  <c r="L166" i="8"/>
  <c r="L703" i="8"/>
  <c r="M703" i="8"/>
  <c r="M45" i="8"/>
  <c r="L45" i="8"/>
  <c r="M77" i="8"/>
  <c r="L77" i="8"/>
  <c r="M369" i="8"/>
  <c r="L369" i="8"/>
  <c r="M401" i="8"/>
  <c r="L401" i="8"/>
  <c r="M432" i="8"/>
  <c r="L432" i="8"/>
  <c r="M14" i="8"/>
  <c r="L14" i="8"/>
  <c r="M29" i="8"/>
  <c r="L29" i="8"/>
  <c r="M31" i="8"/>
  <c r="M46" i="8"/>
  <c r="L46" i="8"/>
  <c r="M61" i="8"/>
  <c r="L61" i="8"/>
  <c r="M63" i="8"/>
  <c r="M78" i="8"/>
  <c r="L78" i="8"/>
  <c r="M93" i="8"/>
  <c r="L93" i="8"/>
  <c r="M95" i="8"/>
  <c r="M110" i="8"/>
  <c r="L110" i="8"/>
  <c r="M125" i="8"/>
  <c r="L125" i="8"/>
  <c r="M127" i="8"/>
  <c r="L135" i="8"/>
  <c r="M139" i="8"/>
  <c r="M146" i="8"/>
  <c r="L146" i="8"/>
  <c r="L151" i="8"/>
  <c r="M155" i="8"/>
  <c r="M162" i="8"/>
  <c r="L162" i="8"/>
  <c r="L167" i="8"/>
  <c r="M171" i="8"/>
  <c r="M178" i="8"/>
  <c r="L178" i="8"/>
  <c r="M185" i="8"/>
  <c r="L185" i="8"/>
  <c r="M203" i="8"/>
  <c r="M254" i="8"/>
  <c r="M283" i="8"/>
  <c r="L283" i="8"/>
  <c r="M322" i="8"/>
  <c r="L322" i="8"/>
  <c r="M485" i="8"/>
  <c r="L485" i="8"/>
  <c r="M497" i="8"/>
  <c r="L497" i="8"/>
  <c r="M549" i="8"/>
  <c r="L549" i="8"/>
  <c r="M613" i="8"/>
  <c r="L635" i="8"/>
  <c r="M635" i="8"/>
  <c r="M317" i="8"/>
  <c r="L317" i="8"/>
  <c r="L193" i="8"/>
  <c r="L198" i="8"/>
  <c r="L210" i="8"/>
  <c r="M213" i="8"/>
  <c r="L213" i="8"/>
  <c r="L218" i="8"/>
  <c r="M221" i="8"/>
  <c r="L221" i="8"/>
  <c r="L226" i="8"/>
  <c r="M229" i="8"/>
  <c r="L229" i="8"/>
  <c r="L234" i="8"/>
  <c r="M237" i="8"/>
  <c r="L237" i="8"/>
  <c r="L242" i="8"/>
  <c r="M245" i="8"/>
  <c r="L245" i="8"/>
  <c r="L250" i="8"/>
  <c r="M253" i="8"/>
  <c r="L253" i="8"/>
  <c r="L258" i="8"/>
  <c r="M261" i="8"/>
  <c r="L261" i="8"/>
  <c r="L266" i="8"/>
  <c r="M269" i="8"/>
  <c r="L269" i="8"/>
  <c r="L274" i="8"/>
  <c r="M277" i="8"/>
  <c r="L277" i="8"/>
  <c r="M282" i="8"/>
  <c r="L282" i="8"/>
  <c r="M297" i="8"/>
  <c r="L297" i="8"/>
  <c r="M314" i="8"/>
  <c r="L314" i="8"/>
  <c r="M329" i="8"/>
  <c r="L329" i="8"/>
  <c r="M346" i="8"/>
  <c r="M361" i="8"/>
  <c r="L361" i="8"/>
  <c r="M378" i="8"/>
  <c r="M393" i="8"/>
  <c r="L393" i="8"/>
  <c r="M410" i="8"/>
  <c r="M431" i="8"/>
  <c r="L431" i="8"/>
  <c r="M532" i="8"/>
  <c r="L532" i="8"/>
  <c r="M596" i="8"/>
  <c r="L596" i="8"/>
  <c r="M302" i="8"/>
  <c r="L302" i="8"/>
  <c r="M480" i="8"/>
  <c r="L480" i="8"/>
  <c r="M544" i="8"/>
  <c r="L544" i="8"/>
  <c r="L219" i="8"/>
  <c r="L227" i="8"/>
  <c r="L235" i="8"/>
  <c r="L243" i="8"/>
  <c r="L251" i="8"/>
  <c r="L259" i="8"/>
  <c r="L267" i="8"/>
  <c r="L275" i="8"/>
  <c r="M294" i="8"/>
  <c r="L294" i="8"/>
  <c r="L295" i="8"/>
  <c r="M309" i="8"/>
  <c r="L309" i="8"/>
  <c r="M326" i="8"/>
  <c r="L326" i="8"/>
  <c r="L327" i="8"/>
  <c r="M341" i="8"/>
  <c r="L341" i="8"/>
  <c r="M358" i="8"/>
  <c r="M373" i="8"/>
  <c r="L373" i="8"/>
  <c r="M390" i="8"/>
  <c r="M405" i="8"/>
  <c r="L405" i="8"/>
  <c r="L422" i="8"/>
  <c r="M435" i="8"/>
  <c r="L435" i="8"/>
  <c r="M517" i="8"/>
  <c r="L517" i="8"/>
  <c r="M529" i="8"/>
  <c r="L529" i="8"/>
  <c r="M581" i="8"/>
  <c r="M285" i="8"/>
  <c r="L285" i="8"/>
  <c r="M608" i="8"/>
  <c r="L608" i="8"/>
  <c r="L192" i="8"/>
  <c r="L194" i="8"/>
  <c r="M204" i="8"/>
  <c r="L208" i="8"/>
  <c r="M289" i="8"/>
  <c r="L289" i="8"/>
  <c r="M306" i="8"/>
  <c r="L306" i="8"/>
  <c r="M321" i="8"/>
  <c r="L321" i="8"/>
  <c r="M338" i="8"/>
  <c r="M353" i="8"/>
  <c r="L353" i="8"/>
  <c r="M370" i="8"/>
  <c r="M385" i="8"/>
  <c r="L385" i="8"/>
  <c r="M402" i="8"/>
  <c r="M417" i="8"/>
  <c r="L417" i="8"/>
  <c r="M424" i="8"/>
  <c r="L424" i="8"/>
  <c r="M442" i="8"/>
  <c r="L442" i="8"/>
  <c r="M452" i="8"/>
  <c r="L452" i="8"/>
  <c r="M456" i="8"/>
  <c r="M413" i="8"/>
  <c r="L413" i="8"/>
  <c r="L133" i="8"/>
  <c r="L137" i="8"/>
  <c r="L141" i="8"/>
  <c r="L145" i="8"/>
  <c r="L149" i="8"/>
  <c r="L153" i="8"/>
  <c r="L157" i="8"/>
  <c r="L161" i="8"/>
  <c r="L165" i="8"/>
  <c r="L169" i="8"/>
  <c r="L173" i="8"/>
  <c r="L177" i="8"/>
  <c r="L181" i="8"/>
  <c r="L190" i="8"/>
  <c r="L195" i="8"/>
  <c r="L206" i="8"/>
  <c r="M209" i="8"/>
  <c r="M286" i="8"/>
  <c r="L286" i="8"/>
  <c r="M301" i="8"/>
  <c r="L301" i="8"/>
  <c r="M318" i="8"/>
  <c r="L318" i="8"/>
  <c r="M333" i="8"/>
  <c r="L333" i="8"/>
  <c r="M350" i="8"/>
  <c r="M365" i="8"/>
  <c r="L365" i="8"/>
  <c r="M382" i="8"/>
  <c r="M397" i="8"/>
  <c r="L397" i="8"/>
  <c r="M414" i="8"/>
  <c r="M428" i="8"/>
  <c r="L428" i="8"/>
  <c r="M458" i="8"/>
  <c r="L458" i="8"/>
  <c r="L510" i="8"/>
  <c r="M512" i="8"/>
  <c r="L512" i="8"/>
  <c r="M576" i="8"/>
  <c r="L576" i="8"/>
  <c r="M334" i="8"/>
  <c r="L334" i="8"/>
  <c r="M349" i="8"/>
  <c r="L349" i="8"/>
  <c r="M381" i="8"/>
  <c r="L381" i="8"/>
  <c r="M425" i="8"/>
  <c r="L425" i="8"/>
  <c r="L186" i="8"/>
  <c r="M200" i="8"/>
  <c r="M212" i="8"/>
  <c r="L214" i="8"/>
  <c r="M217" i="8"/>
  <c r="L217" i="8"/>
  <c r="L222" i="8"/>
  <c r="M225" i="8"/>
  <c r="L225" i="8"/>
  <c r="L230" i="8"/>
  <c r="M233" i="8"/>
  <c r="L233" i="8"/>
  <c r="L238" i="8"/>
  <c r="M241" i="8"/>
  <c r="L241" i="8"/>
  <c r="L246" i="8"/>
  <c r="M249" i="8"/>
  <c r="L249" i="8"/>
  <c r="L254" i="8"/>
  <c r="M257" i="8"/>
  <c r="L257" i="8"/>
  <c r="L262" i="8"/>
  <c r="M265" i="8"/>
  <c r="L265" i="8"/>
  <c r="L270" i="8"/>
  <c r="M273" i="8"/>
  <c r="L273" i="8"/>
  <c r="L278" i="8"/>
  <c r="M281" i="8"/>
  <c r="L281" i="8"/>
  <c r="M298" i="8"/>
  <c r="L298" i="8"/>
  <c r="M313" i="8"/>
  <c r="L313" i="8"/>
  <c r="M330" i="8"/>
  <c r="L330" i="8"/>
  <c r="M345" i="8"/>
  <c r="L345" i="8"/>
  <c r="M362" i="8"/>
  <c r="M377" i="8"/>
  <c r="L377" i="8"/>
  <c r="M394" i="8"/>
  <c r="M409" i="8"/>
  <c r="L409" i="8"/>
  <c r="M449" i="8"/>
  <c r="L449" i="8"/>
  <c r="M500" i="8"/>
  <c r="L500" i="8"/>
  <c r="M564" i="8"/>
  <c r="L564" i="8"/>
  <c r="L338" i="8"/>
  <c r="L342" i="8"/>
  <c r="L346" i="8"/>
  <c r="L350" i="8"/>
  <c r="L354" i="8"/>
  <c r="L358" i="8"/>
  <c r="L362" i="8"/>
  <c r="L366" i="8"/>
  <c r="L370" i="8"/>
  <c r="L374" i="8"/>
  <c r="L378" i="8"/>
  <c r="L382" i="8"/>
  <c r="L386" i="8"/>
  <c r="L390" i="8"/>
  <c r="L394" i="8"/>
  <c r="L398" i="8"/>
  <c r="L402" i="8"/>
  <c r="L406" i="8"/>
  <c r="L410" i="8"/>
  <c r="L414" i="8"/>
  <c r="L418" i="8"/>
  <c r="L429" i="8"/>
  <c r="L436" i="8"/>
  <c r="M438" i="8"/>
  <c r="L443" i="8"/>
  <c r="M445" i="8"/>
  <c r="L456" i="8"/>
  <c r="L459" i="8"/>
  <c r="M461" i="8"/>
  <c r="M464" i="8"/>
  <c r="M477" i="8"/>
  <c r="L477" i="8"/>
  <c r="M492" i="8"/>
  <c r="L492" i="8"/>
  <c r="M494" i="8"/>
  <c r="M509" i="8"/>
  <c r="L509" i="8"/>
  <c r="M524" i="8"/>
  <c r="L524" i="8"/>
  <c r="M526" i="8"/>
  <c r="M541" i="8"/>
  <c r="L541" i="8"/>
  <c r="M556" i="8"/>
  <c r="L556" i="8"/>
  <c r="M573" i="8"/>
  <c r="M578" i="8"/>
  <c r="M588" i="8"/>
  <c r="L588" i="8"/>
  <c r="M605" i="8"/>
  <c r="M610" i="8"/>
  <c r="M655" i="8"/>
  <c r="M731" i="8"/>
  <c r="L731" i="8"/>
  <c r="M890" i="8"/>
  <c r="L890" i="8"/>
  <c r="M434" i="8"/>
  <c r="M454" i="8"/>
  <c r="M472" i="8"/>
  <c r="L472" i="8"/>
  <c r="M474" i="8"/>
  <c r="M489" i="8"/>
  <c r="L489" i="8"/>
  <c r="M504" i="8"/>
  <c r="L504" i="8"/>
  <c r="M506" i="8"/>
  <c r="M521" i="8"/>
  <c r="L521" i="8"/>
  <c r="M536" i="8"/>
  <c r="L536" i="8"/>
  <c r="M538" i="8"/>
  <c r="M553" i="8"/>
  <c r="L553" i="8"/>
  <c r="M558" i="8"/>
  <c r="M568" i="8"/>
  <c r="L568" i="8"/>
  <c r="M585" i="8"/>
  <c r="M590" i="8"/>
  <c r="M600" i="8"/>
  <c r="L600" i="8"/>
  <c r="M617" i="8"/>
  <c r="M622" i="8"/>
  <c r="M648" i="8"/>
  <c r="L711" i="8"/>
  <c r="M711" i="8"/>
  <c r="M874" i="8"/>
  <c r="L874" i="8"/>
  <c r="M430" i="8"/>
  <c r="M457" i="8"/>
  <c r="M466" i="8"/>
  <c r="M484" i="8"/>
  <c r="L484" i="8"/>
  <c r="M486" i="8"/>
  <c r="M501" i="8"/>
  <c r="L501" i="8"/>
  <c r="M516" i="8"/>
  <c r="L516" i="8"/>
  <c r="M518" i="8"/>
  <c r="M533" i="8"/>
  <c r="L533" i="8"/>
  <c r="M548" i="8"/>
  <c r="L548" i="8"/>
  <c r="M550" i="8"/>
  <c r="M565" i="8"/>
  <c r="M570" i="8"/>
  <c r="M580" i="8"/>
  <c r="L580" i="8"/>
  <c r="M597" i="8"/>
  <c r="M602" i="8"/>
  <c r="L675" i="8"/>
  <c r="M675" i="8"/>
  <c r="L748" i="8"/>
  <c r="M748" i="8"/>
  <c r="M763" i="8"/>
  <c r="L763" i="8"/>
  <c r="M426" i="8"/>
  <c r="M450" i="8"/>
  <c r="M481" i="8"/>
  <c r="L481" i="8"/>
  <c r="M496" i="8"/>
  <c r="L496" i="8"/>
  <c r="M498" i="8"/>
  <c r="M513" i="8"/>
  <c r="L513" i="8"/>
  <c r="M528" i="8"/>
  <c r="L528" i="8"/>
  <c r="M530" i="8"/>
  <c r="M545" i="8"/>
  <c r="L545" i="8"/>
  <c r="M560" i="8"/>
  <c r="L560" i="8"/>
  <c r="M562" i="8"/>
  <c r="M577" i="8"/>
  <c r="M592" i="8"/>
  <c r="L592" i="8"/>
  <c r="M609" i="8"/>
  <c r="M638" i="8"/>
  <c r="L638" i="8"/>
  <c r="L682" i="8"/>
  <c r="M422" i="8"/>
  <c r="M453" i="8"/>
  <c r="M476" i="8"/>
  <c r="L476" i="8"/>
  <c r="M478" i="8"/>
  <c r="M493" i="8"/>
  <c r="L493" i="8"/>
  <c r="M508" i="8"/>
  <c r="L508" i="8"/>
  <c r="M510" i="8"/>
  <c r="M525" i="8"/>
  <c r="L525" i="8"/>
  <c r="M540" i="8"/>
  <c r="L540" i="8"/>
  <c r="M542" i="8"/>
  <c r="M557" i="8"/>
  <c r="L557" i="8"/>
  <c r="M572" i="8"/>
  <c r="L572" i="8"/>
  <c r="M589" i="8"/>
  <c r="M594" i="8"/>
  <c r="M604" i="8"/>
  <c r="L604" i="8"/>
  <c r="M626" i="8"/>
  <c r="M654" i="8"/>
  <c r="L654" i="8"/>
  <c r="L695" i="8"/>
  <c r="M695" i="8"/>
  <c r="M756" i="8"/>
  <c r="L434" i="8"/>
  <c r="M446" i="8"/>
  <c r="L454" i="8"/>
  <c r="M462" i="8"/>
  <c r="M465" i="8"/>
  <c r="M468" i="8"/>
  <c r="L468" i="8"/>
  <c r="L469" i="8"/>
  <c r="M473" i="8"/>
  <c r="L473" i="8"/>
  <c r="M488" i="8"/>
  <c r="L488" i="8"/>
  <c r="M490" i="8"/>
  <c r="M505" i="8"/>
  <c r="L505" i="8"/>
  <c r="M520" i="8"/>
  <c r="L520" i="8"/>
  <c r="M522" i="8"/>
  <c r="M537" i="8"/>
  <c r="L537" i="8"/>
  <c r="M552" i="8"/>
  <c r="L552" i="8"/>
  <c r="M554" i="8"/>
  <c r="M569" i="8"/>
  <c r="M574" i="8"/>
  <c r="M584" i="8"/>
  <c r="L584" i="8"/>
  <c r="M601" i="8"/>
  <c r="M606" i="8"/>
  <c r="L633" i="8"/>
  <c r="M672" i="8"/>
  <c r="L672" i="8"/>
  <c r="M679" i="8"/>
  <c r="M629" i="8"/>
  <c r="M645" i="8"/>
  <c r="M661" i="8"/>
  <c r="M690" i="8"/>
  <c r="M698" i="8"/>
  <c r="M706" i="8"/>
  <c r="M714" i="8"/>
  <c r="M719" i="8"/>
  <c r="L719" i="8"/>
  <c r="M720" i="8"/>
  <c r="L736" i="8"/>
  <c r="M746" i="8"/>
  <c r="M751" i="8"/>
  <c r="L751" i="8"/>
  <c r="M752" i="8"/>
  <c r="M780" i="8"/>
  <c r="L780" i="8"/>
  <c r="M787" i="8"/>
  <c r="L787" i="8"/>
  <c r="M796" i="8"/>
  <c r="L796" i="8"/>
  <c r="M803" i="8"/>
  <c r="L803" i="8"/>
  <c r="M812" i="8"/>
  <c r="L812" i="8"/>
  <c r="M819" i="8"/>
  <c r="L819" i="8"/>
  <c r="M828" i="8"/>
  <c r="L828" i="8"/>
  <c r="M851" i="8"/>
  <c r="L851" i="8"/>
  <c r="L937" i="8"/>
  <c r="M937" i="8"/>
  <c r="L614" i="8"/>
  <c r="L618" i="8"/>
  <c r="L622" i="8"/>
  <c r="L626" i="8"/>
  <c r="M641" i="8"/>
  <c r="M657" i="8"/>
  <c r="L663" i="8"/>
  <c r="M666" i="8"/>
  <c r="M669" i="8"/>
  <c r="L692" i="8"/>
  <c r="L700" i="8"/>
  <c r="L708" i="8"/>
  <c r="M738" i="8"/>
  <c r="M743" i="8"/>
  <c r="L743" i="8"/>
  <c r="L760" i="8"/>
  <c r="M765" i="8"/>
  <c r="M770" i="8"/>
  <c r="M775" i="8"/>
  <c r="L775" i="8"/>
  <c r="M777" i="8"/>
  <c r="M784" i="8"/>
  <c r="L784" i="8"/>
  <c r="M791" i="8"/>
  <c r="L791" i="8"/>
  <c r="M793" i="8"/>
  <c r="M800" i="8"/>
  <c r="L800" i="8"/>
  <c r="M807" i="8"/>
  <c r="L807" i="8"/>
  <c r="M816" i="8"/>
  <c r="L816" i="8"/>
  <c r="M823" i="8"/>
  <c r="L823" i="8"/>
  <c r="M832" i="8"/>
  <c r="L832" i="8"/>
  <c r="M844" i="8"/>
  <c r="L844" i="8"/>
  <c r="M857" i="8"/>
  <c r="L631" i="8"/>
  <c r="L642" i="8"/>
  <c r="L647" i="8"/>
  <c r="L658" i="8"/>
  <c r="L664" i="8"/>
  <c r="L683" i="8"/>
  <c r="M686" i="8"/>
  <c r="M689" i="8"/>
  <c r="M697" i="8"/>
  <c r="M705" i="8"/>
  <c r="M713" i="8"/>
  <c r="M718" i="8"/>
  <c r="M723" i="8"/>
  <c r="L723" i="8"/>
  <c r="L740" i="8"/>
  <c r="M745" i="8"/>
  <c r="M750" i="8"/>
  <c r="M755" i="8"/>
  <c r="L755" i="8"/>
  <c r="L772" i="8"/>
  <c r="M809" i="8"/>
  <c r="M848" i="8"/>
  <c r="L848" i="8"/>
  <c r="M912" i="8"/>
  <c r="L912" i="8"/>
  <c r="L969" i="8"/>
  <c r="M969" i="8"/>
  <c r="L561" i="8"/>
  <c r="L565" i="8"/>
  <c r="L569" i="8"/>
  <c r="L573" i="8"/>
  <c r="L577" i="8"/>
  <c r="L581" i="8"/>
  <c r="L585" i="8"/>
  <c r="L589" i="8"/>
  <c r="L593" i="8"/>
  <c r="L597" i="8"/>
  <c r="L601" i="8"/>
  <c r="L605" i="8"/>
  <c r="L609" i="8"/>
  <c r="L613" i="8"/>
  <c r="L617" i="8"/>
  <c r="L621" i="8"/>
  <c r="L625" i="8"/>
  <c r="L632" i="8"/>
  <c r="M637" i="8"/>
  <c r="L648" i="8"/>
  <c r="M653" i="8"/>
  <c r="L671" i="8"/>
  <c r="M674" i="8"/>
  <c r="L684" i="8"/>
  <c r="M687" i="8"/>
  <c r="L690" i="8"/>
  <c r="M694" i="8"/>
  <c r="M702" i="8"/>
  <c r="M710" i="8"/>
  <c r="M730" i="8"/>
  <c r="M735" i="8"/>
  <c r="L735" i="8"/>
  <c r="M762" i="8"/>
  <c r="M767" i="8"/>
  <c r="L767" i="8"/>
  <c r="M779" i="8"/>
  <c r="L779" i="8"/>
  <c r="M788" i="8"/>
  <c r="L788" i="8"/>
  <c r="M795" i="8"/>
  <c r="L795" i="8"/>
  <c r="M804" i="8"/>
  <c r="L804" i="8"/>
  <c r="M811" i="8"/>
  <c r="L811" i="8"/>
  <c r="M820" i="8"/>
  <c r="L820" i="8"/>
  <c r="M827" i="8"/>
  <c r="L827" i="8"/>
  <c r="L643" i="8"/>
  <c r="L659" i="8"/>
  <c r="M662" i="8"/>
  <c r="M665" i="8"/>
  <c r="L691" i="8"/>
  <c r="L699" i="8"/>
  <c r="M715" i="8"/>
  <c r="L715" i="8"/>
  <c r="L732" i="8"/>
  <c r="M737" i="8"/>
  <c r="M747" i="8"/>
  <c r="L747" i="8"/>
  <c r="L764" i="8"/>
  <c r="M769" i="8"/>
  <c r="M859" i="8"/>
  <c r="L859" i="8"/>
  <c r="L612" i="8"/>
  <c r="M633" i="8"/>
  <c r="M649" i="8"/>
  <c r="M663" i="8"/>
  <c r="L666" i="8"/>
  <c r="L679" i="8"/>
  <c r="M682" i="8"/>
  <c r="M685" i="8"/>
  <c r="M692" i="8"/>
  <c r="L696" i="8"/>
  <c r="M700" i="8"/>
  <c r="L704" i="8"/>
  <c r="M708" i="8"/>
  <c r="L712" i="8"/>
  <c r="M717" i="8"/>
  <c r="M722" i="8"/>
  <c r="M727" i="8"/>
  <c r="L727" i="8"/>
  <c r="M728" i="8"/>
  <c r="L744" i="8"/>
  <c r="M749" i="8"/>
  <c r="M754" i="8"/>
  <c r="M759" i="8"/>
  <c r="L759" i="8"/>
  <c r="M776" i="8"/>
  <c r="L776" i="8"/>
  <c r="M783" i="8"/>
  <c r="L783" i="8"/>
  <c r="M785" i="8"/>
  <c r="M792" i="8"/>
  <c r="L792" i="8"/>
  <c r="M799" i="8"/>
  <c r="L799" i="8"/>
  <c r="M808" i="8"/>
  <c r="L808" i="8"/>
  <c r="M815" i="8"/>
  <c r="L815" i="8"/>
  <c r="M824" i="8"/>
  <c r="L824" i="8"/>
  <c r="M831" i="8"/>
  <c r="L831" i="8"/>
  <c r="L833" i="8"/>
  <c r="L845" i="8"/>
  <c r="M856" i="8"/>
  <c r="L856" i="8"/>
  <c r="M944" i="8"/>
  <c r="L944" i="8"/>
  <c r="L639" i="8"/>
  <c r="L655" i="8"/>
  <c r="L667" i="8"/>
  <c r="M670" i="8"/>
  <c r="M673" i="8"/>
  <c r="M693" i="8"/>
  <c r="M701" i="8"/>
  <c r="M709" i="8"/>
  <c r="L724" i="8"/>
  <c r="M729" i="8"/>
  <c r="M739" i="8"/>
  <c r="L739" i="8"/>
  <c r="L756" i="8"/>
  <c r="M761" i="8"/>
  <c r="M771" i="8"/>
  <c r="L771" i="8"/>
  <c r="M865" i="8"/>
  <c r="L865" i="8"/>
  <c r="M835" i="8"/>
  <c r="L843" i="8"/>
  <c r="L855" i="8"/>
  <c r="M868" i="8"/>
  <c r="L868" i="8"/>
  <c r="L873" i="8"/>
  <c r="M876" i="8"/>
  <c r="L876" i="8"/>
  <c r="L881" i="8"/>
  <c r="M884" i="8"/>
  <c r="L884" i="8"/>
  <c r="L889" i="8"/>
  <c r="M892" i="8"/>
  <c r="L892" i="8"/>
  <c r="L897" i="8"/>
  <c r="M900" i="8"/>
  <c r="L900" i="8"/>
  <c r="M915" i="8"/>
  <c r="L925" i="8"/>
  <c r="M932" i="8"/>
  <c r="L932" i="8"/>
  <c r="M947" i="8"/>
  <c r="L957" i="8"/>
  <c r="M964" i="8"/>
  <c r="L964" i="8"/>
  <c r="M979" i="8"/>
  <c r="M996" i="8"/>
  <c r="M1011" i="8"/>
  <c r="M1028" i="8"/>
  <c r="M1043" i="8"/>
  <c r="M1060" i="8"/>
  <c r="L1075" i="8"/>
  <c r="M1092" i="8"/>
  <c r="M1107" i="8"/>
  <c r="M1124" i="8"/>
  <c r="M1139" i="8"/>
  <c r="M1156" i="8"/>
  <c r="M847" i="8"/>
  <c r="M907" i="8"/>
  <c r="L909" i="8"/>
  <c r="L917" i="8"/>
  <c r="M924" i="8"/>
  <c r="L924" i="8"/>
  <c r="M925" i="8"/>
  <c r="M939" i="8"/>
  <c r="L949" i="8"/>
  <c r="M956" i="8"/>
  <c r="L956" i="8"/>
  <c r="M957" i="8"/>
  <c r="M971" i="8"/>
  <c r="L981" i="8"/>
  <c r="M988" i="8"/>
  <c r="M1003" i="8"/>
  <c r="M1020" i="8"/>
  <c r="M1035" i="8"/>
  <c r="M1052" i="8"/>
  <c r="L1067" i="8"/>
  <c r="M1084" i="8"/>
  <c r="M1099" i="8"/>
  <c r="M1116" i="8"/>
  <c r="M1131" i="8"/>
  <c r="M1148" i="8"/>
  <c r="M1163" i="8"/>
  <c r="M840" i="8"/>
  <c r="M864" i="8"/>
  <c r="L864" i="8"/>
  <c r="M867" i="8"/>
  <c r="M875" i="8"/>
  <c r="M883" i="8"/>
  <c r="M891" i="8"/>
  <c r="M899" i="8"/>
  <c r="M904" i="8"/>
  <c r="L904" i="8"/>
  <c r="M919" i="8"/>
  <c r="L929" i="8"/>
  <c r="M936" i="8"/>
  <c r="L936" i="8"/>
  <c r="M951" i="8"/>
  <c r="L961" i="8"/>
  <c r="M968" i="8"/>
  <c r="L968" i="8"/>
  <c r="M983" i="8"/>
  <c r="M1015" i="8"/>
  <c r="M1047" i="8"/>
  <c r="L1079" i="8"/>
  <c r="M852" i="8"/>
  <c r="L852" i="8"/>
  <c r="L869" i="8"/>
  <c r="M872" i="8"/>
  <c r="L872" i="8"/>
  <c r="L877" i="8"/>
  <c r="M880" i="8"/>
  <c r="L880" i="8"/>
  <c r="L885" i="8"/>
  <c r="M888" i="8"/>
  <c r="L888" i="8"/>
  <c r="L893" i="8"/>
  <c r="M896" i="8"/>
  <c r="L896" i="8"/>
  <c r="L901" i="8"/>
  <c r="M916" i="8"/>
  <c r="L916" i="8"/>
  <c r="M948" i="8"/>
  <c r="L948" i="8"/>
  <c r="M980" i="8"/>
  <c r="L980" i="8"/>
  <c r="M1012" i="8"/>
  <c r="M1044" i="8"/>
  <c r="M1140" i="8"/>
  <c r="M836" i="8"/>
  <c r="L850" i="8"/>
  <c r="L870" i="8"/>
  <c r="L878" i="8"/>
  <c r="L886" i="8"/>
  <c r="L894" i="8"/>
  <c r="M911" i="8"/>
  <c r="L921" i="8"/>
  <c r="M928" i="8"/>
  <c r="L928" i="8"/>
  <c r="M929" i="8"/>
  <c r="M943" i="8"/>
  <c r="L953" i="8"/>
  <c r="M960" i="8"/>
  <c r="L960" i="8"/>
  <c r="M961" i="8"/>
  <c r="M975" i="8"/>
  <c r="L985" i="8"/>
  <c r="M992" i="8"/>
  <c r="M1007" i="8"/>
  <c r="M1024" i="8"/>
  <c r="M1039" i="8"/>
  <c r="M1056" i="8"/>
  <c r="L1071" i="8"/>
  <c r="M1088" i="8"/>
  <c r="M1103" i="8"/>
  <c r="M1120" i="8"/>
  <c r="M1135" i="8"/>
  <c r="M1152" i="8"/>
  <c r="M1167" i="8"/>
  <c r="M839" i="8"/>
  <c r="M860" i="8"/>
  <c r="L860" i="8"/>
  <c r="M863" i="8"/>
  <c r="M908" i="8"/>
  <c r="L908" i="8"/>
  <c r="M923" i="8"/>
  <c r="L933" i="8"/>
  <c r="M940" i="8"/>
  <c r="L940" i="8"/>
  <c r="M941" i="8"/>
  <c r="M955" i="8"/>
  <c r="L965" i="8"/>
  <c r="M972" i="8"/>
  <c r="L972" i="8"/>
  <c r="M973" i="8"/>
  <c r="M987" i="8"/>
  <c r="M1004" i="8"/>
  <c r="M1019" i="8"/>
  <c r="M1036" i="8"/>
  <c r="M1051" i="8"/>
  <c r="M1068" i="8"/>
  <c r="L1083" i="8"/>
  <c r="M1100" i="8"/>
  <c r="M1115" i="8"/>
  <c r="M1132" i="8"/>
  <c r="M1147" i="8"/>
  <c r="M1164" i="8"/>
  <c r="L905" i="8"/>
  <c r="M920" i="8"/>
  <c r="L920" i="8"/>
  <c r="M952" i="8"/>
  <c r="L952" i="8"/>
  <c r="L984" i="8"/>
  <c r="L988" i="8"/>
  <c r="L992" i="8"/>
  <c r="L996" i="8"/>
  <c r="L1000" i="8"/>
  <c r="L1004" i="8"/>
  <c r="L1008" i="8"/>
  <c r="L1012" i="8"/>
  <c r="L1016" i="8"/>
  <c r="L1020" i="8"/>
  <c r="L1024" i="8"/>
  <c r="L1028" i="8"/>
  <c r="L1032" i="8"/>
  <c r="L1036" i="8"/>
  <c r="L1040" i="8"/>
  <c r="L1044" i="8"/>
  <c r="L1048" i="8"/>
  <c r="L1052" i="8"/>
  <c r="L1056" i="8"/>
  <c r="L1060" i="8"/>
  <c r="L1064" i="8"/>
  <c r="L1068" i="8"/>
  <c r="L1072" i="8"/>
  <c r="L1076" i="8"/>
  <c r="L1080" i="8"/>
  <c r="L1084" i="8"/>
  <c r="L1088" i="8"/>
  <c r="L1092" i="8"/>
  <c r="L1096" i="8"/>
  <c r="L1100" i="8"/>
  <c r="L1104" i="8"/>
  <c r="L1108" i="8"/>
  <c r="L1112" i="8"/>
  <c r="L1116" i="8"/>
  <c r="L1120" i="8"/>
  <c r="L1124" i="8"/>
  <c r="L1128" i="8"/>
  <c r="L1132" i="8"/>
  <c r="L1136" i="8"/>
  <c r="L1140" i="8"/>
  <c r="L1144" i="8"/>
  <c r="L1148" i="8"/>
  <c r="L1152" i="8"/>
  <c r="L1156" i="8"/>
  <c r="L1160" i="8"/>
  <c r="L1164" i="8"/>
  <c r="L1168" i="8"/>
  <c r="L911" i="8"/>
  <c r="L915" i="8"/>
  <c r="L919" i="8"/>
  <c r="L923" i="8"/>
  <c r="L927" i="8"/>
  <c r="L931" i="8"/>
  <c r="L935" i="8"/>
  <c r="L939" i="8"/>
  <c r="L943" i="8"/>
  <c r="L947" i="8"/>
  <c r="L951" i="8"/>
  <c r="L955" i="8"/>
  <c r="L959" i="8"/>
  <c r="L963" i="8"/>
  <c r="L967" i="8"/>
  <c r="L971" i="8"/>
  <c r="L975" i="8"/>
  <c r="L979" i="8"/>
  <c r="L983" i="8"/>
  <c r="L987" i="8"/>
  <c r="L991" i="8"/>
  <c r="L995" i="8"/>
  <c r="L999" i="8"/>
  <c r="L1003" i="8"/>
  <c r="L1007" i="8"/>
  <c r="L1011" i="8"/>
  <c r="L1015" i="8"/>
  <c r="L1019" i="8"/>
  <c r="L1023" i="8"/>
  <c r="L1027" i="8"/>
  <c r="L1031" i="8"/>
  <c r="L1035" i="8"/>
  <c r="L1039" i="8"/>
  <c r="L1043" i="8"/>
  <c r="L1047" i="8"/>
  <c r="L1051" i="8"/>
  <c r="L1055" i="8"/>
  <c r="L1059" i="8"/>
  <c r="L1063" i="8"/>
  <c r="L1095" i="8"/>
  <c r="L1099" i="8"/>
  <c r="L1103" i="8"/>
  <c r="L1107" i="8"/>
  <c r="L1111" i="8"/>
  <c r="L1115" i="8"/>
  <c r="L1119" i="8"/>
  <c r="L1123" i="8"/>
  <c r="L1127" i="8"/>
  <c r="L1131" i="8"/>
  <c r="L1135" i="8"/>
  <c r="L1139" i="8"/>
  <c r="L1143" i="8"/>
  <c r="L1147" i="8"/>
  <c r="L1151" i="8"/>
  <c r="L1155" i="8"/>
  <c r="L1159" i="8"/>
  <c r="L1163" i="8"/>
  <c r="L1167" i="8"/>
  <c r="A10" i="21" l="1"/>
  <c r="CA9" i="21"/>
  <c r="BY9" i="21"/>
  <c r="BX9" i="21"/>
  <c r="A11" i="21" l="1"/>
  <c r="CA10" i="21"/>
  <c r="BY10" i="21"/>
  <c r="BX10" i="21"/>
  <c r="A12" i="21" l="1"/>
  <c r="CA11" i="21"/>
  <c r="BY11" i="21"/>
  <c r="BX11" i="21"/>
  <c r="A13" i="21" l="1"/>
  <c r="CA12" i="21"/>
  <c r="BX12" i="21"/>
  <c r="BY12" i="21"/>
  <c r="A14" i="21" l="1"/>
  <c r="CA13" i="21"/>
  <c r="BY13" i="21"/>
  <c r="BX13" i="21"/>
  <c r="A15" i="21" l="1"/>
  <c r="CA14" i="21"/>
  <c r="BX14" i="21"/>
  <c r="BY14" i="21"/>
  <c r="A16" i="21" l="1"/>
  <c r="CA15" i="21"/>
  <c r="BY15" i="21"/>
  <c r="BX15" i="21"/>
  <c r="A17" i="21" l="1"/>
  <c r="CA16" i="21"/>
  <c r="BY16" i="21"/>
  <c r="BX16" i="21"/>
  <c r="A18" i="21" l="1"/>
  <c r="CA17" i="21"/>
  <c r="BY17" i="21"/>
  <c r="BX17" i="21"/>
  <c r="A19" i="21" l="1"/>
  <c r="CA18" i="21"/>
  <c r="BY18" i="21"/>
  <c r="BX18" i="21"/>
  <c r="A20" i="21" l="1"/>
  <c r="CA19" i="21"/>
  <c r="BY19" i="21"/>
  <c r="BX19" i="21"/>
  <c r="A21" i="21" l="1"/>
  <c r="CA20" i="21"/>
  <c r="BY20" i="21"/>
  <c r="BX20" i="21"/>
  <c r="A22" i="21" l="1"/>
  <c r="CA21" i="21"/>
  <c r="BY21" i="21"/>
  <c r="BX21" i="21"/>
  <c r="A23" i="21" l="1"/>
  <c r="CA22" i="21"/>
  <c r="BY22" i="21"/>
  <c r="BX22" i="21"/>
  <c r="A24" i="21" l="1"/>
  <c r="CA23" i="21"/>
  <c r="BY23" i="21"/>
  <c r="BX23" i="21"/>
  <c r="A25" i="21" l="1"/>
  <c r="CA24" i="21"/>
  <c r="BY24" i="21"/>
  <c r="BX24" i="21"/>
  <c r="A26" i="21" l="1"/>
  <c r="CA25" i="21"/>
  <c r="BX25" i="21"/>
  <c r="BY25" i="21"/>
  <c r="A27" i="21" l="1"/>
  <c r="CA26" i="21"/>
  <c r="BY26" i="21"/>
  <c r="BX26" i="21"/>
  <c r="A28" i="21" l="1"/>
  <c r="CA27" i="21"/>
  <c r="BX27" i="21"/>
  <c r="BY27" i="21"/>
  <c r="A29" i="21" l="1"/>
  <c r="CA28" i="21"/>
  <c r="BX28" i="21"/>
  <c r="BY28" i="21"/>
  <c r="A30" i="21" l="1"/>
  <c r="CA29" i="21"/>
  <c r="BY29" i="21"/>
  <c r="BX29" i="21"/>
  <c r="A31" i="21" l="1"/>
  <c r="CA30" i="21"/>
  <c r="BY30" i="21"/>
  <c r="BX30" i="21"/>
  <c r="A32" i="21" l="1"/>
  <c r="CA31" i="21"/>
  <c r="BX31" i="21"/>
  <c r="BY31" i="21"/>
  <c r="A33" i="21" l="1"/>
  <c r="CA32" i="21"/>
  <c r="BX32" i="21"/>
  <c r="BY32" i="21"/>
  <c r="A34" i="21" l="1"/>
  <c r="CA33" i="21"/>
  <c r="BX33" i="21"/>
  <c r="BY33" i="21"/>
  <c r="A35" i="21" l="1"/>
  <c r="CA34" i="21"/>
  <c r="BY34" i="21"/>
  <c r="BX34" i="21"/>
  <c r="A36" i="21" l="1"/>
  <c r="CA35" i="21"/>
  <c r="BX35" i="21"/>
  <c r="BY35" i="21"/>
  <c r="A37" i="21" l="1"/>
  <c r="CA36" i="21"/>
  <c r="BY36" i="21"/>
  <c r="BX36" i="21"/>
  <c r="A38" i="21" l="1"/>
  <c r="CA37" i="21"/>
  <c r="BX37" i="21"/>
  <c r="BY37" i="21"/>
  <c r="A39" i="21" l="1"/>
  <c r="CA38" i="21"/>
  <c r="BY38" i="21"/>
  <c r="BX38" i="21"/>
  <c r="A40" i="21" l="1"/>
  <c r="CA39" i="21"/>
  <c r="BY39" i="21"/>
  <c r="BX39" i="21"/>
  <c r="A41" i="21" l="1"/>
  <c r="CA40" i="21"/>
  <c r="BY40" i="21"/>
  <c r="BX40" i="21"/>
  <c r="A42" i="21" l="1"/>
  <c r="CA41" i="21"/>
  <c r="BX41" i="21"/>
  <c r="BY41" i="21"/>
  <c r="A43" i="21" l="1"/>
  <c r="CA42" i="21"/>
  <c r="BX42" i="21"/>
  <c r="BY42" i="21"/>
  <c r="A44" i="21" l="1"/>
  <c r="CA43" i="21"/>
  <c r="BX43" i="21"/>
  <c r="BY43" i="21"/>
  <c r="A45" i="21" l="1"/>
  <c r="CA44" i="21"/>
  <c r="BY44" i="21"/>
  <c r="BX44" i="21"/>
  <c r="A46" i="21" l="1"/>
  <c r="CA45" i="21"/>
  <c r="BY45" i="21"/>
  <c r="BX45" i="21"/>
  <c r="A47" i="21" l="1"/>
  <c r="CA46" i="21"/>
  <c r="BX46" i="21"/>
  <c r="BY46" i="21"/>
  <c r="A48" i="21" l="1"/>
  <c r="CA47" i="21"/>
  <c r="BX47" i="21"/>
  <c r="BY47" i="21"/>
  <c r="A49" i="21" l="1"/>
  <c r="CA48" i="21"/>
  <c r="BX48" i="21"/>
  <c r="BY48" i="21"/>
  <c r="A50" i="21" l="1"/>
  <c r="CA49" i="21"/>
  <c r="BX49" i="21"/>
  <c r="BY49" i="21"/>
  <c r="A51" i="21" l="1"/>
  <c r="CA50" i="21"/>
  <c r="BX50" i="21"/>
  <c r="BY50" i="21"/>
  <c r="A52" i="21" l="1"/>
  <c r="CA51" i="21"/>
  <c r="BX51" i="21"/>
  <c r="BY51" i="21"/>
  <c r="A53" i="21" l="1"/>
  <c r="CA52" i="21"/>
  <c r="BX52" i="21"/>
  <c r="BY52" i="21"/>
  <c r="A54" i="21" l="1"/>
  <c r="CA53" i="21"/>
  <c r="BX53" i="21"/>
  <c r="BY53" i="21"/>
  <c r="A55" i="21" l="1"/>
  <c r="CA54" i="21"/>
  <c r="BY54" i="21"/>
  <c r="BX54" i="21"/>
  <c r="A56" i="21" l="1"/>
  <c r="CA55" i="21"/>
  <c r="BY55" i="21"/>
  <c r="BX55" i="21"/>
  <c r="A57" i="21" l="1"/>
  <c r="CA56" i="21"/>
  <c r="BX56" i="21"/>
  <c r="BY56" i="21"/>
  <c r="A58" i="21" l="1"/>
  <c r="CA57" i="21"/>
  <c r="BY57" i="21"/>
  <c r="BX57" i="21"/>
  <c r="A59" i="21" l="1"/>
  <c r="CA58" i="21"/>
  <c r="BX58" i="21"/>
  <c r="BY58" i="21"/>
  <c r="A60" i="21" l="1"/>
  <c r="CA59" i="21"/>
  <c r="BY59" i="21"/>
  <c r="BX59" i="21"/>
  <c r="A61" i="21" l="1"/>
  <c r="CA60" i="21"/>
  <c r="BX60" i="21"/>
  <c r="BY60" i="21"/>
  <c r="A62" i="21" l="1"/>
  <c r="CA61" i="21"/>
  <c r="BX61" i="21"/>
  <c r="BY61" i="21"/>
  <c r="A63" i="21" l="1"/>
  <c r="CA62" i="21"/>
  <c r="BY62" i="21"/>
  <c r="BX62" i="21"/>
  <c r="A64" i="21" l="1"/>
  <c r="CA63" i="21"/>
  <c r="BY63" i="21"/>
  <c r="BX63" i="21"/>
  <c r="A65" i="21" l="1"/>
  <c r="CA64" i="21"/>
  <c r="BX64" i="21"/>
  <c r="BY64" i="21"/>
  <c r="A66" i="21" l="1"/>
  <c r="CA65" i="21"/>
  <c r="BY65" i="21"/>
  <c r="BX65" i="21"/>
  <c r="A67" i="21" l="1"/>
  <c r="CA66" i="21"/>
  <c r="BY66" i="21"/>
  <c r="BX66" i="21"/>
  <c r="A68" i="21" l="1"/>
  <c r="CA67" i="21"/>
  <c r="BY67" i="21"/>
  <c r="BX67" i="21"/>
  <c r="A69" i="21" l="1"/>
  <c r="CA68" i="21"/>
  <c r="BX68" i="21"/>
  <c r="BY68" i="21"/>
  <c r="A70" i="21" l="1"/>
  <c r="CA69" i="21"/>
  <c r="BX69" i="21"/>
  <c r="BY69" i="21"/>
</calcChain>
</file>

<file path=xl/sharedStrings.xml><?xml version="1.0" encoding="utf-8"?>
<sst xmlns="http://schemas.openxmlformats.org/spreadsheetml/2006/main" count="28704" uniqueCount="2670">
  <si>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</si>
  <si>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</si>
  <si>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</si>
  <si>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</si>
  <si>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</si>
  <si>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</si>
  <si>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</si>
  <si>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</si>
  <si>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</si>
  <si>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</si>
  <si>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</si>
  <si>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</si>
  <si>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</si>
  <si>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</si>
  <si>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</si>
  <si>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</si>
  <si>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</si>
  <si>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</si>
  <si>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</si>
  <si>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</si>
  <si>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</si>
  <si>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</si>
  <si>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</si>
  <si>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</si>
  <si>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</si>
  <si>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</si>
  <si>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</si>
  <si>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</si>
  <si>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</si>
  <si>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</si>
  <si>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</si>
  <si>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</si>
  <si>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</si>
  <si>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</si>
  <si>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</si>
  <si>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</si>
  <si>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</si>
  <si>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</si>
  <si>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</si>
  <si>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</si>
  <si>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</si>
  <si>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</si>
  <si>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</si>
  <si>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</si>
  <si>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1</t>
  </si>
  <si>
    <t>31</t>
  </si>
  <si>
    <t>0003</t>
  </si>
  <si>
    <t>20446109096</t>
  </si>
  <si>
    <t>000000000000000</t>
  </si>
  <si>
    <t>'A.2.3.'</t>
  </si>
  <si>
    <t>20602396096</t>
  </si>
  <si>
    <t>'B.1.'</t>
  </si>
  <si>
    <t>20675830096</t>
  </si>
  <si>
    <t>'A.1.1.'</t>
  </si>
  <si>
    <t>89</t>
  </si>
  <si>
    <t>0000</t>
  </si>
  <si>
    <t>00008046586</t>
  </si>
  <si>
    <t>000530000778212</t>
  </si>
  <si>
    <t>'A.2.5.'</t>
  </si>
  <si>
    <t>20470315096</t>
  </si>
  <si>
    <t>'A.3.7.'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</si>
  <si>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</si>
  <si>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</si>
  <si>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</si>
  <si>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</si>
  <si>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</si>
  <si>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</si>
  <si>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</si>
  <si>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</si>
  <si>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</si>
  <si>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</si>
  <si>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</si>
  <si>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</si>
  <si>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</si>
  <si>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</si>
  <si>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</si>
  <si>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'A.7.7.'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</si>
  <si>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</si>
  <si>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</si>
  <si>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</si>
  <si>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</si>
  <si>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</si>
  <si>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</si>
  <si>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</si>
  <si>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</si>
  <si>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</si>
  <si>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</si>
  <si>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</si>
  <si>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</si>
  <si>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</si>
  <si>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</si>
  <si>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</si>
  <si>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</si>
  <si>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</si>
  <si>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</si>
  <si>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</si>
  <si>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</si>
  <si>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</si>
  <si>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</si>
  <si>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</si>
  <si>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</si>
  <si>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</si>
  <si>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</si>
  <si>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</si>
  <si>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</si>
  <si>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</si>
  <si>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</si>
  <si>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</si>
  <si>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</si>
  <si>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</si>
  <si>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</si>
  <si>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</si>
  <si>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</si>
  <si>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</si>
  <si>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</si>
  <si>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</si>
  <si>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</si>
  <si>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'Sustainability Linked Finance - Default'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</si>
  <si>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</si>
  <si>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</si>
  <si>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</si>
  <si>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</si>
  <si>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</si>
  <si>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</si>
  <si>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</si>
  <si>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</si>
  <si>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</si>
  <si>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</si>
  <si>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</si>
  <si>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</si>
  <si>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</si>
  <si>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</si>
  <si>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</si>
  <si>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</si>
  <si>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</si>
  <si>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</si>
  <si>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</si>
  <si>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</si>
  <si>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</si>
  <si>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</si>
  <si>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</si>
  <si>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</si>
  <si>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</si>
  <si>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</si>
  <si>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</si>
  <si>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</si>
  <si>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</si>
  <si>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</si>
  <si>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</si>
  <si>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</si>
  <si>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</si>
  <si>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</si>
  <si>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</si>
  <si>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</si>
  <si>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</si>
  <si>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</si>
  <si>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</si>
  <si>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</si>
  <si>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</si>
  <si>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</si>
  <si>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</si>
  <si>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</si>
  <si>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</si>
  <si>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</si>
  <si>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</si>
  <si>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</si>
  <si>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</si>
  <si>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</si>
  <si>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</si>
  <si>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</si>
  <si>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</si>
  <si>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</si>
  <si>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</si>
  <si>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</si>
  <si>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</si>
  <si>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</si>
  <si>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</si>
  <si>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</si>
  <si>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</si>
  <si>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</si>
  <si>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</si>
  <si>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</si>
  <si>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</si>
  <si>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</si>
  <si>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</si>
  <si>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</si>
  <si>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</si>
  <si>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</si>
  <si>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</si>
  <si>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</si>
  <si>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'Pure Green counterparty - Default'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</si>
  <si>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</si>
  <si>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</si>
  <si>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</si>
  <si>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</si>
  <si>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</si>
  <si>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</si>
  <si>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</si>
  <si>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</si>
  <si>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</si>
  <si>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</si>
  <si>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</si>
  <si>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</si>
  <si>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</si>
  <si>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</si>
  <si>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</si>
  <si>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</si>
  <si>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</si>
  <si>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</si>
  <si>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'A.3.1.'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</si>
  <si>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</si>
  <si>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</si>
  <si>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</si>
  <si>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</si>
  <si>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</si>
  <si>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</si>
  <si>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</si>
  <si>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</si>
  <si>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</si>
  <si>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</si>
  <si>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</si>
  <si>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</si>
  <si>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</si>
  <si>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</si>
  <si>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</si>
  <si>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</si>
  <si>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</si>
  <si>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</si>
  <si>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</si>
  <si>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</si>
  <si>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</si>
  <si>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</si>
  <si>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</si>
  <si>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</si>
  <si>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</si>
  <si>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</si>
  <si>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</si>
  <si>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</si>
  <si>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</si>
  <si>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</si>
  <si>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</si>
  <si>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</si>
  <si>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</si>
  <si>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</si>
  <si>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</si>
  <si>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</si>
  <si>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</si>
  <si>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</si>
  <si>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</si>
  <si>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</si>
  <si>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</si>
  <si>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</si>
  <si>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</si>
  <si>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</si>
  <si>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</si>
  <si>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</si>
  <si>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</si>
  <si>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</si>
  <si>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</si>
  <si>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</si>
  <si>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</si>
  <si>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</si>
  <si>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</si>
  <si>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</si>
  <si>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</si>
  <si>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</si>
  <si>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</si>
  <si>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</si>
  <si>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</si>
  <si>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</si>
  <si>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</si>
  <si>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</si>
  <si>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</si>
  <si>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</si>
  <si>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</si>
  <si>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</si>
  <si>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</si>
  <si>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</si>
  <si>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</si>
  <si>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</si>
  <si>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</si>
  <si>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</si>
  <si>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</si>
  <si>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</si>
  <si>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</si>
  <si>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</si>
  <si>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</si>
  <si>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</si>
  <si>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</si>
  <si>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</si>
  <si>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</si>
  <si>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</si>
  <si>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</si>
  <si>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</si>
  <si>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</si>
  <si>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</si>
  <si>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</si>
  <si>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</si>
  <si>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</si>
  <si>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</si>
  <si>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</si>
  <si>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</si>
  <si>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</si>
  <si>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</si>
  <si>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</si>
  <si>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</si>
  <si>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</si>
  <si>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</si>
  <si>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</si>
  <si>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</si>
  <si>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</si>
  <si>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</si>
  <si>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</si>
  <si>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</si>
  <si>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</si>
  <si>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</si>
  <si>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</si>
  <si>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</si>
  <si>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</si>
  <si>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</si>
  <si>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</si>
  <si>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</si>
  <si>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</si>
  <si>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</si>
  <si>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</si>
  <si>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</si>
  <si>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</si>
  <si>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</si>
  <si>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</si>
  <si>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</si>
  <si>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</si>
  <si>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</si>
  <si>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</si>
  <si>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</si>
  <si>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</si>
  <si>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</si>
  <si>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</si>
  <si>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</si>
  <si>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</si>
  <si>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</si>
  <si>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</si>
  <si>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</si>
  <si>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</si>
  <si>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</si>
  <si>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</si>
  <si>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</si>
  <si>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</si>
  <si>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</si>
  <si>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</si>
  <si>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</si>
  <si>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</si>
  <si>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</si>
  <si>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</si>
  <si>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</si>
  <si>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</si>
  <si>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</si>
  <si>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</si>
  <si>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</si>
  <si>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</si>
  <si>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</si>
  <si>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</si>
  <si>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</si>
  <si>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</si>
  <si>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</si>
  <si>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</si>
  <si>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</si>
  <si>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20451117096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</si>
  <si>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</si>
  <si>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</si>
  <si>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</si>
  <si>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</si>
  <si>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</si>
  <si>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</si>
  <si>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</si>
  <si>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</si>
  <si>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</si>
  <si>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</si>
  <si>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</si>
  <si>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</si>
  <si>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</si>
  <si>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</si>
  <si>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</si>
  <si>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</si>
  <si>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</si>
  <si>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</si>
  <si>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</si>
  <si>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</si>
  <si>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</si>
  <si>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</si>
  <si>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</si>
  <si>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</si>
  <si>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</si>
  <si>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</si>
  <si>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</si>
  <si>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</si>
  <si>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</si>
  <si>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</si>
  <si>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</si>
  <si>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</si>
  <si>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</si>
  <si>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</si>
  <si>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</si>
  <si>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</si>
  <si>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</si>
  <si>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</si>
  <si>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</si>
  <si>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</si>
  <si>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</si>
  <si>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</si>
  <si>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</si>
  <si>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</si>
  <si>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</si>
  <si>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</si>
  <si>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</si>
  <si>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</si>
  <si>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</si>
  <si>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</si>
  <si>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</si>
  <si>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</si>
  <si>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</si>
  <si>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</si>
  <si>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</si>
  <si>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</si>
  <si>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</si>
  <si>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</si>
  <si>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</si>
  <si>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</si>
  <si>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</si>
  <si>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</si>
  <si>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</si>
  <si>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</si>
  <si>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</si>
  <si>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</si>
  <si>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</si>
  <si>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</si>
  <si>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</si>
  <si>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</si>
  <si>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</si>
  <si>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</si>
  <si>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</si>
  <si>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</si>
  <si>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</si>
  <si>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</si>
  <si>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</si>
  <si>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</si>
  <si>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</si>
  <si>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</si>
  <si>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</si>
  <si>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</si>
  <si>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</si>
  <si>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</si>
  <si>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</si>
  <si>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</si>
  <si>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</si>
  <si>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</si>
  <si>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</si>
  <si>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</si>
  <si>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</si>
  <si>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</si>
  <si>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</si>
  <si>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</si>
  <si>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</si>
  <si>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</si>
  <si>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</si>
  <si>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</si>
  <si>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</si>
  <si>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</si>
  <si>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</si>
  <si>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</si>
  <si>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</si>
  <si>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</si>
  <si>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</si>
  <si>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</si>
  <si>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</si>
  <si>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</si>
  <si>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</si>
  <si>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</si>
  <si>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</si>
  <si>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</si>
  <si>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</si>
  <si>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</si>
  <si>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</si>
  <si>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</si>
  <si>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</si>
  <si>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</si>
  <si>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</si>
  <si>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</si>
  <si>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</si>
  <si>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</si>
  <si>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</si>
  <si>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</si>
  <si>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</si>
  <si>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</si>
  <si>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</si>
  <si>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</si>
  <si>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</si>
  <si>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</si>
  <si>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</si>
  <si>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</si>
  <si>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</si>
  <si>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</si>
  <si>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</si>
  <si>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</si>
  <si>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</si>
  <si>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</si>
  <si>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</si>
  <si>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</si>
  <si>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</si>
  <si>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</si>
  <si>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</si>
  <si>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</si>
  <si>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</si>
  <si>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</si>
  <si>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</si>
  <si>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</si>
  <si>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</si>
  <si>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</si>
  <si>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</si>
  <si>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</si>
  <si>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</si>
  <si>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</si>
  <si>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</si>
  <si>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</si>
  <si>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</si>
  <si>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</si>
  <si>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</si>
  <si>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</si>
  <si>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</si>
  <si>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</si>
  <si>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</si>
  <si>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</si>
  <si>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</si>
  <si>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</si>
  <si>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</si>
  <si>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</si>
  <si>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</si>
  <si>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</si>
  <si>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</si>
  <si>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</si>
  <si>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</si>
  <si>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</si>
  <si>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</si>
  <si>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</si>
  <si>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</si>
  <si>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</si>
  <si>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</si>
  <si>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</si>
  <si>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</si>
  <si>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</si>
  <si>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</si>
  <si>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</si>
  <si>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</si>
  <si>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</si>
  <si>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</si>
  <si>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</si>
  <si>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</si>
  <si>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</si>
  <si>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</si>
  <si>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</si>
  <si>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</si>
  <si>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</si>
  <si>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</si>
  <si>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</si>
  <si>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</si>
  <si>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</si>
  <si>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</si>
  <si>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</si>
  <si>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</si>
  <si>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</si>
  <si>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</si>
  <si>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</si>
  <si>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</si>
  <si>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</si>
  <si>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</si>
  <si>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</si>
  <si>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</si>
  <si>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</si>
  <si>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</si>
  <si>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</si>
  <si>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</si>
  <si>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</si>
  <si>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</si>
  <si>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</si>
  <si>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</si>
  <si>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</si>
  <si>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</si>
  <si>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</si>
  <si>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</si>
  <si>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</si>
  <si>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</si>
  <si>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</si>
  <si>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</si>
  <si>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</si>
  <si>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</si>
  <si>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</si>
  <si>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</si>
  <si>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</si>
  <si>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</si>
  <si>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</si>
  <si>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</si>
  <si>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</si>
  <si>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</si>
  <si>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</si>
  <si>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</si>
  <si>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</si>
  <si>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</si>
  <si>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</si>
  <si>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</si>
  <si>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</si>
  <si>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</si>
  <si>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</si>
  <si>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</si>
  <si>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</si>
  <si>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</si>
  <si>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</si>
  <si>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</si>
  <si>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</si>
  <si>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</si>
  <si>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</si>
  <si>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</si>
  <si>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</si>
  <si>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</si>
  <si>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</si>
  <si>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</si>
  <si>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</si>
  <si>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</si>
  <si>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</si>
  <si>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</si>
  <si>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</si>
  <si>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</si>
  <si>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</si>
  <si>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</si>
  <si>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</si>
  <si>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</si>
  <si>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</si>
  <si>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</si>
  <si>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</si>
  <si>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</si>
  <si>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</si>
  <si>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</si>
  <si>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</si>
  <si>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</si>
  <si>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</si>
  <si>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</si>
  <si>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</si>
  <si>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</si>
  <si>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</si>
  <si>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</si>
  <si>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</si>
  <si>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</si>
  <si>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</si>
  <si>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</si>
  <si>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</si>
  <si>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</si>
  <si>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</si>
  <si>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</si>
  <si>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</si>
  <si>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</si>
  <si>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</si>
  <si>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</si>
  <si>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</si>
  <si>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</si>
  <si>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</si>
  <si>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</si>
  <si>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</si>
  <si>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</si>
  <si>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</si>
  <si>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</si>
  <si>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</si>
  <si>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</si>
  <si>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</si>
  <si>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</si>
  <si>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</si>
  <si>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</si>
  <si>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</si>
  <si>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</si>
  <si>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</si>
  <si>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</si>
  <si>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</si>
  <si>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</si>
  <si>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</si>
  <si>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</si>
  <si>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</si>
  <si>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</si>
  <si>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</si>
  <si>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</si>
  <si>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</si>
  <si>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</si>
  <si>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</si>
  <si>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</si>
  <si>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</si>
  <si>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</si>
  <si>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</si>
  <si>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</si>
  <si>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</si>
  <si>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</si>
  <si>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</si>
  <si>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</si>
  <si>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</si>
  <si>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</si>
  <si>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</si>
  <si>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</si>
  <si>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</si>
  <si>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</si>
  <si>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</si>
  <si>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</si>
  <si>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</si>
  <si>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</si>
  <si>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</si>
  <si>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</si>
  <si>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</si>
  <si>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</si>
  <si>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</si>
  <si>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</si>
  <si>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</si>
  <si>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</si>
  <si>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</si>
  <si>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</si>
  <si>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</si>
  <si>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</si>
  <si>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</si>
  <si>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</si>
  <si>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</si>
  <si>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</si>
  <si>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</si>
  <si>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</si>
  <si>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</si>
  <si>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</si>
  <si>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</si>
  <si>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</si>
  <si>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</si>
  <si>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</si>
  <si>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</si>
  <si>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</si>
  <si>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</si>
  <si>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</si>
  <si>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</si>
  <si>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</si>
  <si>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</si>
  <si>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</si>
  <si>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</si>
  <si>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</si>
  <si>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</si>
  <si>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</si>
  <si>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</si>
  <si>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</si>
  <si>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</si>
  <si>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</si>
  <si>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</si>
  <si>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</si>
  <si>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</si>
  <si>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</si>
  <si>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</si>
  <si>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</si>
  <si>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</si>
  <si>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</si>
  <si>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</si>
  <si>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</si>
  <si>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</si>
  <si>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</si>
  <si>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</si>
  <si>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</si>
  <si>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</si>
  <si>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</si>
  <si>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</si>
  <si>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</si>
  <si>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</si>
  <si>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</si>
  <si>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</si>
  <si>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</si>
  <si>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</si>
  <si>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</si>
  <si>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</si>
  <si>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</si>
  <si>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</si>
  <si>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</si>
  <si>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</si>
  <si>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</si>
  <si>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</si>
  <si>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</si>
  <si>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</si>
  <si>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</si>
  <si>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</si>
  <si>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</si>
  <si>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</si>
  <si>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</si>
  <si>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</si>
  <si>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</si>
  <si>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</si>
  <si>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</si>
  <si>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</si>
  <si>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</si>
  <si>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</si>
  <si>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</si>
  <si>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</si>
  <si>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</si>
  <si>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</si>
  <si>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</si>
  <si>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</si>
  <si>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</si>
  <si>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</si>
  <si>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</si>
  <si>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</si>
  <si>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</si>
  <si>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</si>
  <si>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</si>
  <si>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</si>
  <si>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</si>
  <si>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</si>
  <si>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</si>
  <si>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</si>
  <si>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</si>
  <si>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</si>
  <si>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</si>
  <si>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</si>
  <si>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</si>
  <si>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</si>
  <si>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</si>
  <si>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</si>
  <si>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</si>
  <si>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</si>
  <si>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</si>
  <si>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</si>
  <si>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</si>
  <si>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</si>
  <si>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</si>
  <si>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</si>
  <si>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</si>
  <si>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</si>
  <si>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</si>
  <si>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</si>
  <si>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</si>
  <si>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</si>
  <si>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</si>
  <si>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</si>
  <si>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</si>
  <si>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</si>
  <si>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</si>
  <si>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</si>
  <si>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</si>
  <si>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</si>
  <si>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</si>
  <si>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</si>
  <si>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</si>
  <si>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</si>
  <si>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</si>
  <si>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</si>
  <si>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</si>
  <si>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</si>
  <si>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</si>
  <si>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</si>
  <si>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</si>
  <si>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</si>
  <si>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</si>
  <si>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</si>
  <si>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</si>
  <si>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</si>
  <si>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</si>
  <si>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</si>
  <si>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</si>
  <si>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</si>
  <si>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</si>
  <si>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</si>
  <si>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</si>
  <si>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</si>
  <si>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</si>
  <si>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</si>
  <si>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</si>
  <si>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</si>
  <si>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</si>
  <si>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</si>
  <si>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</si>
  <si>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</si>
  <si>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</si>
  <si>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</si>
  <si>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</si>
  <si>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</si>
  <si>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</si>
  <si>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</si>
  <si>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</si>
  <si>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</si>
  <si>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</si>
  <si>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</si>
  <si>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</si>
  <si>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</si>
  <si>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</si>
  <si>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</si>
  <si>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</si>
  <si>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</si>
  <si>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</si>
  <si>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</si>
  <si>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</si>
  <si>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</si>
  <si>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</si>
  <si>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</si>
  <si>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</si>
  <si>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</si>
  <si>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</si>
  <si>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</si>
  <si>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</si>
  <si>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</si>
  <si>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</si>
  <si>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</si>
  <si>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</si>
  <si>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</si>
  <si>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</si>
  <si>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</si>
  <si>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</si>
  <si>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</si>
  <si>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</si>
  <si>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</si>
  <si>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</si>
  <si>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</si>
  <si>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</si>
  <si>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</si>
  <si>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</si>
  <si>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</si>
  <si>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</si>
  <si>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</si>
  <si>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</si>
  <si>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</si>
  <si>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</si>
  <si>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</si>
  <si>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</si>
  <si>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</si>
  <si>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</si>
  <si>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</si>
  <si>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</si>
  <si>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</si>
  <si>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</si>
  <si>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</si>
  <si>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</si>
  <si>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</si>
  <si>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</si>
  <si>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</si>
  <si>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</si>
  <si>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</si>
  <si>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</si>
  <si>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</si>
  <si>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</si>
  <si>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</si>
  <si>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</si>
  <si>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</si>
  <si>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</si>
  <si>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</si>
  <si>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</si>
  <si>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'A.3.2.'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</si>
  <si>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</si>
  <si>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</si>
  <si>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</si>
  <si>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</si>
  <si>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</si>
  <si>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</si>
  <si>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</si>
  <si>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</si>
  <si>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</si>
  <si>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</si>
  <si>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</si>
  <si>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</si>
  <si>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</si>
  <si>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</si>
  <si>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</si>
  <si>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</si>
  <si>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</si>
  <si>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</si>
  <si>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</si>
  <si>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</si>
  <si>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</si>
  <si>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</si>
  <si>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</si>
  <si>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</si>
  <si>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</si>
  <si>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</si>
  <si>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</si>
  <si>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</si>
  <si>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</si>
  <si>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</si>
  <si>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</si>
  <si>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</si>
  <si>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</si>
  <si>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</si>
  <si>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</si>
  <si>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</si>
  <si>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'A.1.6.'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</si>
  <si>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</si>
  <si>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</si>
  <si>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</si>
  <si>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</si>
  <si>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</si>
  <si>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</si>
  <si>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</si>
  <si>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</si>
  <si>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</si>
  <si>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</si>
  <si>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</si>
  <si>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</si>
  <si>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</si>
  <si>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</si>
  <si>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</si>
  <si>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</si>
  <si>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</si>
  <si>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</si>
  <si>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</si>
  <si>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</si>
  <si>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</si>
  <si>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</si>
  <si>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</si>
  <si>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</si>
  <si>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</si>
  <si>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</si>
  <si>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</si>
  <si>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</si>
  <si>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</si>
  <si>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</si>
  <si>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</si>
  <si>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</si>
  <si>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</si>
  <si>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</si>
  <si>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</si>
  <si>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</si>
  <si>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</si>
  <si>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</si>
  <si>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</si>
  <si>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</si>
  <si>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</si>
  <si>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</si>
  <si>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</si>
  <si>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</si>
  <si>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</si>
  <si>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</si>
  <si>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</si>
  <si>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</si>
  <si>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</si>
  <si>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</si>
  <si>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</si>
  <si>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</si>
  <si>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</si>
  <si>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</si>
  <si>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</si>
  <si>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</si>
  <si>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</si>
  <si>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</si>
  <si>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</si>
  <si>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</si>
  <si>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</si>
  <si>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</si>
  <si>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</si>
  <si>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</si>
  <si>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</si>
  <si>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</si>
  <si>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</si>
  <si>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</si>
  <si>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</si>
  <si>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</si>
  <si>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</si>
  <si>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</si>
  <si>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</si>
  <si>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</si>
  <si>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</si>
  <si>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</si>
  <si>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</si>
  <si>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</si>
  <si>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</si>
  <si>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</si>
  <si>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</si>
  <si>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</si>
  <si>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</si>
  <si>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</si>
  <si>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</si>
  <si>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</si>
  <si>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</si>
  <si>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</si>
  <si>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</si>
  <si>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</si>
  <si>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</si>
  <si>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</si>
  <si>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</si>
  <si>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</si>
  <si>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</si>
  <si>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</si>
  <si>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</si>
  <si>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</si>
  <si>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</si>
  <si>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</si>
  <si>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</si>
  <si>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</si>
  <si>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</si>
  <si>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</si>
  <si>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</si>
  <si>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</si>
  <si>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</si>
  <si>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</si>
  <si>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</si>
  <si>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</si>
  <si>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</si>
  <si>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</si>
  <si>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</si>
  <si>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</si>
  <si>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</si>
  <si>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</si>
  <si>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</si>
  <si>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</si>
  <si>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</si>
  <si>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</si>
  <si>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</si>
  <si>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</si>
  <si>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</si>
  <si>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</si>
  <si>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</si>
  <si>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</si>
  <si>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</si>
  <si>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</si>
  <si>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</si>
  <si>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</si>
  <si>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</si>
  <si>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</si>
  <si>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</si>
  <si>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</si>
  <si>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</si>
  <si>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</si>
  <si>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</si>
  <si>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</si>
  <si>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</si>
  <si>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</si>
  <si>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</si>
  <si>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</si>
  <si>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</si>
  <si>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</si>
  <si>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</si>
  <si>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</si>
  <si>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</si>
  <si>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</si>
  <si>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</si>
  <si>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</si>
  <si>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</si>
  <si>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</si>
  <si>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</si>
  <si>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</si>
  <si>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</si>
  <si>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</si>
  <si>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</si>
  <si>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</si>
  <si>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</si>
  <si>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</si>
  <si>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</si>
  <si>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</si>
  <si>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</si>
  <si>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</si>
  <si>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</si>
  <si>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</si>
  <si>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</si>
  <si>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</si>
  <si>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</si>
  <si>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</si>
  <si>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</si>
  <si>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</si>
  <si>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</si>
  <si>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</si>
  <si>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</si>
  <si>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</si>
  <si>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</si>
  <si>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</si>
  <si>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</si>
  <si>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</si>
  <si>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'A.1.5.'</t>
  </si>
  <si>
    <t>18603074097</t>
  </si>
  <si>
    <t>20230000338</t>
  </si>
  <si>
    <t>19186658096</t>
  </si>
  <si>
    <t>18719830096</t>
  </si>
  <si>
    <t>00000000918</t>
  </si>
  <si>
    <t>'KPI Linked - Green'</t>
  </si>
  <si>
    <t>18922996096</t>
  </si>
  <si>
    <t>17691576096</t>
  </si>
  <si>
    <t>00000249673</t>
  </si>
  <si>
    <t>'A.7.12.'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</si>
  <si>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</si>
  <si>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</si>
  <si>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</si>
  <si>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</si>
  <si>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</si>
  <si>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</si>
  <si>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</si>
  <si>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</si>
  <si>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</si>
  <si>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</si>
  <si>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</si>
  <si>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</si>
  <si>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</si>
  <si>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</si>
  <si>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</si>
  <si>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</si>
  <si>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</si>
  <si>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</si>
  <si>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'A.8.10.'</t>
  </si>
  <si>
    <t>00177714007</t>
  </si>
  <si>
    <t>'A.2.2.'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</si>
  <si>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</si>
  <si>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</si>
  <si>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</si>
  <si>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</si>
  <si>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</si>
  <si>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</si>
  <si>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</si>
  <si>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</si>
  <si>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</si>
  <si>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</si>
  <si>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</si>
  <si>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</si>
  <si>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</si>
  <si>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</si>
  <si>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</si>
  <si>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</si>
  <si>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</si>
  <si>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</si>
  <si>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</si>
  <si>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'A.1.3.'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</si>
  <si>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</si>
  <si>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</si>
  <si>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</si>
  <si>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</si>
  <si>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</si>
  <si>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</si>
  <si>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</si>
  <si>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</si>
  <si>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</si>
  <si>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</si>
  <si>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</si>
  <si>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</si>
  <si>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</si>
  <si>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</si>
  <si>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</si>
  <si>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</si>
  <si>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</si>
  <si>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</si>
  <si>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</si>
  <si>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</si>
  <si>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</si>
  <si>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</si>
  <si>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</si>
  <si>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</si>
  <si>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</si>
  <si>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</si>
  <si>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</si>
  <si>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</si>
  <si>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</si>
  <si>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</si>
  <si>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</si>
  <si>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'A.6.19.'</t>
  </si>
  <si>
    <t>17092288096</t>
  </si>
  <si>
    <t>'A.7.18.'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</si>
  <si>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</si>
  <si>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</si>
  <si>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</si>
  <si>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</si>
  <si>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</si>
  <si>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</si>
  <si>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</si>
  <si>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</si>
  <si>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'A.8.23.'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</si>
  <si>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</si>
  <si>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</si>
  <si>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</si>
  <si>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</si>
  <si>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</si>
  <si>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</si>
  <si>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</si>
  <si>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</si>
  <si>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</si>
  <si>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</si>
  <si>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</si>
  <si>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</si>
  <si>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</si>
  <si>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</si>
  <si>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</si>
  <si>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</si>
  <si>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</si>
  <si>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</si>
  <si>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</si>
  <si>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</si>
  <si>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</si>
  <si>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</si>
  <si>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</si>
  <si>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</si>
  <si>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</si>
  <si>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</si>
  <si>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</si>
  <si>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</si>
  <si>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</si>
  <si>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</si>
  <si>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</si>
  <si>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</si>
  <si>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</si>
  <si>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</si>
  <si>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</si>
  <si>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</si>
  <si>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</si>
  <si>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</si>
  <si>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</si>
  <si>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</si>
  <si>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</si>
  <si>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</si>
  <si>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</si>
  <si>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</si>
  <si>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</si>
  <si>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</si>
  <si>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</si>
  <si>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</si>
  <si>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</si>
  <si>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</si>
  <si>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</si>
  <si>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</si>
  <si>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</si>
  <si>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</si>
  <si>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</si>
  <si>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</si>
  <si>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</si>
  <si>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</si>
  <si>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'A.2.7.'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</si>
  <si>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</si>
  <si>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</si>
  <si>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</si>
  <si>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</si>
  <si>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</si>
  <si>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</si>
  <si>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</si>
  <si>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</si>
  <si>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</si>
  <si>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</si>
  <si>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</si>
  <si>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</si>
  <si>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</si>
  <si>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</si>
  <si>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</si>
  <si>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</si>
  <si>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</si>
  <si>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</si>
  <si>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</si>
  <si>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</si>
  <si>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</si>
  <si>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</si>
  <si>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</si>
  <si>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</si>
  <si>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</si>
  <si>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</si>
  <si>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</si>
  <si>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</si>
  <si>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</si>
  <si>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</si>
  <si>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</si>
  <si>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</si>
  <si>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</si>
  <si>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</si>
  <si>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</si>
  <si>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</si>
  <si>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</si>
  <si>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</si>
  <si>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</si>
  <si>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</si>
  <si>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</si>
  <si>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</si>
  <si>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</si>
  <si>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</si>
  <si>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</si>
  <si>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</si>
  <si>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</si>
  <si>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</si>
  <si>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</si>
  <si>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</si>
  <si>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</si>
  <si>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</si>
  <si>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</si>
  <si>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</si>
  <si>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</si>
  <si>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</si>
  <si>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</si>
  <si>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</si>
  <si>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</si>
  <si>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</si>
  <si>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</si>
  <si>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</si>
  <si>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</si>
  <si>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</si>
  <si>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</si>
  <si>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</si>
  <si>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</si>
  <si>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</si>
  <si>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</si>
  <si>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</si>
  <si>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</si>
  <si>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</si>
  <si>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</si>
  <si>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</si>
  <si>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</si>
  <si>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</si>
  <si>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</si>
  <si>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</si>
  <si>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</si>
  <si>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</si>
  <si>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</si>
  <si>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</si>
  <si>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</si>
  <si>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</si>
  <si>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</si>
  <si>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</si>
  <si>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</si>
  <si>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'A.2.1.'</t>
  </si>
  <si>
    <t>962304880423280</t>
  </si>
  <si>
    <t>962304880378030</t>
  </si>
  <si>
    <t>'A.2.14.'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</si>
  <si>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</si>
  <si>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</si>
  <si>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</si>
  <si>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</si>
  <si>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</si>
  <si>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</si>
  <si>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</si>
  <si>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</si>
  <si>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</si>
  <si>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</si>
  <si>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</si>
  <si>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</si>
  <si>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</si>
  <si>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</si>
  <si>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</si>
  <si>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</si>
  <si>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</si>
  <si>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</si>
  <si>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</si>
  <si>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</si>
  <si>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</si>
  <si>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</si>
  <si>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</si>
  <si>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</si>
  <si>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</si>
  <si>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</si>
  <si>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</si>
  <si>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</si>
  <si>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</si>
  <si>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</si>
  <si>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</si>
  <si>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</si>
  <si>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</si>
  <si>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</si>
  <si>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</si>
  <si>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</si>
  <si>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</si>
  <si>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</si>
  <si>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</si>
  <si>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</si>
  <si>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</si>
  <si>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</si>
  <si>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</si>
  <si>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</si>
  <si>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</si>
  <si>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</si>
  <si>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'A.1.9.'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</si>
  <si>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</si>
  <si>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</si>
  <si>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</si>
  <si>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</si>
  <si>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</si>
  <si>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</si>
  <si>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</si>
  <si>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</si>
  <si>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</si>
  <si>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</si>
  <si>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</si>
  <si>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</si>
  <si>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</si>
  <si>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</si>
  <si>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</si>
  <si>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</si>
  <si>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</si>
  <si>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</si>
  <si>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</si>
  <si>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</si>
  <si>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</si>
  <si>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</si>
  <si>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</si>
  <si>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</si>
  <si>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</si>
  <si>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</si>
  <si>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</si>
  <si>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</si>
  <si>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</si>
  <si>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</si>
  <si>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</si>
  <si>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</si>
  <si>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</si>
  <si>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</si>
  <si>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</si>
  <si>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</si>
  <si>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</si>
  <si>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</si>
  <si>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</si>
  <si>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</si>
  <si>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</si>
  <si>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</si>
  <si>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</si>
  <si>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</si>
  <si>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</si>
  <si>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</si>
  <si>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</si>
  <si>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</si>
  <si>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</si>
  <si>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</si>
  <si>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</si>
  <si>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</si>
  <si>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</si>
  <si>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</si>
  <si>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</si>
  <si>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</si>
  <si>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</si>
  <si>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</si>
  <si>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</si>
  <si>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</si>
  <si>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</si>
  <si>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</si>
  <si>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</si>
  <si>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</si>
  <si>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</si>
  <si>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</si>
  <si>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</si>
  <si>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</si>
  <si>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</si>
  <si>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</si>
  <si>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</si>
  <si>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</si>
  <si>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</si>
  <si>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</si>
  <si>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</si>
  <si>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</si>
  <si>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</si>
  <si>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</si>
  <si>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</si>
  <si>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</si>
  <si>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</si>
  <si>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</si>
  <si>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</si>
  <si>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</si>
  <si>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</si>
  <si>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</si>
  <si>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</si>
  <si>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</si>
  <si>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</si>
  <si>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</si>
  <si>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</si>
  <si>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</si>
  <si>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</si>
  <si>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</si>
  <si>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</si>
  <si>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Veículo Elétrico</t>
  </si>
  <si>
    <t>'ELECTRICO'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</si>
  <si>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</si>
  <si>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</si>
  <si>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</si>
  <si>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</si>
  <si>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</si>
  <si>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</si>
  <si>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('AH0301','AH0302','AH0303','AH0304','AH0305','AH0306','AH0307','AH0308','AH0309','AH0310','AH0311','AH0320')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</si>
  <si>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</si>
  <si>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</si>
  <si>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</si>
  <si>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</si>
  <si>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</si>
  <si>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</si>
  <si>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</si>
  <si>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</si>
  <si>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</si>
  <si>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'A.11.5.'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</si>
  <si>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</si>
  <si>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</si>
  <si>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</si>
  <si>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'A.5.2.'</t>
  </si>
  <si>
    <t>ESG Risk</t>
  </si>
  <si>
    <t>5</t>
  </si>
  <si>
    <t>Building renovation loans</t>
  </si>
  <si>
    <t>IN('outras empresas nao financeiras','particulares')</t>
  </si>
  <si>
    <t>IN ('096HGP','0960H8','096065')</t>
  </si>
  <si>
    <t>'Building renovation loans'</t>
  </si>
  <si>
    <t>'Specific purpose'</t>
  </si>
  <si>
    <t>'CCM'</t>
  </si>
  <si>
    <t>'No'</t>
  </si>
  <si>
    <t>IN('AI0202', 'AI0222', 'AI0242', 'AI0313', 'AI0333', 'AI0353')</t>
  </si>
  <si>
    <t>IN('096MC3', '096MC7', '096FG5', '096FL5', '096FI5', '096FN5', '096YC3')</t>
  </si>
  <si>
    <t>4</t>
  </si>
  <si>
    <t>IN('outras empresas nao financeiras')</t>
  </si>
  <si>
    <t>0</t>
  </si>
  <si>
    <t>IN ('A.3.2.','A.3.3.','A.3.4.','A.3.5.','A.3.6.')</t>
  </si>
  <si>
    <t>'Enabling'</t>
  </si>
  <si>
    <t>Motor vehicle loans</t>
  </si>
  <si>
    <t>IN ('000045','000051','000053')</t>
  </si>
  <si>
    <t>'Motor vehicle loans'</t>
  </si>
  <si>
    <t>'000042'</t>
  </si>
  <si>
    <t>IN ('254','257','146','256','121','252','242','148','255','141','241','251','144','253','243','143','180','181','713','712','244','203','147','145','142','122','120')</t>
  </si>
  <si>
    <t>IN ('000042','000045','000051','000053')</t>
  </si>
  <si>
    <t>'outras empresas nao financeiras'</t>
  </si>
  <si>
    <t>IN ('141','241','251','252','253','254','255','256','257')</t>
  </si>
  <si>
    <t>'A.2.'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</si>
  <si>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</si>
  <si>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</si>
  <si>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</si>
  <si>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</si>
  <si>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</si>
  <si>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</si>
  <si>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</si>
  <si>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Building acquisition</t>
  </si>
  <si>
    <t>NOT IN ('')</t>
  </si>
  <si>
    <t>NOT IN ('096HGP','0960H8','096065')</t>
  </si>
  <si>
    <t>IN ('02', '03', '04')</t>
  </si>
  <si>
    <t>'01'</t>
  </si>
  <si>
    <t>'Building acquisition'</t>
  </si>
  <si>
    <t>IN ('outras empresas nao financeiras','setor publico')</t>
  </si>
  <si>
    <t>''</t>
  </si>
  <si>
    <t>IN ('HIBRIDO', 'HIBRIDO/GASOLINA', 'HIBRIDO/GASOLEO','GASOLINA','GASOLEO','GAZ','ELECTRICO')</t>
  </si>
  <si>
    <t>NOT IN ('141','241','251','252','253','254','255','256','257','146','180')</t>
  </si>
  <si>
    <t>'Motor Vehicle Loans'</t>
  </si>
  <si>
    <t>IN ('particulares','outras empresas nao financeiras')</t>
  </si>
  <si>
    <t>&gt;=50</t>
  </si>
  <si>
    <t>LIKE 'A%'</t>
  </si>
  <si>
    <t>'9999'</t>
  </si>
  <si>
    <t>IN ('1-REAL','SANTANDER')</t>
  </si>
  <si>
    <t>'Pure'</t>
  </si>
  <si>
    <t>&lt; '2020'</t>
  </si>
  <si>
    <t>'B'</t>
  </si>
  <si>
    <t xml:space="preserve">&gt;= '2020' AND &lt; '9999' </t>
  </si>
  <si>
    <t>&lt;0.45</t>
  </si>
  <si>
    <t>&lt;5.000</t>
  </si>
  <si>
    <t>Other purpose</t>
  </si>
  <si>
    <t>IN('outras empresas nao financeiras','setor publico','particulares')</t>
  </si>
  <si>
    <t>NOT IN ('A.7.12.','A.7.18.','A.7.7.','','Nao Aplicavel','Sustainability Linked Finance - Default','Pure Green counterparty - Default')</t>
  </si>
  <si>
    <t>'Other purpose'</t>
  </si>
  <si>
    <t>LIKE '%Linked%'</t>
  </si>
  <si>
    <t>LIKE '%Pure Green%'</t>
  </si>
  <si>
    <t>IN ('A.7.12.','A.7.18.','A.7.7.')</t>
  </si>
  <si>
    <t>NOT IN ('Sustainability Linked Finance - Default','Pure Green counterparty - Default')</t>
  </si>
  <si>
    <t>'A.1.'</t>
  </si>
  <si>
    <t>6</t>
  </si>
  <si>
    <t>Without purpose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</si>
  <si>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</si>
  <si>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</si>
  <si>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</si>
  <si>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</si>
  <si>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</si>
  <si>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</si>
  <si>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</si>
  <si>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</si>
  <si>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</si>
  <si>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NOT IN ('A.3.2.','A.3.3.','A.3.4.','A.3.5.','A.3.6.')</t>
  </si>
  <si>
    <t>'A.7.'</t>
  </si>
  <si>
    <t>'A.1.13.'</t>
  </si>
  <si>
    <t>'A.6.'</t>
  </si>
  <si>
    <t>NOT IN ('02','03','04')</t>
  </si>
  <si>
    <t>'A.3.'</t>
  </si>
  <si>
    <t>IN ('02','03','04')</t>
  </si>
  <si>
    <t>NOT IN( '01')</t>
  </si>
  <si>
    <t>not in ('A+','A', 'B')</t>
  </si>
  <si>
    <t>not like '0V0%'</t>
  </si>
  <si>
    <t>in ('AR0104','AR0103')</t>
  </si>
  <si>
    <t>AUX1</t>
  </si>
  <si>
    <t>AUX2</t>
  </si>
  <si>
    <t>AND cbalcao</t>
  </si>
  <si>
    <t>AND cnumecta</t>
  </si>
  <si>
    <t>AND zdeposit</t>
  </si>
  <si>
    <t>AUX_1</t>
  </si>
  <si>
    <t>AUX_2</t>
  </si>
  <si>
    <t>AUX_3</t>
  </si>
  <si>
    <t>AUX_4</t>
  </si>
  <si>
    <t>% VERDE</t>
  </si>
  <si>
    <t>CATEGORIA</t>
  </si>
  <si>
    <t/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</si>
  <si>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</si>
  <si>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</si>
  <si>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</si>
  <si>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</si>
  <si>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</si>
  <si>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</si>
  <si>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</si>
  <si>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</si>
  <si>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</si>
  <si>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</si>
  <si>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</si>
  <si>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</si>
  <si>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</si>
  <si>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ckutulmo</t>
  </si>
  <si>
    <t>htimest</t>
  </si>
  <si>
    <t>ref_date</t>
  </si>
  <si>
    <t>cod_visao</t>
  </si>
  <si>
    <t>id_dimensao</t>
  </si>
  <si>
    <t>UP</t>
  </si>
  <si>
    <t>S</t>
  </si>
  <si>
    <t>SO02</t>
  </si>
  <si>
    <t>SO021</t>
  </si>
  <si>
    <t>SO021E</t>
  </si>
  <si>
    <t>SO022A</t>
  </si>
  <si>
    <t>SO0237</t>
  </si>
  <si>
    <t>servdlakep</t>
  </si>
  <si>
    <t>2025-01-01 10:12:18.3</t>
  </si>
  <si>
    <t>SO0225</t>
  </si>
  <si>
    <t>SO0236</t>
  </si>
  <si>
    <t>VN</t>
  </si>
  <si>
    <t>A</t>
  </si>
  <si>
    <t>AI04</t>
  </si>
  <si>
    <t>AH0403</t>
  </si>
  <si>
    <t>AH0407</t>
  </si>
  <si>
    <t>AH0409</t>
  </si>
  <si>
    <t>AH0411</t>
  </si>
  <si>
    <t>AI0440</t>
  </si>
  <si>
    <t>AH0401</t>
  </si>
  <si>
    <t>AH0410</t>
  </si>
  <si>
    <t>AI0480</t>
  </si>
  <si>
    <t>AH0404</t>
  </si>
  <si>
    <t>AH0402</t>
  </si>
  <si>
    <t>AH0405</t>
  </si>
  <si>
    <t>AI0420</t>
  </si>
  <si>
    <t>AI0499</t>
  </si>
  <si>
    <t>AH0406</t>
  </si>
  <si>
    <t>AI0490</t>
  </si>
  <si>
    <t>AI0412</t>
  </si>
  <si>
    <t>AI01</t>
  </si>
  <si>
    <t>AH0103</t>
  </si>
  <si>
    <t>AH0104</t>
  </si>
  <si>
    <t>AH0102</t>
  </si>
  <si>
    <t>AH0109</t>
  </si>
  <si>
    <t>AH0101</t>
  </si>
  <si>
    <t>AI0110</t>
  </si>
  <si>
    <t>AH0108</t>
  </si>
  <si>
    <t>AH0105</t>
  </si>
  <si>
    <t>AH0120</t>
  </si>
  <si>
    <t>AI0199</t>
  </si>
  <si>
    <t>AH0112</t>
  </si>
  <si>
    <t>AH0106</t>
  </si>
  <si>
    <t>AH0107</t>
  </si>
  <si>
    <t>AE01</t>
  </si>
  <si>
    <t>AE02</t>
  </si>
  <si>
    <t>AE03</t>
  </si>
  <si>
    <t>AI10</t>
  </si>
  <si>
    <t>SO0520</t>
  </si>
  <si>
    <t>AI1010</t>
  </si>
  <si>
    <t>AI03</t>
  </si>
  <si>
    <t>AH0313</t>
  </si>
  <si>
    <t>AH0304</t>
  </si>
  <si>
    <t>AH0305</t>
  </si>
  <si>
    <t>AH0311</t>
  </si>
  <si>
    <t>AH0309</t>
  </si>
  <si>
    <t>AH0320</t>
  </si>
  <si>
    <t>AH0301</t>
  </si>
  <si>
    <t>AH0306</t>
  </si>
  <si>
    <t>AH0302</t>
  </si>
  <si>
    <t>AI0399</t>
  </si>
  <si>
    <t>AH0308</t>
  </si>
  <si>
    <t>AH0303</t>
  </si>
  <si>
    <t>AI0312</t>
  </si>
  <si>
    <t>AH0307</t>
  </si>
  <si>
    <t>AH0310</t>
  </si>
  <si>
    <t>AI06</t>
  </si>
  <si>
    <t>AH0603</t>
  </si>
  <si>
    <t>AI0699</t>
  </si>
  <si>
    <t>AH0601</t>
  </si>
  <si>
    <t>AI05</t>
  </si>
  <si>
    <t>AH0501</t>
  </si>
  <si>
    <t>AI0502</t>
  </si>
  <si>
    <t>AH0504</t>
  </si>
  <si>
    <t>AH0503</t>
  </si>
  <si>
    <t>AI02</t>
  </si>
  <si>
    <t>AI0299</t>
  </si>
  <si>
    <t>AH0202</t>
  </si>
  <si>
    <t>AH0201</t>
  </si>
  <si>
    <t>AD02</t>
  </si>
  <si>
    <t>AD0202</t>
  </si>
  <si>
    <t>AD0203</t>
  </si>
  <si>
    <t>AD0201</t>
  </si>
  <si>
    <t>AD0204</t>
  </si>
  <si>
    <t>AD0205</t>
  </si>
  <si>
    <t>AI09</t>
  </si>
  <si>
    <t>AI0999</t>
  </si>
  <si>
    <t>AH0902</t>
  </si>
  <si>
    <t>AH0903</t>
  </si>
  <si>
    <t>SO0515</t>
  </si>
  <si>
    <t>AH0901</t>
  </si>
  <si>
    <t>AI08</t>
  </si>
  <si>
    <t>AI0803</t>
  </si>
  <si>
    <t>AI0804</t>
  </si>
  <si>
    <t>AI0814</t>
  </si>
  <si>
    <t>AI0806</t>
  </si>
  <si>
    <t>AI0820</t>
  </si>
  <si>
    <t>AI0812</t>
  </si>
  <si>
    <t>AI0813</t>
  </si>
  <si>
    <t>AI0807</t>
  </si>
  <si>
    <t>AI07</t>
  </si>
  <si>
    <t>AI0706</t>
  </si>
  <si>
    <t>AI0702</t>
  </si>
  <si>
    <t>AI0704</t>
  </si>
  <si>
    <t>AI0710</t>
  </si>
  <si>
    <t>AI0703</t>
  </si>
  <si>
    <t>AI0705</t>
  </si>
  <si>
    <t>AI0701</t>
  </si>
  <si>
    <t>AI0707</t>
  </si>
  <si>
    <t>P</t>
  </si>
  <si>
    <t>PD02</t>
  </si>
  <si>
    <t>PB0208</t>
  </si>
  <si>
    <t>PB0204</t>
  </si>
  <si>
    <t>PB0205</t>
  </si>
  <si>
    <t>PB0201</t>
  </si>
  <si>
    <t>PB0207</t>
  </si>
  <si>
    <t>PD0210</t>
  </si>
  <si>
    <t>PD0209</t>
  </si>
  <si>
    <t>PB0203</t>
  </si>
  <si>
    <t>PF0201</t>
  </si>
  <si>
    <t>PD0206</t>
  </si>
  <si>
    <t>PB0211</t>
  </si>
  <si>
    <t>PD01</t>
  </si>
  <si>
    <t>PS0101</t>
  </si>
  <si>
    <t>PS0010</t>
  </si>
  <si>
    <t>PS0102</t>
  </si>
  <si>
    <t>PS0100</t>
  </si>
  <si>
    <t>PI06</t>
  </si>
  <si>
    <t>PI0606</t>
  </si>
  <si>
    <t>PI01</t>
  </si>
  <si>
    <t>PI0110</t>
  </si>
  <si>
    <t>PI0103</t>
  </si>
  <si>
    <t>PI0113</t>
  </si>
  <si>
    <t>PI0106</t>
  </si>
  <si>
    <t>PI0115</t>
  </si>
  <si>
    <t>PI0111</t>
  </si>
  <si>
    <t>PI0120</t>
  </si>
  <si>
    <t>PI0109</t>
  </si>
  <si>
    <t>PI0108</t>
  </si>
  <si>
    <t>PI0101</t>
  </si>
  <si>
    <t>PI0107</t>
  </si>
  <si>
    <t>PI0116</t>
  </si>
  <si>
    <t>PI0104</t>
  </si>
  <si>
    <t>PI0117</t>
  </si>
  <si>
    <t>PI0102</t>
  </si>
  <si>
    <t>PI0114</t>
  </si>
  <si>
    <t>PI0105</t>
  </si>
  <si>
    <t>PI0118</t>
  </si>
  <si>
    <t>PI0112</t>
  </si>
  <si>
    <t>PI04</t>
  </si>
  <si>
    <t>PI0401</t>
  </si>
  <si>
    <t>PI0402</t>
  </si>
  <si>
    <t>PI0403</t>
  </si>
  <si>
    <t>PD03</t>
  </si>
  <si>
    <t>PD0303</t>
  </si>
  <si>
    <t>PD0304</t>
  </si>
  <si>
    <t>PD0301</t>
  </si>
  <si>
    <t>PD0302</t>
  </si>
  <si>
    <t>PI02</t>
  </si>
  <si>
    <t>PH0202</t>
  </si>
  <si>
    <t>PI0213</t>
  </si>
  <si>
    <t>PI0215</t>
  </si>
  <si>
    <t>PI0214</t>
  </si>
  <si>
    <t>PH0201</t>
  </si>
  <si>
    <t>PI03</t>
  </si>
  <si>
    <t>PI0310</t>
  </si>
  <si>
    <t>PI0320</t>
  </si>
  <si>
    <t>SO10</t>
  </si>
  <si>
    <t>SO1001</t>
  </si>
  <si>
    <t>SF1002</t>
  </si>
  <si>
    <t>SF1001</t>
  </si>
  <si>
    <t>SO14</t>
  </si>
  <si>
    <t>SO140B</t>
  </si>
  <si>
    <t>SO1442</t>
  </si>
  <si>
    <t>SO1422</t>
  </si>
  <si>
    <t>SO1402</t>
  </si>
  <si>
    <t>SO140A</t>
  </si>
  <si>
    <t>SO1441</t>
  </si>
  <si>
    <t>SO1421</t>
  </si>
  <si>
    <t>SO1401</t>
  </si>
  <si>
    <t>SO50</t>
  </si>
  <si>
    <t>SO2010</t>
  </si>
  <si>
    <t>SO201A</t>
  </si>
  <si>
    <t>SO201P</t>
  </si>
  <si>
    <t>SO2030</t>
  </si>
  <si>
    <t>SO2035</t>
  </si>
  <si>
    <t>SO2031</t>
  </si>
  <si>
    <t>SO2040</t>
  </si>
  <si>
    <t>SO2041</t>
  </si>
  <si>
    <t>SO2042</t>
  </si>
  <si>
    <t>SO2001</t>
  </si>
  <si>
    <t>SO20T2</t>
  </si>
  <si>
    <t>SO20T4</t>
  </si>
  <si>
    <t>SO20T6</t>
  </si>
  <si>
    <t>SO20T7</t>
  </si>
  <si>
    <t>SO20T1</t>
  </si>
  <si>
    <t>SO20T5</t>
  </si>
  <si>
    <t>SO20T3</t>
  </si>
  <si>
    <t>SO2020</t>
  </si>
  <si>
    <t>SO202P</t>
  </si>
  <si>
    <t>SO202A</t>
  </si>
  <si>
    <t>SO07</t>
  </si>
  <si>
    <t>SO0701</t>
  </si>
  <si>
    <t>SO0712</t>
  </si>
  <si>
    <t>SO0711</t>
  </si>
  <si>
    <t>AO03CF</t>
  </si>
  <si>
    <t>AO0307</t>
  </si>
  <si>
    <t>AO0323</t>
  </si>
  <si>
    <t>AO0342</t>
  </si>
  <si>
    <t>AO0343</t>
  </si>
  <si>
    <t>AO0322</t>
  </si>
  <si>
    <t>AO0321</t>
  </si>
  <si>
    <t>AO0311</t>
  </si>
  <si>
    <t>SO03</t>
  </si>
  <si>
    <t>SO0300</t>
  </si>
  <si>
    <t>SO0330</t>
  </si>
  <si>
    <t>SO030</t>
  </si>
  <si>
    <t>SO0320</t>
  </si>
  <si>
    <t>SO030B</t>
  </si>
  <si>
    <t>SO0304</t>
  </si>
  <si>
    <t>SO0324</t>
  </si>
  <si>
    <t>SO030A</t>
  </si>
  <si>
    <t>SO0323</t>
  </si>
  <si>
    <t>SO0343</t>
  </si>
  <si>
    <t>SO0303</t>
  </si>
  <si>
    <t>SO12</t>
  </si>
  <si>
    <t>VI0004</t>
  </si>
  <si>
    <t>VI0042</t>
  </si>
  <si>
    <t>VIDD09</t>
  </si>
  <si>
    <t>VI0041</t>
  </si>
  <si>
    <t>VIDD11</t>
  </si>
  <si>
    <t>VIDD07</t>
  </si>
  <si>
    <t>VIDD05</t>
  </si>
  <si>
    <t>VI0008</t>
  </si>
  <si>
    <t>VI0081</t>
  </si>
  <si>
    <t>VI0005</t>
  </si>
  <si>
    <t>VIDD08</t>
  </si>
  <si>
    <t>VIDD12</t>
  </si>
  <si>
    <t>VI0052</t>
  </si>
  <si>
    <t>VI0051</t>
  </si>
  <si>
    <t>VI0007</t>
  </si>
  <si>
    <t>VI0073</t>
  </si>
  <si>
    <t>VI0071</t>
  </si>
  <si>
    <t>VI0074</t>
  </si>
  <si>
    <t>VI0072</t>
  </si>
  <si>
    <t>VI0006</t>
  </si>
  <si>
    <t>VI0061</t>
  </si>
  <si>
    <t>VI0063</t>
  </si>
  <si>
    <t>VI0062</t>
  </si>
  <si>
    <t>VI0065</t>
  </si>
  <si>
    <t>VI0064</t>
  </si>
  <si>
    <t>VI0002</t>
  </si>
  <si>
    <t>VIDD06</t>
  </si>
  <si>
    <t>VI0022</t>
  </si>
  <si>
    <t>VI0021</t>
  </si>
  <si>
    <t>VIDD10</t>
  </si>
  <si>
    <t>VI0003</t>
  </si>
  <si>
    <t>VI0032</t>
  </si>
  <si>
    <t>VI0031</t>
  </si>
  <si>
    <t>SO021A</t>
  </si>
  <si>
    <t>SO0217</t>
  </si>
  <si>
    <t>SO0231</t>
  </si>
  <si>
    <t>SO021C</t>
  </si>
  <si>
    <t>SO021D</t>
  </si>
  <si>
    <t>SO0213</t>
  </si>
  <si>
    <t>SO0230</t>
  </si>
  <si>
    <t>SO0218</t>
  </si>
  <si>
    <t>SO021F</t>
  </si>
  <si>
    <t>SO021B</t>
  </si>
  <si>
    <t>SO020</t>
  </si>
  <si>
    <t>SO0209</t>
  </si>
  <si>
    <t>SO020A</t>
  </si>
  <si>
    <t>SO020C</t>
  </si>
  <si>
    <t>SO020B</t>
  </si>
  <si>
    <t>SO020D</t>
  </si>
  <si>
    <t>SO022</t>
  </si>
  <si>
    <t>SO0216</t>
  </si>
  <si>
    <t>SO0220</t>
  </si>
  <si>
    <t>SO11</t>
  </si>
  <si>
    <t>SV</t>
  </si>
  <si>
    <t>SV0000</t>
  </si>
  <si>
    <t>CG</t>
  </si>
  <si>
    <t>CG0000</t>
  </si>
  <si>
    <t>DR</t>
  </si>
  <si>
    <t>DM</t>
  </si>
  <si>
    <t>DA</t>
  </si>
  <si>
    <t>SM</t>
  </si>
  <si>
    <t>SM0000</t>
  </si>
  <si>
    <t>CL</t>
  </si>
  <si>
    <t>CL0000</t>
  </si>
  <si>
    <t>OA</t>
  </si>
  <si>
    <t>OA0000</t>
  </si>
  <si>
    <t>UGP000</t>
  </si>
  <si>
    <t>SO08</t>
  </si>
  <si>
    <t>SO13</t>
  </si>
  <si>
    <t>SO06</t>
  </si>
  <si>
    <t>SO99</t>
  </si>
  <si>
    <t>SO01</t>
  </si>
  <si>
    <t>SO04</t>
  </si>
  <si>
    <t>SO15</t>
  </si>
  <si>
    <t>SO09</t>
  </si>
  <si>
    <t>SO05</t>
  </si>
  <si>
    <t>GGGGGG</t>
  </si>
  <si>
    <t>TTTTTT</t>
  </si>
  <si>
    <t>IIIIII</t>
  </si>
  <si>
    <t>AAAAAA</t>
  </si>
  <si>
    <t>HHHHHH</t>
  </si>
  <si>
    <t>EEEEEE</t>
  </si>
  <si>
    <t>NNNNNN</t>
  </si>
  <si>
    <t>UP0000</t>
  </si>
  <si>
    <t>SSSSSS</t>
  </si>
  <si>
    <t>PPPPPP</t>
  </si>
  <si>
    <t>OOOOOO</t>
  </si>
  <si>
    <t>CCCCCC</t>
  </si>
  <si>
    <t>SO0901</t>
  </si>
  <si>
    <t>SO1301</t>
  </si>
  <si>
    <t>SO1499</t>
  </si>
  <si>
    <t>SO0101</t>
  </si>
  <si>
    <t>SO0414</t>
  </si>
  <si>
    <t>SO0411</t>
  </si>
  <si>
    <t>SO0410</t>
  </si>
  <si>
    <t>SO0417</t>
  </si>
  <si>
    <t>SO0401</t>
  </si>
  <si>
    <t>SO0407</t>
  </si>
  <si>
    <t>SO0402</t>
  </si>
  <si>
    <t>SO0412</t>
  </si>
  <si>
    <t>SO0413</t>
  </si>
  <si>
    <t>SO0302</t>
  </si>
  <si>
    <t>SO0399</t>
  </si>
  <si>
    <t>SO0601</t>
  </si>
  <si>
    <t>SO0702</t>
  </si>
  <si>
    <t>SO0801</t>
  </si>
  <si>
    <t>SO0802</t>
  </si>
  <si>
    <t>SO0507</t>
  </si>
  <si>
    <t>SO0502</t>
  </si>
  <si>
    <t>SO0509</t>
  </si>
  <si>
    <t>SO0505</t>
  </si>
  <si>
    <t>SO0504</t>
  </si>
  <si>
    <t>SO0510</t>
  </si>
  <si>
    <t>SO0508</t>
  </si>
  <si>
    <t>SO0503</t>
  </si>
  <si>
    <t>SO0501</t>
  </si>
  <si>
    <t>SO1501</t>
  </si>
  <si>
    <t>SO9902</t>
  </si>
  <si>
    <t>SO9901</t>
  </si>
  <si>
    <t>VI0015</t>
  </si>
  <si>
    <t>VI0009</t>
  </si>
  <si>
    <t>VI0011</t>
  </si>
  <si>
    <t>VI0012</t>
  </si>
  <si>
    <t>VIDD03</t>
  </si>
  <si>
    <t>VI0013</t>
  </si>
  <si>
    <t>VI0016</t>
  </si>
  <si>
    <t>VI0001</t>
  </si>
  <si>
    <t>VIDD02</t>
  </si>
  <si>
    <t>VIDD04</t>
  </si>
  <si>
    <t>VI0010</t>
  </si>
  <si>
    <t>VI0018</t>
  </si>
  <si>
    <t>VIDD01</t>
  </si>
  <si>
    <t>VI0017</t>
  </si>
  <si>
    <t>VI0014</t>
  </si>
  <si>
    <t>AI0422</t>
  </si>
  <si>
    <t>AI0402</t>
  </si>
  <si>
    <t>AI0442</t>
  </si>
  <si>
    <t>AI0409</t>
  </si>
  <si>
    <t>AI0429</t>
  </si>
  <si>
    <t>AI0405</t>
  </si>
  <si>
    <t>AH0416</t>
  </si>
  <si>
    <t>AI0418</t>
  </si>
  <si>
    <t>AH0460</t>
  </si>
  <si>
    <t>AI0404</t>
  </si>
  <si>
    <t>AI0430</t>
  </si>
  <si>
    <t>AI0410</t>
  </si>
  <si>
    <t>AH0413</t>
  </si>
  <si>
    <t>AH0415</t>
  </si>
  <si>
    <t>AH0414</t>
  </si>
  <si>
    <t>AI0401</t>
  </si>
  <si>
    <t>AH0408</t>
  </si>
  <si>
    <t>AI0417</t>
  </si>
  <si>
    <t>AI0406</t>
  </si>
  <si>
    <t>AI0411</t>
  </si>
  <si>
    <t>AI0431</t>
  </si>
  <si>
    <t>AI0427</t>
  </si>
  <si>
    <t>AI0407</t>
  </si>
  <si>
    <t>AI0403</t>
  </si>
  <si>
    <t>AI0423</t>
  </si>
  <si>
    <t>AI0326</t>
  </si>
  <si>
    <t>AI0346</t>
  </si>
  <si>
    <t>AI0306</t>
  </si>
  <si>
    <t>AI0307</t>
  </si>
  <si>
    <t>AI0347</t>
  </si>
  <si>
    <t>AI0327</t>
  </si>
  <si>
    <t>AI0311</t>
  </si>
  <si>
    <t>AI0351</t>
  </si>
  <si>
    <t>AI0331</t>
  </si>
  <si>
    <t>AI0342</t>
  </si>
  <si>
    <t>AI0302</t>
  </si>
  <si>
    <t>AI0322</t>
  </si>
  <si>
    <t>AI0305</t>
  </si>
  <si>
    <t>AI0325</t>
  </si>
  <si>
    <t>AI0345</t>
  </si>
  <si>
    <t>AI0330</t>
  </si>
  <si>
    <t>AI0310</t>
  </si>
  <si>
    <t>AI0350</t>
  </si>
  <si>
    <t>AI0303</t>
  </si>
  <si>
    <t>AI0343</t>
  </si>
  <si>
    <t>AI0333</t>
  </si>
  <si>
    <t>AI0353</t>
  </si>
  <si>
    <t>AI0313</t>
  </si>
  <si>
    <t>AI0309</t>
  </si>
  <si>
    <t>AI0329</t>
  </si>
  <si>
    <t>AI0349</t>
  </si>
  <si>
    <t>AI0320</t>
  </si>
  <si>
    <t>AI0360</t>
  </si>
  <si>
    <t>AI0308</t>
  </si>
  <si>
    <t>AI0348</t>
  </si>
  <si>
    <t>AI0328</t>
  </si>
  <si>
    <t>AI0344</t>
  </si>
  <si>
    <t>AI0304</t>
  </si>
  <si>
    <t>AI0321</t>
  </si>
  <si>
    <t>AI0341</t>
  </si>
  <si>
    <t>AI0301</t>
  </si>
  <si>
    <t>AI0222</t>
  </si>
  <si>
    <t>AI0242</t>
  </si>
  <si>
    <t>AI0202</t>
  </si>
  <si>
    <t>AI0221</t>
  </si>
  <si>
    <t>AI0201</t>
  </si>
  <si>
    <t>AI0241</t>
  </si>
  <si>
    <t>AI0521</t>
  </si>
  <si>
    <t>AI0501</t>
  </si>
  <si>
    <t>AI0504</t>
  </si>
  <si>
    <t>AI0524</t>
  </si>
  <si>
    <t>AI0523</t>
  </si>
  <si>
    <t>AI0503</t>
  </si>
  <si>
    <t>SO0516</t>
  </si>
  <si>
    <t>SO0506</t>
  </si>
  <si>
    <t>AI1001</t>
  </si>
  <si>
    <t>AI1002</t>
  </si>
  <si>
    <t>AD01</t>
  </si>
  <si>
    <t>AC01</t>
  </si>
  <si>
    <t>AR0103</t>
  </si>
  <si>
    <t>AD0401</t>
  </si>
  <si>
    <t>AO03</t>
  </si>
  <si>
    <t>AI0120</t>
  </si>
  <si>
    <t>AI0160</t>
  </si>
  <si>
    <t>AI0141</t>
  </si>
  <si>
    <t>AI0101</t>
  </si>
  <si>
    <t>AI0121</t>
  </si>
  <si>
    <t>AI0107</t>
  </si>
  <si>
    <t>AI0147</t>
  </si>
  <si>
    <t>AI0148</t>
  </si>
  <si>
    <t>AI0108</t>
  </si>
  <si>
    <t>AI0191</t>
  </si>
  <si>
    <t>AI0190</t>
  </si>
  <si>
    <t>AI0145</t>
  </si>
  <si>
    <t>AI0105</t>
  </si>
  <si>
    <t>AI0143</t>
  </si>
  <si>
    <t>AI0103</t>
  </si>
  <si>
    <t>AI0152</t>
  </si>
  <si>
    <t>AI0112</t>
  </si>
  <si>
    <t>AI0106</t>
  </si>
  <si>
    <t>AI0146</t>
  </si>
  <si>
    <t>AI0126</t>
  </si>
  <si>
    <t>AI0104</t>
  </si>
  <si>
    <t>AI0144</t>
  </si>
  <si>
    <t>AI0109</t>
  </si>
  <si>
    <t>AI0149</t>
  </si>
  <si>
    <t>AI0122</t>
  </si>
  <si>
    <t>AI0102</t>
  </si>
  <si>
    <t>AI0142</t>
  </si>
  <si>
    <t>AI0601</t>
  </si>
  <si>
    <t>AI0621</t>
  </si>
  <si>
    <t>AI0603</t>
  </si>
  <si>
    <t>AI0623</t>
  </si>
  <si>
    <t>AI0902</t>
  </si>
  <si>
    <t>AI0922</t>
  </si>
  <si>
    <t>AI0941</t>
  </si>
  <si>
    <t>AI0901</t>
  </si>
  <si>
    <t>AI0921</t>
  </si>
  <si>
    <t>AI0903</t>
  </si>
  <si>
    <t>AI0923</t>
  </si>
  <si>
    <t>PD0198</t>
  </si>
  <si>
    <t>PD0127</t>
  </si>
  <si>
    <t>PD0125</t>
  </si>
  <si>
    <t>PD012A</t>
  </si>
  <si>
    <t>PD0126</t>
  </si>
  <si>
    <t>PD0111</t>
  </si>
  <si>
    <t>PD0110</t>
  </si>
  <si>
    <t>PD0112</t>
  </si>
  <si>
    <t>PD0136</t>
  </si>
  <si>
    <t>PD014A</t>
  </si>
  <si>
    <t>PD0135</t>
  </si>
  <si>
    <t>PD0199</t>
  </si>
  <si>
    <t>PD0130</t>
  </si>
  <si>
    <t>PD0131</t>
  </si>
  <si>
    <t>PI0210</t>
  </si>
  <si>
    <t>PI0220</t>
  </si>
  <si>
    <t>PI0259</t>
  </si>
  <si>
    <t>PI0251</t>
  </si>
  <si>
    <t>PI0212</t>
  </si>
  <si>
    <t>PI0263</t>
  </si>
  <si>
    <t>PI0207</t>
  </si>
  <si>
    <t>PI0209</t>
  </si>
  <si>
    <t>PI0252</t>
  </si>
  <si>
    <t>PI0208</t>
  </si>
  <si>
    <t>PI0260</t>
  </si>
  <si>
    <t>PI0262</t>
  </si>
  <si>
    <t>PI0264</t>
  </si>
  <si>
    <t>PI0303</t>
  </si>
  <si>
    <t>PI0305</t>
  </si>
  <si>
    <t>PI0306</t>
  </si>
  <si>
    <t>PI0307</t>
  </si>
  <si>
    <t>PI0304</t>
  </si>
  <si>
    <t>PI0301</t>
  </si>
  <si>
    <t>PD0208</t>
  </si>
  <si>
    <t>PM0208</t>
  </si>
  <si>
    <t>PD0212</t>
  </si>
  <si>
    <t>PB0202</t>
  </si>
  <si>
    <t>PD0211</t>
  </si>
  <si>
    <t>PM0211</t>
  </si>
  <si>
    <t>PD0277</t>
  </si>
  <si>
    <t>PD0207</t>
  </si>
  <si>
    <t>PM0207</t>
  </si>
  <si>
    <t>PD0204</t>
  </si>
  <si>
    <t>PM0204</t>
  </si>
  <si>
    <t>PD0205</t>
  </si>
  <si>
    <t>PM0205</t>
  </si>
  <si>
    <t>PM0201</t>
  </si>
  <si>
    <t>PD0201</t>
  </si>
  <si>
    <t>PM0203</t>
  </si>
  <si>
    <t>PD0203</t>
  </si>
  <si>
    <t>DRA000</t>
  </si>
  <si>
    <t>DRM000</t>
  </si>
  <si>
    <t>SO0721</t>
  </si>
  <si>
    <t>SO0722</t>
  </si>
  <si>
    <t>SO0214</t>
  </si>
  <si>
    <t>SO0240</t>
  </si>
  <si>
    <t>SO0219</t>
  </si>
  <si>
    <t>SO0235</t>
  </si>
  <si>
    <t>SO0215</t>
  </si>
  <si>
    <t>SO0224</t>
  </si>
  <si>
    <t>SO0212</t>
  </si>
  <si>
    <t>SO0222</t>
  </si>
  <si>
    <t>SO0228</t>
  </si>
  <si>
    <t>SO0232</t>
  </si>
  <si>
    <t>SO0223</t>
  </si>
  <si>
    <t>SO0246</t>
  </si>
  <si>
    <t>SO0245</t>
  </si>
  <si>
    <t>SO0229</t>
  </si>
  <si>
    <t>SO0226</t>
  </si>
  <si>
    <t>SO0227</t>
  </si>
  <si>
    <t>SO0221</t>
  </si>
  <si>
    <t>SO0211</t>
  </si>
  <si>
    <t>SO0250</t>
  </si>
  <si>
    <t>SO0251</t>
  </si>
  <si>
    <t>SO0200</t>
  </si>
  <si>
    <t>SO0208</t>
  </si>
  <si>
    <t>SO0206</t>
  </si>
  <si>
    <t>SO0207</t>
  </si>
  <si>
    <t>SO0205</t>
  </si>
  <si>
    <t>SO0203</t>
  </si>
  <si>
    <t>SO0202</t>
  </si>
  <si>
    <t>SO0201</t>
  </si>
  <si>
    <t>SO0204</t>
  </si>
  <si>
    <t>SO0301</t>
  </si>
  <si>
    <t>SM0301</t>
  </si>
  <si>
    <t>SO2037</t>
  </si>
  <si>
    <t>SO2036</t>
  </si>
  <si>
    <t>SO2033</t>
  </si>
  <si>
    <t>SO2032</t>
  </si>
  <si>
    <t>AI10A1</t>
  </si>
  <si>
    <t>AI10B1</t>
  </si>
  <si>
    <t>AI10C1</t>
  </si>
  <si>
    <t>AI10C2</t>
  </si>
  <si>
    <t>AI10B2</t>
  </si>
  <si>
    <t>AI10A2</t>
  </si>
  <si>
    <t>AI0408</t>
  </si>
  <si>
    <t>AI0436</t>
  </si>
  <si>
    <t>AI0446</t>
  </si>
  <si>
    <t>AI0416</t>
  </si>
  <si>
    <t>AI0461</t>
  </si>
  <si>
    <t>AI0460</t>
  </si>
  <si>
    <t>AI0415</t>
  </si>
  <si>
    <t>AI0433</t>
  </si>
  <si>
    <t>AI0413</t>
  </si>
  <si>
    <t>AI0453</t>
  </si>
  <si>
    <t>AI0414</t>
  </si>
  <si>
    <t>AO03CN</t>
  </si>
  <si>
    <t>AO03CI</t>
  </si>
  <si>
    <t>AD0413</t>
  </si>
  <si>
    <t>AD041A</t>
  </si>
  <si>
    <t>AD0417</t>
  </si>
  <si>
    <t>AD041B</t>
  </si>
  <si>
    <t>AD0416</t>
  </si>
  <si>
    <t>AD0414</t>
  </si>
  <si>
    <t>AD0418</t>
  </si>
  <si>
    <t>AD0415</t>
  </si>
  <si>
    <t>AL01</t>
  </si>
  <si>
    <t>AR0107</t>
  </si>
  <si>
    <t>AR0104</t>
  </si>
  <si>
    <t>AD0123</t>
  </si>
  <si>
    <t>AD0103</t>
  </si>
  <si>
    <t>AD0143</t>
  </si>
  <si>
    <t>AR0109</t>
  </si>
  <si>
    <t>AR0110</t>
  </si>
  <si>
    <t>AR0106</t>
  </si>
  <si>
    <t>PI0302</t>
  </si>
  <si>
    <t>PI0308</t>
  </si>
  <si>
    <t>PD0140</t>
  </si>
  <si>
    <t>PD0141</t>
  </si>
  <si>
    <t>PD0120</t>
  </si>
  <si>
    <t>PD0122</t>
  </si>
  <si>
    <t>PD0121</t>
  </si>
  <si>
    <t>PI0273</t>
  </si>
  <si>
    <t>PI0230</t>
  </si>
  <si>
    <t>PI0272</t>
  </si>
  <si>
    <t>PI0271</t>
  </si>
  <si>
    <t>PI0250</t>
  </si>
  <si>
    <t>PI0253</t>
  </si>
  <si>
    <t>PI0203</t>
  </si>
  <si>
    <t>PI0204</t>
  </si>
  <si>
    <t>PI0206</t>
  </si>
  <si>
    <t>PI0205</t>
  </si>
  <si>
    <t>PI0202</t>
  </si>
  <si>
    <t>PI0261</t>
  </si>
  <si>
    <t>PI0256</t>
  </si>
  <si>
    <t>PI0258</t>
  </si>
  <si>
    <t>PI0275</t>
  </si>
  <si>
    <t>PI0270</t>
  </si>
  <si>
    <t>PI0276</t>
  </si>
  <si>
    <t>PM0202</t>
  </si>
  <si>
    <t>PD0202</t>
  </si>
  <si>
    <t>AO030A</t>
  </si>
  <si>
    <t>AO0341</t>
  </si>
  <si>
    <t>AO030B</t>
  </si>
  <si>
    <t>AO0340</t>
  </si>
  <si>
    <t>AO0319</t>
  </si>
  <si>
    <t>AO0316</t>
  </si>
  <si>
    <t>AO031A</t>
  </si>
  <si>
    <t>AO0310</t>
  </si>
  <si>
    <t>AO0317</t>
  </si>
  <si>
    <t>AO031B</t>
  </si>
  <si>
    <t>AO0318</t>
  </si>
  <si>
    <t>AD0432</t>
  </si>
  <si>
    <t>AD0412</t>
  </si>
  <si>
    <t>AD0431</t>
  </si>
  <si>
    <t>AD0411</t>
  </si>
  <si>
    <t>AR0108</t>
  </si>
  <si>
    <t>AR0105</t>
  </si>
  <si>
    <t>AD0107</t>
  </si>
  <si>
    <t>AD0127</t>
  </si>
  <si>
    <t>AD0104</t>
  </si>
  <si>
    <t>AD0144</t>
  </si>
  <si>
    <t>AD0124</t>
  </si>
  <si>
    <t>AD0109</t>
  </si>
  <si>
    <t>AD0110</t>
  </si>
  <si>
    <t>AD0126</t>
  </si>
  <si>
    <t>AD0146</t>
  </si>
  <si>
    <t>AD0106</t>
  </si>
  <si>
    <t>AO0381</t>
  </si>
  <si>
    <t>AO0382</t>
  </si>
  <si>
    <t>AO0313</t>
  </si>
  <si>
    <t>AO0333</t>
  </si>
  <si>
    <t>AO0334</t>
  </si>
  <si>
    <t>AO0314</t>
  </si>
  <si>
    <t>AO0306</t>
  </si>
  <si>
    <t>AO0326</t>
  </si>
  <si>
    <t>AO0312</t>
  </si>
  <si>
    <t>AO0332</t>
  </si>
  <si>
    <t>AO039B</t>
  </si>
  <si>
    <t>AO039A</t>
  </si>
  <si>
    <t>AD0125</t>
  </si>
  <si>
    <t>AD0105</t>
  </si>
  <si>
    <t>AD0145</t>
  </si>
  <si>
    <t>AD0108</t>
  </si>
  <si>
    <t>AD0128</t>
  </si>
  <si>
    <t>AO0395</t>
  </si>
  <si>
    <t>AO0391</t>
  </si>
  <si>
    <t>AO0392</t>
  </si>
  <si>
    <t>AO0396</t>
  </si>
  <si>
    <t>Sem filhos</t>
  </si>
  <si>
    <t>1. Parametrização</t>
  </si>
  <si>
    <t>2. Explosão Pais e Filhos</t>
  </si>
  <si>
    <t>Neste caso, o bem tem de estar associado ao processo com esta finalidade. Ou seja, não pode ser de forma individual. Ter 1 bem que marca epc, e depois olhar de forma individual para o processo para ver a finalidade.</t>
  </si>
  <si>
    <t>025002</t>
  </si>
  <si>
    <t>31000318646096025000000000000000</t>
  </si>
  <si>
    <t>2024-01-17</t>
  </si>
  <si>
    <t>18646096025</t>
  </si>
  <si>
    <t>flag_cli_3</t>
  </si>
  <si>
    <t>flag_cli_2</t>
  </si>
  <si>
    <t>flag_cli</t>
  </si>
  <si>
    <t>chave_207</t>
  </si>
  <si>
    <t>chave_master</t>
  </si>
  <si>
    <t>chave_mis</t>
  </si>
  <si>
    <t>chave_cto</t>
  </si>
  <si>
    <t>4. -Pure Green</t>
  </si>
  <si>
    <t>220.00</t>
  </si>
  <si>
    <t>01</t>
  </si>
  <si>
    <t>2010</t>
  </si>
  <si>
    <t>31003012841630000000000000000000</t>
  </si>
  <si>
    <t>20.16</t>
  </si>
  <si>
    <t>4-MEDIA</t>
  </si>
  <si>
    <t>31003000496184410000000000000010</t>
  </si>
  <si>
    <t>004</t>
  </si>
  <si>
    <t>31000304036918096000000000000000</t>
  </si>
  <si>
    <t>7</t>
  </si>
  <si>
    <t>80.00</t>
  </si>
  <si>
    <t>2007</t>
  </si>
  <si>
    <t>31003012596360000000000000000000</t>
  </si>
  <si>
    <t>78.05</t>
  </si>
  <si>
    <t>5-MEDIA BAJA</t>
  </si>
  <si>
    <t>C</t>
  </si>
  <si>
    <t>flag_epc_fin_2</t>
  </si>
  <si>
    <t>flag_fin_2</t>
  </si>
  <si>
    <t>flag_epc_fin_1</t>
  </si>
  <si>
    <t>flag_fin_1</t>
  </si>
  <si>
    <t>flag_epc_param</t>
  </si>
  <si>
    <t>flag_ordem_epc</t>
  </si>
  <si>
    <t>net_floor_area</t>
  </si>
  <si>
    <t>chave_bem</t>
  </si>
  <si>
    <t>chave_proc</t>
  </si>
  <si>
    <t>purpose_code</t>
  </si>
  <si>
    <t>chave_resp</t>
  </si>
  <si>
    <t>A.3.1.</t>
  </si>
  <si>
    <t>NULL</t>
  </si>
  <si>
    <t>PC1</t>
  </si>
  <si>
    <t>096HG2</t>
  </si>
  <si>
    <t>flag_categ_aux</t>
  </si>
  <si>
    <t>flag_categ_pro</t>
  </si>
  <si>
    <t>chave_cto_comb</t>
  </si>
  <si>
    <t>chave_cto_eqp</t>
  </si>
  <si>
    <t>chave_cto_co</t>
  </si>
  <si>
    <t>chave_fin_2</t>
  </si>
  <si>
    <t>chave_fin_1</t>
  </si>
  <si>
    <t>chave_cto_epc</t>
  </si>
  <si>
    <t xml:space="preserve">5. - A.3.1. </t>
  </si>
  <si>
    <t>A.3.7.</t>
  </si>
  <si>
    <t>31000011011748541000000000000000</t>
  </si>
  <si>
    <t>PC9</t>
  </si>
  <si>
    <t>096PJ0</t>
  </si>
  <si>
    <t>0C0096</t>
  </si>
  <si>
    <t>130.00</t>
  </si>
  <si>
    <t>2002</t>
  </si>
  <si>
    <t>31000010743780001000000000000000</t>
  </si>
  <si>
    <t>30.16</t>
  </si>
  <si>
    <t>31006011011748541000000000000002</t>
  </si>
  <si>
    <t>001</t>
  </si>
  <si>
    <t>11</t>
  </si>
  <si>
    <t>72.00</t>
  </si>
  <si>
    <t>31000010306070001000000000000000</t>
  </si>
  <si>
    <t>318.79</t>
  </si>
  <si>
    <t>G</t>
  </si>
  <si>
    <t xml:space="preserve">3. - A.3.7. </t>
  </si>
  <si>
    <t>10</t>
  </si>
  <si>
    <t>A.11.5.</t>
  </si>
  <si>
    <t>096CFU</t>
  </si>
  <si>
    <t>31000310725926096000000000000000</t>
  </si>
  <si>
    <t>12</t>
  </si>
  <si>
    <t>SEM PARAM</t>
  </si>
  <si>
    <t>0CV096</t>
  </si>
  <si>
    <t xml:space="preserve">2. - A.11.5. </t>
  </si>
  <si>
    <t>EC7</t>
  </si>
  <si>
    <t>096BF0</t>
  </si>
  <si>
    <t>31000314100647096000000000000000</t>
  </si>
  <si>
    <t xml:space="preserve">1. - A.5.2. </t>
  </si>
  <si>
    <t>Nao Aplicavel</t>
  </si>
  <si>
    <t>3</t>
  </si>
  <si>
    <t>23</t>
  </si>
  <si>
    <t>13</t>
  </si>
  <si>
    <t>Pure Green counterparty - Default</t>
  </si>
  <si>
    <t>8</t>
  </si>
  <si>
    <t>243</t>
  </si>
  <si>
    <t>A.5.2.</t>
  </si>
  <si>
    <t>n</t>
  </si>
  <si>
    <t>flag_aux</t>
  </si>
  <si>
    <t>31000020220000094000500C117964I1</t>
  </si>
  <si>
    <t>0V0050</t>
  </si>
  <si>
    <t>89000020220000094V005000C51212I5</t>
  </si>
  <si>
    <t>31000020220000094V005000C51212I5</t>
  </si>
  <si>
    <t>89000020220000094001520240562656</t>
  </si>
  <si>
    <t>000050</t>
  </si>
  <si>
    <t>2022-05-26</t>
  </si>
  <si>
    <t>89000020220000094001520240613277</t>
  </si>
  <si>
    <t>31000020220000094001520240562656</t>
  </si>
  <si>
    <t>0V0Y50</t>
  </si>
  <si>
    <t>FACTORING S/R DEVEDORES</t>
  </si>
  <si>
    <t>FACTORING S/R ADERENTES</t>
  </si>
  <si>
    <t>31000303308240081000000000100000</t>
  </si>
  <si>
    <t>2024-04-23</t>
  </si>
  <si>
    <t>#46 casos destes</t>
  </si>
  <si>
    <t>1A. Marcação Cliente - Aderente e Devedor em Simultâneo</t>
  </si>
  <si>
    <t>1B. Marcação Cliente - Sem traçabilidade no MIS</t>
  </si>
  <si>
    <t>B-</t>
  </si>
  <si>
    <t>1-REAL</t>
  </si>
  <si>
    <t>801.00</t>
  </si>
  <si>
    <t>31000313557623096000000000000000</t>
  </si>
  <si>
    <t>31000302194816080000000000000001</t>
  </si>
  <si>
    <t>31003216754130000000000000000000</t>
  </si>
  <si>
    <t>02</t>
  </si>
  <si>
    <t>31003200496400160000000000000001</t>
  </si>
  <si>
    <t>023</t>
  </si>
  <si>
    <t>2A. Marcação Produto- Considerar cfinalidad do contrato, ou a linha de acordo com o bem (no máimo 1 contrato tem 1 processo com finalidade e outro processo sem finalidade preenchida)</t>
  </si>
  <si>
    <t>31000300221421007100086803420000</t>
  </si>
  <si>
    <t>31000300221421007100086803420001</t>
  </si>
  <si>
    <t>007101</t>
  </si>
  <si>
    <t>2024-09-11</t>
  </si>
  <si>
    <t>0CT096</t>
  </si>
  <si>
    <t>096JG1</t>
  </si>
  <si>
    <t>3100031341097109600000000000000A</t>
  </si>
  <si>
    <t>ABA096</t>
  </si>
  <si>
    <t>31000313410971096000000000000000</t>
  </si>
  <si>
    <t>2B. Marcação Produto - Contágio na operação master - Exemplo 1</t>
  </si>
  <si>
    <r>
      <rPr>
        <b/>
        <u/>
        <sz val="11"/>
        <color theme="1"/>
        <rFont val="Calibri"/>
        <family val="2"/>
        <scheme val="minor"/>
      </rPr>
      <t>Outros temas:</t>
    </r>
    <r>
      <rPr>
        <sz val="11"/>
        <color theme="1"/>
        <rFont val="Calibri"/>
        <family val="2"/>
        <scheme val="minor"/>
      </rPr>
      <t xml:space="preserve"> Vazio na fiabilidade da Gloval</t>
    </r>
  </si>
  <si>
    <r>
      <t xml:space="preserve">2B. Marcação Produto - Contágio na operação master - Exemplo 2 </t>
    </r>
    <r>
      <rPr>
        <i/>
        <sz val="11"/>
        <color theme="1"/>
        <rFont val="Calibri"/>
        <family val="2"/>
        <scheme val="minor"/>
      </rPr>
      <t>Não tenho casos destes a sair com 2 categorias distintas</t>
    </r>
  </si>
  <si>
    <t xml:space="preserve">Não marcar quando é exclusivamente devedor </t>
  </si>
  <si>
    <t>como verde</t>
  </si>
  <si>
    <t>Considerar como verde (ou seja contágio)</t>
  </si>
  <si>
    <t xml:space="preserve"> AND CO2_MOD</t>
  </si>
  <si>
    <t xml:space="preserve"> AND TRIM(FLAG_PROJECT_FINANCE) = '1'</t>
  </si>
  <si>
    <t xml:space="preserve"> AND TRIM(CKMETAMIS) IN('AI0202', 'AI0222', 'AI0242', 'AI0313', 'AI0333', 'AI0353')</t>
  </si>
  <si>
    <t xml:space="preserve"> AND TRIM(EPC) NOT IN ('') AND EPC IS NOT NULL</t>
  </si>
  <si>
    <t xml:space="preserve"> AND TRIM(EPC) not in ('A+','A', 'B') AND EPC IS NOT NULL </t>
  </si>
  <si>
    <t xml:space="preserve"> AND TRIM(CONTRAPARTE) NOT IN('outras empresas nao financeiras') AND CONTRAPARTE IS NOT NULL</t>
  </si>
  <si>
    <t xml:space="preserve"> AND CO2_MOD &lt;50 AND CO2_MOD IS NOT NULL</t>
  </si>
  <si>
    <t xml:space="preserve"> AND CO2_MOD &gt;=50 AND CO2_MOD IS NOT NULL</t>
  </si>
  <si>
    <t xml:space="preserve"> AND TRIM(CFAMILIA) NOT IN ('02','03','04') AND CFAMILIA IS NOT NULL</t>
  </si>
  <si>
    <t xml:space="preserve"> AND TRIM(PROPERTY_PURPOSE_CODE) NOT IN( '01') AND PROPERTY_PURPOSE_CODE IS NOT NULL</t>
  </si>
  <si>
    <t xml:space="preserve"> AND TRIM(DABERTUR) &gt;= '2022-01-01' AND DABERTUR IS NOT NULL</t>
  </si>
  <si>
    <t xml:space="preserve"> AND TRIM(DABERTUR) &lt; '2022-01-01' AND DABERTUR IS NOT NULL</t>
  </si>
  <si>
    <t xml:space="preserve"> AND TRIM(TIPO_EQP) NOT IN ('141','241','251','252','253','254','255','256','257','146','180') AND TIPO_EQP IS NOT NULL</t>
  </si>
  <si>
    <t xml:space="preserve"> AND TRIM(QUALITY_SCORE) NOT IN ('1-REAL','SANTANDER') AND QUALITY_SCORE IS NOT NULL </t>
  </si>
  <si>
    <t xml:space="preserve"> AND PRIMARY_ENERGY_REQ_VALUE &lt;0.45 AND PRIMARY_ENERGY_REQ_VALUE IS NOT NULL</t>
  </si>
  <si>
    <t xml:space="preserve"> AND PRIMARY_ENERGY_REQ_VALUE &gt;=0.45 AND PRIMARY_ENERGY_REQ_VALUE IS NOT NULL</t>
  </si>
  <si>
    <t xml:space="preserve"> AND NET_FLOOR_AREA  &lt;5.000 AND NET_FLOOR_AREA IS NOT NULL</t>
  </si>
  <si>
    <t>FLAG_ORDEM</t>
  </si>
  <si>
    <t>AUX_REGRA</t>
  </si>
  <si>
    <t>flag_ordem</t>
  </si>
  <si>
    <t>Specific purpose</t>
  </si>
  <si>
    <t>CCM</t>
  </si>
  <si>
    <t>No</t>
  </si>
  <si>
    <t>Pure</t>
  </si>
  <si>
    <t>General Purpose</t>
  </si>
  <si>
    <t>26</t>
  </si>
  <si>
    <t>25</t>
  </si>
  <si>
    <t>66</t>
  </si>
  <si>
    <t>64</t>
  </si>
  <si>
    <t>68</t>
  </si>
  <si>
    <t>15</t>
  </si>
  <si>
    <t xml:space="preserve"> AND TRIM(CONSTRUCTION_YEAR) &lt; '2020' AND CONSTRUCTION_YEAR IS NOT NULL AND TRIM(CONSTRUCTION_YEAR)&lt;&gt;''</t>
  </si>
  <si>
    <t xml:space="preserve"> AND TRIM(CONSTRUCTION_YEAR) &gt;= '2020' AND TRIM(CONSTRUCTION_YEAR)&lt; '9999' AND CONSTRUCTION_YEAR IS NOT NULL AND TRIM(CONSTRUCTION_YEAR)&lt;&gt;''</t>
  </si>
  <si>
    <t>1.000000</t>
  </si>
  <si>
    <t>A.7.7.</t>
  </si>
  <si>
    <t>A.2.3.</t>
  </si>
  <si>
    <t>0.000000</t>
  </si>
  <si>
    <t>A.1.6.</t>
  </si>
  <si>
    <t>KPI Linked - Green</t>
  </si>
  <si>
    <t>A.3.2.</t>
  </si>
  <si>
    <t>Sustainability Linked Finance - Default</t>
  </si>
  <si>
    <t>30</t>
  </si>
  <si>
    <t>21</t>
  </si>
  <si>
    <t>22</t>
  </si>
  <si>
    <t>34</t>
  </si>
  <si>
    <t>35</t>
  </si>
  <si>
    <t>33</t>
  </si>
  <si>
    <t>58</t>
  </si>
  <si>
    <t>37</t>
  </si>
  <si>
    <t>flg_rsc_fsc_crnc_TRAT</t>
  </si>
  <si>
    <t>flg_rsc_fsc_agd_TRAT</t>
  </si>
  <si>
    <t>cproduto</t>
  </si>
  <si>
    <t>csubprod</t>
  </si>
  <si>
    <t>chave_cto_2</t>
  </si>
  <si>
    <t>zcliente_1</t>
  </si>
  <si>
    <t>zcliente_3</t>
  </si>
  <si>
    <t>chave_cto_5</t>
  </si>
  <si>
    <t>chave_cto_10</t>
  </si>
  <si>
    <t>flag_rsc_fsc_agd</t>
  </si>
  <si>
    <t>flag_rsc_fsc_crnc</t>
  </si>
  <si>
    <t>zcliente_10</t>
  </si>
  <si>
    <t>chave_resp_6</t>
  </si>
  <si>
    <t>chave_proc_6</t>
  </si>
  <si>
    <t>chave_proc_7</t>
  </si>
  <si>
    <t>chave_bem_7</t>
  </si>
  <si>
    <t>chave_bem_8</t>
  </si>
  <si>
    <t>chave_bem_9</t>
  </si>
  <si>
    <t>chave_resp_10</t>
  </si>
  <si>
    <t>chave_proc_10</t>
  </si>
  <si>
    <t>chave_proc_11</t>
  </si>
  <si>
    <t>chave_bem_11</t>
  </si>
  <si>
    <t>chave_bem_12</t>
  </si>
  <si>
    <t>co2_mod</t>
  </si>
  <si>
    <t>chave_mis_13</t>
  </si>
  <si>
    <t>chave_master_13</t>
  </si>
  <si>
    <t>chave_resp_16</t>
  </si>
  <si>
    <t>flg_rsc_fsc_agd_trat</t>
  </si>
  <si>
    <t>flg_rsc_fsc_crnc_trat</t>
  </si>
  <si>
    <t>num_bens_imo</t>
  </si>
  <si>
    <t>num_bens_mov</t>
  </si>
  <si>
    <t>num_chaves_207</t>
  </si>
  <si>
    <t>num_chaves_tra</t>
  </si>
  <si>
    <t>flag_1</t>
  </si>
  <si>
    <t>flag_2</t>
  </si>
  <si>
    <t>flag_3</t>
  </si>
  <si>
    <t>flag_4</t>
  </si>
  <si>
    <t>flag_5</t>
  </si>
  <si>
    <t>flag_6</t>
  </si>
  <si>
    <t>flag_7</t>
  </si>
  <si>
    <t>flag_8</t>
  </si>
  <si>
    <t>flag_9</t>
  </si>
  <si>
    <t>flag_10</t>
  </si>
  <si>
    <t>flag_11</t>
  </si>
  <si>
    <t>flag_12</t>
  </si>
  <si>
    <t>flag_13</t>
  </si>
  <si>
    <t>flag_14</t>
  </si>
  <si>
    <t>flag_15</t>
  </si>
  <si>
    <t>flag_16</t>
  </si>
  <si>
    <t>flag_17</t>
  </si>
  <si>
    <t>flag_18</t>
  </si>
  <si>
    <t>flag_19</t>
  </si>
  <si>
    <t>flag_20</t>
  </si>
  <si>
    <t>flag_21</t>
  </si>
  <si>
    <t>flag_22</t>
  </si>
  <si>
    <t>flag_23</t>
  </si>
  <si>
    <t>flag_24</t>
  </si>
  <si>
    <t>flag_25</t>
  </si>
  <si>
    <t>flag_26</t>
  </si>
  <si>
    <t>flag_27</t>
  </si>
  <si>
    <t>flag_28</t>
  </si>
  <si>
    <t>flag_29</t>
  </si>
  <si>
    <t>flag_30</t>
  </si>
  <si>
    <t>flag_31</t>
  </si>
  <si>
    <t>flag_32</t>
  </si>
  <si>
    <t>flag_33</t>
  </si>
  <si>
    <t>flag_34</t>
  </si>
  <si>
    <t>flag_35</t>
  </si>
  <si>
    <t>flag_36</t>
  </si>
  <si>
    <t>flag_37</t>
  </si>
  <si>
    <t>flag_38</t>
  </si>
  <si>
    <t>flag_39</t>
  </si>
  <si>
    <t>flag_40</t>
  </si>
  <si>
    <t>flag_41</t>
  </si>
  <si>
    <t>flag_42</t>
  </si>
  <si>
    <t>flag_43</t>
  </si>
  <si>
    <t>flag_44</t>
  </si>
  <si>
    <t>flag_45</t>
  </si>
  <si>
    <t>flag_46</t>
  </si>
  <si>
    <t>flag_47</t>
  </si>
  <si>
    <t>flag_48</t>
  </si>
  <si>
    <t>flag_49</t>
  </si>
  <si>
    <t>flag_50</t>
  </si>
  <si>
    <t>flag_51</t>
  </si>
  <si>
    <t>flag_52</t>
  </si>
  <si>
    <t>flag_53</t>
  </si>
  <si>
    <t>flag_54</t>
  </si>
  <si>
    <t>flag_55</t>
  </si>
  <si>
    <t>flag_56</t>
  </si>
  <si>
    <t>flag_57</t>
  </si>
  <si>
    <t>flag_58</t>
  </si>
  <si>
    <t>flag_59</t>
  </si>
  <si>
    <t>flag_60</t>
  </si>
  <si>
    <t>flag_61</t>
  </si>
  <si>
    <t>flag_62</t>
  </si>
  <si>
    <t>flag_63</t>
  </si>
  <si>
    <t>flag_64</t>
  </si>
  <si>
    <t>flag_65</t>
  </si>
  <si>
    <t>flag_66</t>
  </si>
  <si>
    <t>flag_67</t>
  </si>
  <si>
    <t>flag_marc</t>
  </si>
  <si>
    <t>HG2</t>
  </si>
  <si>
    <t>particulares</t>
  </si>
  <si>
    <t>31.47</t>
  </si>
  <si>
    <t>185.00</t>
  </si>
  <si>
    <t>9002066734</t>
  </si>
  <si>
    <t>13115000096</t>
  </si>
  <si>
    <t>096</t>
  </si>
  <si>
    <t>2020-01-31</t>
  </si>
  <si>
    <t>31000313115000096000000000000000</t>
  </si>
  <si>
    <t>31000313115000096</t>
  </si>
  <si>
    <t>03</t>
  </si>
  <si>
    <t>31003000491886360000000000000001</t>
  </si>
  <si>
    <t>31003016490800000000000000000000</t>
  </si>
  <si>
    <t>1937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</si>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</sst>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2" borderId="1" xfId="0" applyFont="1" applyFill="1" applyBorder="1"/>
    <xf numFmtId="0" fontId="0" fillId="0" borderId="0" xfId="0" quotePrefix="1"/>
    <xf numFmtId="0" fontId="2" fillId="0" borderId="0" xfId="0" applyFont="1"/>
    <xf numFmtId="0" fontId="1" fillId="7" borderId="2" xfId="0" applyFont="1" applyFill="1" applyBorder="1"/>
    <xf numFmtId="0" fontId="0" fillId="6" borderId="1" xfId="0" applyFill="1" applyBorder="1"/>
    <xf numFmtId="0" fontId="0" fillId="6" borderId="0" xfId="0" applyFill="1"/>
    <xf numFmtId="49" fontId="0" fillId="0" borderId="0" xfId="0" applyNumberFormat="1"/>
    <xf numFmtId="49" fontId="0" fillId="6" borderId="0" xfId="0" applyNumberFormat="1" applyFill="1"/>
    <xf numFmtId="49" fontId="2" fillId="0" borderId="0" xfId="0" applyNumberFormat="1" applyFont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12" borderId="0" xfId="0" applyNumberFormat="1" applyFill="1"/>
    <xf numFmtId="49" fontId="0" fillId="8" borderId="0" xfId="0" applyNumberFormat="1" applyFill="1"/>
    <xf numFmtId="49" fontId="0" fillId="10" borderId="0" xfId="0" applyNumberFormat="1" applyFill="1"/>
    <xf numFmtId="49" fontId="0" fillId="9" borderId="0" xfId="0" applyNumberFormat="1" applyFill="1"/>
    <xf numFmtId="49" fontId="0" fillId="13" borderId="0" xfId="0" applyNumberFormat="1" applyFill="1"/>
    <xf numFmtId="0" fontId="0" fillId="0" borderId="0" xfId="0" applyAlignment="1">
      <alignment vertical="center"/>
    </xf>
    <xf numFmtId="0" fontId="2" fillId="0" borderId="3" xfId="0" applyFont="1" applyBorder="1"/>
    <xf numFmtId="0" fontId="0" fillId="0" borderId="3" xfId="0" applyBorder="1"/>
    <xf numFmtId="0" fontId="0" fillId="13" borderId="0" xfId="0" applyFill="1"/>
    <xf numFmtId="49" fontId="0" fillId="8" borderId="0" xfId="0" quotePrefix="1" applyNumberFormat="1" applyFill="1"/>
    <xf numFmtId="49" fontId="0" fillId="0" borderId="0" xfId="0" applyNumberFormat="1" applyFill="1"/>
    <xf numFmtId="0" fontId="0" fillId="11" borderId="0" xfId="0" applyFill="1"/>
    <xf numFmtId="0" fontId="0" fillId="4" borderId="0" xfId="0" applyFill="1"/>
    <xf numFmtId="0" fontId="0" fillId="10" borderId="0" xfId="0" applyFill="1"/>
    <xf numFmtId="0" fontId="0" fillId="14" borderId="0" xfId="0" applyFill="1"/>
    <xf numFmtId="0" fontId="1" fillId="7" borderId="1" xfId="0" applyFont="1" applyFill="1" applyBorder="1"/>
    <xf numFmtId="0" fontId="5" fillId="0" borderId="0" xfId="0" applyFont="1"/>
    <xf numFmtId="0" fontId="5" fillId="0" borderId="0" xfId="0" quotePrefix="1" applyFont="1"/>
    <xf numFmtId="0" fontId="1" fillId="16" borderId="2" xfId="0" applyFont="1" applyFill="1" applyBorder="1"/>
    <xf numFmtId="0" fontId="1" fillId="16" borderId="4" xfId="0" applyFont="1" applyFill="1" applyBorder="1"/>
    <xf numFmtId="0" fontId="1" fillId="17" borderId="1" xfId="0" applyFont="1" applyFill="1" applyBorder="1"/>
    <xf numFmtId="49" fontId="1" fillId="18" borderId="1" xfId="0" applyNumberFormat="1" applyFont="1" applyFill="1" applyBorder="1"/>
    <xf numFmtId="49" fontId="1" fillId="7" borderId="1" xfId="0" applyNumberFormat="1" applyFont="1" applyFill="1" applyBorder="1"/>
    <xf numFmtId="49" fontId="1" fillId="19" borderId="1" xfId="0" applyNumberFormat="1" applyFont="1" applyFill="1" applyBorder="1"/>
    <xf numFmtId="0" fontId="0" fillId="0" borderId="1" xfId="0" applyNumberFormat="1" applyBorder="1"/>
    <xf numFmtId="49" fontId="0" fillId="6" borderId="1" xfId="0" applyNumberFormat="1" applyFill="1" applyBorder="1"/>
    <xf numFmtId="0" fontId="0" fillId="6" borderId="1" xfId="0" applyNumberFormat="1" applyFill="1" applyBorder="1"/>
    <xf numFmtId="49" fontId="0" fillId="0" borderId="1" xfId="0" applyNumberFormat="1" applyFill="1" applyBorder="1"/>
    <xf numFmtId="0" fontId="0" fillId="0" borderId="1" xfId="0" applyNumberFormat="1" applyFill="1" applyBorder="1"/>
    <xf numFmtId="49" fontId="2" fillId="0" borderId="0" xfId="0" applyNumberFormat="1" applyFont="1" applyFill="1" applyBorder="1"/>
    <xf numFmtId="49" fontId="0" fillId="15" borderId="1" xfId="0" applyNumberFormat="1" applyFill="1" applyBorder="1"/>
    <xf numFmtId="0" fontId="0" fillId="9" borderId="1" xfId="0" applyFill="1" applyBorder="1"/>
    <xf numFmtId="0" fontId="2" fillId="0" borderId="0" xfId="0" applyFont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428625</xdr:colOff>
      <xdr:row>2</xdr:row>
      <xdr:rowOff>133350</xdr:rowOff>
    </xdr:from>
    <xdr:to>
      <xdr:col>21</xdr:col>
      <xdr:colOff>266700</xdr:colOff>
      <xdr:row>10</xdr:row>
      <xdr:rowOff>0</xdr:rowOff>
    </xdr:to>
    <xdr:sp macro="" textlink="">
      <xdr:nvSpPr>
        <xdr:cNvPr id="2" name="TextBox 1"/>
        <xdr:cNvSpPr txBox="1"/>
      </xdr:nvSpPr>
      <xdr:spPr>
        <a:xfrm>
          <a:off x="11258550" y="514350"/>
          <a:ext cx="5324475" cy="1390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SELECT *    ,CASE        WHEN (TRIM(CKPRODMI)) like '0V0%' THEN 1         ELSE 0     END AS FLAG_AUXFROM BU_CAPTOOLS_WORK.MV_CLIENTE_DEZ24HAVING FLAG_AUX=1;SELECT zcliente,chave_cto,chave_mis,ckprodmi,daberturFROM BU_CAPTOOLS_WORK.MV_CLIENTE_DEZ24WHERE chave_cto IN ('89000020240000684V0050120636I954','89000020220000094V005000C51212I5','89000020220000094001520240613277','89000020220000094001520240562656')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Q1266"/>
  <sheetViews>
    <sheetView topLeftCell="AC1" workbookViewId="0">
      <selection activeCell="AO2" sqref="AO2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>
        <v>1</v>
      </c>
      <c r="C2" t="s">
        <v>44</v>
      </c>
      <c r="J2" t="s">
        <v>45</v>
      </c>
      <c r="K2" t="s">
        <v>46</v>
      </c>
      <c r="L2" t="s">
        <v>47</v>
      </c>
      <c r="M2" t="s">
        <v>48</v>
      </c>
      <c r="AJ2">
        <v>1</v>
      </c>
      <c r="AK2" t="s">
        <v>49</v>
      </c>
    </row>
    <row r="3" spans="1:43" x14ac:dyDescent="0.25">
      <c r="A3" t="s">
        <v>43</v>
      </c>
      <c r="B3">
        <v>2</v>
      </c>
      <c r="C3" t="s">
        <v>44</v>
      </c>
      <c r="J3" t="s">
        <v>45</v>
      </c>
      <c r="K3" t="s">
        <v>46</v>
      </c>
      <c r="L3" t="s">
        <v>50</v>
      </c>
      <c r="M3" t="s">
        <v>48</v>
      </c>
      <c r="AJ3">
        <v>1</v>
      </c>
      <c r="AK3" t="s">
        <v>51</v>
      </c>
    </row>
    <row r="4" spans="1:43" x14ac:dyDescent="0.25">
      <c r="A4" t="s">
        <v>43</v>
      </c>
      <c r="B4">
        <v>3</v>
      </c>
      <c r="C4" t="s">
        <v>44</v>
      </c>
      <c r="J4" t="s">
        <v>45</v>
      </c>
      <c r="K4" t="s">
        <v>46</v>
      </c>
      <c r="L4" t="s">
        <v>52</v>
      </c>
      <c r="M4" t="s">
        <v>48</v>
      </c>
      <c r="AJ4">
        <v>1</v>
      </c>
      <c r="AK4" t="s">
        <v>53</v>
      </c>
    </row>
    <row r="5" spans="1:43" x14ac:dyDescent="0.25">
      <c r="A5" t="s">
        <v>43</v>
      </c>
      <c r="B5">
        <v>4</v>
      </c>
      <c r="C5" t="s">
        <v>44</v>
      </c>
      <c r="J5" t="s">
        <v>54</v>
      </c>
      <c r="K5" t="s">
        <v>55</v>
      </c>
      <c r="L5" t="s">
        <v>56</v>
      </c>
      <c r="M5" t="s">
        <v>57</v>
      </c>
      <c r="AJ5">
        <v>1</v>
      </c>
      <c r="AK5" t="s">
        <v>58</v>
      </c>
    </row>
    <row r="6" spans="1:43" x14ac:dyDescent="0.25">
      <c r="A6" t="s">
        <v>43</v>
      </c>
      <c r="B6">
        <v>5</v>
      </c>
      <c r="C6" t="s">
        <v>44</v>
      </c>
      <c r="J6" t="s">
        <v>45</v>
      </c>
      <c r="K6" t="s">
        <v>46</v>
      </c>
      <c r="L6" t="s">
        <v>59</v>
      </c>
      <c r="M6" t="s">
        <v>48</v>
      </c>
      <c r="AJ6">
        <v>1</v>
      </c>
      <c r="AK6" t="s">
        <v>60</v>
      </c>
    </row>
    <row r="7" spans="1:43" x14ac:dyDescent="0.25">
      <c r="A7" t="s">
        <v>43</v>
      </c>
      <c r="B7">
        <v>6</v>
      </c>
      <c r="C7" t="s">
        <v>44</v>
      </c>
      <c r="J7" t="s">
        <v>45</v>
      </c>
      <c r="K7" t="s">
        <v>46</v>
      </c>
      <c r="L7" t="s">
        <v>61</v>
      </c>
      <c r="M7" t="s">
        <v>48</v>
      </c>
      <c r="AJ7">
        <v>1</v>
      </c>
      <c r="AK7" t="s">
        <v>60</v>
      </c>
    </row>
    <row r="8" spans="1:43" x14ac:dyDescent="0.25">
      <c r="A8" t="s">
        <v>43</v>
      </c>
      <c r="B8">
        <v>7</v>
      </c>
      <c r="C8" t="s">
        <v>44</v>
      </c>
      <c r="J8" t="s">
        <v>45</v>
      </c>
      <c r="K8" t="s">
        <v>46</v>
      </c>
      <c r="L8" t="s">
        <v>62</v>
      </c>
      <c r="M8" t="s">
        <v>48</v>
      </c>
      <c r="AJ8">
        <v>1</v>
      </c>
      <c r="AK8" t="s">
        <v>60</v>
      </c>
    </row>
    <row r="9" spans="1:43" x14ac:dyDescent="0.25">
      <c r="A9" t="s">
        <v>43</v>
      </c>
      <c r="B9">
        <v>8</v>
      </c>
      <c r="C9" t="s">
        <v>44</v>
      </c>
      <c r="J9" t="s">
        <v>45</v>
      </c>
      <c r="K9" t="s">
        <v>46</v>
      </c>
      <c r="L9" t="s">
        <v>63</v>
      </c>
      <c r="M9" t="s">
        <v>48</v>
      </c>
      <c r="AJ9">
        <v>1</v>
      </c>
      <c r="AK9" t="s">
        <v>60</v>
      </c>
    </row>
    <row r="10" spans="1:43" x14ac:dyDescent="0.25">
      <c r="A10" t="s">
        <v>43</v>
      </c>
      <c r="B10">
        <v>9</v>
      </c>
      <c r="C10" t="s">
        <v>44</v>
      </c>
      <c r="J10" t="s">
        <v>45</v>
      </c>
      <c r="K10" t="s">
        <v>46</v>
      </c>
      <c r="L10" t="s">
        <v>64</v>
      </c>
      <c r="M10" t="s">
        <v>48</v>
      </c>
      <c r="AJ10">
        <v>1</v>
      </c>
      <c r="AK10" t="s">
        <v>51</v>
      </c>
    </row>
    <row r="11" spans="1:43" x14ac:dyDescent="0.25">
      <c r="A11" t="s">
        <v>43</v>
      </c>
      <c r="B11">
        <v>10</v>
      </c>
      <c r="C11" t="s">
        <v>44</v>
      </c>
      <c r="J11" t="s">
        <v>45</v>
      </c>
      <c r="K11" t="s">
        <v>46</v>
      </c>
      <c r="L11" t="s">
        <v>65</v>
      </c>
      <c r="M11" t="s">
        <v>48</v>
      </c>
      <c r="AJ11">
        <v>1</v>
      </c>
      <c r="AK11" t="s">
        <v>51</v>
      </c>
    </row>
    <row r="12" spans="1:43" x14ac:dyDescent="0.25">
      <c r="A12" t="s">
        <v>43</v>
      </c>
      <c r="B12">
        <v>11</v>
      </c>
      <c r="C12" t="s">
        <v>44</v>
      </c>
      <c r="J12" t="s">
        <v>45</v>
      </c>
      <c r="K12" t="s">
        <v>46</v>
      </c>
      <c r="L12" t="s">
        <v>66</v>
      </c>
      <c r="M12" t="s">
        <v>48</v>
      </c>
      <c r="AJ12">
        <v>1</v>
      </c>
      <c r="AK12" t="s">
        <v>49</v>
      </c>
    </row>
    <row r="13" spans="1:43" x14ac:dyDescent="0.25">
      <c r="A13" t="s">
        <v>43</v>
      </c>
      <c r="B13">
        <v>12</v>
      </c>
      <c r="C13" t="s">
        <v>44</v>
      </c>
      <c r="J13" t="s">
        <v>45</v>
      </c>
      <c r="K13" t="s">
        <v>46</v>
      </c>
      <c r="L13" t="s">
        <v>67</v>
      </c>
      <c r="M13" t="s">
        <v>48</v>
      </c>
      <c r="AJ13">
        <v>1</v>
      </c>
      <c r="AK13" t="s">
        <v>60</v>
      </c>
    </row>
    <row r="14" spans="1:43" x14ac:dyDescent="0.25">
      <c r="A14" t="s">
        <v>43</v>
      </c>
      <c r="B14">
        <v>13</v>
      </c>
      <c r="C14" t="s">
        <v>44</v>
      </c>
      <c r="J14" t="s">
        <v>45</v>
      </c>
      <c r="K14" t="s">
        <v>46</v>
      </c>
      <c r="L14" t="s">
        <v>68</v>
      </c>
      <c r="M14" t="s">
        <v>48</v>
      </c>
      <c r="AJ14">
        <v>1</v>
      </c>
      <c r="AK14" t="s">
        <v>60</v>
      </c>
    </row>
    <row r="15" spans="1:43" x14ac:dyDescent="0.25">
      <c r="A15" t="s">
        <v>43</v>
      </c>
      <c r="B15">
        <v>14</v>
      </c>
      <c r="C15" t="s">
        <v>44</v>
      </c>
      <c r="J15" t="s">
        <v>45</v>
      </c>
      <c r="K15" t="s">
        <v>46</v>
      </c>
      <c r="L15" t="s">
        <v>69</v>
      </c>
      <c r="M15" t="s">
        <v>48</v>
      </c>
      <c r="AJ15">
        <v>1</v>
      </c>
      <c r="AK15" t="s">
        <v>60</v>
      </c>
    </row>
    <row r="16" spans="1:43" x14ac:dyDescent="0.25">
      <c r="A16" t="s">
        <v>43</v>
      </c>
      <c r="B16">
        <v>15</v>
      </c>
      <c r="C16" t="s">
        <v>44</v>
      </c>
      <c r="J16" t="s">
        <v>45</v>
      </c>
      <c r="K16" t="s">
        <v>46</v>
      </c>
      <c r="L16" t="s">
        <v>70</v>
      </c>
      <c r="M16" t="s">
        <v>48</v>
      </c>
      <c r="AJ16">
        <v>1</v>
      </c>
      <c r="AK16" t="s">
        <v>60</v>
      </c>
    </row>
    <row r="17" spans="1:37" x14ac:dyDescent="0.25">
      <c r="A17" t="s">
        <v>43</v>
      </c>
      <c r="B17">
        <v>16</v>
      </c>
      <c r="C17" t="s">
        <v>44</v>
      </c>
      <c r="J17" t="s">
        <v>54</v>
      </c>
      <c r="K17" t="s">
        <v>55</v>
      </c>
      <c r="L17" t="s">
        <v>71</v>
      </c>
      <c r="M17" t="s">
        <v>72</v>
      </c>
      <c r="AJ17">
        <v>1</v>
      </c>
      <c r="AK17" t="s">
        <v>58</v>
      </c>
    </row>
    <row r="18" spans="1:37" x14ac:dyDescent="0.25">
      <c r="A18" t="s">
        <v>43</v>
      </c>
      <c r="B18">
        <v>17</v>
      </c>
      <c r="C18" t="s">
        <v>44</v>
      </c>
      <c r="J18" t="s">
        <v>54</v>
      </c>
      <c r="K18" t="s">
        <v>55</v>
      </c>
      <c r="L18" t="s">
        <v>73</v>
      </c>
      <c r="M18" t="s">
        <v>74</v>
      </c>
      <c r="AJ18">
        <v>1</v>
      </c>
      <c r="AK18" t="s">
        <v>58</v>
      </c>
    </row>
    <row r="19" spans="1:37" x14ac:dyDescent="0.25">
      <c r="A19" t="s">
        <v>43</v>
      </c>
      <c r="B19">
        <v>18</v>
      </c>
      <c r="C19" t="s">
        <v>44</v>
      </c>
      <c r="J19" t="s">
        <v>45</v>
      </c>
      <c r="K19" t="s">
        <v>46</v>
      </c>
      <c r="L19" t="s">
        <v>75</v>
      </c>
      <c r="M19" t="s">
        <v>48</v>
      </c>
      <c r="AJ19">
        <v>1</v>
      </c>
      <c r="AK19" t="s">
        <v>76</v>
      </c>
    </row>
    <row r="20" spans="1:37" x14ac:dyDescent="0.25">
      <c r="A20" t="s">
        <v>43</v>
      </c>
      <c r="B20">
        <v>19</v>
      </c>
      <c r="C20" t="s">
        <v>44</v>
      </c>
      <c r="J20" t="s">
        <v>54</v>
      </c>
      <c r="K20" t="s">
        <v>55</v>
      </c>
      <c r="L20" t="s">
        <v>77</v>
      </c>
      <c r="M20" t="s">
        <v>78</v>
      </c>
      <c r="AJ20">
        <v>1</v>
      </c>
      <c r="AK20" t="s">
        <v>58</v>
      </c>
    </row>
    <row r="21" spans="1:37" x14ac:dyDescent="0.25">
      <c r="A21" t="s">
        <v>43</v>
      </c>
      <c r="B21">
        <v>20</v>
      </c>
      <c r="C21" t="s">
        <v>44</v>
      </c>
      <c r="J21" t="s">
        <v>45</v>
      </c>
      <c r="K21" t="s">
        <v>46</v>
      </c>
      <c r="L21" t="s">
        <v>79</v>
      </c>
      <c r="M21" t="s">
        <v>48</v>
      </c>
      <c r="AJ21">
        <v>1</v>
      </c>
      <c r="AK21" t="s">
        <v>60</v>
      </c>
    </row>
    <row r="22" spans="1:37" x14ac:dyDescent="0.25">
      <c r="A22" t="s">
        <v>43</v>
      </c>
      <c r="B22">
        <v>21</v>
      </c>
      <c r="C22" t="s">
        <v>44</v>
      </c>
      <c r="J22" t="s">
        <v>45</v>
      </c>
      <c r="K22" t="s">
        <v>46</v>
      </c>
      <c r="L22" t="s">
        <v>80</v>
      </c>
      <c r="M22" t="s">
        <v>48</v>
      </c>
      <c r="AJ22">
        <v>1</v>
      </c>
      <c r="AK22" t="s">
        <v>60</v>
      </c>
    </row>
    <row r="23" spans="1:37" x14ac:dyDescent="0.25">
      <c r="A23" t="s">
        <v>43</v>
      </c>
      <c r="B23">
        <v>22</v>
      </c>
      <c r="C23" t="s">
        <v>44</v>
      </c>
      <c r="J23" t="s">
        <v>45</v>
      </c>
      <c r="K23" t="s">
        <v>46</v>
      </c>
      <c r="L23" t="s">
        <v>81</v>
      </c>
      <c r="M23" t="s">
        <v>48</v>
      </c>
      <c r="AJ23">
        <v>1</v>
      </c>
      <c r="AK23" t="s">
        <v>60</v>
      </c>
    </row>
    <row r="24" spans="1:37" x14ac:dyDescent="0.25">
      <c r="A24" t="s">
        <v>43</v>
      </c>
      <c r="B24">
        <v>23</v>
      </c>
      <c r="C24" t="s">
        <v>44</v>
      </c>
      <c r="J24" t="s">
        <v>45</v>
      </c>
      <c r="K24" t="s">
        <v>46</v>
      </c>
      <c r="L24" t="s">
        <v>82</v>
      </c>
      <c r="M24" t="s">
        <v>48</v>
      </c>
      <c r="AJ24">
        <v>1</v>
      </c>
      <c r="AK24" t="s">
        <v>60</v>
      </c>
    </row>
    <row r="25" spans="1:37" x14ac:dyDescent="0.25">
      <c r="A25" t="s">
        <v>43</v>
      </c>
      <c r="B25">
        <v>24</v>
      </c>
      <c r="C25" t="s">
        <v>44</v>
      </c>
      <c r="J25" t="s">
        <v>45</v>
      </c>
      <c r="K25" t="s">
        <v>46</v>
      </c>
      <c r="L25" t="s">
        <v>83</v>
      </c>
      <c r="M25" t="s">
        <v>48</v>
      </c>
      <c r="AJ25">
        <v>1</v>
      </c>
      <c r="AK25" t="s">
        <v>60</v>
      </c>
    </row>
    <row r="26" spans="1:37" x14ac:dyDescent="0.25">
      <c r="A26" t="s">
        <v>43</v>
      </c>
      <c r="B26">
        <v>25</v>
      </c>
      <c r="C26" t="s">
        <v>44</v>
      </c>
      <c r="J26" t="s">
        <v>45</v>
      </c>
      <c r="K26" t="s">
        <v>46</v>
      </c>
      <c r="L26" t="s">
        <v>84</v>
      </c>
      <c r="M26" t="s">
        <v>48</v>
      </c>
      <c r="AJ26">
        <v>1</v>
      </c>
      <c r="AK26" t="s">
        <v>60</v>
      </c>
    </row>
    <row r="27" spans="1:37" x14ac:dyDescent="0.25">
      <c r="A27" t="s">
        <v>43</v>
      </c>
      <c r="B27">
        <v>26</v>
      </c>
      <c r="C27" t="s">
        <v>44</v>
      </c>
      <c r="J27" t="s">
        <v>45</v>
      </c>
      <c r="K27" t="s">
        <v>46</v>
      </c>
      <c r="L27" t="s">
        <v>85</v>
      </c>
      <c r="M27" t="s">
        <v>48</v>
      </c>
      <c r="AJ27">
        <v>1</v>
      </c>
      <c r="AK27" t="s">
        <v>53</v>
      </c>
    </row>
    <row r="28" spans="1:37" x14ac:dyDescent="0.25">
      <c r="A28" t="s">
        <v>43</v>
      </c>
      <c r="B28">
        <v>27</v>
      </c>
      <c r="C28" t="s">
        <v>44</v>
      </c>
      <c r="J28" t="s">
        <v>54</v>
      </c>
      <c r="K28" t="s">
        <v>55</v>
      </c>
      <c r="L28" t="s">
        <v>86</v>
      </c>
      <c r="M28" t="s">
        <v>87</v>
      </c>
      <c r="AJ28">
        <v>1</v>
      </c>
      <c r="AK28" t="s">
        <v>58</v>
      </c>
    </row>
    <row r="29" spans="1:37" x14ac:dyDescent="0.25">
      <c r="A29" t="s">
        <v>43</v>
      </c>
      <c r="B29">
        <v>28</v>
      </c>
      <c r="C29" t="s">
        <v>44</v>
      </c>
      <c r="J29" t="s">
        <v>45</v>
      </c>
      <c r="K29" t="s">
        <v>46</v>
      </c>
      <c r="L29" t="s">
        <v>88</v>
      </c>
      <c r="M29" t="s">
        <v>48</v>
      </c>
      <c r="AJ29">
        <v>1</v>
      </c>
      <c r="AK29" t="s">
        <v>53</v>
      </c>
    </row>
    <row r="30" spans="1:37" x14ac:dyDescent="0.25">
      <c r="A30" t="s">
        <v>43</v>
      </c>
      <c r="B30">
        <v>29</v>
      </c>
      <c r="C30" t="s">
        <v>44</v>
      </c>
      <c r="J30" t="s">
        <v>54</v>
      </c>
      <c r="K30" t="s">
        <v>55</v>
      </c>
      <c r="L30" t="s">
        <v>89</v>
      </c>
      <c r="M30" t="s">
        <v>90</v>
      </c>
      <c r="AJ30">
        <v>1</v>
      </c>
      <c r="AK30" t="s">
        <v>58</v>
      </c>
    </row>
    <row r="31" spans="1:37" x14ac:dyDescent="0.25">
      <c r="A31" t="s">
        <v>43</v>
      </c>
      <c r="B31">
        <v>30</v>
      </c>
      <c r="C31" t="s">
        <v>44</v>
      </c>
      <c r="J31" t="s">
        <v>45</v>
      </c>
      <c r="K31" t="s">
        <v>46</v>
      </c>
      <c r="L31" t="s">
        <v>91</v>
      </c>
      <c r="M31" t="s">
        <v>48</v>
      </c>
      <c r="AJ31">
        <v>1</v>
      </c>
      <c r="AK31" t="s">
        <v>60</v>
      </c>
    </row>
    <row r="32" spans="1:37" x14ac:dyDescent="0.25">
      <c r="A32" t="s">
        <v>43</v>
      </c>
      <c r="B32">
        <v>31</v>
      </c>
      <c r="C32" t="s">
        <v>44</v>
      </c>
      <c r="J32" t="s">
        <v>45</v>
      </c>
      <c r="K32" t="s">
        <v>46</v>
      </c>
      <c r="L32" t="s">
        <v>92</v>
      </c>
      <c r="M32" t="s">
        <v>48</v>
      </c>
      <c r="AJ32">
        <v>1</v>
      </c>
      <c r="AK32" t="s">
        <v>51</v>
      </c>
    </row>
    <row r="33" spans="1:37" x14ac:dyDescent="0.25">
      <c r="A33" t="s">
        <v>43</v>
      </c>
      <c r="B33">
        <v>32</v>
      </c>
      <c r="C33" t="s">
        <v>44</v>
      </c>
      <c r="J33" t="s">
        <v>54</v>
      </c>
      <c r="K33" t="s">
        <v>55</v>
      </c>
      <c r="L33" t="s">
        <v>93</v>
      </c>
      <c r="M33" t="s">
        <v>94</v>
      </c>
      <c r="AJ33">
        <v>1</v>
      </c>
      <c r="AK33" t="s">
        <v>58</v>
      </c>
    </row>
    <row r="34" spans="1:37" x14ac:dyDescent="0.25">
      <c r="A34" t="s">
        <v>43</v>
      </c>
      <c r="B34">
        <v>33</v>
      </c>
      <c r="C34" t="s">
        <v>44</v>
      </c>
      <c r="J34" t="s">
        <v>45</v>
      </c>
      <c r="K34" t="s">
        <v>46</v>
      </c>
      <c r="L34" t="s">
        <v>95</v>
      </c>
      <c r="M34" t="s">
        <v>48</v>
      </c>
      <c r="AJ34">
        <v>1</v>
      </c>
      <c r="AK34" t="s">
        <v>60</v>
      </c>
    </row>
    <row r="35" spans="1:37" x14ac:dyDescent="0.25">
      <c r="A35" t="s">
        <v>43</v>
      </c>
      <c r="B35">
        <v>34</v>
      </c>
      <c r="C35" t="s">
        <v>44</v>
      </c>
      <c r="J35" t="s">
        <v>45</v>
      </c>
      <c r="K35" t="s">
        <v>46</v>
      </c>
      <c r="L35" t="s">
        <v>96</v>
      </c>
      <c r="M35" t="s">
        <v>48</v>
      </c>
      <c r="AJ35">
        <v>1</v>
      </c>
      <c r="AK35" t="s">
        <v>60</v>
      </c>
    </row>
    <row r="36" spans="1:37" x14ac:dyDescent="0.25">
      <c r="A36" t="s">
        <v>43</v>
      </c>
      <c r="B36">
        <v>35</v>
      </c>
      <c r="C36" t="s">
        <v>44</v>
      </c>
      <c r="J36" t="s">
        <v>45</v>
      </c>
      <c r="K36" t="s">
        <v>46</v>
      </c>
      <c r="L36" t="s">
        <v>97</v>
      </c>
      <c r="M36" t="s">
        <v>48</v>
      </c>
      <c r="AJ36">
        <v>1</v>
      </c>
      <c r="AK36" t="s">
        <v>60</v>
      </c>
    </row>
    <row r="37" spans="1:37" x14ac:dyDescent="0.25">
      <c r="A37" t="s">
        <v>43</v>
      </c>
      <c r="B37">
        <v>36</v>
      </c>
      <c r="C37" t="s">
        <v>44</v>
      </c>
      <c r="J37" t="s">
        <v>54</v>
      </c>
      <c r="K37" t="s">
        <v>55</v>
      </c>
      <c r="L37" t="s">
        <v>98</v>
      </c>
      <c r="M37" t="s">
        <v>99</v>
      </c>
      <c r="AJ37">
        <v>1</v>
      </c>
      <c r="AK37" t="s">
        <v>58</v>
      </c>
    </row>
    <row r="38" spans="1:37" x14ac:dyDescent="0.25">
      <c r="A38" t="s">
        <v>43</v>
      </c>
      <c r="B38">
        <v>37</v>
      </c>
      <c r="C38" t="s">
        <v>44</v>
      </c>
      <c r="J38" t="s">
        <v>45</v>
      </c>
      <c r="K38" t="s">
        <v>46</v>
      </c>
      <c r="L38" t="s">
        <v>100</v>
      </c>
      <c r="M38" t="s">
        <v>48</v>
      </c>
      <c r="AJ38">
        <v>1</v>
      </c>
      <c r="AK38" t="s">
        <v>60</v>
      </c>
    </row>
    <row r="39" spans="1:37" x14ac:dyDescent="0.25">
      <c r="A39" t="s">
        <v>43</v>
      </c>
      <c r="B39">
        <v>38</v>
      </c>
      <c r="C39" t="s">
        <v>44</v>
      </c>
      <c r="J39" t="s">
        <v>45</v>
      </c>
      <c r="K39" t="s">
        <v>46</v>
      </c>
      <c r="L39" t="s">
        <v>101</v>
      </c>
      <c r="M39" t="s">
        <v>48</v>
      </c>
      <c r="AJ39">
        <v>1</v>
      </c>
      <c r="AK39" t="s">
        <v>60</v>
      </c>
    </row>
    <row r="40" spans="1:37" x14ac:dyDescent="0.25">
      <c r="A40" t="s">
        <v>43</v>
      </c>
      <c r="B40">
        <v>39</v>
      </c>
      <c r="C40" t="s">
        <v>44</v>
      </c>
      <c r="J40" t="s">
        <v>45</v>
      </c>
      <c r="K40" t="s">
        <v>46</v>
      </c>
      <c r="L40" t="s">
        <v>102</v>
      </c>
      <c r="M40" t="s">
        <v>48</v>
      </c>
      <c r="AJ40">
        <v>1</v>
      </c>
      <c r="AK40" t="s">
        <v>60</v>
      </c>
    </row>
    <row r="41" spans="1:37" x14ac:dyDescent="0.25">
      <c r="A41" t="s">
        <v>43</v>
      </c>
      <c r="B41">
        <v>40</v>
      </c>
      <c r="C41" t="s">
        <v>44</v>
      </c>
      <c r="J41" t="s">
        <v>54</v>
      </c>
      <c r="K41" t="s">
        <v>55</v>
      </c>
      <c r="L41" t="s">
        <v>103</v>
      </c>
      <c r="M41" t="s">
        <v>104</v>
      </c>
      <c r="AJ41">
        <v>1</v>
      </c>
      <c r="AK41" t="s">
        <v>58</v>
      </c>
    </row>
    <row r="42" spans="1:37" x14ac:dyDescent="0.25">
      <c r="A42" t="s">
        <v>43</v>
      </c>
      <c r="B42">
        <v>41</v>
      </c>
      <c r="C42" t="s">
        <v>44</v>
      </c>
      <c r="J42" t="s">
        <v>45</v>
      </c>
      <c r="K42" t="s">
        <v>46</v>
      </c>
      <c r="L42" t="s">
        <v>105</v>
      </c>
      <c r="M42" t="s">
        <v>48</v>
      </c>
      <c r="AJ42">
        <v>1</v>
      </c>
      <c r="AK42" t="s">
        <v>60</v>
      </c>
    </row>
    <row r="43" spans="1:37" x14ac:dyDescent="0.25">
      <c r="A43" t="s">
        <v>43</v>
      </c>
      <c r="B43">
        <v>42</v>
      </c>
      <c r="C43" t="s">
        <v>44</v>
      </c>
      <c r="J43" t="s">
        <v>45</v>
      </c>
      <c r="K43" t="s">
        <v>46</v>
      </c>
      <c r="L43" t="s">
        <v>106</v>
      </c>
      <c r="M43" t="s">
        <v>48</v>
      </c>
      <c r="AJ43">
        <v>1</v>
      </c>
      <c r="AK43" t="s">
        <v>60</v>
      </c>
    </row>
    <row r="44" spans="1:37" x14ac:dyDescent="0.25">
      <c r="A44" t="s">
        <v>43</v>
      </c>
      <c r="B44">
        <v>43</v>
      </c>
      <c r="C44" t="s">
        <v>44</v>
      </c>
      <c r="J44" t="s">
        <v>45</v>
      </c>
      <c r="K44" t="s">
        <v>46</v>
      </c>
      <c r="L44" t="s">
        <v>107</v>
      </c>
      <c r="M44" t="s">
        <v>48</v>
      </c>
      <c r="AJ44">
        <v>1</v>
      </c>
      <c r="AK44" t="s">
        <v>60</v>
      </c>
    </row>
    <row r="45" spans="1:37" x14ac:dyDescent="0.25">
      <c r="A45" t="s">
        <v>43</v>
      </c>
      <c r="B45">
        <v>44</v>
      </c>
      <c r="C45" t="s">
        <v>44</v>
      </c>
      <c r="J45" t="s">
        <v>54</v>
      </c>
      <c r="K45" t="s">
        <v>55</v>
      </c>
      <c r="L45" t="s">
        <v>108</v>
      </c>
      <c r="M45" t="s">
        <v>109</v>
      </c>
      <c r="AJ45">
        <v>1</v>
      </c>
      <c r="AK45" t="s">
        <v>58</v>
      </c>
    </row>
    <row r="46" spans="1:37" x14ac:dyDescent="0.25">
      <c r="A46" t="s">
        <v>43</v>
      </c>
      <c r="B46">
        <v>45</v>
      </c>
      <c r="C46" t="s">
        <v>44</v>
      </c>
      <c r="J46" t="s">
        <v>54</v>
      </c>
      <c r="K46" t="s">
        <v>55</v>
      </c>
      <c r="L46" t="s">
        <v>110</v>
      </c>
      <c r="M46" t="s">
        <v>111</v>
      </c>
      <c r="AJ46">
        <v>1</v>
      </c>
      <c r="AK46" t="s">
        <v>58</v>
      </c>
    </row>
    <row r="47" spans="1:37" x14ac:dyDescent="0.25">
      <c r="A47" t="s">
        <v>43</v>
      </c>
      <c r="B47">
        <v>46</v>
      </c>
      <c r="C47" t="s">
        <v>44</v>
      </c>
      <c r="J47" t="s">
        <v>54</v>
      </c>
      <c r="K47" t="s">
        <v>55</v>
      </c>
      <c r="L47" t="s">
        <v>112</v>
      </c>
      <c r="M47" t="s">
        <v>113</v>
      </c>
      <c r="AJ47">
        <v>1</v>
      </c>
      <c r="AK47" t="s">
        <v>58</v>
      </c>
    </row>
    <row r="48" spans="1:37" x14ac:dyDescent="0.25">
      <c r="A48" t="s">
        <v>43</v>
      </c>
      <c r="B48">
        <v>47</v>
      </c>
      <c r="C48" t="s">
        <v>44</v>
      </c>
      <c r="J48" t="s">
        <v>45</v>
      </c>
      <c r="K48" t="s">
        <v>114</v>
      </c>
      <c r="L48" t="s">
        <v>115</v>
      </c>
      <c r="M48" t="s">
        <v>116</v>
      </c>
      <c r="AJ48">
        <v>1</v>
      </c>
      <c r="AK48" t="s">
        <v>117</v>
      </c>
    </row>
    <row r="49" spans="1:37" x14ac:dyDescent="0.25">
      <c r="A49" t="s">
        <v>43</v>
      </c>
      <c r="B49">
        <v>48</v>
      </c>
      <c r="C49" t="s">
        <v>44</v>
      </c>
      <c r="J49" t="s">
        <v>45</v>
      </c>
      <c r="K49" t="s">
        <v>46</v>
      </c>
      <c r="L49" t="s">
        <v>118</v>
      </c>
      <c r="M49" t="s">
        <v>48</v>
      </c>
      <c r="AJ49">
        <v>1</v>
      </c>
      <c r="AK49" t="s">
        <v>60</v>
      </c>
    </row>
    <row r="50" spans="1:37" x14ac:dyDescent="0.25">
      <c r="A50" t="s">
        <v>43</v>
      </c>
      <c r="B50">
        <v>49</v>
      </c>
      <c r="C50" t="s">
        <v>44</v>
      </c>
      <c r="J50" t="s">
        <v>45</v>
      </c>
      <c r="K50" t="s">
        <v>114</v>
      </c>
      <c r="L50" t="s">
        <v>115</v>
      </c>
      <c r="M50" t="s">
        <v>119</v>
      </c>
      <c r="AJ50">
        <v>1</v>
      </c>
      <c r="AK50" t="s">
        <v>117</v>
      </c>
    </row>
    <row r="51" spans="1:37" x14ac:dyDescent="0.25">
      <c r="A51" t="s">
        <v>43</v>
      </c>
      <c r="B51">
        <v>50</v>
      </c>
      <c r="C51" t="s">
        <v>44</v>
      </c>
      <c r="J51" t="s">
        <v>45</v>
      </c>
      <c r="K51" t="s">
        <v>46</v>
      </c>
      <c r="L51" t="s">
        <v>120</v>
      </c>
      <c r="M51" t="s">
        <v>48</v>
      </c>
      <c r="AJ51">
        <v>1</v>
      </c>
      <c r="AK51" t="s">
        <v>60</v>
      </c>
    </row>
    <row r="52" spans="1:37" x14ac:dyDescent="0.25">
      <c r="A52" t="s">
        <v>43</v>
      </c>
      <c r="B52">
        <v>51</v>
      </c>
      <c r="C52" t="s">
        <v>44</v>
      </c>
      <c r="J52" t="s">
        <v>54</v>
      </c>
      <c r="K52" t="s">
        <v>55</v>
      </c>
      <c r="L52" t="s">
        <v>121</v>
      </c>
      <c r="M52" t="s">
        <v>122</v>
      </c>
      <c r="AJ52">
        <v>1</v>
      </c>
      <c r="AK52" t="s">
        <v>58</v>
      </c>
    </row>
    <row r="53" spans="1:37" x14ac:dyDescent="0.25">
      <c r="A53" t="s">
        <v>43</v>
      </c>
      <c r="B53">
        <v>52</v>
      </c>
      <c r="C53" t="s">
        <v>44</v>
      </c>
      <c r="J53" t="s">
        <v>45</v>
      </c>
      <c r="K53" t="s">
        <v>46</v>
      </c>
      <c r="L53" t="s">
        <v>123</v>
      </c>
      <c r="M53" t="s">
        <v>48</v>
      </c>
      <c r="AJ53">
        <v>1</v>
      </c>
      <c r="AK53" t="s">
        <v>60</v>
      </c>
    </row>
    <row r="54" spans="1:37" x14ac:dyDescent="0.25">
      <c r="A54" t="s">
        <v>43</v>
      </c>
      <c r="B54">
        <v>53</v>
      </c>
      <c r="C54" t="s">
        <v>44</v>
      </c>
      <c r="J54" t="s">
        <v>45</v>
      </c>
      <c r="K54" t="s">
        <v>46</v>
      </c>
      <c r="L54" t="s">
        <v>124</v>
      </c>
      <c r="M54" t="s">
        <v>48</v>
      </c>
      <c r="AJ54">
        <v>1</v>
      </c>
      <c r="AK54" t="s">
        <v>60</v>
      </c>
    </row>
    <row r="55" spans="1:37" x14ac:dyDescent="0.25">
      <c r="A55" t="s">
        <v>43</v>
      </c>
      <c r="B55">
        <v>54</v>
      </c>
      <c r="C55" t="s">
        <v>44</v>
      </c>
      <c r="J55" t="s">
        <v>45</v>
      </c>
      <c r="K55" t="s">
        <v>46</v>
      </c>
      <c r="L55" t="s">
        <v>125</v>
      </c>
      <c r="M55" t="s">
        <v>48</v>
      </c>
      <c r="AJ55">
        <v>1</v>
      </c>
      <c r="AK55" t="s">
        <v>60</v>
      </c>
    </row>
    <row r="56" spans="1:37" x14ac:dyDescent="0.25">
      <c r="A56" t="s">
        <v>43</v>
      </c>
      <c r="B56">
        <v>55</v>
      </c>
      <c r="C56" t="s">
        <v>44</v>
      </c>
      <c r="J56" t="s">
        <v>54</v>
      </c>
      <c r="K56" t="s">
        <v>55</v>
      </c>
      <c r="L56" t="s">
        <v>126</v>
      </c>
      <c r="M56" t="s">
        <v>127</v>
      </c>
      <c r="AJ56">
        <v>1</v>
      </c>
      <c r="AK56" t="s">
        <v>58</v>
      </c>
    </row>
    <row r="57" spans="1:37" x14ac:dyDescent="0.25">
      <c r="A57" t="s">
        <v>43</v>
      </c>
      <c r="B57">
        <v>56</v>
      </c>
      <c r="C57" t="s">
        <v>44</v>
      </c>
      <c r="J57" t="s">
        <v>45</v>
      </c>
      <c r="K57" t="s">
        <v>46</v>
      </c>
      <c r="L57" t="s">
        <v>128</v>
      </c>
      <c r="M57" t="s">
        <v>48</v>
      </c>
      <c r="AJ57">
        <v>1</v>
      </c>
      <c r="AK57" t="s">
        <v>60</v>
      </c>
    </row>
    <row r="58" spans="1:37" x14ac:dyDescent="0.25">
      <c r="A58" t="s">
        <v>43</v>
      </c>
      <c r="B58">
        <v>57</v>
      </c>
      <c r="C58" t="s">
        <v>44</v>
      </c>
      <c r="J58" t="s">
        <v>45</v>
      </c>
      <c r="K58" t="s">
        <v>46</v>
      </c>
      <c r="L58" t="s">
        <v>129</v>
      </c>
      <c r="M58" t="s">
        <v>48</v>
      </c>
      <c r="AJ58">
        <v>1</v>
      </c>
      <c r="AK58" t="s">
        <v>60</v>
      </c>
    </row>
    <row r="59" spans="1:37" x14ac:dyDescent="0.25">
      <c r="A59" t="s">
        <v>43</v>
      </c>
      <c r="B59">
        <v>58</v>
      </c>
      <c r="C59" t="s">
        <v>44</v>
      </c>
      <c r="J59" t="s">
        <v>45</v>
      </c>
      <c r="K59" t="s">
        <v>46</v>
      </c>
      <c r="L59" t="s">
        <v>130</v>
      </c>
      <c r="M59" t="s">
        <v>48</v>
      </c>
      <c r="AJ59">
        <v>1</v>
      </c>
      <c r="AK59" t="s">
        <v>60</v>
      </c>
    </row>
    <row r="60" spans="1:37" x14ac:dyDescent="0.25">
      <c r="A60" t="s">
        <v>43</v>
      </c>
      <c r="B60">
        <v>59</v>
      </c>
      <c r="C60" t="s">
        <v>44</v>
      </c>
      <c r="J60" t="s">
        <v>45</v>
      </c>
      <c r="K60" t="s">
        <v>46</v>
      </c>
      <c r="L60" t="s">
        <v>131</v>
      </c>
      <c r="M60" t="s">
        <v>48</v>
      </c>
      <c r="AJ60">
        <v>1</v>
      </c>
      <c r="AK60" t="s">
        <v>60</v>
      </c>
    </row>
    <row r="61" spans="1:37" x14ac:dyDescent="0.25">
      <c r="A61" t="s">
        <v>43</v>
      </c>
      <c r="B61">
        <v>60</v>
      </c>
      <c r="C61" t="s">
        <v>44</v>
      </c>
      <c r="J61" t="s">
        <v>54</v>
      </c>
      <c r="K61" t="s">
        <v>55</v>
      </c>
      <c r="L61" t="s">
        <v>132</v>
      </c>
      <c r="M61" t="s">
        <v>133</v>
      </c>
      <c r="AJ61">
        <v>1</v>
      </c>
      <c r="AK61" t="s">
        <v>58</v>
      </c>
    </row>
    <row r="62" spans="1:37" x14ac:dyDescent="0.25">
      <c r="A62" t="s">
        <v>43</v>
      </c>
      <c r="B62">
        <v>61</v>
      </c>
      <c r="C62" t="s">
        <v>44</v>
      </c>
      <c r="J62" t="s">
        <v>45</v>
      </c>
      <c r="K62" t="s">
        <v>46</v>
      </c>
      <c r="L62" t="s">
        <v>134</v>
      </c>
      <c r="M62" t="s">
        <v>48</v>
      </c>
      <c r="AJ62">
        <v>1</v>
      </c>
      <c r="AK62" t="s">
        <v>60</v>
      </c>
    </row>
    <row r="63" spans="1:37" x14ac:dyDescent="0.25">
      <c r="A63" t="s">
        <v>43</v>
      </c>
      <c r="B63">
        <v>62</v>
      </c>
      <c r="C63" t="s">
        <v>44</v>
      </c>
      <c r="J63" t="s">
        <v>54</v>
      </c>
      <c r="K63" t="s">
        <v>55</v>
      </c>
      <c r="L63" t="s">
        <v>135</v>
      </c>
      <c r="M63" t="s">
        <v>136</v>
      </c>
      <c r="AJ63">
        <v>1</v>
      </c>
      <c r="AK63" t="s">
        <v>58</v>
      </c>
    </row>
    <row r="64" spans="1:37" x14ac:dyDescent="0.25">
      <c r="A64" t="s">
        <v>43</v>
      </c>
      <c r="B64">
        <v>63</v>
      </c>
      <c r="C64" t="s">
        <v>44</v>
      </c>
      <c r="J64" t="s">
        <v>45</v>
      </c>
      <c r="K64" t="s">
        <v>46</v>
      </c>
      <c r="L64" t="s">
        <v>137</v>
      </c>
      <c r="M64" t="s">
        <v>48</v>
      </c>
      <c r="AJ64">
        <v>1</v>
      </c>
      <c r="AK64" t="s">
        <v>53</v>
      </c>
    </row>
    <row r="65" spans="1:37" x14ac:dyDescent="0.25">
      <c r="A65" t="s">
        <v>43</v>
      </c>
      <c r="B65">
        <v>64</v>
      </c>
      <c r="C65" t="s">
        <v>44</v>
      </c>
      <c r="J65" t="s">
        <v>45</v>
      </c>
      <c r="K65" t="s">
        <v>46</v>
      </c>
      <c r="L65" t="s">
        <v>138</v>
      </c>
      <c r="M65" t="s">
        <v>48</v>
      </c>
      <c r="AJ65">
        <v>1</v>
      </c>
      <c r="AK65" t="s">
        <v>60</v>
      </c>
    </row>
    <row r="66" spans="1:37" x14ac:dyDescent="0.25">
      <c r="A66" t="s">
        <v>43</v>
      </c>
      <c r="B66">
        <v>65</v>
      </c>
      <c r="C66" t="s">
        <v>44</v>
      </c>
      <c r="J66" t="s">
        <v>45</v>
      </c>
      <c r="K66" t="s">
        <v>46</v>
      </c>
      <c r="L66" t="s">
        <v>139</v>
      </c>
      <c r="M66" t="s">
        <v>48</v>
      </c>
      <c r="AJ66">
        <v>1</v>
      </c>
      <c r="AK66" t="s">
        <v>60</v>
      </c>
    </row>
    <row r="67" spans="1:37" x14ac:dyDescent="0.25">
      <c r="A67" t="s">
        <v>43</v>
      </c>
      <c r="B67">
        <v>66</v>
      </c>
      <c r="C67" t="s">
        <v>44</v>
      </c>
      <c r="J67" t="s">
        <v>45</v>
      </c>
      <c r="K67" t="s">
        <v>46</v>
      </c>
      <c r="L67" t="s">
        <v>140</v>
      </c>
      <c r="M67" t="s">
        <v>48</v>
      </c>
      <c r="AJ67">
        <v>1</v>
      </c>
      <c r="AK67" t="s">
        <v>60</v>
      </c>
    </row>
    <row r="68" spans="1:37" x14ac:dyDescent="0.25">
      <c r="A68" t="s">
        <v>43</v>
      </c>
      <c r="B68">
        <v>67</v>
      </c>
      <c r="C68" t="s">
        <v>44</v>
      </c>
      <c r="J68" t="s">
        <v>45</v>
      </c>
      <c r="K68" t="s">
        <v>46</v>
      </c>
      <c r="L68" t="s">
        <v>141</v>
      </c>
      <c r="M68" t="s">
        <v>48</v>
      </c>
      <c r="AJ68">
        <v>1</v>
      </c>
      <c r="AK68" t="s">
        <v>51</v>
      </c>
    </row>
    <row r="69" spans="1:37" x14ac:dyDescent="0.25">
      <c r="A69" t="s">
        <v>43</v>
      </c>
      <c r="B69">
        <v>68</v>
      </c>
      <c r="C69" t="s">
        <v>44</v>
      </c>
      <c r="J69" t="s">
        <v>45</v>
      </c>
      <c r="K69" t="s">
        <v>46</v>
      </c>
      <c r="L69" t="s">
        <v>142</v>
      </c>
      <c r="M69" t="s">
        <v>48</v>
      </c>
      <c r="AJ69">
        <v>1</v>
      </c>
      <c r="AK69" t="s">
        <v>76</v>
      </c>
    </row>
    <row r="70" spans="1:37" x14ac:dyDescent="0.25">
      <c r="A70" t="s">
        <v>43</v>
      </c>
      <c r="B70">
        <v>69</v>
      </c>
      <c r="C70" t="s">
        <v>44</v>
      </c>
      <c r="J70" t="s">
        <v>45</v>
      </c>
      <c r="K70" t="s">
        <v>46</v>
      </c>
      <c r="L70" t="s">
        <v>143</v>
      </c>
      <c r="M70" t="s">
        <v>48</v>
      </c>
      <c r="AJ70">
        <v>1</v>
      </c>
      <c r="AK70" t="s">
        <v>60</v>
      </c>
    </row>
    <row r="71" spans="1:37" x14ac:dyDescent="0.25">
      <c r="A71" t="s">
        <v>43</v>
      </c>
      <c r="B71">
        <v>70</v>
      </c>
      <c r="C71" t="s">
        <v>44</v>
      </c>
      <c r="J71" t="s">
        <v>54</v>
      </c>
      <c r="K71" t="s">
        <v>55</v>
      </c>
      <c r="L71" t="s">
        <v>144</v>
      </c>
      <c r="M71" t="s">
        <v>145</v>
      </c>
      <c r="AJ71">
        <v>1</v>
      </c>
      <c r="AK71" t="s">
        <v>58</v>
      </c>
    </row>
    <row r="72" spans="1:37" x14ac:dyDescent="0.25">
      <c r="A72" t="s">
        <v>43</v>
      </c>
      <c r="B72">
        <v>71</v>
      </c>
      <c r="C72" t="s">
        <v>44</v>
      </c>
      <c r="J72" t="s">
        <v>45</v>
      </c>
      <c r="K72" t="s">
        <v>46</v>
      </c>
      <c r="L72" t="s">
        <v>146</v>
      </c>
      <c r="M72" t="s">
        <v>48</v>
      </c>
      <c r="AJ72">
        <v>1</v>
      </c>
      <c r="AK72" t="s">
        <v>60</v>
      </c>
    </row>
    <row r="73" spans="1:37" x14ac:dyDescent="0.25">
      <c r="A73" t="s">
        <v>43</v>
      </c>
      <c r="B73">
        <v>72</v>
      </c>
      <c r="C73" t="s">
        <v>44</v>
      </c>
      <c r="J73" t="s">
        <v>45</v>
      </c>
      <c r="K73" t="s">
        <v>46</v>
      </c>
      <c r="L73" t="s">
        <v>147</v>
      </c>
      <c r="M73" t="s">
        <v>48</v>
      </c>
      <c r="AJ73">
        <v>1</v>
      </c>
      <c r="AK73" t="s">
        <v>60</v>
      </c>
    </row>
    <row r="74" spans="1:37" x14ac:dyDescent="0.25">
      <c r="A74" t="s">
        <v>43</v>
      </c>
      <c r="B74">
        <v>73</v>
      </c>
      <c r="C74" t="s">
        <v>44</v>
      </c>
      <c r="J74" t="s">
        <v>45</v>
      </c>
      <c r="K74" t="s">
        <v>114</v>
      </c>
      <c r="L74" t="s">
        <v>115</v>
      </c>
      <c r="M74" t="s">
        <v>148</v>
      </c>
      <c r="AJ74">
        <v>1</v>
      </c>
      <c r="AK74" t="s">
        <v>117</v>
      </c>
    </row>
    <row r="75" spans="1:37" x14ac:dyDescent="0.25">
      <c r="A75" t="s">
        <v>43</v>
      </c>
      <c r="B75">
        <v>74</v>
      </c>
      <c r="C75" t="s">
        <v>44</v>
      </c>
      <c r="J75" t="s">
        <v>54</v>
      </c>
      <c r="K75" t="s">
        <v>55</v>
      </c>
      <c r="L75" t="s">
        <v>149</v>
      </c>
      <c r="M75" t="s">
        <v>150</v>
      </c>
      <c r="AJ75">
        <v>1</v>
      </c>
      <c r="AK75" t="s">
        <v>58</v>
      </c>
    </row>
    <row r="76" spans="1:37" x14ac:dyDescent="0.25">
      <c r="A76" t="s">
        <v>43</v>
      </c>
      <c r="B76">
        <v>75</v>
      </c>
      <c r="C76" t="s">
        <v>44</v>
      </c>
      <c r="J76" t="s">
        <v>45</v>
      </c>
      <c r="K76" t="s">
        <v>46</v>
      </c>
      <c r="L76" t="s">
        <v>151</v>
      </c>
      <c r="M76" t="s">
        <v>48</v>
      </c>
      <c r="AJ76">
        <v>1</v>
      </c>
      <c r="AK76" t="s">
        <v>60</v>
      </c>
    </row>
    <row r="77" spans="1:37" x14ac:dyDescent="0.25">
      <c r="A77" t="s">
        <v>43</v>
      </c>
      <c r="B77">
        <v>76</v>
      </c>
      <c r="C77" t="s">
        <v>44</v>
      </c>
      <c r="J77" t="s">
        <v>45</v>
      </c>
      <c r="K77" t="s">
        <v>46</v>
      </c>
      <c r="L77" t="s">
        <v>152</v>
      </c>
      <c r="M77" t="s">
        <v>48</v>
      </c>
      <c r="AJ77">
        <v>1</v>
      </c>
      <c r="AK77" t="s">
        <v>60</v>
      </c>
    </row>
    <row r="78" spans="1:37" x14ac:dyDescent="0.25">
      <c r="A78" t="s">
        <v>43</v>
      </c>
      <c r="B78">
        <v>77</v>
      </c>
      <c r="C78" t="s">
        <v>44</v>
      </c>
      <c r="J78" t="s">
        <v>45</v>
      </c>
      <c r="K78" t="s">
        <v>114</v>
      </c>
      <c r="L78" t="s">
        <v>115</v>
      </c>
      <c r="M78" t="s">
        <v>153</v>
      </c>
      <c r="AJ78">
        <v>1</v>
      </c>
      <c r="AK78" t="s">
        <v>117</v>
      </c>
    </row>
    <row r="79" spans="1:37" x14ac:dyDescent="0.25">
      <c r="A79" t="s">
        <v>43</v>
      </c>
      <c r="B79">
        <v>78</v>
      </c>
      <c r="C79" t="s">
        <v>44</v>
      </c>
      <c r="J79" t="s">
        <v>54</v>
      </c>
      <c r="K79" t="s">
        <v>55</v>
      </c>
      <c r="L79" t="s">
        <v>154</v>
      </c>
      <c r="M79" t="s">
        <v>155</v>
      </c>
      <c r="AJ79">
        <v>1</v>
      </c>
      <c r="AK79" t="s">
        <v>58</v>
      </c>
    </row>
    <row r="80" spans="1:37" x14ac:dyDescent="0.25">
      <c r="A80" t="s">
        <v>43</v>
      </c>
      <c r="B80">
        <v>79</v>
      </c>
      <c r="C80" t="s">
        <v>44</v>
      </c>
      <c r="J80" t="s">
        <v>45</v>
      </c>
      <c r="K80" t="s">
        <v>46</v>
      </c>
      <c r="L80" t="s">
        <v>156</v>
      </c>
      <c r="M80" t="s">
        <v>48</v>
      </c>
      <c r="AJ80">
        <v>1</v>
      </c>
      <c r="AK80" t="s">
        <v>60</v>
      </c>
    </row>
    <row r="81" spans="1:37" x14ac:dyDescent="0.25">
      <c r="A81" t="s">
        <v>43</v>
      </c>
      <c r="B81">
        <v>80</v>
      </c>
      <c r="C81" t="s">
        <v>44</v>
      </c>
      <c r="J81" t="s">
        <v>45</v>
      </c>
      <c r="K81" t="s">
        <v>46</v>
      </c>
      <c r="L81" t="s">
        <v>157</v>
      </c>
      <c r="M81" t="s">
        <v>48</v>
      </c>
      <c r="AJ81">
        <v>1</v>
      </c>
      <c r="AK81" t="s">
        <v>60</v>
      </c>
    </row>
    <row r="82" spans="1:37" x14ac:dyDescent="0.25">
      <c r="A82" t="s">
        <v>43</v>
      </c>
      <c r="B82">
        <v>81</v>
      </c>
      <c r="C82" t="s">
        <v>44</v>
      </c>
      <c r="J82" t="s">
        <v>45</v>
      </c>
      <c r="K82" t="s">
        <v>46</v>
      </c>
      <c r="L82" t="s">
        <v>158</v>
      </c>
      <c r="M82" t="s">
        <v>48</v>
      </c>
      <c r="AJ82">
        <v>1</v>
      </c>
      <c r="AK82" t="s">
        <v>60</v>
      </c>
    </row>
    <row r="83" spans="1:37" x14ac:dyDescent="0.25">
      <c r="A83" t="s">
        <v>43</v>
      </c>
      <c r="B83">
        <v>82</v>
      </c>
      <c r="C83" t="s">
        <v>44</v>
      </c>
      <c r="J83" t="s">
        <v>54</v>
      </c>
      <c r="K83" t="s">
        <v>55</v>
      </c>
      <c r="L83" t="s">
        <v>159</v>
      </c>
      <c r="M83" t="s">
        <v>160</v>
      </c>
      <c r="AJ83">
        <v>1</v>
      </c>
      <c r="AK83" t="s">
        <v>58</v>
      </c>
    </row>
    <row r="84" spans="1:37" x14ac:dyDescent="0.25">
      <c r="A84" t="s">
        <v>43</v>
      </c>
      <c r="B84">
        <v>83</v>
      </c>
      <c r="C84" t="s">
        <v>44</v>
      </c>
      <c r="J84" t="s">
        <v>45</v>
      </c>
      <c r="K84" t="s">
        <v>46</v>
      </c>
      <c r="L84" t="s">
        <v>161</v>
      </c>
      <c r="M84" t="s">
        <v>48</v>
      </c>
      <c r="AJ84">
        <v>1</v>
      </c>
      <c r="AK84" t="s">
        <v>51</v>
      </c>
    </row>
    <row r="85" spans="1:37" x14ac:dyDescent="0.25">
      <c r="A85" t="s">
        <v>43</v>
      </c>
      <c r="B85">
        <v>84</v>
      </c>
      <c r="C85" t="s">
        <v>44</v>
      </c>
      <c r="J85" t="s">
        <v>45</v>
      </c>
      <c r="K85" t="s">
        <v>46</v>
      </c>
      <c r="L85" t="s">
        <v>162</v>
      </c>
      <c r="M85" t="s">
        <v>48</v>
      </c>
      <c r="AJ85">
        <v>1</v>
      </c>
      <c r="AK85" t="s">
        <v>60</v>
      </c>
    </row>
    <row r="86" spans="1:37" x14ac:dyDescent="0.25">
      <c r="A86" t="s">
        <v>43</v>
      </c>
      <c r="B86">
        <v>85</v>
      </c>
      <c r="C86" t="s">
        <v>44</v>
      </c>
      <c r="J86" t="s">
        <v>45</v>
      </c>
      <c r="K86" t="s">
        <v>46</v>
      </c>
      <c r="L86" t="s">
        <v>163</v>
      </c>
      <c r="M86" t="s">
        <v>48</v>
      </c>
      <c r="AJ86">
        <v>1</v>
      </c>
      <c r="AK86" t="s">
        <v>60</v>
      </c>
    </row>
    <row r="87" spans="1:37" x14ac:dyDescent="0.25">
      <c r="A87" t="s">
        <v>43</v>
      </c>
      <c r="B87">
        <v>86</v>
      </c>
      <c r="C87" t="s">
        <v>44</v>
      </c>
      <c r="J87" t="s">
        <v>45</v>
      </c>
      <c r="K87" t="s">
        <v>46</v>
      </c>
      <c r="L87" t="s">
        <v>164</v>
      </c>
      <c r="M87" t="s">
        <v>48</v>
      </c>
      <c r="AJ87">
        <v>1</v>
      </c>
      <c r="AK87" t="s">
        <v>60</v>
      </c>
    </row>
    <row r="88" spans="1:37" x14ac:dyDescent="0.25">
      <c r="A88" t="s">
        <v>43</v>
      </c>
      <c r="B88">
        <v>87</v>
      </c>
      <c r="C88" t="s">
        <v>44</v>
      </c>
      <c r="J88" t="s">
        <v>54</v>
      </c>
      <c r="K88" t="s">
        <v>55</v>
      </c>
      <c r="L88" t="s">
        <v>165</v>
      </c>
      <c r="M88" t="s">
        <v>166</v>
      </c>
      <c r="AJ88">
        <v>1</v>
      </c>
      <c r="AK88" t="s">
        <v>58</v>
      </c>
    </row>
    <row r="89" spans="1:37" x14ac:dyDescent="0.25">
      <c r="A89" t="s">
        <v>43</v>
      </c>
      <c r="B89">
        <v>88</v>
      </c>
      <c r="C89" t="s">
        <v>44</v>
      </c>
      <c r="J89" t="s">
        <v>45</v>
      </c>
      <c r="K89" t="s">
        <v>46</v>
      </c>
      <c r="L89" t="s">
        <v>167</v>
      </c>
      <c r="M89" t="s">
        <v>48</v>
      </c>
      <c r="AJ89">
        <v>1</v>
      </c>
      <c r="AK89" t="s">
        <v>60</v>
      </c>
    </row>
    <row r="90" spans="1:37" x14ac:dyDescent="0.25">
      <c r="A90" t="s">
        <v>43</v>
      </c>
      <c r="B90">
        <v>89</v>
      </c>
      <c r="C90" t="s">
        <v>44</v>
      </c>
      <c r="J90" t="s">
        <v>54</v>
      </c>
      <c r="K90" t="s">
        <v>55</v>
      </c>
      <c r="L90" t="s">
        <v>168</v>
      </c>
      <c r="M90" t="s">
        <v>169</v>
      </c>
      <c r="AJ90">
        <v>1</v>
      </c>
      <c r="AK90" t="s">
        <v>58</v>
      </c>
    </row>
    <row r="91" spans="1:37" x14ac:dyDescent="0.25">
      <c r="A91" t="s">
        <v>43</v>
      </c>
      <c r="B91">
        <v>90</v>
      </c>
      <c r="C91" t="s">
        <v>44</v>
      </c>
      <c r="J91" t="s">
        <v>54</v>
      </c>
      <c r="K91" t="s">
        <v>55</v>
      </c>
      <c r="L91" t="s">
        <v>170</v>
      </c>
      <c r="M91" t="s">
        <v>171</v>
      </c>
      <c r="AJ91">
        <v>1</v>
      </c>
      <c r="AK91" t="s">
        <v>58</v>
      </c>
    </row>
    <row r="92" spans="1:37" x14ac:dyDescent="0.25">
      <c r="A92" t="s">
        <v>43</v>
      </c>
      <c r="B92">
        <v>91</v>
      </c>
      <c r="C92" t="s">
        <v>44</v>
      </c>
      <c r="J92" t="s">
        <v>45</v>
      </c>
      <c r="K92" t="s">
        <v>46</v>
      </c>
      <c r="L92" t="s">
        <v>172</v>
      </c>
      <c r="M92" t="s">
        <v>48</v>
      </c>
      <c r="AJ92">
        <v>1</v>
      </c>
      <c r="AK92" t="s">
        <v>60</v>
      </c>
    </row>
    <row r="93" spans="1:37" x14ac:dyDescent="0.25">
      <c r="A93" t="s">
        <v>43</v>
      </c>
      <c r="B93">
        <v>92</v>
      </c>
      <c r="C93" t="s">
        <v>44</v>
      </c>
      <c r="J93" t="s">
        <v>45</v>
      </c>
      <c r="K93" t="s">
        <v>46</v>
      </c>
      <c r="L93" t="s">
        <v>173</v>
      </c>
      <c r="M93" t="s">
        <v>48</v>
      </c>
      <c r="AJ93">
        <v>1</v>
      </c>
      <c r="AK93" t="s">
        <v>60</v>
      </c>
    </row>
    <row r="94" spans="1:37" x14ac:dyDescent="0.25">
      <c r="A94" t="s">
        <v>43</v>
      </c>
      <c r="B94">
        <v>93</v>
      </c>
      <c r="C94" t="s">
        <v>44</v>
      </c>
      <c r="J94" t="s">
        <v>45</v>
      </c>
      <c r="K94" t="s">
        <v>46</v>
      </c>
      <c r="L94" t="s">
        <v>174</v>
      </c>
      <c r="M94" t="s">
        <v>48</v>
      </c>
      <c r="AJ94">
        <v>1</v>
      </c>
      <c r="AK94" t="s">
        <v>60</v>
      </c>
    </row>
    <row r="95" spans="1:37" x14ac:dyDescent="0.25">
      <c r="A95" t="s">
        <v>43</v>
      </c>
      <c r="B95">
        <v>94</v>
      </c>
      <c r="C95" t="s">
        <v>44</v>
      </c>
      <c r="J95" t="s">
        <v>45</v>
      </c>
      <c r="K95" t="s">
        <v>46</v>
      </c>
      <c r="L95" t="s">
        <v>175</v>
      </c>
      <c r="M95" t="s">
        <v>48</v>
      </c>
      <c r="AJ95">
        <v>1</v>
      </c>
      <c r="AK95" t="s">
        <v>60</v>
      </c>
    </row>
    <row r="96" spans="1:37" x14ac:dyDescent="0.25">
      <c r="A96" t="s">
        <v>43</v>
      </c>
      <c r="B96">
        <v>95</v>
      </c>
      <c r="C96" t="s">
        <v>44</v>
      </c>
      <c r="J96" t="s">
        <v>54</v>
      </c>
      <c r="K96" t="s">
        <v>55</v>
      </c>
      <c r="L96" t="s">
        <v>176</v>
      </c>
      <c r="M96" t="s">
        <v>177</v>
      </c>
      <c r="AJ96">
        <v>1</v>
      </c>
      <c r="AK96" t="s">
        <v>58</v>
      </c>
    </row>
    <row r="97" spans="1:37" x14ac:dyDescent="0.25">
      <c r="A97" t="s">
        <v>43</v>
      </c>
      <c r="B97">
        <v>96</v>
      </c>
      <c r="C97" t="s">
        <v>44</v>
      </c>
      <c r="J97" t="s">
        <v>54</v>
      </c>
      <c r="K97" t="s">
        <v>55</v>
      </c>
      <c r="L97" t="s">
        <v>178</v>
      </c>
      <c r="M97" t="s">
        <v>179</v>
      </c>
      <c r="AJ97">
        <v>1</v>
      </c>
      <c r="AK97" t="s">
        <v>58</v>
      </c>
    </row>
    <row r="98" spans="1:37" x14ac:dyDescent="0.25">
      <c r="A98" t="s">
        <v>43</v>
      </c>
      <c r="B98">
        <v>97</v>
      </c>
      <c r="C98" t="s">
        <v>44</v>
      </c>
      <c r="J98" t="s">
        <v>54</v>
      </c>
      <c r="K98" t="s">
        <v>55</v>
      </c>
      <c r="L98" t="s">
        <v>180</v>
      </c>
      <c r="M98" t="s">
        <v>181</v>
      </c>
      <c r="AJ98">
        <v>1</v>
      </c>
      <c r="AK98" t="s">
        <v>58</v>
      </c>
    </row>
    <row r="99" spans="1:37" x14ac:dyDescent="0.25">
      <c r="A99" t="s">
        <v>43</v>
      </c>
      <c r="B99">
        <v>98</v>
      </c>
      <c r="C99" t="s">
        <v>44</v>
      </c>
      <c r="J99" t="s">
        <v>54</v>
      </c>
      <c r="K99" t="s">
        <v>55</v>
      </c>
      <c r="L99" t="s">
        <v>182</v>
      </c>
      <c r="M99" t="s">
        <v>183</v>
      </c>
      <c r="AJ99">
        <v>1</v>
      </c>
      <c r="AK99" t="s">
        <v>58</v>
      </c>
    </row>
    <row r="100" spans="1:37" x14ac:dyDescent="0.25">
      <c r="A100" t="s">
        <v>43</v>
      </c>
      <c r="B100">
        <v>99</v>
      </c>
      <c r="C100" t="s">
        <v>44</v>
      </c>
      <c r="J100" t="s">
        <v>45</v>
      </c>
      <c r="K100" t="s">
        <v>46</v>
      </c>
      <c r="L100" t="s">
        <v>184</v>
      </c>
      <c r="M100" t="s">
        <v>48</v>
      </c>
      <c r="AJ100">
        <v>1</v>
      </c>
      <c r="AK100" t="s">
        <v>53</v>
      </c>
    </row>
    <row r="101" spans="1:37" x14ac:dyDescent="0.25">
      <c r="A101" t="s">
        <v>43</v>
      </c>
      <c r="B101">
        <v>100</v>
      </c>
      <c r="C101" t="s">
        <v>44</v>
      </c>
      <c r="J101" t="s">
        <v>54</v>
      </c>
      <c r="K101" t="s">
        <v>55</v>
      </c>
      <c r="L101" t="s">
        <v>185</v>
      </c>
      <c r="M101" t="s">
        <v>186</v>
      </c>
      <c r="AJ101">
        <v>1</v>
      </c>
      <c r="AK101" t="s">
        <v>58</v>
      </c>
    </row>
    <row r="102" spans="1:37" x14ac:dyDescent="0.25">
      <c r="A102" t="s">
        <v>43</v>
      </c>
      <c r="B102">
        <v>101</v>
      </c>
      <c r="C102" t="s">
        <v>44</v>
      </c>
      <c r="J102" t="s">
        <v>45</v>
      </c>
      <c r="K102" t="s">
        <v>187</v>
      </c>
      <c r="L102" t="s">
        <v>188</v>
      </c>
      <c r="M102" t="s">
        <v>189</v>
      </c>
      <c r="AJ102">
        <v>1</v>
      </c>
      <c r="AK102" t="s">
        <v>190</v>
      </c>
    </row>
    <row r="103" spans="1:37" x14ac:dyDescent="0.25">
      <c r="A103" t="s">
        <v>43</v>
      </c>
      <c r="B103">
        <v>102</v>
      </c>
      <c r="C103" t="s">
        <v>44</v>
      </c>
      <c r="J103" t="s">
        <v>45</v>
      </c>
      <c r="K103" t="s">
        <v>46</v>
      </c>
      <c r="L103" t="s">
        <v>191</v>
      </c>
      <c r="M103" t="s">
        <v>48</v>
      </c>
      <c r="AJ103">
        <v>1</v>
      </c>
      <c r="AK103" t="s">
        <v>60</v>
      </c>
    </row>
    <row r="104" spans="1:37" x14ac:dyDescent="0.25">
      <c r="A104" t="s">
        <v>43</v>
      </c>
      <c r="B104">
        <v>103</v>
      </c>
      <c r="C104" t="s">
        <v>44</v>
      </c>
      <c r="J104" t="s">
        <v>45</v>
      </c>
      <c r="K104" t="s">
        <v>46</v>
      </c>
      <c r="L104" t="s">
        <v>192</v>
      </c>
      <c r="M104" t="s">
        <v>48</v>
      </c>
      <c r="AJ104">
        <v>1</v>
      </c>
      <c r="AK104" t="s">
        <v>60</v>
      </c>
    </row>
    <row r="105" spans="1:37" x14ac:dyDescent="0.25">
      <c r="A105" t="s">
        <v>43</v>
      </c>
      <c r="B105">
        <v>104</v>
      </c>
      <c r="C105" t="s">
        <v>44</v>
      </c>
      <c r="J105" t="s">
        <v>45</v>
      </c>
      <c r="K105" t="s">
        <v>46</v>
      </c>
      <c r="L105" t="s">
        <v>193</v>
      </c>
      <c r="M105" t="s">
        <v>48</v>
      </c>
      <c r="AJ105">
        <v>1</v>
      </c>
      <c r="AK105" t="s">
        <v>60</v>
      </c>
    </row>
    <row r="106" spans="1:37" x14ac:dyDescent="0.25">
      <c r="A106" t="s">
        <v>43</v>
      </c>
      <c r="B106">
        <v>105</v>
      </c>
      <c r="C106" t="s">
        <v>44</v>
      </c>
      <c r="J106" t="s">
        <v>45</v>
      </c>
      <c r="K106" t="s">
        <v>46</v>
      </c>
      <c r="L106" t="s">
        <v>194</v>
      </c>
      <c r="M106" t="s">
        <v>48</v>
      </c>
      <c r="AJ106">
        <v>1</v>
      </c>
      <c r="AK106" t="s">
        <v>60</v>
      </c>
    </row>
    <row r="107" spans="1:37" x14ac:dyDescent="0.25">
      <c r="A107" t="s">
        <v>43</v>
      </c>
      <c r="B107">
        <v>106</v>
      </c>
      <c r="C107" t="s">
        <v>44</v>
      </c>
      <c r="J107" t="s">
        <v>45</v>
      </c>
      <c r="K107" t="s">
        <v>46</v>
      </c>
      <c r="L107" t="s">
        <v>195</v>
      </c>
      <c r="M107" t="s">
        <v>48</v>
      </c>
      <c r="AJ107">
        <v>1</v>
      </c>
      <c r="AK107" t="s">
        <v>60</v>
      </c>
    </row>
    <row r="108" spans="1:37" x14ac:dyDescent="0.25">
      <c r="A108" t="s">
        <v>43</v>
      </c>
      <c r="B108">
        <v>107</v>
      </c>
      <c r="C108" t="s">
        <v>44</v>
      </c>
      <c r="J108" t="s">
        <v>45</v>
      </c>
      <c r="K108" t="s">
        <v>46</v>
      </c>
      <c r="L108" t="s">
        <v>196</v>
      </c>
      <c r="M108" t="s">
        <v>48</v>
      </c>
      <c r="AJ108">
        <v>1</v>
      </c>
      <c r="AK108" t="s">
        <v>60</v>
      </c>
    </row>
    <row r="109" spans="1:37" x14ac:dyDescent="0.25">
      <c r="A109" t="s">
        <v>43</v>
      </c>
      <c r="B109">
        <v>108</v>
      </c>
      <c r="C109" t="s">
        <v>44</v>
      </c>
      <c r="J109" t="s">
        <v>45</v>
      </c>
      <c r="K109" t="s">
        <v>46</v>
      </c>
      <c r="L109" t="s">
        <v>197</v>
      </c>
      <c r="M109" t="s">
        <v>48</v>
      </c>
      <c r="AJ109">
        <v>1</v>
      </c>
      <c r="AK109" t="s">
        <v>60</v>
      </c>
    </row>
    <row r="110" spans="1:37" x14ac:dyDescent="0.25">
      <c r="A110" t="s">
        <v>43</v>
      </c>
      <c r="B110">
        <v>109</v>
      </c>
      <c r="C110" t="s">
        <v>44</v>
      </c>
      <c r="J110" t="s">
        <v>45</v>
      </c>
      <c r="K110" t="s">
        <v>46</v>
      </c>
      <c r="L110" t="s">
        <v>198</v>
      </c>
      <c r="M110" t="s">
        <v>48</v>
      </c>
      <c r="AJ110">
        <v>1</v>
      </c>
      <c r="AK110" t="s">
        <v>60</v>
      </c>
    </row>
    <row r="111" spans="1:37" x14ac:dyDescent="0.25">
      <c r="A111" t="s">
        <v>43</v>
      </c>
      <c r="B111">
        <v>110</v>
      </c>
      <c r="C111" t="s">
        <v>44</v>
      </c>
      <c r="J111" t="s">
        <v>45</v>
      </c>
      <c r="K111" t="s">
        <v>46</v>
      </c>
      <c r="L111" t="s">
        <v>199</v>
      </c>
      <c r="M111" t="s">
        <v>48</v>
      </c>
      <c r="AJ111">
        <v>1</v>
      </c>
      <c r="AK111" t="s">
        <v>60</v>
      </c>
    </row>
    <row r="112" spans="1:37" x14ac:dyDescent="0.25">
      <c r="A112" t="s">
        <v>43</v>
      </c>
      <c r="B112">
        <v>111</v>
      </c>
      <c r="C112" t="s">
        <v>44</v>
      </c>
      <c r="J112" t="s">
        <v>45</v>
      </c>
      <c r="K112" t="s">
        <v>46</v>
      </c>
      <c r="L112" t="s">
        <v>200</v>
      </c>
      <c r="M112" t="s">
        <v>48</v>
      </c>
      <c r="AJ112">
        <v>1</v>
      </c>
      <c r="AK112" t="s">
        <v>60</v>
      </c>
    </row>
    <row r="113" spans="1:37" x14ac:dyDescent="0.25">
      <c r="A113" t="s">
        <v>43</v>
      </c>
      <c r="B113">
        <v>112</v>
      </c>
      <c r="C113" t="s">
        <v>44</v>
      </c>
      <c r="J113" t="s">
        <v>54</v>
      </c>
      <c r="K113" t="s">
        <v>55</v>
      </c>
      <c r="L113" t="s">
        <v>201</v>
      </c>
      <c r="M113" t="s">
        <v>202</v>
      </c>
      <c r="AJ113">
        <v>1</v>
      </c>
      <c r="AK113" t="s">
        <v>58</v>
      </c>
    </row>
    <row r="114" spans="1:37" x14ac:dyDescent="0.25">
      <c r="A114" t="s">
        <v>43</v>
      </c>
      <c r="B114">
        <v>113</v>
      </c>
      <c r="C114" t="s">
        <v>44</v>
      </c>
      <c r="J114" t="s">
        <v>45</v>
      </c>
      <c r="K114" t="s">
        <v>46</v>
      </c>
      <c r="L114" t="s">
        <v>203</v>
      </c>
      <c r="M114" t="s">
        <v>48</v>
      </c>
      <c r="AJ114">
        <v>1</v>
      </c>
      <c r="AK114" t="s">
        <v>60</v>
      </c>
    </row>
    <row r="115" spans="1:37" x14ac:dyDescent="0.25">
      <c r="A115" t="s">
        <v>43</v>
      </c>
      <c r="B115">
        <v>114</v>
      </c>
      <c r="C115" t="s">
        <v>44</v>
      </c>
      <c r="J115" t="s">
        <v>45</v>
      </c>
      <c r="K115" t="s">
        <v>46</v>
      </c>
      <c r="L115" t="s">
        <v>204</v>
      </c>
      <c r="M115" t="s">
        <v>48</v>
      </c>
      <c r="AJ115">
        <v>1</v>
      </c>
      <c r="AK115" t="s">
        <v>60</v>
      </c>
    </row>
    <row r="116" spans="1:37" x14ac:dyDescent="0.25">
      <c r="A116" t="s">
        <v>43</v>
      </c>
      <c r="B116">
        <v>115</v>
      </c>
      <c r="C116" t="s">
        <v>44</v>
      </c>
      <c r="J116" t="s">
        <v>45</v>
      </c>
      <c r="K116" t="s">
        <v>46</v>
      </c>
      <c r="L116" t="s">
        <v>205</v>
      </c>
      <c r="M116" t="s">
        <v>48</v>
      </c>
      <c r="AJ116">
        <v>1</v>
      </c>
      <c r="AK116" t="s">
        <v>60</v>
      </c>
    </row>
    <row r="117" spans="1:37" x14ac:dyDescent="0.25">
      <c r="A117" t="s">
        <v>43</v>
      </c>
      <c r="B117">
        <v>116</v>
      </c>
      <c r="C117" t="s">
        <v>44</v>
      </c>
      <c r="J117" t="s">
        <v>45</v>
      </c>
      <c r="K117" t="s">
        <v>46</v>
      </c>
      <c r="L117" t="s">
        <v>206</v>
      </c>
      <c r="M117" t="s">
        <v>48</v>
      </c>
      <c r="AJ117">
        <v>1</v>
      </c>
      <c r="AK117" t="s">
        <v>60</v>
      </c>
    </row>
    <row r="118" spans="1:37" x14ac:dyDescent="0.25">
      <c r="A118" t="s">
        <v>43</v>
      </c>
      <c r="B118">
        <v>117</v>
      </c>
      <c r="C118" t="s">
        <v>44</v>
      </c>
      <c r="J118" t="s">
        <v>54</v>
      </c>
      <c r="K118" t="s">
        <v>55</v>
      </c>
      <c r="L118" t="s">
        <v>207</v>
      </c>
      <c r="M118" t="s">
        <v>208</v>
      </c>
      <c r="AJ118">
        <v>1</v>
      </c>
      <c r="AK118" t="s">
        <v>209</v>
      </c>
    </row>
    <row r="119" spans="1:37" x14ac:dyDescent="0.25">
      <c r="A119" t="s">
        <v>43</v>
      </c>
      <c r="B119">
        <v>118</v>
      </c>
      <c r="C119" t="s">
        <v>44</v>
      </c>
      <c r="J119" t="s">
        <v>45</v>
      </c>
      <c r="K119" t="s">
        <v>46</v>
      </c>
      <c r="L119" t="s">
        <v>210</v>
      </c>
      <c r="M119" t="s">
        <v>48</v>
      </c>
      <c r="AJ119">
        <v>1</v>
      </c>
      <c r="AK119" t="s">
        <v>60</v>
      </c>
    </row>
    <row r="120" spans="1:37" x14ac:dyDescent="0.25">
      <c r="A120" t="s">
        <v>43</v>
      </c>
      <c r="B120">
        <v>119</v>
      </c>
      <c r="C120" t="s">
        <v>44</v>
      </c>
      <c r="J120" t="s">
        <v>45</v>
      </c>
      <c r="K120" t="s">
        <v>46</v>
      </c>
      <c r="L120" t="s">
        <v>211</v>
      </c>
      <c r="M120" t="s">
        <v>48</v>
      </c>
      <c r="AJ120">
        <v>1</v>
      </c>
      <c r="AK120" t="s">
        <v>60</v>
      </c>
    </row>
    <row r="121" spans="1:37" x14ac:dyDescent="0.25">
      <c r="A121" t="s">
        <v>43</v>
      </c>
      <c r="B121">
        <v>120</v>
      </c>
      <c r="C121" t="s">
        <v>44</v>
      </c>
      <c r="J121" t="s">
        <v>45</v>
      </c>
      <c r="K121" t="s">
        <v>46</v>
      </c>
      <c r="L121" t="s">
        <v>212</v>
      </c>
      <c r="M121" t="s">
        <v>48</v>
      </c>
      <c r="AJ121">
        <v>1</v>
      </c>
      <c r="AK121" t="s">
        <v>60</v>
      </c>
    </row>
    <row r="122" spans="1:37" x14ac:dyDescent="0.25">
      <c r="A122" t="s">
        <v>43</v>
      </c>
      <c r="B122">
        <v>121</v>
      </c>
      <c r="C122" t="s">
        <v>44</v>
      </c>
      <c r="J122" t="s">
        <v>54</v>
      </c>
      <c r="K122" t="s">
        <v>55</v>
      </c>
      <c r="L122" t="s">
        <v>213</v>
      </c>
      <c r="M122" t="s">
        <v>214</v>
      </c>
      <c r="AJ122">
        <v>1</v>
      </c>
      <c r="AK122" t="s">
        <v>58</v>
      </c>
    </row>
    <row r="123" spans="1:37" x14ac:dyDescent="0.25">
      <c r="A123" t="s">
        <v>43</v>
      </c>
      <c r="B123">
        <v>122</v>
      </c>
      <c r="C123" t="s">
        <v>44</v>
      </c>
      <c r="J123" t="s">
        <v>54</v>
      </c>
      <c r="K123" t="s">
        <v>55</v>
      </c>
      <c r="L123" t="s">
        <v>215</v>
      </c>
      <c r="M123" t="s">
        <v>216</v>
      </c>
      <c r="AJ123">
        <v>1</v>
      </c>
      <c r="AK123" t="s">
        <v>58</v>
      </c>
    </row>
    <row r="124" spans="1:37" x14ac:dyDescent="0.25">
      <c r="A124" t="s">
        <v>43</v>
      </c>
      <c r="B124">
        <v>123</v>
      </c>
      <c r="C124" t="s">
        <v>44</v>
      </c>
      <c r="J124" t="s">
        <v>45</v>
      </c>
      <c r="K124" t="s">
        <v>46</v>
      </c>
      <c r="L124" t="s">
        <v>217</v>
      </c>
      <c r="M124" t="s">
        <v>48</v>
      </c>
      <c r="AJ124">
        <v>1</v>
      </c>
      <c r="AK124" t="s">
        <v>60</v>
      </c>
    </row>
    <row r="125" spans="1:37" x14ac:dyDescent="0.25">
      <c r="A125" t="s">
        <v>43</v>
      </c>
      <c r="B125">
        <v>124</v>
      </c>
      <c r="C125" t="s">
        <v>44</v>
      </c>
      <c r="J125" t="s">
        <v>45</v>
      </c>
      <c r="K125" t="s">
        <v>46</v>
      </c>
      <c r="L125" t="s">
        <v>218</v>
      </c>
      <c r="M125" t="s">
        <v>48</v>
      </c>
      <c r="AJ125">
        <v>1</v>
      </c>
      <c r="AK125" t="s">
        <v>60</v>
      </c>
    </row>
    <row r="126" spans="1:37" x14ac:dyDescent="0.25">
      <c r="A126" t="s">
        <v>43</v>
      </c>
      <c r="B126">
        <v>125</v>
      </c>
      <c r="C126" t="s">
        <v>44</v>
      </c>
      <c r="J126" t="s">
        <v>45</v>
      </c>
      <c r="K126" t="s">
        <v>46</v>
      </c>
      <c r="L126" t="s">
        <v>219</v>
      </c>
      <c r="M126" t="s">
        <v>48</v>
      </c>
      <c r="AJ126">
        <v>1</v>
      </c>
      <c r="AK126" t="s">
        <v>60</v>
      </c>
    </row>
    <row r="127" spans="1:37" x14ac:dyDescent="0.25">
      <c r="A127" t="s">
        <v>43</v>
      </c>
      <c r="B127">
        <v>126</v>
      </c>
      <c r="C127" t="s">
        <v>44</v>
      </c>
      <c r="J127" t="s">
        <v>45</v>
      </c>
      <c r="K127" t="s">
        <v>46</v>
      </c>
      <c r="L127" t="s">
        <v>220</v>
      </c>
      <c r="M127" t="s">
        <v>48</v>
      </c>
      <c r="AJ127">
        <v>1</v>
      </c>
      <c r="AK127" t="s">
        <v>60</v>
      </c>
    </row>
    <row r="128" spans="1:37" x14ac:dyDescent="0.25">
      <c r="A128" t="s">
        <v>43</v>
      </c>
      <c r="B128">
        <v>127</v>
      </c>
      <c r="C128" t="s">
        <v>44</v>
      </c>
      <c r="J128" t="s">
        <v>45</v>
      </c>
      <c r="K128" t="s">
        <v>46</v>
      </c>
      <c r="L128" t="s">
        <v>221</v>
      </c>
      <c r="M128" t="s">
        <v>48</v>
      </c>
      <c r="AJ128">
        <v>1</v>
      </c>
      <c r="AK128" t="s">
        <v>76</v>
      </c>
    </row>
    <row r="129" spans="1:37" x14ac:dyDescent="0.25">
      <c r="A129" t="s">
        <v>43</v>
      </c>
      <c r="B129">
        <v>128</v>
      </c>
      <c r="C129" t="s">
        <v>44</v>
      </c>
      <c r="J129" t="s">
        <v>54</v>
      </c>
      <c r="K129" t="s">
        <v>55</v>
      </c>
      <c r="L129" t="s">
        <v>222</v>
      </c>
      <c r="M129" t="s">
        <v>223</v>
      </c>
      <c r="AJ129">
        <v>1</v>
      </c>
      <c r="AK129" t="s">
        <v>58</v>
      </c>
    </row>
    <row r="130" spans="1:37" x14ac:dyDescent="0.25">
      <c r="A130" t="s">
        <v>43</v>
      </c>
      <c r="B130">
        <v>129</v>
      </c>
      <c r="C130" t="s">
        <v>44</v>
      </c>
      <c r="J130" t="s">
        <v>45</v>
      </c>
      <c r="K130" t="s">
        <v>46</v>
      </c>
      <c r="L130" t="s">
        <v>224</v>
      </c>
      <c r="M130" t="s">
        <v>48</v>
      </c>
      <c r="AJ130">
        <v>1</v>
      </c>
      <c r="AK130" t="s">
        <v>60</v>
      </c>
    </row>
    <row r="131" spans="1:37" x14ac:dyDescent="0.25">
      <c r="A131" t="s">
        <v>43</v>
      </c>
      <c r="B131">
        <v>130</v>
      </c>
      <c r="C131" t="s">
        <v>44</v>
      </c>
      <c r="J131" t="s">
        <v>54</v>
      </c>
      <c r="K131" t="s">
        <v>55</v>
      </c>
      <c r="L131" t="s">
        <v>225</v>
      </c>
      <c r="M131" t="s">
        <v>226</v>
      </c>
      <c r="AJ131">
        <v>1</v>
      </c>
      <c r="AK131" t="s">
        <v>58</v>
      </c>
    </row>
    <row r="132" spans="1:37" x14ac:dyDescent="0.25">
      <c r="A132" t="s">
        <v>43</v>
      </c>
      <c r="B132">
        <v>131</v>
      </c>
      <c r="C132" t="s">
        <v>44</v>
      </c>
      <c r="J132" t="s">
        <v>54</v>
      </c>
      <c r="K132" t="s">
        <v>55</v>
      </c>
      <c r="L132" t="s">
        <v>227</v>
      </c>
      <c r="M132" t="s">
        <v>228</v>
      </c>
      <c r="AJ132">
        <v>1</v>
      </c>
      <c r="AK132" t="s">
        <v>58</v>
      </c>
    </row>
    <row r="133" spans="1:37" x14ac:dyDescent="0.25">
      <c r="A133" t="s">
        <v>43</v>
      </c>
      <c r="B133">
        <v>132</v>
      </c>
      <c r="C133" t="s">
        <v>44</v>
      </c>
      <c r="J133" t="s">
        <v>54</v>
      </c>
      <c r="K133" t="s">
        <v>55</v>
      </c>
      <c r="L133" t="s">
        <v>229</v>
      </c>
      <c r="M133" t="s">
        <v>230</v>
      </c>
      <c r="AJ133">
        <v>1</v>
      </c>
      <c r="AK133" t="s">
        <v>58</v>
      </c>
    </row>
    <row r="134" spans="1:37" x14ac:dyDescent="0.25">
      <c r="A134" t="s">
        <v>43</v>
      </c>
      <c r="B134">
        <v>133</v>
      </c>
      <c r="C134" t="s">
        <v>44</v>
      </c>
      <c r="J134" t="s">
        <v>45</v>
      </c>
      <c r="K134" t="s">
        <v>46</v>
      </c>
      <c r="L134" t="s">
        <v>231</v>
      </c>
      <c r="M134" t="s">
        <v>48</v>
      </c>
      <c r="AJ134">
        <v>1</v>
      </c>
      <c r="AK134" t="s">
        <v>60</v>
      </c>
    </row>
    <row r="135" spans="1:37" x14ac:dyDescent="0.25">
      <c r="A135" t="s">
        <v>43</v>
      </c>
      <c r="B135">
        <v>134</v>
      </c>
      <c r="C135" t="s">
        <v>44</v>
      </c>
      <c r="J135" t="s">
        <v>45</v>
      </c>
      <c r="K135" t="s">
        <v>46</v>
      </c>
      <c r="L135" t="s">
        <v>232</v>
      </c>
      <c r="M135" t="s">
        <v>48</v>
      </c>
      <c r="AJ135">
        <v>1</v>
      </c>
      <c r="AK135" t="s">
        <v>60</v>
      </c>
    </row>
    <row r="136" spans="1:37" x14ac:dyDescent="0.25">
      <c r="A136" t="s">
        <v>43</v>
      </c>
      <c r="B136">
        <v>135</v>
      </c>
      <c r="C136" t="s">
        <v>44</v>
      </c>
      <c r="J136" t="s">
        <v>54</v>
      </c>
      <c r="K136" t="s">
        <v>55</v>
      </c>
      <c r="L136" t="s">
        <v>233</v>
      </c>
      <c r="M136" t="s">
        <v>234</v>
      </c>
      <c r="AJ136">
        <v>1</v>
      </c>
      <c r="AK136" t="s">
        <v>209</v>
      </c>
    </row>
    <row r="137" spans="1:37" x14ac:dyDescent="0.25">
      <c r="A137" t="s">
        <v>43</v>
      </c>
      <c r="B137">
        <v>136</v>
      </c>
      <c r="C137" t="s">
        <v>44</v>
      </c>
      <c r="J137" t="s">
        <v>54</v>
      </c>
      <c r="K137" t="s">
        <v>55</v>
      </c>
      <c r="L137" t="s">
        <v>235</v>
      </c>
      <c r="M137" t="s">
        <v>236</v>
      </c>
      <c r="AJ137">
        <v>1</v>
      </c>
      <c r="AK137" t="s">
        <v>58</v>
      </c>
    </row>
    <row r="138" spans="1:37" x14ac:dyDescent="0.25">
      <c r="A138" t="s">
        <v>43</v>
      </c>
      <c r="B138">
        <v>137</v>
      </c>
      <c r="C138" t="s">
        <v>44</v>
      </c>
      <c r="J138" t="s">
        <v>45</v>
      </c>
      <c r="K138" t="s">
        <v>46</v>
      </c>
      <c r="L138" t="s">
        <v>237</v>
      </c>
      <c r="M138" t="s">
        <v>48</v>
      </c>
      <c r="AJ138">
        <v>1</v>
      </c>
      <c r="AK138" t="s">
        <v>60</v>
      </c>
    </row>
    <row r="139" spans="1:37" x14ac:dyDescent="0.25">
      <c r="A139" t="s">
        <v>43</v>
      </c>
      <c r="B139">
        <v>138</v>
      </c>
      <c r="C139" t="s">
        <v>44</v>
      </c>
      <c r="J139" t="s">
        <v>45</v>
      </c>
      <c r="K139" t="s">
        <v>46</v>
      </c>
      <c r="L139" t="s">
        <v>238</v>
      </c>
      <c r="M139" t="s">
        <v>48</v>
      </c>
      <c r="AJ139">
        <v>1</v>
      </c>
      <c r="AK139" t="s">
        <v>76</v>
      </c>
    </row>
    <row r="140" spans="1:37" x14ac:dyDescent="0.25">
      <c r="A140" t="s">
        <v>43</v>
      </c>
      <c r="B140">
        <v>139</v>
      </c>
      <c r="C140" t="s">
        <v>44</v>
      </c>
      <c r="J140" t="s">
        <v>45</v>
      </c>
      <c r="K140" t="s">
        <v>46</v>
      </c>
      <c r="L140" t="s">
        <v>239</v>
      </c>
      <c r="M140" t="s">
        <v>48</v>
      </c>
      <c r="AJ140">
        <v>1</v>
      </c>
      <c r="AK140" t="s">
        <v>209</v>
      </c>
    </row>
    <row r="141" spans="1:37" x14ac:dyDescent="0.25">
      <c r="A141" t="s">
        <v>43</v>
      </c>
      <c r="B141">
        <v>140</v>
      </c>
      <c r="C141" t="s">
        <v>44</v>
      </c>
      <c r="J141" t="s">
        <v>45</v>
      </c>
      <c r="K141" t="s">
        <v>46</v>
      </c>
      <c r="L141" t="s">
        <v>240</v>
      </c>
      <c r="M141" t="s">
        <v>48</v>
      </c>
      <c r="AJ141">
        <v>1</v>
      </c>
      <c r="AK141" t="s">
        <v>60</v>
      </c>
    </row>
    <row r="142" spans="1:37" x14ac:dyDescent="0.25">
      <c r="A142" t="s">
        <v>43</v>
      </c>
      <c r="B142">
        <v>141</v>
      </c>
      <c r="C142" t="s">
        <v>44</v>
      </c>
      <c r="J142" t="s">
        <v>45</v>
      </c>
      <c r="K142" t="s">
        <v>46</v>
      </c>
      <c r="L142" t="s">
        <v>241</v>
      </c>
      <c r="M142" t="s">
        <v>48</v>
      </c>
      <c r="AJ142">
        <v>1</v>
      </c>
      <c r="AK142" t="s">
        <v>60</v>
      </c>
    </row>
    <row r="143" spans="1:37" x14ac:dyDescent="0.25">
      <c r="A143" t="s">
        <v>43</v>
      </c>
      <c r="B143">
        <v>142</v>
      </c>
      <c r="C143" t="s">
        <v>44</v>
      </c>
      <c r="J143" t="s">
        <v>45</v>
      </c>
      <c r="K143" t="s">
        <v>114</v>
      </c>
      <c r="L143" t="s">
        <v>115</v>
      </c>
      <c r="M143" t="s">
        <v>242</v>
      </c>
      <c r="AJ143">
        <v>1</v>
      </c>
      <c r="AK143" t="s">
        <v>117</v>
      </c>
    </row>
    <row r="144" spans="1:37" x14ac:dyDescent="0.25">
      <c r="A144" t="s">
        <v>43</v>
      </c>
      <c r="B144">
        <v>143</v>
      </c>
      <c r="C144" t="s">
        <v>44</v>
      </c>
      <c r="J144" t="s">
        <v>45</v>
      </c>
      <c r="K144" t="s">
        <v>46</v>
      </c>
      <c r="L144" t="s">
        <v>243</v>
      </c>
      <c r="M144" t="s">
        <v>48</v>
      </c>
      <c r="AJ144">
        <v>1</v>
      </c>
      <c r="AK144" t="s">
        <v>60</v>
      </c>
    </row>
    <row r="145" spans="1:37" x14ac:dyDescent="0.25">
      <c r="A145" t="s">
        <v>43</v>
      </c>
      <c r="B145">
        <v>144</v>
      </c>
      <c r="C145" t="s">
        <v>44</v>
      </c>
      <c r="J145" t="s">
        <v>54</v>
      </c>
      <c r="K145" t="s">
        <v>55</v>
      </c>
      <c r="L145" t="s">
        <v>244</v>
      </c>
      <c r="M145" t="s">
        <v>155</v>
      </c>
      <c r="AJ145">
        <v>1</v>
      </c>
      <c r="AK145" t="s">
        <v>58</v>
      </c>
    </row>
    <row r="146" spans="1:37" x14ac:dyDescent="0.25">
      <c r="A146" t="s">
        <v>43</v>
      </c>
      <c r="B146">
        <v>145</v>
      </c>
      <c r="C146" t="s">
        <v>44</v>
      </c>
      <c r="J146" t="s">
        <v>45</v>
      </c>
      <c r="K146" t="s">
        <v>46</v>
      </c>
      <c r="L146" t="s">
        <v>245</v>
      </c>
      <c r="M146" t="s">
        <v>48</v>
      </c>
      <c r="AJ146">
        <v>1</v>
      </c>
      <c r="AK146" t="s">
        <v>60</v>
      </c>
    </row>
    <row r="147" spans="1:37" x14ac:dyDescent="0.25">
      <c r="A147" t="s">
        <v>43</v>
      </c>
      <c r="B147">
        <v>146</v>
      </c>
      <c r="C147" t="s">
        <v>44</v>
      </c>
      <c r="J147" t="s">
        <v>45</v>
      </c>
      <c r="K147" t="s">
        <v>46</v>
      </c>
      <c r="L147" t="s">
        <v>246</v>
      </c>
      <c r="M147" t="s">
        <v>48</v>
      </c>
      <c r="AJ147">
        <v>1</v>
      </c>
      <c r="AK147" t="s">
        <v>60</v>
      </c>
    </row>
    <row r="148" spans="1:37" x14ac:dyDescent="0.25">
      <c r="A148" t="s">
        <v>43</v>
      </c>
      <c r="B148">
        <v>147</v>
      </c>
      <c r="C148" t="s">
        <v>44</v>
      </c>
      <c r="J148" t="s">
        <v>45</v>
      </c>
      <c r="K148" t="s">
        <v>46</v>
      </c>
      <c r="L148" t="s">
        <v>247</v>
      </c>
      <c r="M148" t="s">
        <v>48</v>
      </c>
      <c r="AJ148">
        <v>1</v>
      </c>
      <c r="AK148" t="s">
        <v>60</v>
      </c>
    </row>
    <row r="149" spans="1:37" x14ac:dyDescent="0.25">
      <c r="A149" t="s">
        <v>43</v>
      </c>
      <c r="B149">
        <v>148</v>
      </c>
      <c r="C149" t="s">
        <v>44</v>
      </c>
      <c r="J149" t="s">
        <v>45</v>
      </c>
      <c r="K149" t="s">
        <v>46</v>
      </c>
      <c r="L149" t="s">
        <v>248</v>
      </c>
      <c r="M149" t="s">
        <v>48</v>
      </c>
      <c r="AJ149">
        <v>1</v>
      </c>
      <c r="AK149" t="s">
        <v>60</v>
      </c>
    </row>
    <row r="150" spans="1:37" x14ac:dyDescent="0.25">
      <c r="A150" t="s">
        <v>43</v>
      </c>
      <c r="B150">
        <v>149</v>
      </c>
      <c r="C150" t="s">
        <v>44</v>
      </c>
      <c r="J150" t="s">
        <v>45</v>
      </c>
      <c r="K150" t="s">
        <v>46</v>
      </c>
      <c r="L150" t="s">
        <v>249</v>
      </c>
      <c r="M150" t="s">
        <v>48</v>
      </c>
      <c r="AJ150">
        <v>1</v>
      </c>
      <c r="AK150" t="s">
        <v>60</v>
      </c>
    </row>
    <row r="151" spans="1:37" x14ac:dyDescent="0.25">
      <c r="A151" t="s">
        <v>43</v>
      </c>
      <c r="B151">
        <v>150</v>
      </c>
      <c r="C151" t="s">
        <v>44</v>
      </c>
      <c r="J151" t="s">
        <v>45</v>
      </c>
      <c r="K151" t="s">
        <v>46</v>
      </c>
      <c r="L151" t="s">
        <v>250</v>
      </c>
      <c r="M151" t="s">
        <v>48</v>
      </c>
      <c r="AJ151">
        <v>1</v>
      </c>
      <c r="AK151" t="s">
        <v>60</v>
      </c>
    </row>
    <row r="152" spans="1:37" x14ac:dyDescent="0.25">
      <c r="A152" t="s">
        <v>43</v>
      </c>
      <c r="B152">
        <v>151</v>
      </c>
      <c r="C152" t="s">
        <v>44</v>
      </c>
      <c r="J152" t="s">
        <v>45</v>
      </c>
      <c r="K152" t="s">
        <v>46</v>
      </c>
      <c r="L152" t="s">
        <v>251</v>
      </c>
      <c r="M152" t="s">
        <v>48</v>
      </c>
      <c r="AJ152">
        <v>1</v>
      </c>
      <c r="AK152" t="s">
        <v>51</v>
      </c>
    </row>
    <row r="153" spans="1:37" x14ac:dyDescent="0.25">
      <c r="A153" t="s">
        <v>43</v>
      </c>
      <c r="B153">
        <v>152</v>
      </c>
      <c r="C153" t="s">
        <v>44</v>
      </c>
      <c r="J153" t="s">
        <v>45</v>
      </c>
      <c r="K153" t="s">
        <v>114</v>
      </c>
      <c r="L153" t="s">
        <v>115</v>
      </c>
      <c r="M153" t="s">
        <v>252</v>
      </c>
      <c r="AJ153">
        <v>1</v>
      </c>
      <c r="AK153" t="s">
        <v>117</v>
      </c>
    </row>
    <row r="154" spans="1:37" x14ac:dyDescent="0.25">
      <c r="A154" t="s">
        <v>43</v>
      </c>
      <c r="B154">
        <v>153</v>
      </c>
      <c r="C154" t="s">
        <v>44</v>
      </c>
      <c r="J154" t="s">
        <v>45</v>
      </c>
      <c r="K154" t="s">
        <v>46</v>
      </c>
      <c r="L154" t="s">
        <v>253</v>
      </c>
      <c r="M154" t="s">
        <v>48</v>
      </c>
      <c r="AJ154">
        <v>1</v>
      </c>
      <c r="AK154" t="s">
        <v>60</v>
      </c>
    </row>
    <row r="155" spans="1:37" x14ac:dyDescent="0.25">
      <c r="A155" t="s">
        <v>43</v>
      </c>
      <c r="B155">
        <v>154</v>
      </c>
      <c r="C155" t="s">
        <v>44</v>
      </c>
      <c r="J155" t="s">
        <v>45</v>
      </c>
      <c r="K155" t="s">
        <v>46</v>
      </c>
      <c r="L155" t="s">
        <v>254</v>
      </c>
      <c r="M155" t="s">
        <v>48</v>
      </c>
      <c r="AJ155">
        <v>1</v>
      </c>
      <c r="AK155" t="s">
        <v>60</v>
      </c>
    </row>
    <row r="156" spans="1:37" x14ac:dyDescent="0.25">
      <c r="A156" t="s">
        <v>43</v>
      </c>
      <c r="B156">
        <v>155</v>
      </c>
      <c r="C156" t="s">
        <v>44</v>
      </c>
      <c r="J156" t="s">
        <v>45</v>
      </c>
      <c r="K156" t="s">
        <v>46</v>
      </c>
      <c r="L156" t="s">
        <v>255</v>
      </c>
      <c r="M156" t="s">
        <v>48</v>
      </c>
      <c r="AJ156">
        <v>1</v>
      </c>
      <c r="AK156" t="s">
        <v>60</v>
      </c>
    </row>
    <row r="157" spans="1:37" x14ac:dyDescent="0.25">
      <c r="A157" t="s">
        <v>43</v>
      </c>
      <c r="B157">
        <v>156</v>
      </c>
      <c r="C157" t="s">
        <v>44</v>
      </c>
      <c r="J157" t="s">
        <v>45</v>
      </c>
      <c r="K157" t="s">
        <v>114</v>
      </c>
      <c r="L157" t="s">
        <v>115</v>
      </c>
      <c r="M157" t="s">
        <v>256</v>
      </c>
      <c r="AJ157">
        <v>1</v>
      </c>
      <c r="AK157" t="s">
        <v>117</v>
      </c>
    </row>
    <row r="158" spans="1:37" x14ac:dyDescent="0.25">
      <c r="A158" t="s">
        <v>43</v>
      </c>
      <c r="B158">
        <v>157</v>
      </c>
      <c r="C158" t="s">
        <v>44</v>
      </c>
      <c r="J158" t="s">
        <v>54</v>
      </c>
      <c r="K158" t="s">
        <v>55</v>
      </c>
      <c r="L158" t="s">
        <v>257</v>
      </c>
      <c r="M158" t="s">
        <v>155</v>
      </c>
      <c r="AJ158">
        <v>1</v>
      </c>
      <c r="AK158" t="s">
        <v>58</v>
      </c>
    </row>
    <row r="159" spans="1:37" x14ac:dyDescent="0.25">
      <c r="A159" t="s">
        <v>43</v>
      </c>
      <c r="B159">
        <v>158</v>
      </c>
      <c r="C159" t="s">
        <v>44</v>
      </c>
      <c r="J159" t="s">
        <v>45</v>
      </c>
      <c r="K159" t="s">
        <v>46</v>
      </c>
      <c r="L159" t="s">
        <v>258</v>
      </c>
      <c r="M159" t="s">
        <v>48</v>
      </c>
      <c r="AJ159">
        <v>1</v>
      </c>
      <c r="AK159" t="s">
        <v>76</v>
      </c>
    </row>
    <row r="160" spans="1:37" x14ac:dyDescent="0.25">
      <c r="A160" t="s">
        <v>43</v>
      </c>
      <c r="B160">
        <v>159</v>
      </c>
      <c r="C160" t="s">
        <v>44</v>
      </c>
      <c r="J160" t="s">
        <v>54</v>
      </c>
      <c r="K160" t="s">
        <v>55</v>
      </c>
      <c r="L160" t="s">
        <v>259</v>
      </c>
      <c r="M160" t="s">
        <v>260</v>
      </c>
      <c r="AJ160">
        <v>1</v>
      </c>
      <c r="AK160" t="s">
        <v>58</v>
      </c>
    </row>
    <row r="161" spans="1:37" x14ac:dyDescent="0.25">
      <c r="A161" t="s">
        <v>43</v>
      </c>
      <c r="B161">
        <v>160</v>
      </c>
      <c r="C161" t="s">
        <v>44</v>
      </c>
      <c r="J161" t="s">
        <v>45</v>
      </c>
      <c r="K161" t="s">
        <v>46</v>
      </c>
      <c r="L161" t="s">
        <v>261</v>
      </c>
      <c r="M161" t="s">
        <v>48</v>
      </c>
      <c r="AJ161">
        <v>1</v>
      </c>
      <c r="AK161" t="s">
        <v>51</v>
      </c>
    </row>
    <row r="162" spans="1:37" x14ac:dyDescent="0.25">
      <c r="A162" t="s">
        <v>43</v>
      </c>
      <c r="B162">
        <v>161</v>
      </c>
      <c r="C162" t="s">
        <v>44</v>
      </c>
      <c r="J162" t="s">
        <v>54</v>
      </c>
      <c r="K162" t="s">
        <v>55</v>
      </c>
      <c r="L162" t="s">
        <v>262</v>
      </c>
      <c r="M162" t="s">
        <v>263</v>
      </c>
      <c r="AJ162">
        <v>1</v>
      </c>
      <c r="AK162" t="s">
        <v>58</v>
      </c>
    </row>
    <row r="163" spans="1:37" x14ac:dyDescent="0.25">
      <c r="A163" t="s">
        <v>43</v>
      </c>
      <c r="B163">
        <v>162</v>
      </c>
      <c r="C163" t="s">
        <v>44</v>
      </c>
      <c r="J163" t="s">
        <v>45</v>
      </c>
      <c r="K163" t="s">
        <v>46</v>
      </c>
      <c r="L163" t="s">
        <v>264</v>
      </c>
      <c r="M163" t="s">
        <v>48</v>
      </c>
      <c r="AJ163">
        <v>1</v>
      </c>
      <c r="AK163" t="s">
        <v>60</v>
      </c>
    </row>
    <row r="164" spans="1:37" x14ac:dyDescent="0.25">
      <c r="A164" t="s">
        <v>43</v>
      </c>
      <c r="B164">
        <v>163</v>
      </c>
      <c r="C164" t="s">
        <v>44</v>
      </c>
      <c r="J164" t="s">
        <v>45</v>
      </c>
      <c r="K164" t="s">
        <v>46</v>
      </c>
      <c r="L164" t="s">
        <v>265</v>
      </c>
      <c r="M164" t="s">
        <v>48</v>
      </c>
      <c r="AJ164">
        <v>1</v>
      </c>
      <c r="AK164" t="s">
        <v>60</v>
      </c>
    </row>
    <row r="165" spans="1:37" x14ac:dyDescent="0.25">
      <c r="A165" t="s">
        <v>43</v>
      </c>
      <c r="B165">
        <v>164</v>
      </c>
      <c r="C165" t="s">
        <v>44</v>
      </c>
      <c r="J165" t="s">
        <v>54</v>
      </c>
      <c r="K165" t="s">
        <v>55</v>
      </c>
      <c r="L165" t="s">
        <v>266</v>
      </c>
      <c r="M165" t="s">
        <v>267</v>
      </c>
      <c r="AJ165">
        <v>1</v>
      </c>
      <c r="AK165" t="s">
        <v>58</v>
      </c>
    </row>
    <row r="166" spans="1:37" x14ac:dyDescent="0.25">
      <c r="A166" t="s">
        <v>43</v>
      </c>
      <c r="B166">
        <v>165</v>
      </c>
      <c r="C166" t="s">
        <v>44</v>
      </c>
      <c r="J166" t="s">
        <v>45</v>
      </c>
      <c r="K166" t="s">
        <v>46</v>
      </c>
      <c r="L166" t="s">
        <v>268</v>
      </c>
      <c r="M166" t="s">
        <v>48</v>
      </c>
      <c r="AJ166">
        <v>1</v>
      </c>
      <c r="AK166" t="s">
        <v>209</v>
      </c>
    </row>
    <row r="167" spans="1:37" x14ac:dyDescent="0.25">
      <c r="A167" t="s">
        <v>43</v>
      </c>
      <c r="B167">
        <v>166</v>
      </c>
      <c r="C167" t="s">
        <v>44</v>
      </c>
      <c r="J167" t="s">
        <v>45</v>
      </c>
      <c r="K167" t="s">
        <v>46</v>
      </c>
      <c r="L167" t="s">
        <v>269</v>
      </c>
      <c r="M167" t="s">
        <v>48</v>
      </c>
      <c r="AJ167">
        <v>1</v>
      </c>
      <c r="AK167" t="s">
        <v>60</v>
      </c>
    </row>
    <row r="168" spans="1:37" x14ac:dyDescent="0.25">
      <c r="A168" t="s">
        <v>43</v>
      </c>
      <c r="B168">
        <v>167</v>
      </c>
      <c r="C168" t="s">
        <v>44</v>
      </c>
      <c r="J168" t="s">
        <v>54</v>
      </c>
      <c r="K168" t="s">
        <v>55</v>
      </c>
      <c r="L168" t="s">
        <v>270</v>
      </c>
      <c r="M168" t="s">
        <v>155</v>
      </c>
      <c r="AJ168">
        <v>1</v>
      </c>
      <c r="AK168" t="s">
        <v>58</v>
      </c>
    </row>
    <row r="169" spans="1:37" x14ac:dyDescent="0.25">
      <c r="A169" t="s">
        <v>43</v>
      </c>
      <c r="B169">
        <v>168</v>
      </c>
      <c r="C169" t="s">
        <v>44</v>
      </c>
      <c r="J169" t="s">
        <v>54</v>
      </c>
      <c r="K169" t="s">
        <v>55</v>
      </c>
      <c r="L169" t="s">
        <v>271</v>
      </c>
      <c r="M169" t="s">
        <v>272</v>
      </c>
      <c r="AJ169">
        <v>1</v>
      </c>
      <c r="AK169" t="s">
        <v>58</v>
      </c>
    </row>
    <row r="170" spans="1:37" x14ac:dyDescent="0.25">
      <c r="A170" t="s">
        <v>43</v>
      </c>
      <c r="B170">
        <v>169</v>
      </c>
      <c r="C170" t="s">
        <v>44</v>
      </c>
      <c r="J170" t="s">
        <v>45</v>
      </c>
      <c r="K170" t="s">
        <v>46</v>
      </c>
      <c r="L170" t="s">
        <v>273</v>
      </c>
      <c r="M170" t="s">
        <v>48</v>
      </c>
      <c r="AJ170">
        <v>1</v>
      </c>
      <c r="AK170" t="s">
        <v>60</v>
      </c>
    </row>
    <row r="171" spans="1:37" x14ac:dyDescent="0.25">
      <c r="A171" t="s">
        <v>43</v>
      </c>
      <c r="B171">
        <v>170</v>
      </c>
      <c r="C171" t="s">
        <v>44</v>
      </c>
      <c r="J171" t="s">
        <v>54</v>
      </c>
      <c r="K171" t="s">
        <v>55</v>
      </c>
      <c r="L171" t="s">
        <v>274</v>
      </c>
      <c r="M171" t="s">
        <v>275</v>
      </c>
      <c r="AJ171">
        <v>1</v>
      </c>
      <c r="AK171" t="s">
        <v>58</v>
      </c>
    </row>
    <row r="172" spans="1:37" x14ac:dyDescent="0.25">
      <c r="A172" t="s">
        <v>43</v>
      </c>
      <c r="B172">
        <v>171</v>
      </c>
      <c r="C172" t="s">
        <v>44</v>
      </c>
      <c r="J172" t="s">
        <v>45</v>
      </c>
      <c r="K172" t="s">
        <v>46</v>
      </c>
      <c r="L172" t="s">
        <v>276</v>
      </c>
      <c r="M172" t="s">
        <v>48</v>
      </c>
      <c r="AJ172">
        <v>1</v>
      </c>
      <c r="AK172" t="s">
        <v>60</v>
      </c>
    </row>
    <row r="173" spans="1:37" x14ac:dyDescent="0.25">
      <c r="A173" t="s">
        <v>43</v>
      </c>
      <c r="B173">
        <v>172</v>
      </c>
      <c r="C173" t="s">
        <v>44</v>
      </c>
      <c r="J173" t="s">
        <v>45</v>
      </c>
      <c r="K173" t="s">
        <v>46</v>
      </c>
      <c r="L173" t="s">
        <v>277</v>
      </c>
      <c r="M173" t="s">
        <v>48</v>
      </c>
      <c r="AJ173">
        <v>1</v>
      </c>
      <c r="AK173" t="s">
        <v>60</v>
      </c>
    </row>
    <row r="174" spans="1:37" x14ac:dyDescent="0.25">
      <c r="A174" t="s">
        <v>43</v>
      </c>
      <c r="B174">
        <v>173</v>
      </c>
      <c r="C174" t="s">
        <v>44</v>
      </c>
      <c r="J174" t="s">
        <v>45</v>
      </c>
      <c r="K174" t="s">
        <v>114</v>
      </c>
      <c r="L174" t="s">
        <v>115</v>
      </c>
      <c r="M174" t="s">
        <v>278</v>
      </c>
      <c r="AJ174">
        <v>1</v>
      </c>
      <c r="AK174" t="s">
        <v>117</v>
      </c>
    </row>
    <row r="175" spans="1:37" x14ac:dyDescent="0.25">
      <c r="A175" t="s">
        <v>43</v>
      </c>
      <c r="B175">
        <v>174</v>
      </c>
      <c r="C175" t="s">
        <v>44</v>
      </c>
      <c r="J175" t="s">
        <v>54</v>
      </c>
      <c r="K175" t="s">
        <v>55</v>
      </c>
      <c r="L175" t="s">
        <v>279</v>
      </c>
      <c r="M175" t="s">
        <v>280</v>
      </c>
      <c r="AJ175">
        <v>1</v>
      </c>
      <c r="AK175" t="s">
        <v>58</v>
      </c>
    </row>
    <row r="176" spans="1:37" x14ac:dyDescent="0.25">
      <c r="A176" t="s">
        <v>43</v>
      </c>
      <c r="B176">
        <v>175</v>
      </c>
      <c r="C176" t="s">
        <v>44</v>
      </c>
      <c r="J176" t="s">
        <v>54</v>
      </c>
      <c r="K176" t="s">
        <v>55</v>
      </c>
      <c r="L176" t="s">
        <v>281</v>
      </c>
      <c r="M176" t="s">
        <v>282</v>
      </c>
      <c r="AJ176">
        <v>1</v>
      </c>
      <c r="AK176" t="s">
        <v>58</v>
      </c>
    </row>
    <row r="177" spans="1:37" x14ac:dyDescent="0.25">
      <c r="A177" t="s">
        <v>43</v>
      </c>
      <c r="B177">
        <v>176</v>
      </c>
      <c r="C177" t="s">
        <v>44</v>
      </c>
      <c r="J177" t="s">
        <v>45</v>
      </c>
      <c r="K177" t="s">
        <v>46</v>
      </c>
      <c r="L177" t="s">
        <v>283</v>
      </c>
      <c r="M177" t="s">
        <v>48</v>
      </c>
      <c r="AJ177">
        <v>1</v>
      </c>
      <c r="AK177" t="s">
        <v>60</v>
      </c>
    </row>
    <row r="178" spans="1:37" x14ac:dyDescent="0.25">
      <c r="A178" t="s">
        <v>43</v>
      </c>
      <c r="B178">
        <v>177</v>
      </c>
      <c r="C178" t="s">
        <v>44</v>
      </c>
      <c r="J178" t="s">
        <v>45</v>
      </c>
      <c r="K178" t="s">
        <v>46</v>
      </c>
      <c r="L178" t="s">
        <v>284</v>
      </c>
      <c r="M178" t="s">
        <v>48</v>
      </c>
      <c r="AJ178">
        <v>1</v>
      </c>
      <c r="AK178" t="s">
        <v>60</v>
      </c>
    </row>
    <row r="179" spans="1:37" x14ac:dyDescent="0.25">
      <c r="A179" t="s">
        <v>43</v>
      </c>
      <c r="B179">
        <v>178</v>
      </c>
      <c r="C179" t="s">
        <v>44</v>
      </c>
      <c r="J179" t="s">
        <v>45</v>
      </c>
      <c r="K179" t="s">
        <v>46</v>
      </c>
      <c r="L179" t="s">
        <v>285</v>
      </c>
      <c r="M179" t="s">
        <v>48</v>
      </c>
      <c r="AJ179">
        <v>1</v>
      </c>
      <c r="AK179" t="s">
        <v>60</v>
      </c>
    </row>
    <row r="180" spans="1:37" x14ac:dyDescent="0.25">
      <c r="A180" t="s">
        <v>43</v>
      </c>
      <c r="B180">
        <v>179</v>
      </c>
      <c r="C180" t="s">
        <v>44</v>
      </c>
      <c r="J180" t="s">
        <v>45</v>
      </c>
      <c r="K180" t="s">
        <v>46</v>
      </c>
      <c r="L180" t="s">
        <v>286</v>
      </c>
      <c r="M180" t="s">
        <v>48</v>
      </c>
      <c r="AJ180">
        <v>1</v>
      </c>
      <c r="AK180" t="s">
        <v>60</v>
      </c>
    </row>
    <row r="181" spans="1:37" x14ac:dyDescent="0.25">
      <c r="A181" t="s">
        <v>43</v>
      </c>
      <c r="B181">
        <v>180</v>
      </c>
      <c r="C181" t="s">
        <v>44</v>
      </c>
      <c r="J181" t="s">
        <v>54</v>
      </c>
      <c r="K181" t="s">
        <v>55</v>
      </c>
      <c r="L181" t="s">
        <v>287</v>
      </c>
      <c r="M181" t="s">
        <v>288</v>
      </c>
      <c r="AJ181">
        <v>1</v>
      </c>
      <c r="AK181" t="s">
        <v>58</v>
      </c>
    </row>
    <row r="182" spans="1:37" x14ac:dyDescent="0.25">
      <c r="A182" t="s">
        <v>43</v>
      </c>
      <c r="B182">
        <v>181</v>
      </c>
      <c r="C182" t="s">
        <v>44</v>
      </c>
      <c r="J182" t="s">
        <v>54</v>
      </c>
      <c r="K182" t="s">
        <v>55</v>
      </c>
      <c r="L182" t="s">
        <v>289</v>
      </c>
      <c r="M182" t="s">
        <v>290</v>
      </c>
      <c r="AJ182">
        <v>1</v>
      </c>
      <c r="AK182" t="s">
        <v>58</v>
      </c>
    </row>
    <row r="183" spans="1:37" x14ac:dyDescent="0.25">
      <c r="A183" t="s">
        <v>43</v>
      </c>
      <c r="B183">
        <v>182</v>
      </c>
      <c r="C183" t="s">
        <v>44</v>
      </c>
      <c r="J183" t="s">
        <v>45</v>
      </c>
      <c r="K183" t="s">
        <v>46</v>
      </c>
      <c r="L183" t="s">
        <v>291</v>
      </c>
      <c r="M183" t="s">
        <v>48</v>
      </c>
      <c r="AJ183">
        <v>1</v>
      </c>
      <c r="AK183" t="s">
        <v>60</v>
      </c>
    </row>
    <row r="184" spans="1:37" x14ac:dyDescent="0.25">
      <c r="A184" t="s">
        <v>43</v>
      </c>
      <c r="B184">
        <v>183</v>
      </c>
      <c r="C184" t="s">
        <v>44</v>
      </c>
      <c r="J184" t="s">
        <v>45</v>
      </c>
      <c r="K184" t="s">
        <v>46</v>
      </c>
      <c r="L184" t="s">
        <v>292</v>
      </c>
      <c r="M184" t="s">
        <v>48</v>
      </c>
      <c r="AJ184">
        <v>1</v>
      </c>
      <c r="AK184" t="s">
        <v>60</v>
      </c>
    </row>
    <row r="185" spans="1:37" x14ac:dyDescent="0.25">
      <c r="A185" t="s">
        <v>43</v>
      </c>
      <c r="B185">
        <v>184</v>
      </c>
      <c r="C185" t="s">
        <v>44</v>
      </c>
      <c r="J185" t="s">
        <v>54</v>
      </c>
      <c r="K185" t="s">
        <v>55</v>
      </c>
      <c r="L185" t="s">
        <v>293</v>
      </c>
      <c r="M185" t="s">
        <v>294</v>
      </c>
      <c r="AJ185">
        <v>1</v>
      </c>
      <c r="AK185" t="s">
        <v>58</v>
      </c>
    </row>
    <row r="186" spans="1:37" x14ac:dyDescent="0.25">
      <c r="A186" t="s">
        <v>43</v>
      </c>
      <c r="B186">
        <v>185</v>
      </c>
      <c r="C186" t="s">
        <v>44</v>
      </c>
      <c r="J186" t="s">
        <v>54</v>
      </c>
      <c r="K186" t="s">
        <v>55</v>
      </c>
      <c r="L186" t="s">
        <v>295</v>
      </c>
      <c r="M186" t="s">
        <v>296</v>
      </c>
      <c r="AJ186">
        <v>1</v>
      </c>
      <c r="AK186" t="s">
        <v>58</v>
      </c>
    </row>
    <row r="187" spans="1:37" x14ac:dyDescent="0.25">
      <c r="A187" t="s">
        <v>43</v>
      </c>
      <c r="B187">
        <v>186</v>
      </c>
      <c r="C187" t="s">
        <v>44</v>
      </c>
      <c r="J187" t="s">
        <v>45</v>
      </c>
      <c r="K187" t="s">
        <v>46</v>
      </c>
      <c r="L187" t="s">
        <v>297</v>
      </c>
      <c r="M187" t="s">
        <v>48</v>
      </c>
      <c r="AJ187">
        <v>1</v>
      </c>
      <c r="AK187" t="s">
        <v>76</v>
      </c>
    </row>
    <row r="188" spans="1:37" x14ac:dyDescent="0.25">
      <c r="A188" t="s">
        <v>43</v>
      </c>
      <c r="B188">
        <v>187</v>
      </c>
      <c r="C188" t="s">
        <v>44</v>
      </c>
      <c r="J188" t="s">
        <v>45</v>
      </c>
      <c r="K188" t="s">
        <v>46</v>
      </c>
      <c r="L188" t="s">
        <v>298</v>
      </c>
      <c r="M188" t="s">
        <v>48</v>
      </c>
      <c r="AJ188">
        <v>1</v>
      </c>
      <c r="AK188" t="s">
        <v>60</v>
      </c>
    </row>
    <row r="189" spans="1:37" x14ac:dyDescent="0.25">
      <c r="A189" t="s">
        <v>43</v>
      </c>
      <c r="B189">
        <v>188</v>
      </c>
      <c r="C189" t="s">
        <v>44</v>
      </c>
      <c r="J189" t="s">
        <v>45</v>
      </c>
      <c r="K189" t="s">
        <v>46</v>
      </c>
      <c r="L189" t="s">
        <v>299</v>
      </c>
      <c r="M189" t="s">
        <v>48</v>
      </c>
      <c r="AJ189">
        <v>1</v>
      </c>
      <c r="AK189" t="s">
        <v>60</v>
      </c>
    </row>
    <row r="190" spans="1:37" x14ac:dyDescent="0.25">
      <c r="A190" t="s">
        <v>43</v>
      </c>
      <c r="B190">
        <v>189</v>
      </c>
      <c r="C190" t="s">
        <v>44</v>
      </c>
      <c r="J190" t="s">
        <v>54</v>
      </c>
      <c r="K190" t="s">
        <v>55</v>
      </c>
      <c r="L190" t="s">
        <v>300</v>
      </c>
      <c r="M190" t="s">
        <v>301</v>
      </c>
      <c r="AJ190">
        <v>1</v>
      </c>
      <c r="AK190" t="s">
        <v>58</v>
      </c>
    </row>
    <row r="191" spans="1:37" x14ac:dyDescent="0.25">
      <c r="A191" t="s">
        <v>43</v>
      </c>
      <c r="B191">
        <v>190</v>
      </c>
      <c r="C191" t="s">
        <v>44</v>
      </c>
      <c r="J191" t="s">
        <v>45</v>
      </c>
      <c r="K191" t="s">
        <v>46</v>
      </c>
      <c r="L191" t="s">
        <v>302</v>
      </c>
      <c r="M191" t="s">
        <v>48</v>
      </c>
      <c r="AJ191">
        <v>1</v>
      </c>
      <c r="AK191" t="s">
        <v>60</v>
      </c>
    </row>
    <row r="192" spans="1:37" x14ac:dyDescent="0.25">
      <c r="A192" t="s">
        <v>43</v>
      </c>
      <c r="B192">
        <v>191</v>
      </c>
      <c r="C192" t="s">
        <v>44</v>
      </c>
      <c r="J192" t="s">
        <v>54</v>
      </c>
      <c r="K192" t="s">
        <v>55</v>
      </c>
      <c r="L192" t="s">
        <v>303</v>
      </c>
      <c r="M192" t="s">
        <v>304</v>
      </c>
      <c r="AJ192">
        <v>1</v>
      </c>
      <c r="AK192" t="s">
        <v>58</v>
      </c>
    </row>
    <row r="193" spans="1:37" x14ac:dyDescent="0.25">
      <c r="A193" t="s">
        <v>43</v>
      </c>
      <c r="B193">
        <v>192</v>
      </c>
      <c r="C193" t="s">
        <v>44</v>
      </c>
      <c r="J193" t="s">
        <v>45</v>
      </c>
      <c r="K193" t="s">
        <v>46</v>
      </c>
      <c r="L193" t="s">
        <v>305</v>
      </c>
      <c r="M193" t="s">
        <v>48</v>
      </c>
      <c r="AJ193">
        <v>1</v>
      </c>
      <c r="AK193" t="s">
        <v>60</v>
      </c>
    </row>
    <row r="194" spans="1:37" x14ac:dyDescent="0.25">
      <c r="A194" t="s">
        <v>43</v>
      </c>
      <c r="B194">
        <v>193</v>
      </c>
      <c r="C194" t="s">
        <v>44</v>
      </c>
      <c r="J194" t="s">
        <v>45</v>
      </c>
      <c r="K194" t="s">
        <v>187</v>
      </c>
      <c r="L194" t="s">
        <v>306</v>
      </c>
      <c r="M194" t="s">
        <v>307</v>
      </c>
      <c r="AJ194">
        <v>1</v>
      </c>
      <c r="AK194" t="s">
        <v>58</v>
      </c>
    </row>
    <row r="195" spans="1:37" x14ac:dyDescent="0.25">
      <c r="A195" t="s">
        <v>43</v>
      </c>
      <c r="B195">
        <v>194</v>
      </c>
      <c r="C195" t="s">
        <v>44</v>
      </c>
      <c r="J195" t="s">
        <v>54</v>
      </c>
      <c r="K195" t="s">
        <v>55</v>
      </c>
      <c r="L195" t="s">
        <v>308</v>
      </c>
      <c r="M195" t="s">
        <v>309</v>
      </c>
      <c r="AJ195">
        <v>1</v>
      </c>
      <c r="AK195" t="s">
        <v>58</v>
      </c>
    </row>
    <row r="196" spans="1:37" x14ac:dyDescent="0.25">
      <c r="A196" t="s">
        <v>43</v>
      </c>
      <c r="B196">
        <v>195</v>
      </c>
      <c r="C196" t="s">
        <v>44</v>
      </c>
      <c r="J196" t="s">
        <v>45</v>
      </c>
      <c r="K196" t="s">
        <v>46</v>
      </c>
      <c r="L196" t="s">
        <v>310</v>
      </c>
      <c r="M196" t="s">
        <v>48</v>
      </c>
      <c r="AJ196">
        <v>1</v>
      </c>
      <c r="AK196" t="s">
        <v>60</v>
      </c>
    </row>
    <row r="197" spans="1:37" x14ac:dyDescent="0.25">
      <c r="A197" t="s">
        <v>43</v>
      </c>
      <c r="B197">
        <v>196</v>
      </c>
      <c r="C197" t="s">
        <v>44</v>
      </c>
      <c r="J197" t="s">
        <v>45</v>
      </c>
      <c r="K197" t="s">
        <v>46</v>
      </c>
      <c r="L197" t="s">
        <v>311</v>
      </c>
      <c r="M197" t="s">
        <v>48</v>
      </c>
      <c r="AJ197">
        <v>1</v>
      </c>
      <c r="AK197" t="s">
        <v>60</v>
      </c>
    </row>
    <row r="198" spans="1:37" x14ac:dyDescent="0.25">
      <c r="A198" t="s">
        <v>43</v>
      </c>
      <c r="B198">
        <v>197</v>
      </c>
      <c r="C198" t="s">
        <v>44</v>
      </c>
      <c r="J198" t="s">
        <v>45</v>
      </c>
      <c r="K198" t="s">
        <v>46</v>
      </c>
      <c r="L198" t="s">
        <v>312</v>
      </c>
      <c r="M198" t="s">
        <v>48</v>
      </c>
      <c r="AJ198">
        <v>1</v>
      </c>
      <c r="AK198" t="s">
        <v>60</v>
      </c>
    </row>
    <row r="199" spans="1:37" x14ac:dyDescent="0.25">
      <c r="A199" t="s">
        <v>43</v>
      </c>
      <c r="B199">
        <v>198</v>
      </c>
      <c r="C199" t="s">
        <v>44</v>
      </c>
      <c r="J199" t="s">
        <v>54</v>
      </c>
      <c r="K199" t="s">
        <v>55</v>
      </c>
      <c r="L199" t="s">
        <v>313</v>
      </c>
      <c r="M199" t="s">
        <v>314</v>
      </c>
      <c r="AJ199">
        <v>1</v>
      </c>
      <c r="AK199" t="s">
        <v>209</v>
      </c>
    </row>
    <row r="200" spans="1:37" x14ac:dyDescent="0.25">
      <c r="A200" t="s">
        <v>43</v>
      </c>
      <c r="B200">
        <v>199</v>
      </c>
      <c r="C200" t="s">
        <v>44</v>
      </c>
      <c r="J200" t="s">
        <v>45</v>
      </c>
      <c r="K200" t="s">
        <v>46</v>
      </c>
      <c r="L200" t="s">
        <v>315</v>
      </c>
      <c r="M200" t="s">
        <v>48</v>
      </c>
      <c r="AJ200">
        <v>1</v>
      </c>
      <c r="AK200" t="s">
        <v>60</v>
      </c>
    </row>
    <row r="201" spans="1:37" x14ac:dyDescent="0.25">
      <c r="A201" t="s">
        <v>43</v>
      </c>
      <c r="B201">
        <v>200</v>
      </c>
      <c r="C201" t="s">
        <v>44</v>
      </c>
      <c r="J201" t="s">
        <v>45</v>
      </c>
      <c r="K201" t="s">
        <v>46</v>
      </c>
      <c r="L201" t="s">
        <v>316</v>
      </c>
      <c r="M201" t="s">
        <v>48</v>
      </c>
      <c r="AJ201">
        <v>1</v>
      </c>
      <c r="AK201" t="s">
        <v>60</v>
      </c>
    </row>
    <row r="202" spans="1:37" x14ac:dyDescent="0.25">
      <c r="A202" t="s">
        <v>43</v>
      </c>
      <c r="B202">
        <v>201</v>
      </c>
      <c r="C202" t="s">
        <v>44</v>
      </c>
      <c r="J202" t="s">
        <v>45</v>
      </c>
      <c r="K202" t="s">
        <v>46</v>
      </c>
      <c r="L202" t="s">
        <v>317</v>
      </c>
      <c r="M202" t="s">
        <v>48</v>
      </c>
      <c r="AJ202">
        <v>1</v>
      </c>
      <c r="AK202" t="s">
        <v>60</v>
      </c>
    </row>
    <row r="203" spans="1:37" x14ac:dyDescent="0.25">
      <c r="A203" t="s">
        <v>43</v>
      </c>
      <c r="B203">
        <v>202</v>
      </c>
      <c r="C203" t="s">
        <v>44</v>
      </c>
      <c r="J203" t="s">
        <v>45</v>
      </c>
      <c r="K203" t="s">
        <v>46</v>
      </c>
      <c r="L203" t="s">
        <v>318</v>
      </c>
      <c r="M203" t="s">
        <v>48</v>
      </c>
      <c r="AJ203">
        <v>1</v>
      </c>
      <c r="AK203" t="s">
        <v>60</v>
      </c>
    </row>
    <row r="204" spans="1:37" x14ac:dyDescent="0.25">
      <c r="A204" t="s">
        <v>43</v>
      </c>
      <c r="B204">
        <v>203</v>
      </c>
      <c r="C204" t="s">
        <v>44</v>
      </c>
      <c r="J204" t="s">
        <v>45</v>
      </c>
      <c r="K204" t="s">
        <v>46</v>
      </c>
      <c r="L204" t="s">
        <v>319</v>
      </c>
      <c r="M204" t="s">
        <v>48</v>
      </c>
      <c r="AJ204">
        <v>1</v>
      </c>
      <c r="AK204" t="s">
        <v>60</v>
      </c>
    </row>
    <row r="205" spans="1:37" x14ac:dyDescent="0.25">
      <c r="A205" t="s">
        <v>43</v>
      </c>
      <c r="B205">
        <v>204</v>
      </c>
      <c r="C205" t="s">
        <v>44</v>
      </c>
      <c r="J205" t="s">
        <v>45</v>
      </c>
      <c r="K205" t="s">
        <v>46</v>
      </c>
      <c r="L205" t="s">
        <v>320</v>
      </c>
      <c r="M205" t="s">
        <v>48</v>
      </c>
      <c r="AJ205">
        <v>1</v>
      </c>
      <c r="AK205" t="s">
        <v>60</v>
      </c>
    </row>
    <row r="206" spans="1:37" x14ac:dyDescent="0.25">
      <c r="A206" t="s">
        <v>43</v>
      </c>
      <c r="B206">
        <v>205</v>
      </c>
      <c r="C206" t="s">
        <v>44</v>
      </c>
      <c r="J206" t="s">
        <v>45</v>
      </c>
      <c r="K206" t="s">
        <v>46</v>
      </c>
      <c r="L206" t="s">
        <v>321</v>
      </c>
      <c r="M206" t="s">
        <v>48</v>
      </c>
      <c r="AJ206">
        <v>1</v>
      </c>
      <c r="AK206" t="s">
        <v>60</v>
      </c>
    </row>
    <row r="207" spans="1:37" x14ac:dyDescent="0.25">
      <c r="A207" t="s">
        <v>43</v>
      </c>
      <c r="B207">
        <v>206</v>
      </c>
      <c r="C207" t="s">
        <v>44</v>
      </c>
      <c r="J207" t="s">
        <v>54</v>
      </c>
      <c r="K207" t="s">
        <v>55</v>
      </c>
      <c r="L207" t="s">
        <v>322</v>
      </c>
      <c r="M207" t="s">
        <v>323</v>
      </c>
      <c r="AJ207">
        <v>1</v>
      </c>
      <c r="AK207" t="s">
        <v>58</v>
      </c>
    </row>
    <row r="208" spans="1:37" x14ac:dyDescent="0.25">
      <c r="A208" t="s">
        <v>43</v>
      </c>
      <c r="B208">
        <v>207</v>
      </c>
      <c r="C208" t="s">
        <v>44</v>
      </c>
      <c r="J208" t="s">
        <v>45</v>
      </c>
      <c r="K208" t="s">
        <v>114</v>
      </c>
      <c r="L208" t="s">
        <v>115</v>
      </c>
      <c r="M208" t="s">
        <v>324</v>
      </c>
      <c r="AJ208">
        <v>1</v>
      </c>
      <c r="AK208" t="s">
        <v>117</v>
      </c>
    </row>
    <row r="209" spans="1:37" x14ac:dyDescent="0.25">
      <c r="A209" t="s">
        <v>43</v>
      </c>
      <c r="B209">
        <v>208</v>
      </c>
      <c r="C209" t="s">
        <v>44</v>
      </c>
      <c r="J209" t="s">
        <v>54</v>
      </c>
      <c r="K209" t="s">
        <v>55</v>
      </c>
      <c r="L209" t="s">
        <v>325</v>
      </c>
      <c r="M209" t="s">
        <v>326</v>
      </c>
      <c r="AJ209">
        <v>1</v>
      </c>
      <c r="AK209" t="s">
        <v>58</v>
      </c>
    </row>
    <row r="210" spans="1:37" x14ac:dyDescent="0.25">
      <c r="A210" t="s">
        <v>43</v>
      </c>
      <c r="B210">
        <v>209</v>
      </c>
      <c r="C210" t="s">
        <v>44</v>
      </c>
      <c r="J210" t="s">
        <v>45</v>
      </c>
      <c r="K210" t="s">
        <v>46</v>
      </c>
      <c r="L210" t="s">
        <v>327</v>
      </c>
      <c r="M210" t="s">
        <v>48</v>
      </c>
      <c r="AJ210">
        <v>1</v>
      </c>
      <c r="AK210" t="s">
        <v>60</v>
      </c>
    </row>
    <row r="211" spans="1:37" x14ac:dyDescent="0.25">
      <c r="A211" t="s">
        <v>43</v>
      </c>
      <c r="B211">
        <v>210</v>
      </c>
      <c r="C211" t="s">
        <v>44</v>
      </c>
      <c r="J211" t="s">
        <v>45</v>
      </c>
      <c r="K211" t="s">
        <v>46</v>
      </c>
      <c r="L211" t="s">
        <v>328</v>
      </c>
      <c r="M211" t="s">
        <v>48</v>
      </c>
      <c r="AJ211">
        <v>1</v>
      </c>
      <c r="AK211" t="s">
        <v>60</v>
      </c>
    </row>
    <row r="212" spans="1:37" x14ac:dyDescent="0.25">
      <c r="A212" t="s">
        <v>43</v>
      </c>
      <c r="B212">
        <v>211</v>
      </c>
      <c r="C212" t="s">
        <v>44</v>
      </c>
      <c r="J212" t="s">
        <v>54</v>
      </c>
      <c r="K212" t="s">
        <v>55</v>
      </c>
      <c r="L212" t="s">
        <v>233</v>
      </c>
      <c r="M212" t="s">
        <v>329</v>
      </c>
      <c r="AJ212">
        <v>1</v>
      </c>
      <c r="AK212" t="s">
        <v>209</v>
      </c>
    </row>
    <row r="213" spans="1:37" x14ac:dyDescent="0.25">
      <c r="A213" t="s">
        <v>43</v>
      </c>
      <c r="B213">
        <v>212</v>
      </c>
      <c r="C213" t="s">
        <v>44</v>
      </c>
      <c r="J213" t="s">
        <v>54</v>
      </c>
      <c r="K213" t="s">
        <v>55</v>
      </c>
      <c r="L213" t="s">
        <v>330</v>
      </c>
      <c r="M213" t="s">
        <v>331</v>
      </c>
      <c r="AJ213">
        <v>1</v>
      </c>
      <c r="AK213" t="s">
        <v>58</v>
      </c>
    </row>
    <row r="214" spans="1:37" x14ac:dyDescent="0.25">
      <c r="A214" t="s">
        <v>43</v>
      </c>
      <c r="B214">
        <v>213</v>
      </c>
      <c r="C214" t="s">
        <v>44</v>
      </c>
      <c r="J214" t="s">
        <v>45</v>
      </c>
      <c r="K214" t="s">
        <v>46</v>
      </c>
      <c r="L214" t="s">
        <v>332</v>
      </c>
      <c r="M214" t="s">
        <v>48</v>
      </c>
      <c r="AJ214">
        <v>1</v>
      </c>
      <c r="AK214" t="s">
        <v>60</v>
      </c>
    </row>
    <row r="215" spans="1:37" x14ac:dyDescent="0.25">
      <c r="A215" t="s">
        <v>43</v>
      </c>
      <c r="B215">
        <v>214</v>
      </c>
      <c r="C215" t="s">
        <v>44</v>
      </c>
      <c r="J215" t="s">
        <v>45</v>
      </c>
      <c r="K215" t="s">
        <v>46</v>
      </c>
      <c r="L215" t="s">
        <v>333</v>
      </c>
      <c r="M215" t="s">
        <v>48</v>
      </c>
      <c r="AJ215">
        <v>1</v>
      </c>
      <c r="AK215" t="s">
        <v>60</v>
      </c>
    </row>
    <row r="216" spans="1:37" x14ac:dyDescent="0.25">
      <c r="A216" t="s">
        <v>43</v>
      </c>
      <c r="B216">
        <v>215</v>
      </c>
      <c r="C216" t="s">
        <v>44</v>
      </c>
      <c r="J216" t="s">
        <v>54</v>
      </c>
      <c r="K216" t="s">
        <v>55</v>
      </c>
      <c r="L216" t="s">
        <v>334</v>
      </c>
      <c r="M216" t="s">
        <v>335</v>
      </c>
      <c r="AJ216">
        <v>1</v>
      </c>
      <c r="AK216" t="s">
        <v>58</v>
      </c>
    </row>
    <row r="217" spans="1:37" x14ac:dyDescent="0.25">
      <c r="A217" t="s">
        <v>43</v>
      </c>
      <c r="B217">
        <v>216</v>
      </c>
      <c r="C217" t="s">
        <v>44</v>
      </c>
      <c r="J217" t="s">
        <v>45</v>
      </c>
      <c r="K217" t="s">
        <v>46</v>
      </c>
      <c r="L217" t="s">
        <v>336</v>
      </c>
      <c r="M217" t="s">
        <v>48</v>
      </c>
      <c r="AJ217">
        <v>1</v>
      </c>
      <c r="AK217" t="s">
        <v>60</v>
      </c>
    </row>
    <row r="218" spans="1:37" x14ac:dyDescent="0.25">
      <c r="A218" t="s">
        <v>43</v>
      </c>
      <c r="B218">
        <v>217</v>
      </c>
      <c r="C218" t="s">
        <v>44</v>
      </c>
      <c r="J218" t="s">
        <v>45</v>
      </c>
      <c r="K218" t="s">
        <v>46</v>
      </c>
      <c r="L218" t="s">
        <v>337</v>
      </c>
      <c r="M218" t="s">
        <v>48</v>
      </c>
      <c r="AJ218">
        <v>1</v>
      </c>
      <c r="AK218" t="s">
        <v>60</v>
      </c>
    </row>
    <row r="219" spans="1:37" x14ac:dyDescent="0.25">
      <c r="A219" t="s">
        <v>43</v>
      </c>
      <c r="B219">
        <v>218</v>
      </c>
      <c r="C219" t="s">
        <v>44</v>
      </c>
      <c r="J219" t="s">
        <v>45</v>
      </c>
      <c r="K219" t="s">
        <v>46</v>
      </c>
      <c r="L219" t="s">
        <v>338</v>
      </c>
      <c r="M219" t="s">
        <v>48</v>
      </c>
      <c r="AJ219">
        <v>1</v>
      </c>
      <c r="AK219" t="s">
        <v>60</v>
      </c>
    </row>
    <row r="220" spans="1:37" x14ac:dyDescent="0.25">
      <c r="A220" t="s">
        <v>43</v>
      </c>
      <c r="B220">
        <v>219</v>
      </c>
      <c r="C220" t="s">
        <v>44</v>
      </c>
      <c r="J220" t="s">
        <v>54</v>
      </c>
      <c r="K220" t="s">
        <v>55</v>
      </c>
      <c r="L220" t="s">
        <v>339</v>
      </c>
      <c r="M220" t="s">
        <v>340</v>
      </c>
      <c r="AJ220">
        <v>1</v>
      </c>
      <c r="AK220" t="s">
        <v>58</v>
      </c>
    </row>
    <row r="221" spans="1:37" x14ac:dyDescent="0.25">
      <c r="A221" t="s">
        <v>43</v>
      </c>
      <c r="B221">
        <v>220</v>
      </c>
      <c r="C221" t="s">
        <v>44</v>
      </c>
      <c r="J221" t="s">
        <v>45</v>
      </c>
      <c r="K221" t="s">
        <v>46</v>
      </c>
      <c r="L221" t="s">
        <v>341</v>
      </c>
      <c r="M221" t="s">
        <v>48</v>
      </c>
      <c r="AJ221">
        <v>1</v>
      </c>
      <c r="AK221" t="s">
        <v>60</v>
      </c>
    </row>
    <row r="222" spans="1:37" x14ac:dyDescent="0.25">
      <c r="A222" t="s">
        <v>43</v>
      </c>
      <c r="B222">
        <v>221</v>
      </c>
      <c r="C222" t="s">
        <v>44</v>
      </c>
      <c r="J222" t="s">
        <v>45</v>
      </c>
      <c r="K222" t="s">
        <v>46</v>
      </c>
      <c r="L222" t="s">
        <v>342</v>
      </c>
      <c r="M222" t="s">
        <v>48</v>
      </c>
      <c r="AJ222">
        <v>1</v>
      </c>
      <c r="AK222" t="s">
        <v>76</v>
      </c>
    </row>
    <row r="223" spans="1:37" x14ac:dyDescent="0.25">
      <c r="A223" t="s">
        <v>43</v>
      </c>
      <c r="B223">
        <v>222</v>
      </c>
      <c r="C223" t="s">
        <v>44</v>
      </c>
      <c r="J223" t="s">
        <v>54</v>
      </c>
      <c r="K223" t="s">
        <v>55</v>
      </c>
      <c r="L223" t="s">
        <v>343</v>
      </c>
      <c r="M223" t="s">
        <v>344</v>
      </c>
      <c r="AJ223">
        <v>1</v>
      </c>
      <c r="AK223" t="s">
        <v>58</v>
      </c>
    </row>
    <row r="224" spans="1:37" x14ac:dyDescent="0.25">
      <c r="A224" t="s">
        <v>43</v>
      </c>
      <c r="B224">
        <v>223</v>
      </c>
      <c r="C224" t="s">
        <v>44</v>
      </c>
      <c r="J224" t="s">
        <v>45</v>
      </c>
      <c r="K224" t="s">
        <v>46</v>
      </c>
      <c r="L224" t="s">
        <v>345</v>
      </c>
      <c r="M224" t="s">
        <v>48</v>
      </c>
      <c r="AJ224">
        <v>1</v>
      </c>
      <c r="AK224" t="s">
        <v>60</v>
      </c>
    </row>
    <row r="225" spans="1:37" x14ac:dyDescent="0.25">
      <c r="A225" t="s">
        <v>43</v>
      </c>
      <c r="B225">
        <v>224</v>
      </c>
      <c r="C225" t="s">
        <v>44</v>
      </c>
      <c r="J225" t="s">
        <v>54</v>
      </c>
      <c r="K225" t="s">
        <v>55</v>
      </c>
      <c r="L225" t="s">
        <v>346</v>
      </c>
      <c r="M225" t="s">
        <v>347</v>
      </c>
      <c r="AJ225">
        <v>1</v>
      </c>
      <c r="AK225" t="s">
        <v>58</v>
      </c>
    </row>
    <row r="226" spans="1:37" x14ac:dyDescent="0.25">
      <c r="A226" t="s">
        <v>43</v>
      </c>
      <c r="B226">
        <v>225</v>
      </c>
      <c r="C226" t="s">
        <v>44</v>
      </c>
      <c r="J226" t="s">
        <v>45</v>
      </c>
      <c r="K226" t="s">
        <v>46</v>
      </c>
      <c r="L226" t="s">
        <v>348</v>
      </c>
      <c r="M226" t="s">
        <v>48</v>
      </c>
      <c r="AJ226">
        <v>1</v>
      </c>
      <c r="AK226" t="s">
        <v>51</v>
      </c>
    </row>
    <row r="227" spans="1:37" x14ac:dyDescent="0.25">
      <c r="A227" t="s">
        <v>43</v>
      </c>
      <c r="B227">
        <v>226</v>
      </c>
      <c r="C227" t="s">
        <v>44</v>
      </c>
      <c r="J227" t="s">
        <v>45</v>
      </c>
      <c r="K227" t="s">
        <v>46</v>
      </c>
      <c r="L227" t="s">
        <v>349</v>
      </c>
      <c r="M227" t="s">
        <v>48</v>
      </c>
      <c r="AJ227">
        <v>1</v>
      </c>
      <c r="AK227" t="s">
        <v>60</v>
      </c>
    </row>
    <row r="228" spans="1:37" x14ac:dyDescent="0.25">
      <c r="A228" t="s">
        <v>43</v>
      </c>
      <c r="B228">
        <v>227</v>
      </c>
      <c r="C228" t="s">
        <v>44</v>
      </c>
      <c r="J228" t="s">
        <v>54</v>
      </c>
      <c r="K228" t="s">
        <v>55</v>
      </c>
      <c r="L228" t="s">
        <v>350</v>
      </c>
      <c r="M228" t="s">
        <v>351</v>
      </c>
      <c r="AJ228">
        <v>1</v>
      </c>
      <c r="AK228" t="s">
        <v>58</v>
      </c>
    </row>
    <row r="229" spans="1:37" x14ac:dyDescent="0.25">
      <c r="A229" t="s">
        <v>43</v>
      </c>
      <c r="B229">
        <v>228</v>
      </c>
      <c r="C229" t="s">
        <v>44</v>
      </c>
      <c r="J229" t="s">
        <v>54</v>
      </c>
      <c r="K229" t="s">
        <v>55</v>
      </c>
      <c r="L229" t="s">
        <v>352</v>
      </c>
      <c r="M229" t="s">
        <v>353</v>
      </c>
      <c r="AJ229">
        <v>1</v>
      </c>
      <c r="AK229" t="s">
        <v>58</v>
      </c>
    </row>
    <row r="230" spans="1:37" x14ac:dyDescent="0.25">
      <c r="A230" t="s">
        <v>43</v>
      </c>
      <c r="B230">
        <v>229</v>
      </c>
      <c r="C230" t="s">
        <v>44</v>
      </c>
      <c r="J230" t="s">
        <v>45</v>
      </c>
      <c r="K230" t="s">
        <v>46</v>
      </c>
      <c r="L230" t="s">
        <v>354</v>
      </c>
      <c r="M230" t="s">
        <v>48</v>
      </c>
      <c r="AJ230">
        <v>1</v>
      </c>
      <c r="AK230" t="s">
        <v>60</v>
      </c>
    </row>
    <row r="231" spans="1:37" x14ac:dyDescent="0.25">
      <c r="A231" t="s">
        <v>43</v>
      </c>
      <c r="B231">
        <v>230</v>
      </c>
      <c r="C231" t="s">
        <v>44</v>
      </c>
      <c r="J231" t="s">
        <v>45</v>
      </c>
      <c r="K231" t="s">
        <v>46</v>
      </c>
      <c r="L231" t="s">
        <v>355</v>
      </c>
      <c r="M231" t="s">
        <v>48</v>
      </c>
      <c r="AJ231">
        <v>1</v>
      </c>
      <c r="AK231" t="s">
        <v>60</v>
      </c>
    </row>
    <row r="232" spans="1:37" x14ac:dyDescent="0.25">
      <c r="A232" t="s">
        <v>43</v>
      </c>
      <c r="B232">
        <v>231</v>
      </c>
      <c r="C232" t="s">
        <v>44</v>
      </c>
      <c r="J232" t="s">
        <v>45</v>
      </c>
      <c r="K232" t="s">
        <v>46</v>
      </c>
      <c r="L232" t="s">
        <v>356</v>
      </c>
      <c r="M232" t="s">
        <v>48</v>
      </c>
      <c r="AJ232">
        <v>1</v>
      </c>
      <c r="AK232" t="s">
        <v>76</v>
      </c>
    </row>
    <row r="233" spans="1:37" x14ac:dyDescent="0.25">
      <c r="A233" t="s">
        <v>43</v>
      </c>
      <c r="B233">
        <v>232</v>
      </c>
      <c r="C233" t="s">
        <v>44</v>
      </c>
      <c r="J233" t="s">
        <v>45</v>
      </c>
      <c r="K233" t="s">
        <v>46</v>
      </c>
      <c r="L233" t="s">
        <v>357</v>
      </c>
      <c r="M233" t="s">
        <v>48</v>
      </c>
      <c r="AJ233">
        <v>1</v>
      </c>
      <c r="AK233" t="s">
        <v>60</v>
      </c>
    </row>
    <row r="234" spans="1:37" x14ac:dyDescent="0.25">
      <c r="A234" t="s">
        <v>43</v>
      </c>
      <c r="B234">
        <v>233</v>
      </c>
      <c r="C234" t="s">
        <v>44</v>
      </c>
      <c r="J234" t="s">
        <v>45</v>
      </c>
      <c r="K234" t="s">
        <v>46</v>
      </c>
      <c r="L234" t="s">
        <v>358</v>
      </c>
      <c r="M234" t="s">
        <v>48</v>
      </c>
      <c r="AJ234">
        <v>1</v>
      </c>
      <c r="AK234" t="s">
        <v>60</v>
      </c>
    </row>
    <row r="235" spans="1:37" x14ac:dyDescent="0.25">
      <c r="A235" t="s">
        <v>43</v>
      </c>
      <c r="B235">
        <v>234</v>
      </c>
      <c r="C235" t="s">
        <v>44</v>
      </c>
      <c r="J235" t="s">
        <v>45</v>
      </c>
      <c r="K235" t="s">
        <v>46</v>
      </c>
      <c r="L235" t="s">
        <v>359</v>
      </c>
      <c r="M235" t="s">
        <v>48</v>
      </c>
      <c r="AJ235">
        <v>1</v>
      </c>
      <c r="AK235" t="s">
        <v>60</v>
      </c>
    </row>
    <row r="236" spans="1:37" x14ac:dyDescent="0.25">
      <c r="A236" t="s">
        <v>43</v>
      </c>
      <c r="B236">
        <v>235</v>
      </c>
      <c r="C236" t="s">
        <v>44</v>
      </c>
      <c r="J236" t="s">
        <v>45</v>
      </c>
      <c r="K236" t="s">
        <v>46</v>
      </c>
      <c r="L236" t="s">
        <v>360</v>
      </c>
      <c r="M236" t="s">
        <v>48</v>
      </c>
      <c r="AJ236">
        <v>1</v>
      </c>
      <c r="AK236" t="s">
        <v>209</v>
      </c>
    </row>
    <row r="237" spans="1:37" x14ac:dyDescent="0.25">
      <c r="A237" t="s">
        <v>43</v>
      </c>
      <c r="B237">
        <v>236</v>
      </c>
      <c r="C237" t="s">
        <v>44</v>
      </c>
      <c r="J237" t="s">
        <v>45</v>
      </c>
      <c r="K237" t="s">
        <v>46</v>
      </c>
      <c r="L237" t="s">
        <v>361</v>
      </c>
      <c r="M237" t="s">
        <v>48</v>
      </c>
      <c r="AJ237">
        <v>1</v>
      </c>
      <c r="AK237" t="s">
        <v>60</v>
      </c>
    </row>
    <row r="238" spans="1:37" x14ac:dyDescent="0.25">
      <c r="A238" t="s">
        <v>43</v>
      </c>
      <c r="B238">
        <v>237</v>
      </c>
      <c r="C238" t="s">
        <v>44</v>
      </c>
      <c r="J238" t="s">
        <v>45</v>
      </c>
      <c r="K238" t="s">
        <v>46</v>
      </c>
      <c r="L238" t="s">
        <v>362</v>
      </c>
      <c r="M238" t="s">
        <v>48</v>
      </c>
      <c r="AJ238">
        <v>1</v>
      </c>
      <c r="AK238" t="s">
        <v>60</v>
      </c>
    </row>
    <row r="239" spans="1:37" x14ac:dyDescent="0.25">
      <c r="A239" t="s">
        <v>43</v>
      </c>
      <c r="B239">
        <v>238</v>
      </c>
      <c r="C239" t="s">
        <v>44</v>
      </c>
      <c r="J239" t="s">
        <v>45</v>
      </c>
      <c r="K239" t="s">
        <v>46</v>
      </c>
      <c r="L239" t="s">
        <v>363</v>
      </c>
      <c r="M239" t="s">
        <v>48</v>
      </c>
      <c r="AJ239">
        <v>1</v>
      </c>
      <c r="AK239" t="s">
        <v>60</v>
      </c>
    </row>
    <row r="240" spans="1:37" x14ac:dyDescent="0.25">
      <c r="A240" t="s">
        <v>43</v>
      </c>
      <c r="B240">
        <v>239</v>
      </c>
      <c r="C240" t="s">
        <v>44</v>
      </c>
      <c r="J240" t="s">
        <v>54</v>
      </c>
      <c r="K240" t="s">
        <v>55</v>
      </c>
      <c r="L240" t="s">
        <v>364</v>
      </c>
      <c r="M240" t="s">
        <v>365</v>
      </c>
      <c r="AJ240">
        <v>1</v>
      </c>
      <c r="AK240" t="s">
        <v>58</v>
      </c>
    </row>
    <row r="241" spans="1:37" x14ac:dyDescent="0.25">
      <c r="A241" t="s">
        <v>43</v>
      </c>
      <c r="B241">
        <v>240</v>
      </c>
      <c r="C241" t="s">
        <v>44</v>
      </c>
      <c r="J241" t="s">
        <v>45</v>
      </c>
      <c r="K241" t="s">
        <v>46</v>
      </c>
      <c r="L241" t="s">
        <v>366</v>
      </c>
      <c r="M241" t="s">
        <v>48</v>
      </c>
      <c r="AJ241">
        <v>1</v>
      </c>
      <c r="AK241" t="s">
        <v>51</v>
      </c>
    </row>
    <row r="242" spans="1:37" x14ac:dyDescent="0.25">
      <c r="A242" t="s">
        <v>43</v>
      </c>
      <c r="B242">
        <v>241</v>
      </c>
      <c r="C242" t="s">
        <v>44</v>
      </c>
      <c r="J242" t="s">
        <v>45</v>
      </c>
      <c r="K242" t="s">
        <v>46</v>
      </c>
      <c r="L242" t="s">
        <v>367</v>
      </c>
      <c r="M242" t="s">
        <v>48</v>
      </c>
      <c r="AJ242">
        <v>1</v>
      </c>
      <c r="AK242" t="s">
        <v>60</v>
      </c>
    </row>
    <row r="243" spans="1:37" x14ac:dyDescent="0.25">
      <c r="A243" t="s">
        <v>43</v>
      </c>
      <c r="B243">
        <v>242</v>
      </c>
      <c r="C243" t="s">
        <v>44</v>
      </c>
      <c r="J243" t="s">
        <v>45</v>
      </c>
      <c r="K243" t="s">
        <v>46</v>
      </c>
      <c r="L243" t="s">
        <v>368</v>
      </c>
      <c r="M243" t="s">
        <v>48</v>
      </c>
      <c r="AJ243">
        <v>1</v>
      </c>
      <c r="AK243" t="s">
        <v>60</v>
      </c>
    </row>
    <row r="244" spans="1:37" x14ac:dyDescent="0.25">
      <c r="A244" t="s">
        <v>43</v>
      </c>
      <c r="B244">
        <v>243</v>
      </c>
      <c r="C244" t="s">
        <v>44</v>
      </c>
      <c r="J244" t="s">
        <v>54</v>
      </c>
      <c r="K244" t="s">
        <v>55</v>
      </c>
      <c r="L244" t="s">
        <v>369</v>
      </c>
      <c r="M244" t="s">
        <v>370</v>
      </c>
      <c r="AJ244">
        <v>1</v>
      </c>
      <c r="AK244" t="s">
        <v>209</v>
      </c>
    </row>
    <row r="245" spans="1:37" x14ac:dyDescent="0.25">
      <c r="A245" t="s">
        <v>43</v>
      </c>
      <c r="B245">
        <v>244</v>
      </c>
      <c r="C245" t="s">
        <v>44</v>
      </c>
      <c r="J245" t="s">
        <v>45</v>
      </c>
      <c r="K245" t="s">
        <v>46</v>
      </c>
      <c r="L245" t="s">
        <v>371</v>
      </c>
      <c r="M245" t="s">
        <v>48</v>
      </c>
      <c r="AJ245">
        <v>1</v>
      </c>
      <c r="AK245" t="s">
        <v>53</v>
      </c>
    </row>
    <row r="246" spans="1:37" x14ac:dyDescent="0.25">
      <c r="A246" t="s">
        <v>43</v>
      </c>
      <c r="B246">
        <v>245</v>
      </c>
      <c r="C246" t="s">
        <v>44</v>
      </c>
      <c r="J246" t="s">
        <v>45</v>
      </c>
      <c r="K246" t="s">
        <v>46</v>
      </c>
      <c r="L246" t="s">
        <v>372</v>
      </c>
      <c r="M246" t="s">
        <v>48</v>
      </c>
      <c r="AJ246">
        <v>1</v>
      </c>
      <c r="AK246" t="s">
        <v>60</v>
      </c>
    </row>
    <row r="247" spans="1:37" x14ac:dyDescent="0.25">
      <c r="A247" t="s">
        <v>43</v>
      </c>
      <c r="B247">
        <v>246</v>
      </c>
      <c r="C247" t="s">
        <v>44</v>
      </c>
      <c r="J247" t="s">
        <v>54</v>
      </c>
      <c r="K247" t="s">
        <v>55</v>
      </c>
      <c r="L247" t="s">
        <v>373</v>
      </c>
      <c r="M247" t="s">
        <v>374</v>
      </c>
      <c r="AJ247">
        <v>1</v>
      </c>
      <c r="AK247" t="s">
        <v>58</v>
      </c>
    </row>
    <row r="248" spans="1:37" x14ac:dyDescent="0.25">
      <c r="A248" t="s">
        <v>43</v>
      </c>
      <c r="B248">
        <v>247</v>
      </c>
      <c r="C248" t="s">
        <v>44</v>
      </c>
      <c r="J248" t="s">
        <v>54</v>
      </c>
      <c r="K248" t="s">
        <v>55</v>
      </c>
      <c r="L248" t="s">
        <v>375</v>
      </c>
      <c r="M248" t="s">
        <v>376</v>
      </c>
      <c r="AJ248">
        <v>1</v>
      </c>
      <c r="AK248" t="s">
        <v>58</v>
      </c>
    </row>
    <row r="249" spans="1:37" x14ac:dyDescent="0.25">
      <c r="A249" t="s">
        <v>43</v>
      </c>
      <c r="B249">
        <v>248</v>
      </c>
      <c r="C249" t="s">
        <v>44</v>
      </c>
      <c r="J249" t="s">
        <v>45</v>
      </c>
      <c r="K249" t="s">
        <v>46</v>
      </c>
      <c r="L249" t="s">
        <v>377</v>
      </c>
      <c r="M249" t="s">
        <v>48</v>
      </c>
      <c r="AJ249">
        <v>1</v>
      </c>
      <c r="AK249" t="s">
        <v>60</v>
      </c>
    </row>
    <row r="250" spans="1:37" x14ac:dyDescent="0.25">
      <c r="A250" t="s">
        <v>43</v>
      </c>
      <c r="B250">
        <v>249</v>
      </c>
      <c r="C250" t="s">
        <v>44</v>
      </c>
      <c r="J250" t="s">
        <v>45</v>
      </c>
      <c r="K250" t="s">
        <v>46</v>
      </c>
      <c r="L250" t="s">
        <v>378</v>
      </c>
      <c r="M250" t="s">
        <v>48</v>
      </c>
      <c r="AJ250">
        <v>1</v>
      </c>
      <c r="AK250" t="s">
        <v>60</v>
      </c>
    </row>
    <row r="251" spans="1:37" x14ac:dyDescent="0.25">
      <c r="A251" t="s">
        <v>43</v>
      </c>
      <c r="B251">
        <v>250</v>
      </c>
      <c r="C251" t="s">
        <v>44</v>
      </c>
      <c r="J251" t="s">
        <v>45</v>
      </c>
      <c r="K251" t="s">
        <v>46</v>
      </c>
      <c r="L251" t="s">
        <v>379</v>
      </c>
      <c r="M251" t="s">
        <v>48</v>
      </c>
      <c r="AJ251">
        <v>1</v>
      </c>
      <c r="AK251" t="s">
        <v>60</v>
      </c>
    </row>
    <row r="252" spans="1:37" x14ac:dyDescent="0.25">
      <c r="A252" t="s">
        <v>43</v>
      </c>
      <c r="B252">
        <v>251</v>
      </c>
      <c r="C252" t="s">
        <v>44</v>
      </c>
      <c r="J252" t="s">
        <v>45</v>
      </c>
      <c r="K252" t="s">
        <v>46</v>
      </c>
      <c r="L252" t="s">
        <v>380</v>
      </c>
      <c r="M252" t="s">
        <v>48</v>
      </c>
      <c r="AJ252">
        <v>1</v>
      </c>
      <c r="AK252" t="s">
        <v>60</v>
      </c>
    </row>
    <row r="253" spans="1:37" x14ac:dyDescent="0.25">
      <c r="A253" t="s">
        <v>43</v>
      </c>
      <c r="B253">
        <v>252</v>
      </c>
      <c r="C253" t="s">
        <v>44</v>
      </c>
      <c r="J253" t="s">
        <v>45</v>
      </c>
      <c r="K253" t="s">
        <v>46</v>
      </c>
      <c r="L253" t="s">
        <v>381</v>
      </c>
      <c r="M253" t="s">
        <v>48</v>
      </c>
      <c r="AJ253">
        <v>1</v>
      </c>
      <c r="AK253" t="s">
        <v>60</v>
      </c>
    </row>
    <row r="254" spans="1:37" x14ac:dyDescent="0.25">
      <c r="A254" t="s">
        <v>43</v>
      </c>
      <c r="B254">
        <v>253</v>
      </c>
      <c r="C254" t="s">
        <v>44</v>
      </c>
      <c r="J254" t="s">
        <v>45</v>
      </c>
      <c r="K254" t="s">
        <v>46</v>
      </c>
      <c r="L254" t="s">
        <v>382</v>
      </c>
      <c r="M254" t="s">
        <v>48</v>
      </c>
      <c r="AJ254">
        <v>1</v>
      </c>
      <c r="AK254" t="s">
        <v>60</v>
      </c>
    </row>
    <row r="255" spans="1:37" x14ac:dyDescent="0.25">
      <c r="A255" t="s">
        <v>43</v>
      </c>
      <c r="B255">
        <v>254</v>
      </c>
      <c r="C255" t="s">
        <v>44</v>
      </c>
      <c r="J255" t="s">
        <v>54</v>
      </c>
      <c r="K255" t="s">
        <v>55</v>
      </c>
      <c r="L255" t="s">
        <v>383</v>
      </c>
      <c r="M255" t="s">
        <v>384</v>
      </c>
      <c r="AJ255">
        <v>1</v>
      </c>
      <c r="AK255" t="s">
        <v>58</v>
      </c>
    </row>
    <row r="256" spans="1:37" x14ac:dyDescent="0.25">
      <c r="A256" t="s">
        <v>43</v>
      </c>
      <c r="B256">
        <v>255</v>
      </c>
      <c r="C256" t="s">
        <v>44</v>
      </c>
      <c r="J256" t="s">
        <v>54</v>
      </c>
      <c r="K256" t="s">
        <v>55</v>
      </c>
      <c r="L256" t="s">
        <v>385</v>
      </c>
      <c r="M256" t="s">
        <v>386</v>
      </c>
      <c r="AJ256">
        <v>1</v>
      </c>
      <c r="AK256" t="s">
        <v>58</v>
      </c>
    </row>
    <row r="257" spans="1:37" x14ac:dyDescent="0.25">
      <c r="A257" t="s">
        <v>43</v>
      </c>
      <c r="B257">
        <v>256</v>
      </c>
      <c r="C257" t="s">
        <v>44</v>
      </c>
      <c r="J257" t="s">
        <v>45</v>
      </c>
      <c r="K257" t="s">
        <v>46</v>
      </c>
      <c r="L257" t="s">
        <v>387</v>
      </c>
      <c r="M257" t="s">
        <v>48</v>
      </c>
      <c r="AJ257">
        <v>1</v>
      </c>
      <c r="AK257" t="s">
        <v>60</v>
      </c>
    </row>
    <row r="258" spans="1:37" x14ac:dyDescent="0.25">
      <c r="A258" t="s">
        <v>43</v>
      </c>
      <c r="B258">
        <v>257</v>
      </c>
      <c r="C258" t="s">
        <v>44</v>
      </c>
      <c r="J258" t="s">
        <v>45</v>
      </c>
      <c r="K258" t="s">
        <v>46</v>
      </c>
      <c r="L258" t="s">
        <v>388</v>
      </c>
      <c r="M258" t="s">
        <v>48</v>
      </c>
      <c r="AJ258">
        <v>1</v>
      </c>
      <c r="AK258" t="s">
        <v>60</v>
      </c>
    </row>
    <row r="259" spans="1:37" x14ac:dyDescent="0.25">
      <c r="A259" t="s">
        <v>43</v>
      </c>
      <c r="B259">
        <v>258</v>
      </c>
      <c r="C259" t="s">
        <v>44</v>
      </c>
      <c r="J259" t="s">
        <v>45</v>
      </c>
      <c r="K259" t="s">
        <v>46</v>
      </c>
      <c r="L259" t="s">
        <v>389</v>
      </c>
      <c r="M259" t="s">
        <v>48</v>
      </c>
      <c r="AJ259">
        <v>1</v>
      </c>
      <c r="AK259" t="s">
        <v>60</v>
      </c>
    </row>
    <row r="260" spans="1:37" x14ac:dyDescent="0.25">
      <c r="A260" t="s">
        <v>43</v>
      </c>
      <c r="B260">
        <v>259</v>
      </c>
      <c r="C260" t="s">
        <v>44</v>
      </c>
      <c r="J260" t="s">
        <v>45</v>
      </c>
      <c r="K260" t="s">
        <v>46</v>
      </c>
      <c r="L260" t="s">
        <v>390</v>
      </c>
      <c r="M260" t="s">
        <v>48</v>
      </c>
      <c r="AJ260">
        <v>1</v>
      </c>
      <c r="AK260" t="s">
        <v>60</v>
      </c>
    </row>
    <row r="261" spans="1:37" x14ac:dyDescent="0.25">
      <c r="A261" t="s">
        <v>43</v>
      </c>
      <c r="B261">
        <v>260</v>
      </c>
      <c r="C261" t="s">
        <v>44</v>
      </c>
      <c r="J261" t="s">
        <v>45</v>
      </c>
      <c r="K261" t="s">
        <v>46</v>
      </c>
      <c r="L261" t="s">
        <v>391</v>
      </c>
      <c r="M261" t="s">
        <v>48</v>
      </c>
      <c r="AJ261">
        <v>1</v>
      </c>
      <c r="AK261" t="s">
        <v>60</v>
      </c>
    </row>
    <row r="262" spans="1:37" x14ac:dyDescent="0.25">
      <c r="A262" t="s">
        <v>43</v>
      </c>
      <c r="B262">
        <v>261</v>
      </c>
      <c r="C262" t="s">
        <v>44</v>
      </c>
      <c r="J262" t="s">
        <v>45</v>
      </c>
      <c r="K262" t="s">
        <v>46</v>
      </c>
      <c r="L262" t="s">
        <v>392</v>
      </c>
      <c r="M262" t="s">
        <v>48</v>
      </c>
      <c r="AJ262">
        <v>1</v>
      </c>
      <c r="AK262" t="s">
        <v>76</v>
      </c>
    </row>
    <row r="263" spans="1:37" x14ac:dyDescent="0.25">
      <c r="A263" t="s">
        <v>43</v>
      </c>
      <c r="B263">
        <v>262</v>
      </c>
      <c r="C263" t="s">
        <v>44</v>
      </c>
      <c r="J263" t="s">
        <v>45</v>
      </c>
      <c r="K263" t="s">
        <v>46</v>
      </c>
      <c r="L263" t="s">
        <v>393</v>
      </c>
      <c r="M263" t="s">
        <v>48</v>
      </c>
      <c r="AJ263">
        <v>1</v>
      </c>
      <c r="AK263" t="s">
        <v>60</v>
      </c>
    </row>
    <row r="264" spans="1:37" x14ac:dyDescent="0.25">
      <c r="A264" t="s">
        <v>43</v>
      </c>
      <c r="B264">
        <v>263</v>
      </c>
      <c r="C264" t="s">
        <v>44</v>
      </c>
      <c r="J264" t="s">
        <v>45</v>
      </c>
      <c r="K264" t="s">
        <v>46</v>
      </c>
      <c r="L264" t="s">
        <v>394</v>
      </c>
      <c r="M264" t="s">
        <v>48</v>
      </c>
      <c r="AJ264">
        <v>1</v>
      </c>
      <c r="AK264" t="s">
        <v>53</v>
      </c>
    </row>
    <row r="265" spans="1:37" x14ac:dyDescent="0.25">
      <c r="A265" t="s">
        <v>43</v>
      </c>
      <c r="B265">
        <v>264</v>
      </c>
      <c r="C265" t="s">
        <v>44</v>
      </c>
      <c r="J265" t="s">
        <v>45</v>
      </c>
      <c r="K265" t="s">
        <v>46</v>
      </c>
      <c r="L265" t="s">
        <v>395</v>
      </c>
      <c r="M265" t="s">
        <v>48</v>
      </c>
      <c r="AJ265">
        <v>1</v>
      </c>
      <c r="AK265" t="s">
        <v>60</v>
      </c>
    </row>
    <row r="266" spans="1:37" x14ac:dyDescent="0.25">
      <c r="A266" t="s">
        <v>43</v>
      </c>
      <c r="B266">
        <v>265</v>
      </c>
      <c r="C266" t="s">
        <v>44</v>
      </c>
      <c r="J266" t="s">
        <v>45</v>
      </c>
      <c r="K266" t="s">
        <v>46</v>
      </c>
      <c r="L266" t="s">
        <v>396</v>
      </c>
      <c r="M266" t="s">
        <v>48</v>
      </c>
      <c r="AJ266">
        <v>1</v>
      </c>
      <c r="AK266" t="s">
        <v>60</v>
      </c>
    </row>
    <row r="267" spans="1:37" x14ac:dyDescent="0.25">
      <c r="A267" t="s">
        <v>43</v>
      </c>
      <c r="B267">
        <v>266</v>
      </c>
      <c r="C267" t="s">
        <v>44</v>
      </c>
      <c r="J267" t="s">
        <v>45</v>
      </c>
      <c r="K267" t="s">
        <v>46</v>
      </c>
      <c r="L267" t="s">
        <v>397</v>
      </c>
      <c r="M267" t="s">
        <v>48</v>
      </c>
      <c r="AJ267">
        <v>1</v>
      </c>
      <c r="AK267" t="s">
        <v>60</v>
      </c>
    </row>
    <row r="268" spans="1:37" x14ac:dyDescent="0.25">
      <c r="A268" t="s">
        <v>43</v>
      </c>
      <c r="B268">
        <v>267</v>
      </c>
      <c r="C268" t="s">
        <v>44</v>
      </c>
      <c r="J268" t="s">
        <v>45</v>
      </c>
      <c r="K268" t="s">
        <v>114</v>
      </c>
      <c r="L268" t="s">
        <v>115</v>
      </c>
      <c r="M268" t="s">
        <v>398</v>
      </c>
      <c r="AJ268">
        <v>1</v>
      </c>
      <c r="AK268" t="s">
        <v>117</v>
      </c>
    </row>
    <row r="269" spans="1:37" x14ac:dyDescent="0.25">
      <c r="A269" t="s">
        <v>43</v>
      </c>
      <c r="B269">
        <v>268</v>
      </c>
      <c r="C269" t="s">
        <v>44</v>
      </c>
      <c r="J269" t="s">
        <v>45</v>
      </c>
      <c r="K269" t="s">
        <v>46</v>
      </c>
      <c r="L269" t="s">
        <v>399</v>
      </c>
      <c r="M269" t="s">
        <v>48</v>
      </c>
      <c r="AJ269">
        <v>1</v>
      </c>
      <c r="AK269" t="s">
        <v>60</v>
      </c>
    </row>
    <row r="270" spans="1:37" x14ac:dyDescent="0.25">
      <c r="A270" t="s">
        <v>43</v>
      </c>
      <c r="B270">
        <v>269</v>
      </c>
      <c r="C270" t="s">
        <v>44</v>
      </c>
      <c r="J270" t="s">
        <v>45</v>
      </c>
      <c r="K270" t="s">
        <v>46</v>
      </c>
      <c r="L270" t="s">
        <v>400</v>
      </c>
      <c r="M270" t="s">
        <v>48</v>
      </c>
      <c r="AJ270">
        <v>1</v>
      </c>
      <c r="AK270" t="s">
        <v>60</v>
      </c>
    </row>
    <row r="271" spans="1:37" x14ac:dyDescent="0.25">
      <c r="A271" t="s">
        <v>43</v>
      </c>
      <c r="B271">
        <v>270</v>
      </c>
      <c r="C271" t="s">
        <v>44</v>
      </c>
      <c r="J271" t="s">
        <v>45</v>
      </c>
      <c r="K271" t="s">
        <v>46</v>
      </c>
      <c r="L271" t="s">
        <v>401</v>
      </c>
      <c r="M271" t="s">
        <v>48</v>
      </c>
      <c r="AJ271">
        <v>1</v>
      </c>
      <c r="AK271" t="s">
        <v>60</v>
      </c>
    </row>
    <row r="272" spans="1:37" x14ac:dyDescent="0.25">
      <c r="A272" t="s">
        <v>43</v>
      </c>
      <c r="B272">
        <v>271</v>
      </c>
      <c r="C272" t="s">
        <v>44</v>
      </c>
      <c r="J272" t="s">
        <v>45</v>
      </c>
      <c r="K272" t="s">
        <v>46</v>
      </c>
      <c r="L272" t="s">
        <v>402</v>
      </c>
      <c r="M272" t="s">
        <v>48</v>
      </c>
      <c r="AJ272">
        <v>1</v>
      </c>
      <c r="AK272" t="s">
        <v>60</v>
      </c>
    </row>
    <row r="273" spans="1:37" x14ac:dyDescent="0.25">
      <c r="A273" t="s">
        <v>43</v>
      </c>
      <c r="B273">
        <v>272</v>
      </c>
      <c r="C273" t="s">
        <v>44</v>
      </c>
      <c r="J273" t="s">
        <v>45</v>
      </c>
      <c r="K273" t="s">
        <v>46</v>
      </c>
      <c r="L273" t="s">
        <v>403</v>
      </c>
      <c r="M273" t="s">
        <v>48</v>
      </c>
      <c r="AJ273">
        <v>1</v>
      </c>
      <c r="AK273" t="s">
        <v>209</v>
      </c>
    </row>
    <row r="274" spans="1:37" x14ac:dyDescent="0.25">
      <c r="A274" t="s">
        <v>43</v>
      </c>
      <c r="B274">
        <v>273</v>
      </c>
      <c r="C274" t="s">
        <v>44</v>
      </c>
      <c r="J274" t="s">
        <v>45</v>
      </c>
      <c r="K274" t="s">
        <v>46</v>
      </c>
      <c r="L274" t="s">
        <v>404</v>
      </c>
      <c r="M274" t="s">
        <v>48</v>
      </c>
      <c r="AJ274">
        <v>1</v>
      </c>
      <c r="AK274" t="s">
        <v>60</v>
      </c>
    </row>
    <row r="275" spans="1:37" x14ac:dyDescent="0.25">
      <c r="A275" t="s">
        <v>43</v>
      </c>
      <c r="B275">
        <v>274</v>
      </c>
      <c r="C275" t="s">
        <v>44</v>
      </c>
      <c r="J275" t="s">
        <v>54</v>
      </c>
      <c r="K275" t="s">
        <v>55</v>
      </c>
      <c r="L275" t="s">
        <v>405</v>
      </c>
      <c r="M275" t="s">
        <v>406</v>
      </c>
      <c r="AJ275">
        <v>1</v>
      </c>
      <c r="AK275" t="s">
        <v>58</v>
      </c>
    </row>
    <row r="276" spans="1:37" x14ac:dyDescent="0.25">
      <c r="A276" t="s">
        <v>43</v>
      </c>
      <c r="B276">
        <v>275</v>
      </c>
      <c r="C276" t="s">
        <v>44</v>
      </c>
      <c r="J276" t="s">
        <v>54</v>
      </c>
      <c r="K276" t="s">
        <v>55</v>
      </c>
      <c r="L276" t="s">
        <v>407</v>
      </c>
      <c r="M276" t="s">
        <v>408</v>
      </c>
      <c r="AJ276">
        <v>1</v>
      </c>
      <c r="AK276" t="s">
        <v>58</v>
      </c>
    </row>
    <row r="277" spans="1:37" x14ac:dyDescent="0.25">
      <c r="A277" t="s">
        <v>43</v>
      </c>
      <c r="B277">
        <v>276</v>
      </c>
      <c r="C277" t="s">
        <v>44</v>
      </c>
      <c r="J277" t="s">
        <v>54</v>
      </c>
      <c r="K277" t="s">
        <v>55</v>
      </c>
      <c r="L277" t="s">
        <v>409</v>
      </c>
      <c r="M277" t="s">
        <v>410</v>
      </c>
      <c r="AJ277">
        <v>1</v>
      </c>
      <c r="AK277" t="s">
        <v>58</v>
      </c>
    </row>
    <row r="278" spans="1:37" x14ac:dyDescent="0.25">
      <c r="A278" t="s">
        <v>43</v>
      </c>
      <c r="B278">
        <v>277</v>
      </c>
      <c r="C278" t="s">
        <v>44</v>
      </c>
      <c r="J278" t="s">
        <v>54</v>
      </c>
      <c r="K278" t="s">
        <v>55</v>
      </c>
      <c r="L278" t="s">
        <v>411</v>
      </c>
      <c r="M278" t="s">
        <v>412</v>
      </c>
      <c r="AJ278">
        <v>1</v>
      </c>
      <c r="AK278" t="s">
        <v>58</v>
      </c>
    </row>
    <row r="279" spans="1:37" x14ac:dyDescent="0.25">
      <c r="A279" t="s">
        <v>43</v>
      </c>
      <c r="B279">
        <v>278</v>
      </c>
      <c r="C279" t="s">
        <v>44</v>
      </c>
      <c r="J279" t="s">
        <v>45</v>
      </c>
      <c r="K279" t="s">
        <v>46</v>
      </c>
      <c r="L279" t="s">
        <v>413</v>
      </c>
      <c r="M279" t="s">
        <v>48</v>
      </c>
      <c r="AJ279">
        <v>1</v>
      </c>
      <c r="AK279" t="s">
        <v>60</v>
      </c>
    </row>
    <row r="280" spans="1:37" x14ac:dyDescent="0.25">
      <c r="A280" t="s">
        <v>43</v>
      </c>
      <c r="B280">
        <v>279</v>
      </c>
      <c r="C280" t="s">
        <v>44</v>
      </c>
      <c r="J280" t="s">
        <v>45</v>
      </c>
      <c r="K280" t="s">
        <v>46</v>
      </c>
      <c r="L280" t="s">
        <v>414</v>
      </c>
      <c r="M280" t="s">
        <v>48</v>
      </c>
      <c r="AJ280">
        <v>1</v>
      </c>
      <c r="AK280" t="s">
        <v>60</v>
      </c>
    </row>
    <row r="281" spans="1:37" x14ac:dyDescent="0.25">
      <c r="A281" t="s">
        <v>43</v>
      </c>
      <c r="B281">
        <v>280</v>
      </c>
      <c r="C281" t="s">
        <v>44</v>
      </c>
      <c r="J281" t="s">
        <v>45</v>
      </c>
      <c r="K281" t="s">
        <v>46</v>
      </c>
      <c r="L281" t="s">
        <v>415</v>
      </c>
      <c r="M281" t="s">
        <v>48</v>
      </c>
      <c r="AJ281">
        <v>1</v>
      </c>
      <c r="AK281" t="s">
        <v>209</v>
      </c>
    </row>
    <row r="282" spans="1:37" x14ac:dyDescent="0.25">
      <c r="A282" t="s">
        <v>43</v>
      </c>
      <c r="B282">
        <v>281</v>
      </c>
      <c r="C282" t="s">
        <v>44</v>
      </c>
      <c r="J282" t="s">
        <v>45</v>
      </c>
      <c r="K282" t="s">
        <v>46</v>
      </c>
      <c r="L282" t="s">
        <v>416</v>
      </c>
      <c r="M282" t="s">
        <v>48</v>
      </c>
      <c r="AJ282">
        <v>1</v>
      </c>
      <c r="AK282" t="s">
        <v>60</v>
      </c>
    </row>
    <row r="283" spans="1:37" x14ac:dyDescent="0.25">
      <c r="A283" t="s">
        <v>43</v>
      </c>
      <c r="B283">
        <v>282</v>
      </c>
      <c r="C283" t="s">
        <v>44</v>
      </c>
      <c r="J283" t="s">
        <v>45</v>
      </c>
      <c r="K283" t="s">
        <v>46</v>
      </c>
      <c r="L283" t="s">
        <v>417</v>
      </c>
      <c r="M283" t="s">
        <v>48</v>
      </c>
      <c r="AJ283">
        <v>1</v>
      </c>
      <c r="AK283" t="s">
        <v>60</v>
      </c>
    </row>
    <row r="284" spans="1:37" x14ac:dyDescent="0.25">
      <c r="A284" t="s">
        <v>43</v>
      </c>
      <c r="B284">
        <v>283</v>
      </c>
      <c r="C284" t="s">
        <v>44</v>
      </c>
      <c r="J284" t="s">
        <v>54</v>
      </c>
      <c r="K284" t="s">
        <v>55</v>
      </c>
      <c r="L284" t="s">
        <v>418</v>
      </c>
      <c r="M284" t="s">
        <v>419</v>
      </c>
      <c r="AJ284">
        <v>1</v>
      </c>
      <c r="AK284" t="s">
        <v>58</v>
      </c>
    </row>
    <row r="285" spans="1:37" x14ac:dyDescent="0.25">
      <c r="A285" t="s">
        <v>43</v>
      </c>
      <c r="B285">
        <v>284</v>
      </c>
      <c r="C285" t="s">
        <v>44</v>
      </c>
      <c r="J285" t="s">
        <v>54</v>
      </c>
      <c r="K285" t="s">
        <v>55</v>
      </c>
      <c r="L285" t="s">
        <v>420</v>
      </c>
      <c r="M285" t="s">
        <v>421</v>
      </c>
      <c r="AJ285">
        <v>1</v>
      </c>
      <c r="AK285" t="s">
        <v>58</v>
      </c>
    </row>
    <row r="286" spans="1:37" x14ac:dyDescent="0.25">
      <c r="A286" t="s">
        <v>43</v>
      </c>
      <c r="B286">
        <v>285</v>
      </c>
      <c r="C286" t="s">
        <v>44</v>
      </c>
      <c r="J286" t="s">
        <v>54</v>
      </c>
      <c r="K286" t="s">
        <v>55</v>
      </c>
      <c r="L286" t="s">
        <v>422</v>
      </c>
      <c r="M286" t="s">
        <v>423</v>
      </c>
      <c r="AJ286">
        <v>1</v>
      </c>
      <c r="AK286" t="s">
        <v>58</v>
      </c>
    </row>
    <row r="287" spans="1:37" x14ac:dyDescent="0.25">
      <c r="A287" t="s">
        <v>43</v>
      </c>
      <c r="B287">
        <v>286</v>
      </c>
      <c r="C287" t="s">
        <v>44</v>
      </c>
      <c r="J287" t="s">
        <v>45</v>
      </c>
      <c r="K287" t="s">
        <v>46</v>
      </c>
      <c r="L287" t="s">
        <v>424</v>
      </c>
      <c r="M287" t="s">
        <v>48</v>
      </c>
      <c r="AJ287">
        <v>1</v>
      </c>
      <c r="AK287" t="s">
        <v>209</v>
      </c>
    </row>
    <row r="288" spans="1:37" x14ac:dyDescent="0.25">
      <c r="A288" t="s">
        <v>43</v>
      </c>
      <c r="B288">
        <v>287</v>
      </c>
      <c r="C288" t="s">
        <v>44</v>
      </c>
      <c r="J288" t="s">
        <v>45</v>
      </c>
      <c r="K288" t="s">
        <v>46</v>
      </c>
      <c r="L288" t="s">
        <v>425</v>
      </c>
      <c r="M288" t="s">
        <v>48</v>
      </c>
      <c r="AJ288">
        <v>1</v>
      </c>
      <c r="AK288" t="s">
        <v>60</v>
      </c>
    </row>
    <row r="289" spans="1:37" x14ac:dyDescent="0.25">
      <c r="A289" t="s">
        <v>43</v>
      </c>
      <c r="B289">
        <v>288</v>
      </c>
      <c r="C289" t="s">
        <v>44</v>
      </c>
      <c r="J289" t="s">
        <v>54</v>
      </c>
      <c r="K289" t="s">
        <v>55</v>
      </c>
      <c r="L289" t="s">
        <v>426</v>
      </c>
      <c r="M289" t="s">
        <v>427</v>
      </c>
      <c r="AJ289">
        <v>1</v>
      </c>
      <c r="AK289" t="s">
        <v>58</v>
      </c>
    </row>
    <row r="290" spans="1:37" x14ac:dyDescent="0.25">
      <c r="A290" t="s">
        <v>43</v>
      </c>
      <c r="B290">
        <v>289</v>
      </c>
      <c r="C290" t="s">
        <v>44</v>
      </c>
      <c r="J290" t="s">
        <v>45</v>
      </c>
      <c r="K290" t="s">
        <v>46</v>
      </c>
      <c r="L290" t="s">
        <v>428</v>
      </c>
      <c r="M290" t="s">
        <v>48</v>
      </c>
      <c r="AJ290">
        <v>1</v>
      </c>
      <c r="AK290" t="s">
        <v>60</v>
      </c>
    </row>
    <row r="291" spans="1:37" x14ac:dyDescent="0.25">
      <c r="A291" t="s">
        <v>43</v>
      </c>
      <c r="B291">
        <v>290</v>
      </c>
      <c r="C291" t="s">
        <v>44</v>
      </c>
      <c r="J291" t="s">
        <v>45</v>
      </c>
      <c r="K291" t="s">
        <v>46</v>
      </c>
      <c r="L291" t="s">
        <v>429</v>
      </c>
      <c r="M291" t="s">
        <v>48</v>
      </c>
      <c r="AJ291">
        <v>1</v>
      </c>
      <c r="AK291" t="s">
        <v>76</v>
      </c>
    </row>
    <row r="292" spans="1:37" x14ac:dyDescent="0.25">
      <c r="A292" t="s">
        <v>43</v>
      </c>
      <c r="B292">
        <v>291</v>
      </c>
      <c r="C292" t="s">
        <v>44</v>
      </c>
      <c r="J292" t="s">
        <v>54</v>
      </c>
      <c r="K292" t="s">
        <v>55</v>
      </c>
      <c r="L292" t="s">
        <v>369</v>
      </c>
      <c r="M292" t="s">
        <v>430</v>
      </c>
      <c r="AJ292">
        <v>1</v>
      </c>
      <c r="AK292" t="s">
        <v>209</v>
      </c>
    </row>
    <row r="293" spans="1:37" x14ac:dyDescent="0.25">
      <c r="A293" t="s">
        <v>43</v>
      </c>
      <c r="B293">
        <v>292</v>
      </c>
      <c r="C293" t="s">
        <v>44</v>
      </c>
      <c r="J293" t="s">
        <v>54</v>
      </c>
      <c r="K293" t="s">
        <v>55</v>
      </c>
      <c r="L293" t="s">
        <v>431</v>
      </c>
      <c r="M293" t="s">
        <v>155</v>
      </c>
      <c r="AJ293">
        <v>1</v>
      </c>
      <c r="AK293" t="s">
        <v>58</v>
      </c>
    </row>
    <row r="294" spans="1:37" x14ac:dyDescent="0.25">
      <c r="A294" t="s">
        <v>43</v>
      </c>
      <c r="B294">
        <v>293</v>
      </c>
      <c r="C294" t="s">
        <v>44</v>
      </c>
      <c r="J294" t="s">
        <v>45</v>
      </c>
      <c r="K294" t="s">
        <v>46</v>
      </c>
      <c r="L294" t="s">
        <v>432</v>
      </c>
      <c r="M294" t="s">
        <v>48</v>
      </c>
      <c r="AJ294">
        <v>1</v>
      </c>
      <c r="AK294" t="s">
        <v>60</v>
      </c>
    </row>
    <row r="295" spans="1:37" x14ac:dyDescent="0.25">
      <c r="A295" t="s">
        <v>43</v>
      </c>
      <c r="B295">
        <v>294</v>
      </c>
      <c r="C295" t="s">
        <v>44</v>
      </c>
      <c r="J295" t="s">
        <v>45</v>
      </c>
      <c r="K295" t="s">
        <v>46</v>
      </c>
      <c r="L295" t="s">
        <v>433</v>
      </c>
      <c r="M295" t="s">
        <v>48</v>
      </c>
      <c r="AJ295">
        <v>1</v>
      </c>
      <c r="AK295" t="s">
        <v>60</v>
      </c>
    </row>
    <row r="296" spans="1:37" x14ac:dyDescent="0.25">
      <c r="A296" t="s">
        <v>43</v>
      </c>
      <c r="B296">
        <v>295</v>
      </c>
      <c r="C296" t="s">
        <v>44</v>
      </c>
      <c r="J296" t="s">
        <v>45</v>
      </c>
      <c r="K296" t="s">
        <v>46</v>
      </c>
      <c r="L296" t="s">
        <v>434</v>
      </c>
      <c r="M296" t="s">
        <v>48</v>
      </c>
      <c r="AJ296">
        <v>1</v>
      </c>
      <c r="AK296" t="s">
        <v>60</v>
      </c>
    </row>
    <row r="297" spans="1:37" x14ac:dyDescent="0.25">
      <c r="A297" t="s">
        <v>43</v>
      </c>
      <c r="B297">
        <v>296</v>
      </c>
      <c r="C297" t="s">
        <v>44</v>
      </c>
      <c r="J297" t="s">
        <v>45</v>
      </c>
      <c r="K297" t="s">
        <v>46</v>
      </c>
      <c r="L297" t="s">
        <v>435</v>
      </c>
      <c r="M297" t="s">
        <v>48</v>
      </c>
      <c r="AJ297">
        <v>1</v>
      </c>
      <c r="AK297" t="s">
        <v>53</v>
      </c>
    </row>
    <row r="298" spans="1:37" x14ac:dyDescent="0.25">
      <c r="A298" t="s">
        <v>43</v>
      </c>
      <c r="B298">
        <v>297</v>
      </c>
      <c r="C298" t="s">
        <v>44</v>
      </c>
      <c r="J298" t="s">
        <v>45</v>
      </c>
      <c r="K298" t="s">
        <v>46</v>
      </c>
      <c r="L298" t="s">
        <v>436</v>
      </c>
      <c r="M298" t="s">
        <v>48</v>
      </c>
      <c r="AJ298">
        <v>1</v>
      </c>
      <c r="AK298" t="s">
        <v>60</v>
      </c>
    </row>
    <row r="299" spans="1:37" x14ac:dyDescent="0.25">
      <c r="A299" t="s">
        <v>43</v>
      </c>
      <c r="B299">
        <v>298</v>
      </c>
      <c r="C299" t="s">
        <v>44</v>
      </c>
      <c r="J299" t="s">
        <v>54</v>
      </c>
      <c r="K299" t="s">
        <v>55</v>
      </c>
      <c r="L299" t="s">
        <v>437</v>
      </c>
      <c r="M299" t="s">
        <v>438</v>
      </c>
      <c r="AJ299">
        <v>1</v>
      </c>
      <c r="AK299" t="s">
        <v>58</v>
      </c>
    </row>
    <row r="300" spans="1:37" x14ac:dyDescent="0.25">
      <c r="A300" t="s">
        <v>43</v>
      </c>
      <c r="B300">
        <v>299</v>
      </c>
      <c r="C300" t="s">
        <v>44</v>
      </c>
      <c r="J300" t="s">
        <v>54</v>
      </c>
      <c r="K300" t="s">
        <v>55</v>
      </c>
      <c r="L300" t="s">
        <v>439</v>
      </c>
      <c r="M300" t="s">
        <v>440</v>
      </c>
      <c r="AJ300">
        <v>1</v>
      </c>
      <c r="AK300" t="s">
        <v>58</v>
      </c>
    </row>
    <row r="301" spans="1:37" x14ac:dyDescent="0.25">
      <c r="A301" t="s">
        <v>43</v>
      </c>
      <c r="B301">
        <v>300</v>
      </c>
      <c r="C301" t="s">
        <v>44</v>
      </c>
      <c r="J301" t="s">
        <v>54</v>
      </c>
      <c r="K301" t="s">
        <v>55</v>
      </c>
      <c r="L301" t="s">
        <v>441</v>
      </c>
      <c r="M301" t="s">
        <v>442</v>
      </c>
      <c r="AJ301">
        <v>1</v>
      </c>
      <c r="AK301" t="s">
        <v>58</v>
      </c>
    </row>
    <row r="302" spans="1:37" x14ac:dyDescent="0.25">
      <c r="A302" t="s">
        <v>43</v>
      </c>
      <c r="B302">
        <v>301</v>
      </c>
      <c r="C302" t="s">
        <v>44</v>
      </c>
      <c r="J302" t="s">
        <v>54</v>
      </c>
      <c r="K302" t="s">
        <v>55</v>
      </c>
      <c r="L302" t="s">
        <v>443</v>
      </c>
      <c r="M302" t="s">
        <v>444</v>
      </c>
      <c r="AJ302">
        <v>1</v>
      </c>
      <c r="AK302" t="s">
        <v>58</v>
      </c>
    </row>
    <row r="303" spans="1:37" x14ac:dyDescent="0.25">
      <c r="A303" t="s">
        <v>43</v>
      </c>
      <c r="B303">
        <v>302</v>
      </c>
      <c r="C303" t="s">
        <v>44</v>
      </c>
      <c r="J303" t="s">
        <v>45</v>
      </c>
      <c r="K303" t="s">
        <v>46</v>
      </c>
      <c r="L303" t="s">
        <v>445</v>
      </c>
      <c r="M303" t="s">
        <v>48</v>
      </c>
      <c r="AJ303">
        <v>1</v>
      </c>
      <c r="AK303" t="s">
        <v>51</v>
      </c>
    </row>
    <row r="304" spans="1:37" x14ac:dyDescent="0.25">
      <c r="A304" t="s">
        <v>43</v>
      </c>
      <c r="B304">
        <v>303</v>
      </c>
      <c r="C304" t="s">
        <v>44</v>
      </c>
      <c r="J304" t="s">
        <v>45</v>
      </c>
      <c r="K304" t="s">
        <v>46</v>
      </c>
      <c r="L304" t="s">
        <v>446</v>
      </c>
      <c r="M304" t="s">
        <v>48</v>
      </c>
      <c r="AJ304">
        <v>1</v>
      </c>
      <c r="AK304" t="s">
        <v>60</v>
      </c>
    </row>
    <row r="305" spans="1:37" x14ac:dyDescent="0.25">
      <c r="A305" t="s">
        <v>43</v>
      </c>
      <c r="B305">
        <v>304</v>
      </c>
      <c r="C305" t="s">
        <v>44</v>
      </c>
      <c r="J305" t="s">
        <v>45</v>
      </c>
      <c r="K305" t="s">
        <v>46</v>
      </c>
      <c r="L305" t="s">
        <v>447</v>
      </c>
      <c r="M305" t="s">
        <v>48</v>
      </c>
      <c r="AJ305">
        <v>1</v>
      </c>
      <c r="AK305" t="s">
        <v>60</v>
      </c>
    </row>
    <row r="306" spans="1:37" x14ac:dyDescent="0.25">
      <c r="A306" t="s">
        <v>43</v>
      </c>
      <c r="B306">
        <v>305</v>
      </c>
      <c r="C306" t="s">
        <v>44</v>
      </c>
      <c r="J306" t="s">
        <v>45</v>
      </c>
      <c r="K306" t="s">
        <v>46</v>
      </c>
      <c r="L306" t="s">
        <v>448</v>
      </c>
      <c r="M306" t="s">
        <v>48</v>
      </c>
      <c r="AJ306">
        <v>1</v>
      </c>
      <c r="AK306" t="s">
        <v>60</v>
      </c>
    </row>
    <row r="307" spans="1:37" x14ac:dyDescent="0.25">
      <c r="A307" t="s">
        <v>43</v>
      </c>
      <c r="B307">
        <v>306</v>
      </c>
      <c r="C307" t="s">
        <v>44</v>
      </c>
      <c r="J307" t="s">
        <v>45</v>
      </c>
      <c r="K307" t="s">
        <v>46</v>
      </c>
      <c r="L307" t="s">
        <v>449</v>
      </c>
      <c r="M307" t="s">
        <v>48</v>
      </c>
      <c r="AJ307">
        <v>1</v>
      </c>
      <c r="AK307" t="s">
        <v>60</v>
      </c>
    </row>
    <row r="308" spans="1:37" x14ac:dyDescent="0.25">
      <c r="A308" t="s">
        <v>43</v>
      </c>
      <c r="B308">
        <v>307</v>
      </c>
      <c r="C308" t="s">
        <v>44</v>
      </c>
      <c r="J308" t="s">
        <v>45</v>
      </c>
      <c r="K308" t="s">
        <v>46</v>
      </c>
      <c r="L308" t="s">
        <v>450</v>
      </c>
      <c r="M308" t="s">
        <v>48</v>
      </c>
      <c r="AJ308">
        <v>1</v>
      </c>
      <c r="AK308" t="s">
        <v>60</v>
      </c>
    </row>
    <row r="309" spans="1:37" x14ac:dyDescent="0.25">
      <c r="A309" t="s">
        <v>43</v>
      </c>
      <c r="B309">
        <v>308</v>
      </c>
      <c r="C309" t="s">
        <v>44</v>
      </c>
      <c r="J309" t="s">
        <v>54</v>
      </c>
      <c r="K309" t="s">
        <v>55</v>
      </c>
      <c r="L309" t="s">
        <v>451</v>
      </c>
      <c r="M309" t="s">
        <v>452</v>
      </c>
      <c r="AJ309">
        <v>1</v>
      </c>
      <c r="AK309" t="s">
        <v>58</v>
      </c>
    </row>
    <row r="310" spans="1:37" x14ac:dyDescent="0.25">
      <c r="A310" t="s">
        <v>43</v>
      </c>
      <c r="B310">
        <v>309</v>
      </c>
      <c r="C310" t="s">
        <v>44</v>
      </c>
      <c r="J310" t="s">
        <v>54</v>
      </c>
      <c r="K310" t="s">
        <v>55</v>
      </c>
      <c r="L310" t="s">
        <v>453</v>
      </c>
      <c r="M310" t="s">
        <v>454</v>
      </c>
      <c r="AJ310">
        <v>1</v>
      </c>
      <c r="AK310" t="s">
        <v>58</v>
      </c>
    </row>
    <row r="311" spans="1:37" x14ac:dyDescent="0.25">
      <c r="A311" t="s">
        <v>43</v>
      </c>
      <c r="B311">
        <v>310</v>
      </c>
      <c r="C311" t="s">
        <v>44</v>
      </c>
      <c r="J311" t="s">
        <v>45</v>
      </c>
      <c r="K311" t="s">
        <v>46</v>
      </c>
      <c r="L311" t="s">
        <v>455</v>
      </c>
      <c r="M311" t="s">
        <v>48</v>
      </c>
      <c r="AJ311">
        <v>1</v>
      </c>
      <c r="AK311" t="s">
        <v>60</v>
      </c>
    </row>
    <row r="312" spans="1:37" x14ac:dyDescent="0.25">
      <c r="A312" t="s">
        <v>43</v>
      </c>
      <c r="B312">
        <v>311</v>
      </c>
      <c r="C312" t="s">
        <v>44</v>
      </c>
      <c r="J312" t="s">
        <v>45</v>
      </c>
      <c r="K312" t="s">
        <v>46</v>
      </c>
      <c r="L312" t="s">
        <v>456</v>
      </c>
      <c r="M312" t="s">
        <v>48</v>
      </c>
      <c r="AJ312">
        <v>1</v>
      </c>
      <c r="AK312" t="s">
        <v>60</v>
      </c>
    </row>
    <row r="313" spans="1:37" x14ac:dyDescent="0.25">
      <c r="A313" t="s">
        <v>43</v>
      </c>
      <c r="B313">
        <v>312</v>
      </c>
      <c r="C313" t="s">
        <v>44</v>
      </c>
      <c r="J313" t="s">
        <v>54</v>
      </c>
      <c r="K313" t="s">
        <v>55</v>
      </c>
      <c r="L313" t="s">
        <v>313</v>
      </c>
      <c r="M313" t="s">
        <v>457</v>
      </c>
      <c r="AJ313">
        <v>1</v>
      </c>
      <c r="AK313" t="s">
        <v>209</v>
      </c>
    </row>
    <row r="314" spans="1:37" x14ac:dyDescent="0.25">
      <c r="A314" t="s">
        <v>43</v>
      </c>
      <c r="B314">
        <v>313</v>
      </c>
      <c r="C314" t="s">
        <v>44</v>
      </c>
      <c r="J314" t="s">
        <v>45</v>
      </c>
      <c r="K314" t="s">
        <v>46</v>
      </c>
      <c r="L314" t="s">
        <v>458</v>
      </c>
      <c r="M314" t="s">
        <v>48</v>
      </c>
      <c r="AJ314">
        <v>1</v>
      </c>
      <c r="AK314" t="s">
        <v>60</v>
      </c>
    </row>
    <row r="315" spans="1:37" x14ac:dyDescent="0.25">
      <c r="A315" t="s">
        <v>43</v>
      </c>
      <c r="B315">
        <v>314</v>
      </c>
      <c r="C315" t="s">
        <v>44</v>
      </c>
      <c r="J315" t="s">
        <v>45</v>
      </c>
      <c r="K315" t="s">
        <v>46</v>
      </c>
      <c r="L315" t="s">
        <v>459</v>
      </c>
      <c r="M315" t="s">
        <v>48</v>
      </c>
      <c r="AJ315">
        <v>1</v>
      </c>
      <c r="AK315" t="s">
        <v>60</v>
      </c>
    </row>
    <row r="316" spans="1:37" x14ac:dyDescent="0.25">
      <c r="A316" t="s">
        <v>43</v>
      </c>
      <c r="B316">
        <v>315</v>
      </c>
      <c r="C316" t="s">
        <v>44</v>
      </c>
      <c r="J316" t="s">
        <v>45</v>
      </c>
      <c r="K316" t="s">
        <v>46</v>
      </c>
      <c r="L316" t="s">
        <v>460</v>
      </c>
      <c r="M316" t="s">
        <v>48</v>
      </c>
      <c r="AJ316">
        <v>1</v>
      </c>
      <c r="AK316" t="s">
        <v>60</v>
      </c>
    </row>
    <row r="317" spans="1:37" x14ac:dyDescent="0.25">
      <c r="A317" t="s">
        <v>43</v>
      </c>
      <c r="B317">
        <v>316</v>
      </c>
      <c r="C317" t="s">
        <v>44</v>
      </c>
      <c r="J317" t="s">
        <v>45</v>
      </c>
      <c r="K317" t="s">
        <v>46</v>
      </c>
      <c r="L317" t="s">
        <v>461</v>
      </c>
      <c r="M317" t="s">
        <v>48</v>
      </c>
      <c r="AJ317">
        <v>1</v>
      </c>
      <c r="AK317" t="s">
        <v>60</v>
      </c>
    </row>
    <row r="318" spans="1:37" x14ac:dyDescent="0.25">
      <c r="A318" t="s">
        <v>43</v>
      </c>
      <c r="B318">
        <v>317</v>
      </c>
      <c r="C318" t="s">
        <v>44</v>
      </c>
      <c r="J318" t="s">
        <v>45</v>
      </c>
      <c r="K318" t="s">
        <v>46</v>
      </c>
      <c r="L318" t="s">
        <v>462</v>
      </c>
      <c r="M318" t="s">
        <v>48</v>
      </c>
      <c r="AJ318">
        <v>1</v>
      </c>
      <c r="AK318" t="s">
        <v>60</v>
      </c>
    </row>
    <row r="319" spans="1:37" x14ac:dyDescent="0.25">
      <c r="A319" t="s">
        <v>43</v>
      </c>
      <c r="B319">
        <v>318</v>
      </c>
      <c r="C319" t="s">
        <v>44</v>
      </c>
      <c r="J319" t="s">
        <v>45</v>
      </c>
      <c r="K319" t="s">
        <v>46</v>
      </c>
      <c r="L319" t="s">
        <v>463</v>
      </c>
      <c r="M319" t="s">
        <v>48</v>
      </c>
      <c r="AJ319">
        <v>1</v>
      </c>
      <c r="AK319" t="s">
        <v>60</v>
      </c>
    </row>
    <row r="320" spans="1:37" x14ac:dyDescent="0.25">
      <c r="A320" t="s">
        <v>43</v>
      </c>
      <c r="B320">
        <v>319</v>
      </c>
      <c r="C320" t="s">
        <v>44</v>
      </c>
      <c r="J320" t="s">
        <v>45</v>
      </c>
      <c r="K320" t="s">
        <v>46</v>
      </c>
      <c r="L320" t="s">
        <v>464</v>
      </c>
      <c r="M320" t="s">
        <v>48</v>
      </c>
      <c r="AJ320">
        <v>1</v>
      </c>
      <c r="AK320" t="s">
        <v>60</v>
      </c>
    </row>
    <row r="321" spans="1:37" x14ac:dyDescent="0.25">
      <c r="A321" t="s">
        <v>43</v>
      </c>
      <c r="B321">
        <v>320</v>
      </c>
      <c r="C321" t="s">
        <v>44</v>
      </c>
      <c r="J321" t="s">
        <v>54</v>
      </c>
      <c r="K321" t="s">
        <v>55</v>
      </c>
      <c r="L321" t="s">
        <v>465</v>
      </c>
      <c r="M321" t="s">
        <v>466</v>
      </c>
      <c r="AJ321">
        <v>1</v>
      </c>
      <c r="AK321" t="s">
        <v>58</v>
      </c>
    </row>
    <row r="322" spans="1:37" x14ac:dyDescent="0.25">
      <c r="A322" t="s">
        <v>43</v>
      </c>
      <c r="B322">
        <v>321</v>
      </c>
      <c r="C322" t="s">
        <v>44</v>
      </c>
      <c r="J322" t="s">
        <v>54</v>
      </c>
      <c r="K322" t="s">
        <v>55</v>
      </c>
      <c r="L322" t="s">
        <v>467</v>
      </c>
      <c r="M322" t="s">
        <v>468</v>
      </c>
      <c r="AJ322">
        <v>1</v>
      </c>
      <c r="AK322" t="s">
        <v>58</v>
      </c>
    </row>
    <row r="323" spans="1:37" x14ac:dyDescent="0.25">
      <c r="A323" t="s">
        <v>43</v>
      </c>
      <c r="B323">
        <v>322</v>
      </c>
      <c r="C323" t="s">
        <v>44</v>
      </c>
      <c r="J323" t="s">
        <v>45</v>
      </c>
      <c r="K323" t="s">
        <v>46</v>
      </c>
      <c r="L323" t="s">
        <v>469</v>
      </c>
      <c r="M323" t="s">
        <v>48</v>
      </c>
      <c r="AJ323">
        <v>1</v>
      </c>
      <c r="AK323" t="s">
        <v>60</v>
      </c>
    </row>
    <row r="324" spans="1:37" x14ac:dyDescent="0.25">
      <c r="A324" t="s">
        <v>43</v>
      </c>
      <c r="B324">
        <v>323</v>
      </c>
      <c r="C324" t="s">
        <v>44</v>
      </c>
      <c r="J324" t="s">
        <v>45</v>
      </c>
      <c r="K324" t="s">
        <v>46</v>
      </c>
      <c r="L324" t="s">
        <v>470</v>
      </c>
      <c r="M324" t="s">
        <v>48</v>
      </c>
      <c r="AJ324">
        <v>1</v>
      </c>
      <c r="AK324" t="s">
        <v>60</v>
      </c>
    </row>
    <row r="325" spans="1:37" x14ac:dyDescent="0.25">
      <c r="A325" t="s">
        <v>43</v>
      </c>
      <c r="B325">
        <v>324</v>
      </c>
      <c r="C325" t="s">
        <v>44</v>
      </c>
      <c r="J325" t="s">
        <v>45</v>
      </c>
      <c r="K325" t="s">
        <v>46</v>
      </c>
      <c r="L325" t="s">
        <v>471</v>
      </c>
      <c r="M325" t="s">
        <v>48</v>
      </c>
      <c r="AJ325">
        <v>1</v>
      </c>
      <c r="AK325" t="s">
        <v>60</v>
      </c>
    </row>
    <row r="326" spans="1:37" x14ac:dyDescent="0.25">
      <c r="A326" t="s">
        <v>43</v>
      </c>
      <c r="B326">
        <v>325</v>
      </c>
      <c r="C326" t="s">
        <v>44</v>
      </c>
      <c r="J326" t="s">
        <v>45</v>
      </c>
      <c r="K326" t="s">
        <v>114</v>
      </c>
      <c r="L326" t="s">
        <v>115</v>
      </c>
      <c r="M326" t="s">
        <v>472</v>
      </c>
      <c r="AJ326">
        <v>1</v>
      </c>
      <c r="AK326" t="s">
        <v>117</v>
      </c>
    </row>
    <row r="327" spans="1:37" x14ac:dyDescent="0.25">
      <c r="A327" t="s">
        <v>43</v>
      </c>
      <c r="B327">
        <v>326</v>
      </c>
      <c r="C327" t="s">
        <v>44</v>
      </c>
      <c r="J327" t="s">
        <v>45</v>
      </c>
      <c r="K327" t="s">
        <v>46</v>
      </c>
      <c r="L327" t="s">
        <v>473</v>
      </c>
      <c r="M327" t="s">
        <v>48</v>
      </c>
      <c r="AJ327">
        <v>1</v>
      </c>
      <c r="AK327" t="s">
        <v>60</v>
      </c>
    </row>
    <row r="328" spans="1:37" x14ac:dyDescent="0.25">
      <c r="A328" t="s">
        <v>43</v>
      </c>
      <c r="B328">
        <v>327</v>
      </c>
      <c r="C328" t="s">
        <v>44</v>
      </c>
      <c r="J328" t="s">
        <v>45</v>
      </c>
      <c r="K328" t="s">
        <v>46</v>
      </c>
      <c r="L328" t="s">
        <v>474</v>
      </c>
      <c r="M328" t="s">
        <v>48</v>
      </c>
      <c r="AJ328">
        <v>1</v>
      </c>
      <c r="AK328" t="s">
        <v>60</v>
      </c>
    </row>
    <row r="329" spans="1:37" x14ac:dyDescent="0.25">
      <c r="A329" t="s">
        <v>43</v>
      </c>
      <c r="B329">
        <v>328</v>
      </c>
      <c r="C329" t="s">
        <v>44</v>
      </c>
      <c r="J329" t="s">
        <v>54</v>
      </c>
      <c r="K329" t="s">
        <v>55</v>
      </c>
      <c r="L329" t="s">
        <v>475</v>
      </c>
      <c r="M329" t="s">
        <v>476</v>
      </c>
      <c r="AJ329">
        <v>1</v>
      </c>
      <c r="AK329" t="s">
        <v>58</v>
      </c>
    </row>
    <row r="330" spans="1:37" x14ac:dyDescent="0.25">
      <c r="A330" t="s">
        <v>43</v>
      </c>
      <c r="B330">
        <v>329</v>
      </c>
      <c r="C330" t="s">
        <v>44</v>
      </c>
      <c r="J330" t="s">
        <v>54</v>
      </c>
      <c r="K330" t="s">
        <v>55</v>
      </c>
      <c r="L330" t="s">
        <v>477</v>
      </c>
      <c r="M330" t="s">
        <v>122</v>
      </c>
      <c r="AJ330">
        <v>1</v>
      </c>
      <c r="AK330" t="s">
        <v>58</v>
      </c>
    </row>
    <row r="331" spans="1:37" x14ac:dyDescent="0.25">
      <c r="A331" t="s">
        <v>43</v>
      </c>
      <c r="B331">
        <v>330</v>
      </c>
      <c r="C331" t="s">
        <v>44</v>
      </c>
      <c r="J331" t="s">
        <v>45</v>
      </c>
      <c r="K331" t="s">
        <v>46</v>
      </c>
      <c r="L331" t="s">
        <v>478</v>
      </c>
      <c r="M331" t="s">
        <v>48</v>
      </c>
      <c r="AJ331">
        <v>1</v>
      </c>
      <c r="AK331" t="s">
        <v>60</v>
      </c>
    </row>
    <row r="332" spans="1:37" x14ac:dyDescent="0.25">
      <c r="A332" t="s">
        <v>43</v>
      </c>
      <c r="B332">
        <v>331</v>
      </c>
      <c r="C332" t="s">
        <v>44</v>
      </c>
      <c r="J332" t="s">
        <v>54</v>
      </c>
      <c r="K332" t="s">
        <v>55</v>
      </c>
      <c r="L332" t="s">
        <v>479</v>
      </c>
      <c r="M332" t="s">
        <v>480</v>
      </c>
      <c r="AJ332">
        <v>1</v>
      </c>
      <c r="AK332" t="s">
        <v>58</v>
      </c>
    </row>
    <row r="333" spans="1:37" x14ac:dyDescent="0.25">
      <c r="A333" t="s">
        <v>43</v>
      </c>
      <c r="B333">
        <v>332</v>
      </c>
      <c r="C333" t="s">
        <v>44</v>
      </c>
      <c r="J333" t="s">
        <v>54</v>
      </c>
      <c r="K333" t="s">
        <v>55</v>
      </c>
      <c r="L333" t="s">
        <v>481</v>
      </c>
      <c r="M333" t="s">
        <v>482</v>
      </c>
      <c r="AJ333">
        <v>1</v>
      </c>
      <c r="AK333" t="s">
        <v>58</v>
      </c>
    </row>
    <row r="334" spans="1:37" x14ac:dyDescent="0.25">
      <c r="A334" t="s">
        <v>43</v>
      </c>
      <c r="B334">
        <v>333</v>
      </c>
      <c r="C334" t="s">
        <v>44</v>
      </c>
      <c r="J334" t="s">
        <v>54</v>
      </c>
      <c r="K334" t="s">
        <v>55</v>
      </c>
      <c r="L334" t="s">
        <v>483</v>
      </c>
      <c r="M334" t="s">
        <v>484</v>
      </c>
      <c r="AJ334">
        <v>1</v>
      </c>
      <c r="AK334" t="s">
        <v>58</v>
      </c>
    </row>
    <row r="335" spans="1:37" x14ac:dyDescent="0.25">
      <c r="A335" t="s">
        <v>43</v>
      </c>
      <c r="B335">
        <v>334</v>
      </c>
      <c r="C335" t="s">
        <v>44</v>
      </c>
      <c r="J335" t="s">
        <v>45</v>
      </c>
      <c r="K335" t="s">
        <v>46</v>
      </c>
      <c r="L335" t="s">
        <v>485</v>
      </c>
      <c r="M335" t="s">
        <v>48</v>
      </c>
      <c r="AJ335">
        <v>1</v>
      </c>
      <c r="AK335" t="s">
        <v>60</v>
      </c>
    </row>
    <row r="336" spans="1:37" x14ac:dyDescent="0.25">
      <c r="A336" t="s">
        <v>43</v>
      </c>
      <c r="B336">
        <v>335</v>
      </c>
      <c r="C336" t="s">
        <v>44</v>
      </c>
      <c r="J336" t="s">
        <v>45</v>
      </c>
      <c r="K336" t="s">
        <v>46</v>
      </c>
      <c r="L336" t="s">
        <v>486</v>
      </c>
      <c r="M336" t="s">
        <v>48</v>
      </c>
      <c r="AJ336">
        <v>1</v>
      </c>
      <c r="AK336" t="s">
        <v>60</v>
      </c>
    </row>
    <row r="337" spans="1:37" x14ac:dyDescent="0.25">
      <c r="A337" t="s">
        <v>43</v>
      </c>
      <c r="B337">
        <v>336</v>
      </c>
      <c r="C337" t="s">
        <v>44</v>
      </c>
      <c r="J337" t="s">
        <v>45</v>
      </c>
      <c r="K337" t="s">
        <v>46</v>
      </c>
      <c r="L337" t="s">
        <v>487</v>
      </c>
      <c r="M337" t="s">
        <v>48</v>
      </c>
      <c r="AJ337">
        <v>1</v>
      </c>
      <c r="AK337" t="s">
        <v>60</v>
      </c>
    </row>
    <row r="338" spans="1:37" x14ac:dyDescent="0.25">
      <c r="A338" t="s">
        <v>43</v>
      </c>
      <c r="B338">
        <v>337</v>
      </c>
      <c r="C338" t="s">
        <v>44</v>
      </c>
      <c r="J338" t="s">
        <v>45</v>
      </c>
      <c r="K338" t="s">
        <v>46</v>
      </c>
      <c r="L338" t="s">
        <v>488</v>
      </c>
      <c r="M338" t="s">
        <v>48</v>
      </c>
      <c r="AJ338">
        <v>1</v>
      </c>
      <c r="AK338" t="s">
        <v>60</v>
      </c>
    </row>
    <row r="339" spans="1:37" x14ac:dyDescent="0.25">
      <c r="A339" t="s">
        <v>43</v>
      </c>
      <c r="B339">
        <v>338</v>
      </c>
      <c r="C339" t="s">
        <v>44</v>
      </c>
      <c r="J339" t="s">
        <v>54</v>
      </c>
      <c r="K339" t="s">
        <v>55</v>
      </c>
      <c r="L339" t="s">
        <v>489</v>
      </c>
      <c r="M339" t="s">
        <v>490</v>
      </c>
      <c r="AJ339">
        <v>1</v>
      </c>
      <c r="AK339" t="s">
        <v>58</v>
      </c>
    </row>
    <row r="340" spans="1:37" x14ac:dyDescent="0.25">
      <c r="A340" t="s">
        <v>43</v>
      </c>
      <c r="B340">
        <v>339</v>
      </c>
      <c r="C340" t="s">
        <v>44</v>
      </c>
      <c r="J340" t="s">
        <v>54</v>
      </c>
      <c r="K340" t="s">
        <v>55</v>
      </c>
      <c r="L340" t="s">
        <v>491</v>
      </c>
      <c r="M340" t="s">
        <v>492</v>
      </c>
      <c r="AJ340">
        <v>1</v>
      </c>
      <c r="AK340" t="s">
        <v>58</v>
      </c>
    </row>
    <row r="341" spans="1:37" x14ac:dyDescent="0.25">
      <c r="A341" t="s">
        <v>43</v>
      </c>
      <c r="B341">
        <v>340</v>
      </c>
      <c r="C341" t="s">
        <v>44</v>
      </c>
      <c r="J341" t="s">
        <v>45</v>
      </c>
      <c r="K341" t="s">
        <v>46</v>
      </c>
      <c r="L341" t="s">
        <v>493</v>
      </c>
      <c r="M341" t="s">
        <v>48</v>
      </c>
      <c r="AJ341">
        <v>1</v>
      </c>
      <c r="AK341" t="s">
        <v>60</v>
      </c>
    </row>
    <row r="342" spans="1:37" x14ac:dyDescent="0.25">
      <c r="A342" t="s">
        <v>43</v>
      </c>
      <c r="B342">
        <v>341</v>
      </c>
      <c r="C342" t="s">
        <v>44</v>
      </c>
      <c r="J342" t="s">
        <v>54</v>
      </c>
      <c r="K342" t="s">
        <v>55</v>
      </c>
      <c r="L342" t="s">
        <v>494</v>
      </c>
      <c r="M342" t="s">
        <v>495</v>
      </c>
      <c r="AJ342">
        <v>1</v>
      </c>
      <c r="AK342" t="s">
        <v>58</v>
      </c>
    </row>
    <row r="343" spans="1:37" x14ac:dyDescent="0.25">
      <c r="A343" t="s">
        <v>43</v>
      </c>
      <c r="B343">
        <v>342</v>
      </c>
      <c r="C343" t="s">
        <v>44</v>
      </c>
      <c r="J343" t="s">
        <v>54</v>
      </c>
      <c r="K343" t="s">
        <v>55</v>
      </c>
      <c r="L343" t="s">
        <v>496</v>
      </c>
      <c r="M343" t="s">
        <v>497</v>
      </c>
      <c r="AJ343">
        <v>1</v>
      </c>
      <c r="AK343" t="s">
        <v>58</v>
      </c>
    </row>
    <row r="344" spans="1:37" x14ac:dyDescent="0.25">
      <c r="A344" t="s">
        <v>43</v>
      </c>
      <c r="B344">
        <v>343</v>
      </c>
      <c r="C344" t="s">
        <v>44</v>
      </c>
      <c r="J344" t="s">
        <v>45</v>
      </c>
      <c r="K344" t="s">
        <v>46</v>
      </c>
      <c r="L344" t="s">
        <v>498</v>
      </c>
      <c r="M344" t="s">
        <v>48</v>
      </c>
      <c r="AJ344">
        <v>1</v>
      </c>
      <c r="AK344" t="s">
        <v>60</v>
      </c>
    </row>
    <row r="345" spans="1:37" x14ac:dyDescent="0.25">
      <c r="A345" t="s">
        <v>43</v>
      </c>
      <c r="B345">
        <v>344</v>
      </c>
      <c r="C345" t="s">
        <v>44</v>
      </c>
      <c r="J345" t="s">
        <v>54</v>
      </c>
      <c r="K345" t="s">
        <v>55</v>
      </c>
      <c r="L345" t="s">
        <v>499</v>
      </c>
      <c r="M345" t="s">
        <v>500</v>
      </c>
      <c r="AJ345">
        <v>1</v>
      </c>
      <c r="AK345" t="s">
        <v>58</v>
      </c>
    </row>
    <row r="346" spans="1:37" x14ac:dyDescent="0.25">
      <c r="A346" t="s">
        <v>43</v>
      </c>
      <c r="B346">
        <v>345</v>
      </c>
      <c r="C346" t="s">
        <v>44</v>
      </c>
      <c r="J346" t="s">
        <v>54</v>
      </c>
      <c r="K346" t="s">
        <v>55</v>
      </c>
      <c r="L346" t="s">
        <v>501</v>
      </c>
      <c r="M346" t="s">
        <v>502</v>
      </c>
      <c r="AJ346">
        <v>1</v>
      </c>
      <c r="AK346" t="s">
        <v>58</v>
      </c>
    </row>
    <row r="347" spans="1:37" x14ac:dyDescent="0.25">
      <c r="A347" t="s">
        <v>43</v>
      </c>
      <c r="B347">
        <v>346</v>
      </c>
      <c r="C347" t="s">
        <v>44</v>
      </c>
      <c r="J347" t="s">
        <v>45</v>
      </c>
      <c r="K347" t="s">
        <v>46</v>
      </c>
      <c r="L347" t="s">
        <v>503</v>
      </c>
      <c r="M347" t="s">
        <v>48</v>
      </c>
      <c r="AJ347">
        <v>1</v>
      </c>
      <c r="AK347" t="s">
        <v>60</v>
      </c>
    </row>
    <row r="348" spans="1:37" x14ac:dyDescent="0.25">
      <c r="A348" t="s">
        <v>43</v>
      </c>
      <c r="B348">
        <v>347</v>
      </c>
      <c r="C348" t="s">
        <v>44</v>
      </c>
      <c r="J348" t="s">
        <v>45</v>
      </c>
      <c r="K348" t="s">
        <v>46</v>
      </c>
      <c r="L348" t="s">
        <v>504</v>
      </c>
      <c r="M348" t="s">
        <v>48</v>
      </c>
      <c r="AJ348">
        <v>1</v>
      </c>
      <c r="AK348" t="s">
        <v>76</v>
      </c>
    </row>
    <row r="349" spans="1:37" x14ac:dyDescent="0.25">
      <c r="A349" t="s">
        <v>43</v>
      </c>
      <c r="B349">
        <v>348</v>
      </c>
      <c r="C349" t="s">
        <v>44</v>
      </c>
      <c r="J349" t="s">
        <v>54</v>
      </c>
      <c r="K349" t="s">
        <v>55</v>
      </c>
      <c r="L349" t="s">
        <v>505</v>
      </c>
      <c r="M349" t="s">
        <v>506</v>
      </c>
      <c r="AJ349">
        <v>1</v>
      </c>
      <c r="AK349" t="s">
        <v>58</v>
      </c>
    </row>
    <row r="350" spans="1:37" x14ac:dyDescent="0.25">
      <c r="A350" t="s">
        <v>43</v>
      </c>
      <c r="B350">
        <v>349</v>
      </c>
      <c r="C350" t="s">
        <v>44</v>
      </c>
      <c r="J350" t="s">
        <v>45</v>
      </c>
      <c r="K350" t="s">
        <v>46</v>
      </c>
      <c r="L350" t="s">
        <v>507</v>
      </c>
      <c r="M350" t="s">
        <v>48</v>
      </c>
      <c r="AJ350">
        <v>1</v>
      </c>
      <c r="AK350" t="s">
        <v>53</v>
      </c>
    </row>
    <row r="351" spans="1:37" x14ac:dyDescent="0.25">
      <c r="A351" t="s">
        <v>43</v>
      </c>
      <c r="B351">
        <v>350</v>
      </c>
      <c r="C351" t="s">
        <v>44</v>
      </c>
      <c r="J351" t="s">
        <v>45</v>
      </c>
      <c r="K351" t="s">
        <v>46</v>
      </c>
      <c r="L351" t="s">
        <v>508</v>
      </c>
      <c r="M351" t="s">
        <v>48</v>
      </c>
      <c r="AJ351">
        <v>1</v>
      </c>
      <c r="AK351" t="s">
        <v>60</v>
      </c>
    </row>
    <row r="352" spans="1:37" x14ac:dyDescent="0.25">
      <c r="A352" t="s">
        <v>43</v>
      </c>
      <c r="B352">
        <v>351</v>
      </c>
      <c r="C352" t="s">
        <v>44</v>
      </c>
      <c r="J352" t="s">
        <v>54</v>
      </c>
      <c r="K352" t="s">
        <v>55</v>
      </c>
      <c r="L352" t="s">
        <v>509</v>
      </c>
      <c r="M352" t="s">
        <v>510</v>
      </c>
      <c r="AJ352">
        <v>1</v>
      </c>
      <c r="AK352" t="s">
        <v>58</v>
      </c>
    </row>
    <row r="353" spans="1:37" x14ac:dyDescent="0.25">
      <c r="A353" t="s">
        <v>43</v>
      </c>
      <c r="B353">
        <v>352</v>
      </c>
      <c r="C353" t="s">
        <v>44</v>
      </c>
      <c r="J353" t="s">
        <v>45</v>
      </c>
      <c r="K353" t="s">
        <v>46</v>
      </c>
      <c r="L353" t="s">
        <v>511</v>
      </c>
      <c r="M353" t="s">
        <v>48</v>
      </c>
      <c r="AJ353">
        <v>1</v>
      </c>
      <c r="AK353" t="s">
        <v>60</v>
      </c>
    </row>
    <row r="354" spans="1:37" x14ac:dyDescent="0.25">
      <c r="A354" t="s">
        <v>43</v>
      </c>
      <c r="B354">
        <v>353</v>
      </c>
      <c r="C354" t="s">
        <v>44</v>
      </c>
      <c r="J354" t="s">
        <v>45</v>
      </c>
      <c r="K354" t="s">
        <v>46</v>
      </c>
      <c r="L354" t="s">
        <v>512</v>
      </c>
      <c r="M354" t="s">
        <v>48</v>
      </c>
      <c r="AJ354">
        <v>1</v>
      </c>
      <c r="AK354" t="s">
        <v>60</v>
      </c>
    </row>
    <row r="355" spans="1:37" x14ac:dyDescent="0.25">
      <c r="A355" t="s">
        <v>43</v>
      </c>
      <c r="B355">
        <v>354</v>
      </c>
      <c r="C355" t="s">
        <v>44</v>
      </c>
      <c r="J355" t="s">
        <v>45</v>
      </c>
      <c r="K355" t="s">
        <v>46</v>
      </c>
      <c r="L355" t="s">
        <v>513</v>
      </c>
      <c r="M355" t="s">
        <v>48</v>
      </c>
      <c r="AJ355">
        <v>1</v>
      </c>
      <c r="AK355" t="s">
        <v>60</v>
      </c>
    </row>
    <row r="356" spans="1:37" x14ac:dyDescent="0.25">
      <c r="A356" t="s">
        <v>43</v>
      </c>
      <c r="B356">
        <v>355</v>
      </c>
      <c r="C356" t="s">
        <v>44</v>
      </c>
      <c r="J356" t="s">
        <v>45</v>
      </c>
      <c r="K356" t="s">
        <v>46</v>
      </c>
      <c r="L356" t="s">
        <v>514</v>
      </c>
      <c r="M356" t="s">
        <v>48</v>
      </c>
      <c r="AJ356">
        <v>1</v>
      </c>
      <c r="AK356" t="s">
        <v>76</v>
      </c>
    </row>
    <row r="357" spans="1:37" x14ac:dyDescent="0.25">
      <c r="A357" t="s">
        <v>43</v>
      </c>
      <c r="B357">
        <v>356</v>
      </c>
      <c r="C357" t="s">
        <v>44</v>
      </c>
      <c r="J357" t="s">
        <v>45</v>
      </c>
      <c r="K357" t="s">
        <v>46</v>
      </c>
      <c r="L357" t="s">
        <v>515</v>
      </c>
      <c r="M357" t="s">
        <v>48</v>
      </c>
      <c r="AJ357">
        <v>1</v>
      </c>
      <c r="AK357" t="s">
        <v>76</v>
      </c>
    </row>
    <row r="358" spans="1:37" x14ac:dyDescent="0.25">
      <c r="A358" t="s">
        <v>43</v>
      </c>
      <c r="B358">
        <v>357</v>
      </c>
      <c r="C358" t="s">
        <v>44</v>
      </c>
      <c r="J358" t="s">
        <v>45</v>
      </c>
      <c r="K358" t="s">
        <v>46</v>
      </c>
      <c r="L358" t="s">
        <v>516</v>
      </c>
      <c r="M358" t="s">
        <v>48</v>
      </c>
      <c r="AJ358">
        <v>1</v>
      </c>
      <c r="AK358" t="s">
        <v>60</v>
      </c>
    </row>
    <row r="359" spans="1:37" x14ac:dyDescent="0.25">
      <c r="A359" t="s">
        <v>43</v>
      </c>
      <c r="B359">
        <v>358</v>
      </c>
      <c r="C359" t="s">
        <v>44</v>
      </c>
      <c r="J359" t="s">
        <v>54</v>
      </c>
      <c r="K359" t="s">
        <v>55</v>
      </c>
      <c r="L359" t="s">
        <v>517</v>
      </c>
      <c r="M359" t="s">
        <v>518</v>
      </c>
      <c r="AJ359">
        <v>1</v>
      </c>
      <c r="AK359" t="s">
        <v>58</v>
      </c>
    </row>
    <row r="360" spans="1:37" x14ac:dyDescent="0.25">
      <c r="A360" t="s">
        <v>43</v>
      </c>
      <c r="B360">
        <v>359</v>
      </c>
      <c r="C360" t="s">
        <v>44</v>
      </c>
      <c r="J360" t="s">
        <v>45</v>
      </c>
      <c r="K360" t="s">
        <v>114</v>
      </c>
      <c r="L360" t="s">
        <v>519</v>
      </c>
      <c r="M360" t="s">
        <v>520</v>
      </c>
      <c r="AJ360">
        <v>1</v>
      </c>
      <c r="AK360" t="s">
        <v>49</v>
      </c>
    </row>
    <row r="361" spans="1:37" x14ac:dyDescent="0.25">
      <c r="A361" t="s">
        <v>43</v>
      </c>
      <c r="B361">
        <v>360</v>
      </c>
      <c r="C361" t="s">
        <v>44</v>
      </c>
      <c r="J361" t="s">
        <v>54</v>
      </c>
      <c r="K361" t="s">
        <v>55</v>
      </c>
      <c r="L361" t="s">
        <v>521</v>
      </c>
      <c r="M361" t="s">
        <v>522</v>
      </c>
      <c r="AJ361">
        <v>1</v>
      </c>
      <c r="AK361" t="s">
        <v>58</v>
      </c>
    </row>
    <row r="362" spans="1:37" x14ac:dyDescent="0.25">
      <c r="A362" t="s">
        <v>43</v>
      </c>
      <c r="B362">
        <v>361</v>
      </c>
      <c r="C362" t="s">
        <v>44</v>
      </c>
      <c r="J362" t="s">
        <v>54</v>
      </c>
      <c r="K362" t="s">
        <v>55</v>
      </c>
      <c r="L362" t="s">
        <v>523</v>
      </c>
      <c r="M362" t="s">
        <v>524</v>
      </c>
      <c r="AJ362">
        <v>1</v>
      </c>
      <c r="AK362" t="s">
        <v>58</v>
      </c>
    </row>
    <row r="363" spans="1:37" x14ac:dyDescent="0.25">
      <c r="A363" t="s">
        <v>43</v>
      </c>
      <c r="B363">
        <v>362</v>
      </c>
      <c r="C363" t="s">
        <v>44</v>
      </c>
      <c r="J363" t="s">
        <v>45</v>
      </c>
      <c r="K363" t="s">
        <v>46</v>
      </c>
      <c r="L363" t="s">
        <v>525</v>
      </c>
      <c r="M363" t="s">
        <v>48</v>
      </c>
      <c r="AJ363">
        <v>1</v>
      </c>
      <c r="AK363" t="s">
        <v>60</v>
      </c>
    </row>
    <row r="364" spans="1:37" x14ac:dyDescent="0.25">
      <c r="A364" t="s">
        <v>43</v>
      </c>
      <c r="B364">
        <v>363</v>
      </c>
      <c r="C364" t="s">
        <v>44</v>
      </c>
      <c r="J364" t="s">
        <v>54</v>
      </c>
      <c r="K364" t="s">
        <v>55</v>
      </c>
      <c r="L364" t="s">
        <v>207</v>
      </c>
      <c r="M364" t="s">
        <v>526</v>
      </c>
      <c r="AJ364">
        <v>1</v>
      </c>
      <c r="AK364" t="s">
        <v>209</v>
      </c>
    </row>
    <row r="365" spans="1:37" x14ac:dyDescent="0.25">
      <c r="A365" t="s">
        <v>43</v>
      </c>
      <c r="B365">
        <v>364</v>
      </c>
      <c r="C365" t="s">
        <v>44</v>
      </c>
      <c r="J365" t="s">
        <v>54</v>
      </c>
      <c r="K365" t="s">
        <v>55</v>
      </c>
      <c r="L365" t="s">
        <v>527</v>
      </c>
      <c r="M365" t="s">
        <v>528</v>
      </c>
      <c r="AJ365">
        <v>1</v>
      </c>
      <c r="AK365" t="s">
        <v>58</v>
      </c>
    </row>
    <row r="366" spans="1:37" x14ac:dyDescent="0.25">
      <c r="A366" t="s">
        <v>43</v>
      </c>
      <c r="B366">
        <v>365</v>
      </c>
      <c r="C366" t="s">
        <v>44</v>
      </c>
      <c r="J366" t="s">
        <v>45</v>
      </c>
      <c r="K366" t="s">
        <v>46</v>
      </c>
      <c r="L366" t="s">
        <v>529</v>
      </c>
      <c r="M366" t="s">
        <v>48</v>
      </c>
      <c r="AJ366">
        <v>1</v>
      </c>
      <c r="AK366" t="s">
        <v>60</v>
      </c>
    </row>
    <row r="367" spans="1:37" x14ac:dyDescent="0.25">
      <c r="A367" t="s">
        <v>43</v>
      </c>
      <c r="B367">
        <v>366</v>
      </c>
      <c r="C367" t="s">
        <v>44</v>
      </c>
      <c r="J367" t="s">
        <v>45</v>
      </c>
      <c r="K367" t="s">
        <v>46</v>
      </c>
      <c r="L367" t="s">
        <v>530</v>
      </c>
      <c r="M367" t="s">
        <v>48</v>
      </c>
      <c r="AJ367">
        <v>1</v>
      </c>
      <c r="AK367" t="s">
        <v>60</v>
      </c>
    </row>
    <row r="368" spans="1:37" x14ac:dyDescent="0.25">
      <c r="A368" t="s">
        <v>43</v>
      </c>
      <c r="B368">
        <v>367</v>
      </c>
      <c r="C368" t="s">
        <v>44</v>
      </c>
      <c r="J368" t="s">
        <v>45</v>
      </c>
      <c r="K368" t="s">
        <v>114</v>
      </c>
      <c r="L368" t="s">
        <v>115</v>
      </c>
      <c r="M368" t="s">
        <v>531</v>
      </c>
      <c r="AJ368">
        <v>1</v>
      </c>
      <c r="AK368" t="s">
        <v>117</v>
      </c>
    </row>
    <row r="369" spans="1:37" x14ac:dyDescent="0.25">
      <c r="A369" t="s">
        <v>43</v>
      </c>
      <c r="B369">
        <v>368</v>
      </c>
      <c r="C369" t="s">
        <v>44</v>
      </c>
      <c r="J369" t="s">
        <v>45</v>
      </c>
      <c r="K369" t="s">
        <v>46</v>
      </c>
      <c r="L369" t="s">
        <v>532</v>
      </c>
      <c r="M369" t="s">
        <v>48</v>
      </c>
      <c r="AJ369">
        <v>1</v>
      </c>
      <c r="AK369" t="s">
        <v>60</v>
      </c>
    </row>
    <row r="370" spans="1:37" x14ac:dyDescent="0.25">
      <c r="A370" t="s">
        <v>43</v>
      </c>
      <c r="B370">
        <v>369</v>
      </c>
      <c r="C370" t="s">
        <v>44</v>
      </c>
      <c r="J370" t="s">
        <v>54</v>
      </c>
      <c r="K370" t="s">
        <v>55</v>
      </c>
      <c r="L370" t="s">
        <v>533</v>
      </c>
      <c r="M370" t="s">
        <v>534</v>
      </c>
      <c r="AJ370">
        <v>1</v>
      </c>
      <c r="AK370" t="s">
        <v>58</v>
      </c>
    </row>
    <row r="371" spans="1:37" x14ac:dyDescent="0.25">
      <c r="A371" t="s">
        <v>43</v>
      </c>
      <c r="B371">
        <v>370</v>
      </c>
      <c r="C371" t="s">
        <v>44</v>
      </c>
      <c r="J371" t="s">
        <v>54</v>
      </c>
      <c r="K371" t="s">
        <v>55</v>
      </c>
      <c r="L371" t="s">
        <v>535</v>
      </c>
      <c r="M371" t="s">
        <v>536</v>
      </c>
      <c r="AJ371">
        <v>1</v>
      </c>
      <c r="AK371" t="s">
        <v>58</v>
      </c>
    </row>
    <row r="372" spans="1:37" x14ac:dyDescent="0.25">
      <c r="A372" t="s">
        <v>43</v>
      </c>
      <c r="B372">
        <v>371</v>
      </c>
      <c r="C372" t="s">
        <v>44</v>
      </c>
      <c r="J372" t="s">
        <v>45</v>
      </c>
      <c r="K372" t="s">
        <v>46</v>
      </c>
      <c r="L372" t="s">
        <v>537</v>
      </c>
      <c r="M372" t="s">
        <v>48</v>
      </c>
      <c r="AJ372">
        <v>1</v>
      </c>
      <c r="AK372" t="s">
        <v>209</v>
      </c>
    </row>
    <row r="373" spans="1:37" x14ac:dyDescent="0.25">
      <c r="A373" t="s">
        <v>43</v>
      </c>
      <c r="B373">
        <v>372</v>
      </c>
      <c r="C373" t="s">
        <v>44</v>
      </c>
      <c r="J373" t="s">
        <v>45</v>
      </c>
      <c r="K373" t="s">
        <v>46</v>
      </c>
      <c r="L373" t="s">
        <v>538</v>
      </c>
      <c r="M373" t="s">
        <v>48</v>
      </c>
      <c r="AJ373">
        <v>1</v>
      </c>
      <c r="AK373" t="s">
        <v>60</v>
      </c>
    </row>
    <row r="374" spans="1:37" x14ac:dyDescent="0.25">
      <c r="A374" t="s">
        <v>43</v>
      </c>
      <c r="B374">
        <v>373</v>
      </c>
      <c r="C374" t="s">
        <v>44</v>
      </c>
      <c r="J374" t="s">
        <v>54</v>
      </c>
      <c r="K374" t="s">
        <v>55</v>
      </c>
      <c r="L374" t="s">
        <v>313</v>
      </c>
      <c r="M374" t="s">
        <v>208</v>
      </c>
      <c r="AJ374">
        <v>1</v>
      </c>
      <c r="AK374" t="s">
        <v>209</v>
      </c>
    </row>
    <row r="375" spans="1:37" x14ac:dyDescent="0.25">
      <c r="A375" t="s">
        <v>43</v>
      </c>
      <c r="B375">
        <v>374</v>
      </c>
      <c r="C375" t="s">
        <v>44</v>
      </c>
      <c r="J375" t="s">
        <v>45</v>
      </c>
      <c r="K375" t="s">
        <v>46</v>
      </c>
      <c r="L375" t="s">
        <v>539</v>
      </c>
      <c r="M375" t="s">
        <v>48</v>
      </c>
      <c r="AJ375">
        <v>1</v>
      </c>
      <c r="AK375" t="s">
        <v>60</v>
      </c>
    </row>
    <row r="376" spans="1:37" x14ac:dyDescent="0.25">
      <c r="A376" t="s">
        <v>43</v>
      </c>
      <c r="B376">
        <v>375</v>
      </c>
      <c r="C376" t="s">
        <v>44</v>
      </c>
      <c r="J376" t="s">
        <v>45</v>
      </c>
      <c r="K376" t="s">
        <v>46</v>
      </c>
      <c r="L376" t="s">
        <v>540</v>
      </c>
      <c r="M376" t="s">
        <v>48</v>
      </c>
      <c r="AJ376">
        <v>1</v>
      </c>
      <c r="AK376" t="s">
        <v>60</v>
      </c>
    </row>
    <row r="377" spans="1:37" x14ac:dyDescent="0.25">
      <c r="A377" t="s">
        <v>43</v>
      </c>
      <c r="B377">
        <v>376</v>
      </c>
      <c r="C377" t="s">
        <v>44</v>
      </c>
      <c r="J377" t="s">
        <v>45</v>
      </c>
      <c r="K377" t="s">
        <v>46</v>
      </c>
      <c r="L377" t="s">
        <v>541</v>
      </c>
      <c r="M377" t="s">
        <v>48</v>
      </c>
      <c r="AJ377">
        <v>1</v>
      </c>
      <c r="AK377" t="s">
        <v>60</v>
      </c>
    </row>
    <row r="378" spans="1:37" x14ac:dyDescent="0.25">
      <c r="A378" t="s">
        <v>43</v>
      </c>
      <c r="B378">
        <v>377</v>
      </c>
      <c r="C378" t="s">
        <v>44</v>
      </c>
      <c r="J378" t="s">
        <v>45</v>
      </c>
      <c r="K378" t="s">
        <v>46</v>
      </c>
      <c r="L378" t="s">
        <v>542</v>
      </c>
      <c r="M378" t="s">
        <v>48</v>
      </c>
      <c r="AJ378">
        <v>1</v>
      </c>
      <c r="AK378" t="s">
        <v>60</v>
      </c>
    </row>
    <row r="379" spans="1:37" x14ac:dyDescent="0.25">
      <c r="A379" t="s">
        <v>43</v>
      </c>
      <c r="B379">
        <v>378</v>
      </c>
      <c r="C379" t="s">
        <v>44</v>
      </c>
      <c r="J379" t="s">
        <v>45</v>
      </c>
      <c r="K379" t="s">
        <v>46</v>
      </c>
      <c r="L379" t="s">
        <v>543</v>
      </c>
      <c r="M379" t="s">
        <v>48</v>
      </c>
      <c r="AJ379">
        <v>1</v>
      </c>
      <c r="AK379" t="s">
        <v>60</v>
      </c>
    </row>
    <row r="380" spans="1:37" x14ac:dyDescent="0.25">
      <c r="A380" t="s">
        <v>43</v>
      </c>
      <c r="B380">
        <v>379</v>
      </c>
      <c r="C380" t="s">
        <v>44</v>
      </c>
      <c r="J380" t="s">
        <v>45</v>
      </c>
      <c r="K380" t="s">
        <v>46</v>
      </c>
      <c r="L380" t="s">
        <v>544</v>
      </c>
      <c r="M380" t="s">
        <v>48</v>
      </c>
      <c r="AJ380">
        <v>1</v>
      </c>
      <c r="AK380" t="s">
        <v>60</v>
      </c>
    </row>
    <row r="381" spans="1:37" x14ac:dyDescent="0.25">
      <c r="A381" t="s">
        <v>43</v>
      </c>
      <c r="B381">
        <v>380</v>
      </c>
      <c r="C381" t="s">
        <v>44</v>
      </c>
      <c r="J381" t="s">
        <v>45</v>
      </c>
      <c r="K381" t="s">
        <v>46</v>
      </c>
      <c r="L381" t="s">
        <v>545</v>
      </c>
      <c r="M381" t="s">
        <v>48</v>
      </c>
      <c r="AJ381">
        <v>1</v>
      </c>
      <c r="AK381" t="s">
        <v>60</v>
      </c>
    </row>
    <row r="382" spans="1:37" x14ac:dyDescent="0.25">
      <c r="A382" t="s">
        <v>43</v>
      </c>
      <c r="B382">
        <v>381</v>
      </c>
      <c r="C382" t="s">
        <v>44</v>
      </c>
      <c r="J382" t="s">
        <v>54</v>
      </c>
      <c r="K382" t="s">
        <v>55</v>
      </c>
      <c r="L382" t="s">
        <v>546</v>
      </c>
      <c r="M382" t="s">
        <v>547</v>
      </c>
      <c r="AJ382">
        <v>1</v>
      </c>
      <c r="AK382" t="s">
        <v>58</v>
      </c>
    </row>
    <row r="383" spans="1:37" x14ac:dyDescent="0.25">
      <c r="A383" t="s">
        <v>43</v>
      </c>
      <c r="B383">
        <v>382</v>
      </c>
      <c r="C383" t="s">
        <v>44</v>
      </c>
      <c r="J383" t="s">
        <v>45</v>
      </c>
      <c r="K383" t="s">
        <v>46</v>
      </c>
      <c r="L383" t="s">
        <v>548</v>
      </c>
      <c r="M383" t="s">
        <v>48</v>
      </c>
      <c r="AJ383">
        <v>1</v>
      </c>
      <c r="AK383" t="s">
        <v>60</v>
      </c>
    </row>
    <row r="384" spans="1:37" x14ac:dyDescent="0.25">
      <c r="A384" t="s">
        <v>43</v>
      </c>
      <c r="B384">
        <v>383</v>
      </c>
      <c r="C384" t="s">
        <v>44</v>
      </c>
      <c r="J384" t="s">
        <v>45</v>
      </c>
      <c r="K384" t="s">
        <v>46</v>
      </c>
      <c r="L384" t="s">
        <v>549</v>
      </c>
      <c r="M384" t="s">
        <v>48</v>
      </c>
      <c r="AJ384">
        <v>1</v>
      </c>
      <c r="AK384" t="s">
        <v>76</v>
      </c>
    </row>
    <row r="385" spans="1:37" x14ac:dyDescent="0.25">
      <c r="A385" t="s">
        <v>43</v>
      </c>
      <c r="B385">
        <v>384</v>
      </c>
      <c r="C385" t="s">
        <v>44</v>
      </c>
      <c r="J385" t="s">
        <v>45</v>
      </c>
      <c r="K385" t="s">
        <v>46</v>
      </c>
      <c r="L385" t="s">
        <v>550</v>
      </c>
      <c r="M385" t="s">
        <v>48</v>
      </c>
      <c r="AJ385">
        <v>1</v>
      </c>
      <c r="AK385" t="s">
        <v>76</v>
      </c>
    </row>
    <row r="386" spans="1:37" x14ac:dyDescent="0.25">
      <c r="A386" t="s">
        <v>43</v>
      </c>
      <c r="B386">
        <v>385</v>
      </c>
      <c r="C386" t="s">
        <v>44</v>
      </c>
      <c r="J386" t="s">
        <v>45</v>
      </c>
      <c r="K386" t="s">
        <v>46</v>
      </c>
      <c r="L386" t="s">
        <v>551</v>
      </c>
      <c r="M386" t="s">
        <v>48</v>
      </c>
      <c r="AJ386">
        <v>1</v>
      </c>
      <c r="AK386" t="s">
        <v>60</v>
      </c>
    </row>
    <row r="387" spans="1:37" x14ac:dyDescent="0.25">
      <c r="A387" t="s">
        <v>43</v>
      </c>
      <c r="B387">
        <v>386</v>
      </c>
      <c r="C387" t="s">
        <v>44</v>
      </c>
      <c r="J387" t="s">
        <v>54</v>
      </c>
      <c r="K387" t="s">
        <v>55</v>
      </c>
      <c r="L387" t="s">
        <v>552</v>
      </c>
      <c r="M387" t="s">
        <v>553</v>
      </c>
      <c r="AJ387">
        <v>1</v>
      </c>
      <c r="AK387" t="s">
        <v>58</v>
      </c>
    </row>
    <row r="388" spans="1:37" x14ac:dyDescent="0.25">
      <c r="A388" t="s">
        <v>43</v>
      </c>
      <c r="B388">
        <v>387</v>
      </c>
      <c r="C388" t="s">
        <v>44</v>
      </c>
      <c r="J388" t="s">
        <v>45</v>
      </c>
      <c r="K388" t="s">
        <v>46</v>
      </c>
      <c r="L388" t="s">
        <v>554</v>
      </c>
      <c r="M388" t="s">
        <v>48</v>
      </c>
      <c r="AJ388">
        <v>1</v>
      </c>
      <c r="AK388" t="s">
        <v>60</v>
      </c>
    </row>
    <row r="389" spans="1:37" x14ac:dyDescent="0.25">
      <c r="A389" t="s">
        <v>43</v>
      </c>
      <c r="B389">
        <v>388</v>
      </c>
      <c r="C389" t="s">
        <v>44</v>
      </c>
      <c r="J389" t="s">
        <v>54</v>
      </c>
      <c r="K389" t="s">
        <v>55</v>
      </c>
      <c r="L389" t="s">
        <v>555</v>
      </c>
      <c r="M389" t="s">
        <v>556</v>
      </c>
      <c r="AJ389">
        <v>1</v>
      </c>
      <c r="AK389" t="s">
        <v>58</v>
      </c>
    </row>
    <row r="390" spans="1:37" x14ac:dyDescent="0.25">
      <c r="A390" t="s">
        <v>43</v>
      </c>
      <c r="B390">
        <v>389</v>
      </c>
      <c r="C390" t="s">
        <v>44</v>
      </c>
      <c r="J390" t="s">
        <v>45</v>
      </c>
      <c r="K390" t="s">
        <v>46</v>
      </c>
      <c r="L390" t="s">
        <v>557</v>
      </c>
      <c r="M390" t="s">
        <v>48</v>
      </c>
      <c r="AJ390">
        <v>1</v>
      </c>
      <c r="AK390" t="s">
        <v>76</v>
      </c>
    </row>
    <row r="391" spans="1:37" x14ac:dyDescent="0.25">
      <c r="A391" t="s">
        <v>43</v>
      </c>
      <c r="B391">
        <v>390</v>
      </c>
      <c r="C391" t="s">
        <v>44</v>
      </c>
      <c r="J391" t="s">
        <v>45</v>
      </c>
      <c r="K391" t="s">
        <v>46</v>
      </c>
      <c r="L391" t="s">
        <v>558</v>
      </c>
      <c r="M391" t="s">
        <v>48</v>
      </c>
      <c r="AJ391">
        <v>1</v>
      </c>
      <c r="AK391" t="s">
        <v>60</v>
      </c>
    </row>
    <row r="392" spans="1:37" x14ac:dyDescent="0.25">
      <c r="A392" t="s">
        <v>43</v>
      </c>
      <c r="B392">
        <v>391</v>
      </c>
      <c r="C392" t="s">
        <v>44</v>
      </c>
      <c r="J392" t="s">
        <v>45</v>
      </c>
      <c r="K392" t="s">
        <v>114</v>
      </c>
      <c r="L392" t="s">
        <v>115</v>
      </c>
      <c r="M392" t="s">
        <v>559</v>
      </c>
      <c r="AJ392">
        <v>1</v>
      </c>
      <c r="AK392" t="s">
        <v>117</v>
      </c>
    </row>
    <row r="393" spans="1:37" x14ac:dyDescent="0.25">
      <c r="A393" t="s">
        <v>43</v>
      </c>
      <c r="B393">
        <v>392</v>
      </c>
      <c r="C393" t="s">
        <v>44</v>
      </c>
      <c r="J393" t="s">
        <v>54</v>
      </c>
      <c r="K393" t="s">
        <v>55</v>
      </c>
      <c r="L393" t="s">
        <v>560</v>
      </c>
      <c r="M393" t="s">
        <v>561</v>
      </c>
      <c r="AJ393">
        <v>1</v>
      </c>
      <c r="AK393" t="s">
        <v>58</v>
      </c>
    </row>
    <row r="394" spans="1:37" x14ac:dyDescent="0.25">
      <c r="A394" t="s">
        <v>43</v>
      </c>
      <c r="B394">
        <v>393</v>
      </c>
      <c r="C394" t="s">
        <v>44</v>
      </c>
      <c r="J394" t="s">
        <v>54</v>
      </c>
      <c r="K394" t="s">
        <v>55</v>
      </c>
      <c r="L394" t="s">
        <v>562</v>
      </c>
      <c r="M394" t="s">
        <v>563</v>
      </c>
      <c r="AJ394">
        <v>1</v>
      </c>
      <c r="AK394" t="s">
        <v>58</v>
      </c>
    </row>
    <row r="395" spans="1:37" x14ac:dyDescent="0.25">
      <c r="A395" t="s">
        <v>43</v>
      </c>
      <c r="B395">
        <v>394</v>
      </c>
      <c r="C395" t="s">
        <v>44</v>
      </c>
      <c r="J395" t="s">
        <v>45</v>
      </c>
      <c r="K395" t="s">
        <v>46</v>
      </c>
      <c r="L395" t="s">
        <v>564</v>
      </c>
      <c r="M395" t="s">
        <v>48</v>
      </c>
      <c r="AJ395">
        <v>1</v>
      </c>
      <c r="AK395" t="s">
        <v>60</v>
      </c>
    </row>
    <row r="396" spans="1:37" x14ac:dyDescent="0.25">
      <c r="A396" t="s">
        <v>43</v>
      </c>
      <c r="B396">
        <v>395</v>
      </c>
      <c r="C396" t="s">
        <v>44</v>
      </c>
      <c r="J396" t="s">
        <v>45</v>
      </c>
      <c r="K396" t="s">
        <v>46</v>
      </c>
      <c r="L396" t="s">
        <v>565</v>
      </c>
      <c r="M396" t="s">
        <v>48</v>
      </c>
      <c r="AJ396">
        <v>1</v>
      </c>
      <c r="AK396" t="s">
        <v>60</v>
      </c>
    </row>
    <row r="397" spans="1:37" x14ac:dyDescent="0.25">
      <c r="A397" t="s">
        <v>43</v>
      </c>
      <c r="B397">
        <v>396</v>
      </c>
      <c r="C397" t="s">
        <v>44</v>
      </c>
      <c r="J397" t="s">
        <v>45</v>
      </c>
      <c r="K397" t="s">
        <v>46</v>
      </c>
      <c r="L397" t="s">
        <v>566</v>
      </c>
      <c r="M397" t="s">
        <v>48</v>
      </c>
      <c r="AJ397">
        <v>1</v>
      </c>
      <c r="AK397" t="s">
        <v>60</v>
      </c>
    </row>
    <row r="398" spans="1:37" x14ac:dyDescent="0.25">
      <c r="A398" t="s">
        <v>43</v>
      </c>
      <c r="B398">
        <v>397</v>
      </c>
      <c r="C398" t="s">
        <v>44</v>
      </c>
      <c r="J398" t="s">
        <v>45</v>
      </c>
      <c r="K398" t="s">
        <v>46</v>
      </c>
      <c r="L398" t="s">
        <v>567</v>
      </c>
      <c r="M398" t="s">
        <v>48</v>
      </c>
      <c r="AJ398">
        <v>1</v>
      </c>
      <c r="AK398" t="s">
        <v>60</v>
      </c>
    </row>
    <row r="399" spans="1:37" x14ac:dyDescent="0.25">
      <c r="A399" t="s">
        <v>43</v>
      </c>
      <c r="B399">
        <v>398</v>
      </c>
      <c r="C399" t="s">
        <v>44</v>
      </c>
      <c r="J399" t="s">
        <v>54</v>
      </c>
      <c r="K399" t="s">
        <v>55</v>
      </c>
      <c r="L399" t="s">
        <v>568</v>
      </c>
      <c r="M399" t="s">
        <v>569</v>
      </c>
      <c r="AJ399">
        <v>1</v>
      </c>
      <c r="AK399" t="s">
        <v>58</v>
      </c>
    </row>
    <row r="400" spans="1:37" x14ac:dyDescent="0.25">
      <c r="A400" t="s">
        <v>43</v>
      </c>
      <c r="B400">
        <v>399</v>
      </c>
      <c r="C400" t="s">
        <v>44</v>
      </c>
      <c r="J400" t="s">
        <v>54</v>
      </c>
      <c r="K400" t="s">
        <v>55</v>
      </c>
      <c r="L400" t="s">
        <v>570</v>
      </c>
      <c r="M400" t="s">
        <v>571</v>
      </c>
      <c r="AJ400">
        <v>1</v>
      </c>
      <c r="AK400" t="s">
        <v>58</v>
      </c>
    </row>
    <row r="401" spans="1:37" x14ac:dyDescent="0.25">
      <c r="A401" t="s">
        <v>43</v>
      </c>
      <c r="B401">
        <v>400</v>
      </c>
      <c r="C401" t="s">
        <v>44</v>
      </c>
      <c r="J401" t="s">
        <v>54</v>
      </c>
      <c r="K401" t="s">
        <v>55</v>
      </c>
      <c r="L401" t="s">
        <v>572</v>
      </c>
      <c r="M401" t="s">
        <v>573</v>
      </c>
      <c r="AJ401">
        <v>1</v>
      </c>
      <c r="AK401" t="s">
        <v>58</v>
      </c>
    </row>
    <row r="402" spans="1:37" x14ac:dyDescent="0.25">
      <c r="A402" t="s">
        <v>43</v>
      </c>
      <c r="B402">
        <v>401</v>
      </c>
      <c r="C402" t="s">
        <v>44</v>
      </c>
      <c r="J402" t="s">
        <v>45</v>
      </c>
      <c r="K402" t="s">
        <v>46</v>
      </c>
      <c r="L402" t="s">
        <v>574</v>
      </c>
      <c r="M402" t="s">
        <v>48</v>
      </c>
      <c r="AJ402">
        <v>1</v>
      </c>
      <c r="AK402" t="s">
        <v>60</v>
      </c>
    </row>
    <row r="403" spans="1:37" x14ac:dyDescent="0.25">
      <c r="A403" t="s">
        <v>43</v>
      </c>
      <c r="B403">
        <v>402</v>
      </c>
      <c r="C403" t="s">
        <v>44</v>
      </c>
      <c r="J403" t="s">
        <v>54</v>
      </c>
      <c r="K403" t="s">
        <v>55</v>
      </c>
      <c r="L403" t="s">
        <v>207</v>
      </c>
      <c r="M403" t="s">
        <v>575</v>
      </c>
      <c r="AJ403">
        <v>1</v>
      </c>
      <c r="AK403" t="s">
        <v>209</v>
      </c>
    </row>
    <row r="404" spans="1:37" x14ac:dyDescent="0.25">
      <c r="A404" t="s">
        <v>43</v>
      </c>
      <c r="B404">
        <v>403</v>
      </c>
      <c r="C404" t="s">
        <v>44</v>
      </c>
      <c r="J404" t="s">
        <v>45</v>
      </c>
      <c r="K404" t="s">
        <v>46</v>
      </c>
      <c r="L404" t="s">
        <v>576</v>
      </c>
      <c r="M404" t="s">
        <v>48</v>
      </c>
      <c r="AJ404">
        <v>1</v>
      </c>
      <c r="AK404" t="s">
        <v>60</v>
      </c>
    </row>
    <row r="405" spans="1:37" x14ac:dyDescent="0.25">
      <c r="A405" t="s">
        <v>43</v>
      </c>
      <c r="B405">
        <v>404</v>
      </c>
      <c r="C405" t="s">
        <v>44</v>
      </c>
      <c r="J405" t="s">
        <v>45</v>
      </c>
      <c r="K405" t="s">
        <v>46</v>
      </c>
      <c r="L405" t="s">
        <v>577</v>
      </c>
      <c r="M405" t="s">
        <v>48</v>
      </c>
      <c r="AJ405">
        <v>1</v>
      </c>
      <c r="AK405" t="s">
        <v>60</v>
      </c>
    </row>
    <row r="406" spans="1:37" x14ac:dyDescent="0.25">
      <c r="A406" t="s">
        <v>43</v>
      </c>
      <c r="B406">
        <v>405</v>
      </c>
      <c r="C406" t="s">
        <v>44</v>
      </c>
      <c r="J406" t="s">
        <v>45</v>
      </c>
      <c r="K406" t="s">
        <v>46</v>
      </c>
      <c r="L406" t="s">
        <v>578</v>
      </c>
      <c r="M406" t="s">
        <v>48</v>
      </c>
      <c r="AJ406">
        <v>1</v>
      </c>
      <c r="AK406" t="s">
        <v>60</v>
      </c>
    </row>
    <row r="407" spans="1:37" x14ac:dyDescent="0.25">
      <c r="A407" t="s">
        <v>43</v>
      </c>
      <c r="B407">
        <v>406</v>
      </c>
      <c r="C407" t="s">
        <v>44</v>
      </c>
      <c r="J407" t="s">
        <v>54</v>
      </c>
      <c r="K407" t="s">
        <v>55</v>
      </c>
      <c r="L407" t="s">
        <v>233</v>
      </c>
      <c r="M407" t="s">
        <v>208</v>
      </c>
      <c r="AJ407">
        <v>1</v>
      </c>
      <c r="AK407" t="s">
        <v>209</v>
      </c>
    </row>
    <row r="408" spans="1:37" x14ac:dyDescent="0.25">
      <c r="A408" t="s">
        <v>43</v>
      </c>
      <c r="B408">
        <v>407</v>
      </c>
      <c r="C408" t="s">
        <v>44</v>
      </c>
      <c r="J408" t="s">
        <v>45</v>
      </c>
      <c r="K408" t="s">
        <v>46</v>
      </c>
      <c r="L408" t="s">
        <v>579</v>
      </c>
      <c r="M408" t="s">
        <v>48</v>
      </c>
      <c r="AJ408">
        <v>1</v>
      </c>
      <c r="AK408" t="s">
        <v>60</v>
      </c>
    </row>
    <row r="409" spans="1:37" x14ac:dyDescent="0.25">
      <c r="A409" t="s">
        <v>43</v>
      </c>
      <c r="B409">
        <v>408</v>
      </c>
      <c r="C409" t="s">
        <v>44</v>
      </c>
      <c r="J409" t="s">
        <v>45</v>
      </c>
      <c r="K409" t="s">
        <v>46</v>
      </c>
      <c r="L409" t="s">
        <v>580</v>
      </c>
      <c r="M409" t="s">
        <v>48</v>
      </c>
      <c r="AJ409">
        <v>1</v>
      </c>
      <c r="AK409" t="s">
        <v>60</v>
      </c>
    </row>
    <row r="410" spans="1:37" x14ac:dyDescent="0.25">
      <c r="A410" t="s">
        <v>43</v>
      </c>
      <c r="B410">
        <v>409</v>
      </c>
      <c r="C410" t="s">
        <v>44</v>
      </c>
      <c r="J410" t="s">
        <v>45</v>
      </c>
      <c r="K410" t="s">
        <v>46</v>
      </c>
      <c r="L410" t="s">
        <v>581</v>
      </c>
      <c r="M410" t="s">
        <v>48</v>
      </c>
      <c r="AJ410">
        <v>1</v>
      </c>
      <c r="AK410" t="s">
        <v>53</v>
      </c>
    </row>
    <row r="411" spans="1:37" x14ac:dyDescent="0.25">
      <c r="A411" t="s">
        <v>43</v>
      </c>
      <c r="B411">
        <v>410</v>
      </c>
      <c r="C411" t="s">
        <v>44</v>
      </c>
      <c r="J411" t="s">
        <v>54</v>
      </c>
      <c r="K411" t="s">
        <v>55</v>
      </c>
      <c r="L411" t="s">
        <v>582</v>
      </c>
      <c r="M411" t="s">
        <v>583</v>
      </c>
      <c r="AJ411">
        <v>1</v>
      </c>
      <c r="AK411" t="s">
        <v>58</v>
      </c>
    </row>
    <row r="412" spans="1:37" x14ac:dyDescent="0.25">
      <c r="A412" t="s">
        <v>43</v>
      </c>
      <c r="B412">
        <v>411</v>
      </c>
      <c r="C412" t="s">
        <v>44</v>
      </c>
      <c r="J412" t="s">
        <v>54</v>
      </c>
      <c r="K412" t="s">
        <v>55</v>
      </c>
      <c r="L412" t="s">
        <v>584</v>
      </c>
      <c r="M412" t="s">
        <v>585</v>
      </c>
      <c r="AJ412">
        <v>1</v>
      </c>
      <c r="AK412" t="s">
        <v>58</v>
      </c>
    </row>
    <row r="413" spans="1:37" x14ac:dyDescent="0.25">
      <c r="A413" t="s">
        <v>43</v>
      </c>
      <c r="B413">
        <v>412</v>
      </c>
      <c r="C413" t="s">
        <v>44</v>
      </c>
      <c r="J413" t="s">
        <v>45</v>
      </c>
      <c r="K413" t="s">
        <v>46</v>
      </c>
      <c r="L413" t="s">
        <v>586</v>
      </c>
      <c r="M413" t="s">
        <v>48</v>
      </c>
      <c r="AJ413">
        <v>1</v>
      </c>
      <c r="AK413" t="s">
        <v>60</v>
      </c>
    </row>
    <row r="414" spans="1:37" x14ac:dyDescent="0.25">
      <c r="A414" t="s">
        <v>43</v>
      </c>
      <c r="B414">
        <v>413</v>
      </c>
      <c r="C414" t="s">
        <v>44</v>
      </c>
      <c r="J414" t="s">
        <v>54</v>
      </c>
      <c r="K414" t="s">
        <v>55</v>
      </c>
      <c r="L414" t="s">
        <v>587</v>
      </c>
      <c r="M414" t="s">
        <v>155</v>
      </c>
      <c r="AJ414">
        <v>1</v>
      </c>
      <c r="AK414" t="s">
        <v>58</v>
      </c>
    </row>
    <row r="415" spans="1:37" x14ac:dyDescent="0.25">
      <c r="A415" t="s">
        <v>43</v>
      </c>
      <c r="B415">
        <v>414</v>
      </c>
      <c r="C415" t="s">
        <v>44</v>
      </c>
      <c r="J415" t="s">
        <v>54</v>
      </c>
      <c r="K415" t="s">
        <v>55</v>
      </c>
      <c r="L415" t="s">
        <v>588</v>
      </c>
      <c r="M415" t="s">
        <v>589</v>
      </c>
      <c r="AJ415">
        <v>1</v>
      </c>
      <c r="AK415" t="s">
        <v>58</v>
      </c>
    </row>
    <row r="416" spans="1:37" x14ac:dyDescent="0.25">
      <c r="A416" t="s">
        <v>43</v>
      </c>
      <c r="B416">
        <v>415</v>
      </c>
      <c r="C416" t="s">
        <v>44</v>
      </c>
      <c r="J416" t="s">
        <v>54</v>
      </c>
      <c r="K416" t="s">
        <v>55</v>
      </c>
      <c r="L416" t="s">
        <v>590</v>
      </c>
      <c r="M416" t="s">
        <v>591</v>
      </c>
      <c r="AJ416">
        <v>1</v>
      </c>
      <c r="AK416" t="s">
        <v>58</v>
      </c>
    </row>
    <row r="417" spans="1:37" x14ac:dyDescent="0.25">
      <c r="A417" t="s">
        <v>43</v>
      </c>
      <c r="B417">
        <v>416</v>
      </c>
      <c r="C417" t="s">
        <v>44</v>
      </c>
      <c r="J417" t="s">
        <v>54</v>
      </c>
      <c r="K417" t="s">
        <v>55</v>
      </c>
      <c r="L417" t="s">
        <v>592</v>
      </c>
      <c r="M417" t="s">
        <v>593</v>
      </c>
      <c r="AJ417">
        <v>1</v>
      </c>
      <c r="AK417" t="s">
        <v>58</v>
      </c>
    </row>
    <row r="418" spans="1:37" x14ac:dyDescent="0.25">
      <c r="A418" t="s">
        <v>43</v>
      </c>
      <c r="B418">
        <v>417</v>
      </c>
      <c r="C418" t="s">
        <v>44</v>
      </c>
      <c r="J418" t="s">
        <v>45</v>
      </c>
      <c r="K418" t="s">
        <v>46</v>
      </c>
      <c r="L418" t="s">
        <v>594</v>
      </c>
      <c r="M418" t="s">
        <v>48</v>
      </c>
      <c r="AJ418">
        <v>1</v>
      </c>
      <c r="AK418" t="s">
        <v>60</v>
      </c>
    </row>
    <row r="419" spans="1:37" x14ac:dyDescent="0.25">
      <c r="A419" t="s">
        <v>43</v>
      </c>
      <c r="B419">
        <v>418</v>
      </c>
      <c r="C419" t="s">
        <v>44</v>
      </c>
      <c r="J419" t="s">
        <v>45</v>
      </c>
      <c r="K419" t="s">
        <v>46</v>
      </c>
      <c r="L419" t="s">
        <v>595</v>
      </c>
      <c r="M419" t="s">
        <v>48</v>
      </c>
      <c r="AJ419">
        <v>1</v>
      </c>
      <c r="AK419" t="s">
        <v>53</v>
      </c>
    </row>
    <row r="420" spans="1:37" x14ac:dyDescent="0.25">
      <c r="A420" t="s">
        <v>43</v>
      </c>
      <c r="B420">
        <v>419</v>
      </c>
      <c r="C420" t="s">
        <v>44</v>
      </c>
      <c r="J420" t="s">
        <v>45</v>
      </c>
      <c r="K420" t="s">
        <v>46</v>
      </c>
      <c r="L420" t="s">
        <v>596</v>
      </c>
      <c r="M420" t="s">
        <v>48</v>
      </c>
      <c r="AJ420">
        <v>1</v>
      </c>
      <c r="AK420" t="s">
        <v>60</v>
      </c>
    </row>
    <row r="421" spans="1:37" x14ac:dyDescent="0.25">
      <c r="A421" t="s">
        <v>43</v>
      </c>
      <c r="B421">
        <v>420</v>
      </c>
      <c r="C421" t="s">
        <v>44</v>
      </c>
      <c r="J421" t="s">
        <v>45</v>
      </c>
      <c r="K421" t="s">
        <v>46</v>
      </c>
      <c r="L421" t="s">
        <v>597</v>
      </c>
      <c r="M421" t="s">
        <v>48</v>
      </c>
      <c r="AJ421">
        <v>1</v>
      </c>
      <c r="AK421" t="s">
        <v>60</v>
      </c>
    </row>
    <row r="422" spans="1:37" x14ac:dyDescent="0.25">
      <c r="A422" t="s">
        <v>43</v>
      </c>
      <c r="B422">
        <v>421</v>
      </c>
      <c r="C422" t="s">
        <v>44</v>
      </c>
      <c r="J422" t="s">
        <v>45</v>
      </c>
      <c r="K422" t="s">
        <v>46</v>
      </c>
      <c r="L422" t="s">
        <v>598</v>
      </c>
      <c r="M422" t="s">
        <v>48</v>
      </c>
      <c r="AJ422">
        <v>1</v>
      </c>
      <c r="AK422" t="s">
        <v>60</v>
      </c>
    </row>
    <row r="423" spans="1:37" x14ac:dyDescent="0.25">
      <c r="A423" t="s">
        <v>43</v>
      </c>
      <c r="B423">
        <v>422</v>
      </c>
      <c r="C423" t="s">
        <v>44</v>
      </c>
      <c r="J423" t="s">
        <v>45</v>
      </c>
      <c r="K423" t="s">
        <v>46</v>
      </c>
      <c r="L423" t="s">
        <v>599</v>
      </c>
      <c r="M423" t="s">
        <v>48</v>
      </c>
      <c r="AJ423">
        <v>1</v>
      </c>
      <c r="AK423" t="s">
        <v>60</v>
      </c>
    </row>
    <row r="424" spans="1:37" x14ac:dyDescent="0.25">
      <c r="A424" t="s">
        <v>43</v>
      </c>
      <c r="B424">
        <v>423</v>
      </c>
      <c r="C424" t="s">
        <v>44</v>
      </c>
      <c r="J424" t="s">
        <v>54</v>
      </c>
      <c r="K424" t="s">
        <v>55</v>
      </c>
      <c r="L424" t="s">
        <v>600</v>
      </c>
      <c r="M424" t="s">
        <v>601</v>
      </c>
      <c r="AJ424">
        <v>1</v>
      </c>
      <c r="AK424" t="s">
        <v>58</v>
      </c>
    </row>
    <row r="425" spans="1:37" x14ac:dyDescent="0.25">
      <c r="A425" t="s">
        <v>43</v>
      </c>
      <c r="B425">
        <v>424</v>
      </c>
      <c r="C425" t="s">
        <v>44</v>
      </c>
      <c r="J425" t="s">
        <v>54</v>
      </c>
      <c r="K425" t="s">
        <v>55</v>
      </c>
      <c r="L425" t="s">
        <v>602</v>
      </c>
      <c r="M425" t="s">
        <v>603</v>
      </c>
      <c r="AJ425">
        <v>1</v>
      </c>
      <c r="AK425" t="s">
        <v>58</v>
      </c>
    </row>
    <row r="426" spans="1:37" x14ac:dyDescent="0.25">
      <c r="A426" t="s">
        <v>43</v>
      </c>
      <c r="B426">
        <v>425</v>
      </c>
      <c r="C426" t="s">
        <v>44</v>
      </c>
      <c r="J426" t="s">
        <v>45</v>
      </c>
      <c r="K426" t="s">
        <v>46</v>
      </c>
      <c r="L426" t="s">
        <v>604</v>
      </c>
      <c r="M426" t="s">
        <v>48</v>
      </c>
      <c r="AJ426">
        <v>1</v>
      </c>
      <c r="AK426" t="s">
        <v>60</v>
      </c>
    </row>
    <row r="427" spans="1:37" x14ac:dyDescent="0.25">
      <c r="A427" t="s">
        <v>43</v>
      </c>
      <c r="B427">
        <v>426</v>
      </c>
      <c r="C427" t="s">
        <v>44</v>
      </c>
      <c r="J427" t="s">
        <v>45</v>
      </c>
      <c r="K427" t="s">
        <v>46</v>
      </c>
      <c r="L427" t="s">
        <v>605</v>
      </c>
      <c r="M427" t="s">
        <v>48</v>
      </c>
      <c r="AJ427">
        <v>1</v>
      </c>
      <c r="AK427" t="s">
        <v>60</v>
      </c>
    </row>
    <row r="428" spans="1:37" x14ac:dyDescent="0.25">
      <c r="A428" t="s">
        <v>43</v>
      </c>
      <c r="B428">
        <v>427</v>
      </c>
      <c r="C428" t="s">
        <v>44</v>
      </c>
      <c r="J428" t="s">
        <v>45</v>
      </c>
      <c r="K428" t="s">
        <v>46</v>
      </c>
      <c r="L428" t="s">
        <v>606</v>
      </c>
      <c r="M428" t="s">
        <v>48</v>
      </c>
      <c r="AJ428">
        <v>1</v>
      </c>
      <c r="AK428" t="s">
        <v>60</v>
      </c>
    </row>
    <row r="429" spans="1:37" x14ac:dyDescent="0.25">
      <c r="A429" t="s">
        <v>43</v>
      </c>
      <c r="B429">
        <v>428</v>
      </c>
      <c r="C429" t="s">
        <v>44</v>
      </c>
      <c r="J429" t="s">
        <v>54</v>
      </c>
      <c r="K429" t="s">
        <v>55</v>
      </c>
      <c r="L429" t="s">
        <v>607</v>
      </c>
      <c r="M429" t="s">
        <v>608</v>
      </c>
      <c r="AJ429">
        <v>1</v>
      </c>
      <c r="AK429" t="s">
        <v>58</v>
      </c>
    </row>
    <row r="430" spans="1:37" x14ac:dyDescent="0.25">
      <c r="A430" t="s">
        <v>43</v>
      </c>
      <c r="B430">
        <v>429</v>
      </c>
      <c r="C430" t="s">
        <v>44</v>
      </c>
      <c r="J430" t="s">
        <v>45</v>
      </c>
      <c r="K430" t="s">
        <v>46</v>
      </c>
      <c r="L430" t="s">
        <v>609</v>
      </c>
      <c r="M430" t="s">
        <v>48</v>
      </c>
      <c r="AJ430">
        <v>1</v>
      </c>
      <c r="AK430" t="s">
        <v>76</v>
      </c>
    </row>
    <row r="431" spans="1:37" x14ac:dyDescent="0.25">
      <c r="A431" t="s">
        <v>43</v>
      </c>
      <c r="B431">
        <v>430</v>
      </c>
      <c r="C431" t="s">
        <v>44</v>
      </c>
      <c r="J431" t="s">
        <v>45</v>
      </c>
      <c r="K431" t="s">
        <v>46</v>
      </c>
      <c r="L431" t="s">
        <v>610</v>
      </c>
      <c r="M431" t="s">
        <v>48</v>
      </c>
      <c r="AJ431">
        <v>1</v>
      </c>
      <c r="AK431" t="s">
        <v>51</v>
      </c>
    </row>
    <row r="432" spans="1:37" x14ac:dyDescent="0.25">
      <c r="A432" t="s">
        <v>43</v>
      </c>
      <c r="B432">
        <v>431</v>
      </c>
      <c r="C432" t="s">
        <v>44</v>
      </c>
      <c r="J432" t="s">
        <v>45</v>
      </c>
      <c r="K432" t="s">
        <v>46</v>
      </c>
      <c r="L432" t="s">
        <v>611</v>
      </c>
      <c r="M432" t="s">
        <v>48</v>
      </c>
      <c r="AJ432">
        <v>1</v>
      </c>
      <c r="AK432" t="s">
        <v>60</v>
      </c>
    </row>
    <row r="433" spans="1:37" x14ac:dyDescent="0.25">
      <c r="A433" t="s">
        <v>43</v>
      </c>
      <c r="B433">
        <v>432</v>
      </c>
      <c r="C433" t="s">
        <v>44</v>
      </c>
      <c r="J433" t="s">
        <v>45</v>
      </c>
      <c r="K433" t="s">
        <v>46</v>
      </c>
      <c r="L433" t="s">
        <v>612</v>
      </c>
      <c r="M433" t="s">
        <v>48</v>
      </c>
      <c r="AJ433">
        <v>1</v>
      </c>
      <c r="AK433" t="s">
        <v>60</v>
      </c>
    </row>
    <row r="434" spans="1:37" x14ac:dyDescent="0.25">
      <c r="A434" t="s">
        <v>43</v>
      </c>
      <c r="B434">
        <v>433</v>
      </c>
      <c r="C434" t="s">
        <v>44</v>
      </c>
      <c r="J434" t="s">
        <v>45</v>
      </c>
      <c r="K434" t="s">
        <v>46</v>
      </c>
      <c r="L434" t="s">
        <v>613</v>
      </c>
      <c r="M434" t="s">
        <v>48</v>
      </c>
      <c r="AJ434">
        <v>1</v>
      </c>
      <c r="AK434" t="s">
        <v>60</v>
      </c>
    </row>
    <row r="435" spans="1:37" x14ac:dyDescent="0.25">
      <c r="A435" t="s">
        <v>43</v>
      </c>
      <c r="B435">
        <v>434</v>
      </c>
      <c r="C435" t="s">
        <v>44</v>
      </c>
      <c r="J435" t="s">
        <v>54</v>
      </c>
      <c r="K435" t="s">
        <v>55</v>
      </c>
      <c r="L435" t="s">
        <v>614</v>
      </c>
      <c r="M435" t="s">
        <v>615</v>
      </c>
      <c r="AJ435">
        <v>1</v>
      </c>
      <c r="AK435" t="s">
        <v>58</v>
      </c>
    </row>
    <row r="436" spans="1:37" x14ac:dyDescent="0.25">
      <c r="A436" t="s">
        <v>43</v>
      </c>
      <c r="B436">
        <v>435</v>
      </c>
      <c r="C436" t="s">
        <v>44</v>
      </c>
      <c r="J436" t="s">
        <v>45</v>
      </c>
      <c r="K436" t="s">
        <v>46</v>
      </c>
      <c r="L436" t="s">
        <v>616</v>
      </c>
      <c r="M436" t="s">
        <v>48</v>
      </c>
      <c r="AJ436">
        <v>1</v>
      </c>
      <c r="AK436" t="s">
        <v>60</v>
      </c>
    </row>
    <row r="437" spans="1:37" x14ac:dyDescent="0.25">
      <c r="A437" t="s">
        <v>43</v>
      </c>
      <c r="B437">
        <v>436</v>
      </c>
      <c r="C437" t="s">
        <v>44</v>
      </c>
      <c r="J437" t="s">
        <v>54</v>
      </c>
      <c r="K437" t="s">
        <v>55</v>
      </c>
      <c r="L437" t="s">
        <v>617</v>
      </c>
      <c r="M437" t="s">
        <v>618</v>
      </c>
      <c r="AJ437">
        <v>1</v>
      </c>
      <c r="AK437" t="s">
        <v>58</v>
      </c>
    </row>
    <row r="438" spans="1:37" x14ac:dyDescent="0.25">
      <c r="A438" t="s">
        <v>43</v>
      </c>
      <c r="B438">
        <v>437</v>
      </c>
      <c r="C438" t="s">
        <v>44</v>
      </c>
      <c r="J438" t="s">
        <v>45</v>
      </c>
      <c r="K438" t="s">
        <v>46</v>
      </c>
      <c r="L438" t="s">
        <v>619</v>
      </c>
      <c r="M438" t="s">
        <v>48</v>
      </c>
      <c r="AJ438" t="s">
        <v>620</v>
      </c>
      <c r="AK438" t="s">
        <v>60</v>
      </c>
    </row>
    <row r="439" spans="1:37" x14ac:dyDescent="0.25">
      <c r="A439" t="s">
        <v>43</v>
      </c>
      <c r="B439">
        <v>438</v>
      </c>
      <c r="C439" t="s">
        <v>44</v>
      </c>
      <c r="J439" t="s">
        <v>54</v>
      </c>
      <c r="K439" t="s">
        <v>55</v>
      </c>
      <c r="L439" t="s">
        <v>621</v>
      </c>
      <c r="M439" t="s">
        <v>622</v>
      </c>
      <c r="AJ439">
        <v>1</v>
      </c>
      <c r="AK439" t="s">
        <v>58</v>
      </c>
    </row>
    <row r="440" spans="1:37" x14ac:dyDescent="0.25">
      <c r="A440" t="s">
        <v>43</v>
      </c>
      <c r="B440">
        <v>439</v>
      </c>
      <c r="C440" t="s">
        <v>44</v>
      </c>
      <c r="J440" t="s">
        <v>54</v>
      </c>
      <c r="K440" t="s">
        <v>55</v>
      </c>
      <c r="L440" t="s">
        <v>623</v>
      </c>
      <c r="M440" t="s">
        <v>624</v>
      </c>
      <c r="AJ440">
        <v>1</v>
      </c>
      <c r="AK440" t="s">
        <v>58</v>
      </c>
    </row>
    <row r="441" spans="1:37" x14ac:dyDescent="0.25">
      <c r="A441" t="s">
        <v>43</v>
      </c>
      <c r="B441">
        <v>440</v>
      </c>
      <c r="C441" t="s">
        <v>44</v>
      </c>
      <c r="J441" t="s">
        <v>45</v>
      </c>
      <c r="K441" t="s">
        <v>46</v>
      </c>
      <c r="L441" t="s">
        <v>625</v>
      </c>
      <c r="M441" t="s">
        <v>48</v>
      </c>
      <c r="AJ441">
        <v>1</v>
      </c>
      <c r="AK441" t="s">
        <v>53</v>
      </c>
    </row>
    <row r="442" spans="1:37" x14ac:dyDescent="0.25">
      <c r="A442" t="s">
        <v>43</v>
      </c>
      <c r="B442">
        <v>441</v>
      </c>
      <c r="C442" t="s">
        <v>44</v>
      </c>
      <c r="J442" t="s">
        <v>45</v>
      </c>
      <c r="K442" t="s">
        <v>46</v>
      </c>
      <c r="L442" t="s">
        <v>626</v>
      </c>
      <c r="M442" t="s">
        <v>48</v>
      </c>
      <c r="AJ442">
        <v>1</v>
      </c>
      <c r="AK442" t="s">
        <v>51</v>
      </c>
    </row>
    <row r="443" spans="1:37" x14ac:dyDescent="0.25">
      <c r="A443" t="s">
        <v>43</v>
      </c>
      <c r="B443">
        <v>442</v>
      </c>
      <c r="C443" t="s">
        <v>44</v>
      </c>
      <c r="J443" t="s">
        <v>45</v>
      </c>
      <c r="K443" t="s">
        <v>46</v>
      </c>
      <c r="L443" t="s">
        <v>627</v>
      </c>
      <c r="M443" t="s">
        <v>48</v>
      </c>
      <c r="AJ443">
        <v>1</v>
      </c>
      <c r="AK443" t="s">
        <v>60</v>
      </c>
    </row>
    <row r="444" spans="1:37" x14ac:dyDescent="0.25">
      <c r="A444" t="s">
        <v>43</v>
      </c>
      <c r="B444">
        <v>443</v>
      </c>
      <c r="C444" t="s">
        <v>44</v>
      </c>
      <c r="J444" t="s">
        <v>45</v>
      </c>
      <c r="K444" t="s">
        <v>46</v>
      </c>
      <c r="L444" t="s">
        <v>628</v>
      </c>
      <c r="M444" t="s">
        <v>48</v>
      </c>
      <c r="AJ444">
        <v>1</v>
      </c>
      <c r="AK444" t="s">
        <v>60</v>
      </c>
    </row>
    <row r="445" spans="1:37" x14ac:dyDescent="0.25">
      <c r="A445" t="s">
        <v>43</v>
      </c>
      <c r="B445">
        <v>444</v>
      </c>
      <c r="C445" t="s">
        <v>44</v>
      </c>
      <c r="J445" t="s">
        <v>45</v>
      </c>
      <c r="K445" t="s">
        <v>46</v>
      </c>
      <c r="L445" t="s">
        <v>629</v>
      </c>
      <c r="M445" t="s">
        <v>48</v>
      </c>
      <c r="AJ445">
        <v>1</v>
      </c>
      <c r="AK445" t="s">
        <v>60</v>
      </c>
    </row>
    <row r="446" spans="1:37" x14ac:dyDescent="0.25">
      <c r="A446" t="s">
        <v>43</v>
      </c>
      <c r="B446">
        <v>445</v>
      </c>
      <c r="C446" t="s">
        <v>44</v>
      </c>
      <c r="J446" t="s">
        <v>54</v>
      </c>
      <c r="K446" t="s">
        <v>55</v>
      </c>
      <c r="L446" t="s">
        <v>630</v>
      </c>
      <c r="M446" t="s">
        <v>631</v>
      </c>
      <c r="AJ446">
        <v>1</v>
      </c>
      <c r="AK446" t="s">
        <v>58</v>
      </c>
    </row>
    <row r="447" spans="1:37" x14ac:dyDescent="0.25">
      <c r="A447" t="s">
        <v>43</v>
      </c>
      <c r="B447">
        <v>446</v>
      </c>
      <c r="C447" t="s">
        <v>44</v>
      </c>
      <c r="J447" t="s">
        <v>45</v>
      </c>
      <c r="K447" t="s">
        <v>46</v>
      </c>
      <c r="L447" t="s">
        <v>632</v>
      </c>
      <c r="M447" t="s">
        <v>48</v>
      </c>
      <c r="AJ447">
        <v>1</v>
      </c>
      <c r="AK447" t="s">
        <v>60</v>
      </c>
    </row>
    <row r="448" spans="1:37" x14ac:dyDescent="0.25">
      <c r="A448" t="s">
        <v>43</v>
      </c>
      <c r="B448">
        <v>447</v>
      </c>
      <c r="C448" t="s">
        <v>44</v>
      </c>
      <c r="J448" t="s">
        <v>45</v>
      </c>
      <c r="K448" t="s">
        <v>46</v>
      </c>
      <c r="L448" t="s">
        <v>633</v>
      </c>
      <c r="M448" t="s">
        <v>48</v>
      </c>
      <c r="AJ448">
        <v>1</v>
      </c>
      <c r="AK448" t="s">
        <v>60</v>
      </c>
    </row>
    <row r="449" spans="1:37" x14ac:dyDescent="0.25">
      <c r="A449" t="s">
        <v>43</v>
      </c>
      <c r="B449">
        <v>448</v>
      </c>
      <c r="C449" t="s">
        <v>44</v>
      </c>
      <c r="J449" t="s">
        <v>54</v>
      </c>
      <c r="K449" t="s">
        <v>55</v>
      </c>
      <c r="L449" t="s">
        <v>634</v>
      </c>
      <c r="M449" t="s">
        <v>635</v>
      </c>
      <c r="AJ449">
        <v>1</v>
      </c>
      <c r="AK449" t="s">
        <v>58</v>
      </c>
    </row>
    <row r="450" spans="1:37" x14ac:dyDescent="0.25">
      <c r="A450" t="s">
        <v>43</v>
      </c>
      <c r="B450">
        <v>449</v>
      </c>
      <c r="C450" t="s">
        <v>44</v>
      </c>
      <c r="J450" t="s">
        <v>45</v>
      </c>
      <c r="K450" t="s">
        <v>46</v>
      </c>
      <c r="L450" t="s">
        <v>636</v>
      </c>
      <c r="M450" t="s">
        <v>48</v>
      </c>
      <c r="AJ450">
        <v>1</v>
      </c>
      <c r="AK450" t="s">
        <v>60</v>
      </c>
    </row>
    <row r="451" spans="1:37" x14ac:dyDescent="0.25">
      <c r="A451" t="s">
        <v>43</v>
      </c>
      <c r="B451">
        <v>450</v>
      </c>
      <c r="C451" t="s">
        <v>44</v>
      </c>
      <c r="J451" t="s">
        <v>54</v>
      </c>
      <c r="K451" t="s">
        <v>55</v>
      </c>
      <c r="L451" t="s">
        <v>637</v>
      </c>
      <c r="M451" t="s">
        <v>638</v>
      </c>
      <c r="AJ451">
        <v>1</v>
      </c>
      <c r="AK451" t="s">
        <v>58</v>
      </c>
    </row>
    <row r="452" spans="1:37" x14ac:dyDescent="0.25">
      <c r="A452" t="s">
        <v>43</v>
      </c>
      <c r="B452">
        <v>451</v>
      </c>
      <c r="C452" t="s">
        <v>44</v>
      </c>
      <c r="J452" t="s">
        <v>45</v>
      </c>
      <c r="K452" t="s">
        <v>46</v>
      </c>
      <c r="L452" t="s">
        <v>639</v>
      </c>
      <c r="M452" t="s">
        <v>48</v>
      </c>
      <c r="AJ452">
        <v>1</v>
      </c>
      <c r="AK452" t="s">
        <v>60</v>
      </c>
    </row>
    <row r="453" spans="1:37" x14ac:dyDescent="0.25">
      <c r="A453" t="s">
        <v>43</v>
      </c>
      <c r="B453">
        <v>452</v>
      </c>
      <c r="C453" t="s">
        <v>44</v>
      </c>
      <c r="J453" t="s">
        <v>45</v>
      </c>
      <c r="K453" t="s">
        <v>46</v>
      </c>
      <c r="L453" t="s">
        <v>640</v>
      </c>
      <c r="M453" t="s">
        <v>48</v>
      </c>
      <c r="AJ453">
        <v>1</v>
      </c>
      <c r="AK453" t="s">
        <v>60</v>
      </c>
    </row>
    <row r="454" spans="1:37" x14ac:dyDescent="0.25">
      <c r="A454" t="s">
        <v>43</v>
      </c>
      <c r="B454">
        <v>453</v>
      </c>
      <c r="C454" t="s">
        <v>44</v>
      </c>
      <c r="J454" t="s">
        <v>54</v>
      </c>
      <c r="K454" t="s">
        <v>55</v>
      </c>
      <c r="L454" t="s">
        <v>641</v>
      </c>
      <c r="M454" t="s">
        <v>642</v>
      </c>
      <c r="AJ454">
        <v>1</v>
      </c>
      <c r="AK454" t="s">
        <v>58</v>
      </c>
    </row>
    <row r="455" spans="1:37" x14ac:dyDescent="0.25">
      <c r="A455" t="s">
        <v>43</v>
      </c>
      <c r="B455">
        <v>454</v>
      </c>
      <c r="C455" t="s">
        <v>44</v>
      </c>
      <c r="J455" t="s">
        <v>45</v>
      </c>
      <c r="K455" t="s">
        <v>46</v>
      </c>
      <c r="L455" t="s">
        <v>643</v>
      </c>
      <c r="M455" t="s">
        <v>48</v>
      </c>
      <c r="AJ455">
        <v>1</v>
      </c>
      <c r="AK455" t="s">
        <v>60</v>
      </c>
    </row>
    <row r="456" spans="1:37" x14ac:dyDescent="0.25">
      <c r="A456" t="s">
        <v>43</v>
      </c>
      <c r="B456">
        <v>455</v>
      </c>
      <c r="C456" t="s">
        <v>44</v>
      </c>
      <c r="J456" t="s">
        <v>54</v>
      </c>
      <c r="K456" t="s">
        <v>55</v>
      </c>
      <c r="L456" t="s">
        <v>644</v>
      </c>
      <c r="M456" t="s">
        <v>476</v>
      </c>
      <c r="AJ456">
        <v>1</v>
      </c>
      <c r="AK456" t="s">
        <v>58</v>
      </c>
    </row>
    <row r="457" spans="1:37" x14ac:dyDescent="0.25">
      <c r="A457" t="s">
        <v>43</v>
      </c>
      <c r="B457">
        <v>456</v>
      </c>
      <c r="C457" t="s">
        <v>44</v>
      </c>
      <c r="J457" t="s">
        <v>45</v>
      </c>
      <c r="K457" t="s">
        <v>46</v>
      </c>
      <c r="L457" t="s">
        <v>645</v>
      </c>
      <c r="M457" t="s">
        <v>48</v>
      </c>
      <c r="AJ457">
        <v>1</v>
      </c>
      <c r="AK457" t="s">
        <v>60</v>
      </c>
    </row>
    <row r="458" spans="1:37" x14ac:dyDescent="0.25">
      <c r="A458" t="s">
        <v>43</v>
      </c>
      <c r="B458">
        <v>457</v>
      </c>
      <c r="C458" t="s">
        <v>44</v>
      </c>
      <c r="J458" t="s">
        <v>54</v>
      </c>
      <c r="K458" t="s">
        <v>55</v>
      </c>
      <c r="L458" t="s">
        <v>646</v>
      </c>
      <c r="M458" t="s">
        <v>647</v>
      </c>
      <c r="AJ458">
        <v>1</v>
      </c>
      <c r="AK458" t="s">
        <v>58</v>
      </c>
    </row>
    <row r="459" spans="1:37" x14ac:dyDescent="0.25">
      <c r="A459" t="s">
        <v>43</v>
      </c>
      <c r="B459">
        <v>458</v>
      </c>
      <c r="C459" t="s">
        <v>44</v>
      </c>
      <c r="J459" t="s">
        <v>45</v>
      </c>
      <c r="K459" t="s">
        <v>46</v>
      </c>
      <c r="L459" t="s">
        <v>648</v>
      </c>
      <c r="M459" t="s">
        <v>48</v>
      </c>
      <c r="AJ459">
        <v>1</v>
      </c>
      <c r="AK459" t="s">
        <v>60</v>
      </c>
    </row>
    <row r="460" spans="1:37" x14ac:dyDescent="0.25">
      <c r="A460" t="s">
        <v>43</v>
      </c>
      <c r="B460">
        <v>459</v>
      </c>
      <c r="C460" t="s">
        <v>44</v>
      </c>
      <c r="J460" t="s">
        <v>45</v>
      </c>
      <c r="K460" t="s">
        <v>46</v>
      </c>
      <c r="L460" t="s">
        <v>649</v>
      </c>
      <c r="M460" t="s">
        <v>48</v>
      </c>
      <c r="AJ460">
        <v>1</v>
      </c>
      <c r="AK460" t="s">
        <v>60</v>
      </c>
    </row>
    <row r="461" spans="1:37" x14ac:dyDescent="0.25">
      <c r="A461" t="s">
        <v>43</v>
      </c>
      <c r="B461">
        <v>460</v>
      </c>
      <c r="C461" t="s">
        <v>44</v>
      </c>
      <c r="J461" t="s">
        <v>45</v>
      </c>
      <c r="K461" t="s">
        <v>46</v>
      </c>
      <c r="L461" t="s">
        <v>650</v>
      </c>
      <c r="M461" t="s">
        <v>48</v>
      </c>
      <c r="AJ461">
        <v>1</v>
      </c>
      <c r="AK461" t="s">
        <v>60</v>
      </c>
    </row>
    <row r="462" spans="1:37" x14ac:dyDescent="0.25">
      <c r="A462" t="s">
        <v>43</v>
      </c>
      <c r="B462">
        <v>461</v>
      </c>
      <c r="C462" t="s">
        <v>44</v>
      </c>
      <c r="J462" t="s">
        <v>45</v>
      </c>
      <c r="K462" t="s">
        <v>46</v>
      </c>
      <c r="L462" t="s">
        <v>651</v>
      </c>
      <c r="M462" t="s">
        <v>48</v>
      </c>
      <c r="AJ462">
        <v>1</v>
      </c>
      <c r="AK462" t="s">
        <v>60</v>
      </c>
    </row>
    <row r="463" spans="1:37" x14ac:dyDescent="0.25">
      <c r="A463" t="s">
        <v>43</v>
      </c>
      <c r="B463">
        <v>462</v>
      </c>
      <c r="C463" t="s">
        <v>44</v>
      </c>
      <c r="J463" t="s">
        <v>45</v>
      </c>
      <c r="K463" t="s">
        <v>187</v>
      </c>
      <c r="L463" t="s">
        <v>652</v>
      </c>
      <c r="M463" t="s">
        <v>653</v>
      </c>
      <c r="AJ463">
        <v>1</v>
      </c>
      <c r="AK463" t="s">
        <v>190</v>
      </c>
    </row>
    <row r="464" spans="1:37" x14ac:dyDescent="0.25">
      <c r="A464" t="s">
        <v>43</v>
      </c>
      <c r="B464">
        <v>463</v>
      </c>
      <c r="C464" t="s">
        <v>44</v>
      </c>
      <c r="J464" t="s">
        <v>45</v>
      </c>
      <c r="K464" t="s">
        <v>46</v>
      </c>
      <c r="L464" t="s">
        <v>654</v>
      </c>
      <c r="M464" t="s">
        <v>48</v>
      </c>
      <c r="AJ464">
        <v>1</v>
      </c>
      <c r="AK464" t="s">
        <v>51</v>
      </c>
    </row>
    <row r="465" spans="1:37" x14ac:dyDescent="0.25">
      <c r="A465" t="s">
        <v>43</v>
      </c>
      <c r="B465">
        <v>464</v>
      </c>
      <c r="C465" t="s">
        <v>44</v>
      </c>
      <c r="J465" t="s">
        <v>54</v>
      </c>
      <c r="K465" t="s">
        <v>55</v>
      </c>
      <c r="L465" t="s">
        <v>655</v>
      </c>
      <c r="M465" t="s">
        <v>656</v>
      </c>
      <c r="AJ465">
        <v>1</v>
      </c>
      <c r="AK465" t="s">
        <v>58</v>
      </c>
    </row>
    <row r="466" spans="1:37" x14ac:dyDescent="0.25">
      <c r="A466" t="s">
        <v>43</v>
      </c>
      <c r="B466">
        <v>465</v>
      </c>
      <c r="C466" t="s">
        <v>44</v>
      </c>
      <c r="J466" t="s">
        <v>54</v>
      </c>
      <c r="K466" t="s">
        <v>55</v>
      </c>
      <c r="L466" t="s">
        <v>657</v>
      </c>
      <c r="M466" t="s">
        <v>658</v>
      </c>
      <c r="AJ466">
        <v>1</v>
      </c>
      <c r="AK466" t="s">
        <v>58</v>
      </c>
    </row>
    <row r="467" spans="1:37" x14ac:dyDescent="0.25">
      <c r="A467" t="s">
        <v>43</v>
      </c>
      <c r="B467">
        <v>466</v>
      </c>
      <c r="C467" t="s">
        <v>44</v>
      </c>
      <c r="J467" t="s">
        <v>45</v>
      </c>
      <c r="K467" t="s">
        <v>46</v>
      </c>
      <c r="L467" t="s">
        <v>659</v>
      </c>
      <c r="M467" t="s">
        <v>48</v>
      </c>
      <c r="AJ467">
        <v>1</v>
      </c>
      <c r="AK467" t="s">
        <v>60</v>
      </c>
    </row>
    <row r="468" spans="1:37" x14ac:dyDescent="0.25">
      <c r="A468" t="s">
        <v>43</v>
      </c>
      <c r="B468">
        <v>467</v>
      </c>
      <c r="C468" t="s">
        <v>44</v>
      </c>
      <c r="J468" t="s">
        <v>54</v>
      </c>
      <c r="K468" t="s">
        <v>55</v>
      </c>
      <c r="L468" t="s">
        <v>660</v>
      </c>
      <c r="M468" t="s">
        <v>661</v>
      </c>
      <c r="AJ468">
        <v>1</v>
      </c>
      <c r="AK468" t="s">
        <v>58</v>
      </c>
    </row>
    <row r="469" spans="1:37" x14ac:dyDescent="0.25">
      <c r="A469" t="s">
        <v>43</v>
      </c>
      <c r="B469">
        <v>468</v>
      </c>
      <c r="C469" t="s">
        <v>44</v>
      </c>
      <c r="J469" t="s">
        <v>45</v>
      </c>
      <c r="K469" t="s">
        <v>46</v>
      </c>
      <c r="L469" t="s">
        <v>662</v>
      </c>
      <c r="M469" t="s">
        <v>48</v>
      </c>
      <c r="AJ469">
        <v>1</v>
      </c>
      <c r="AK469" t="s">
        <v>60</v>
      </c>
    </row>
    <row r="470" spans="1:37" x14ac:dyDescent="0.25">
      <c r="A470" t="s">
        <v>43</v>
      </c>
      <c r="B470">
        <v>469</v>
      </c>
      <c r="C470" t="s">
        <v>44</v>
      </c>
      <c r="J470" t="s">
        <v>45</v>
      </c>
      <c r="K470" t="s">
        <v>46</v>
      </c>
      <c r="L470" t="s">
        <v>663</v>
      </c>
      <c r="M470" t="s">
        <v>48</v>
      </c>
      <c r="AJ470">
        <v>1</v>
      </c>
      <c r="AK470" t="s">
        <v>60</v>
      </c>
    </row>
    <row r="471" spans="1:37" x14ac:dyDescent="0.25">
      <c r="A471" t="s">
        <v>43</v>
      </c>
      <c r="B471">
        <v>470</v>
      </c>
      <c r="C471" t="s">
        <v>44</v>
      </c>
      <c r="J471" t="s">
        <v>54</v>
      </c>
      <c r="K471" t="s">
        <v>55</v>
      </c>
      <c r="L471" t="s">
        <v>664</v>
      </c>
      <c r="M471" t="s">
        <v>665</v>
      </c>
      <c r="AJ471">
        <v>1</v>
      </c>
      <c r="AK471" t="s">
        <v>58</v>
      </c>
    </row>
    <row r="472" spans="1:37" x14ac:dyDescent="0.25">
      <c r="A472" t="s">
        <v>43</v>
      </c>
      <c r="B472">
        <v>471</v>
      </c>
      <c r="C472" t="s">
        <v>44</v>
      </c>
      <c r="J472" t="s">
        <v>54</v>
      </c>
      <c r="K472" t="s">
        <v>55</v>
      </c>
      <c r="L472" t="s">
        <v>666</v>
      </c>
      <c r="M472" t="s">
        <v>667</v>
      </c>
      <c r="AJ472">
        <v>1</v>
      </c>
      <c r="AK472" t="s">
        <v>58</v>
      </c>
    </row>
    <row r="473" spans="1:37" x14ac:dyDescent="0.25">
      <c r="A473" t="s">
        <v>43</v>
      </c>
      <c r="B473">
        <v>472</v>
      </c>
      <c r="C473" t="s">
        <v>44</v>
      </c>
      <c r="J473" t="s">
        <v>45</v>
      </c>
      <c r="K473" t="s">
        <v>46</v>
      </c>
      <c r="L473" t="s">
        <v>668</v>
      </c>
      <c r="M473" t="s">
        <v>48</v>
      </c>
      <c r="AJ473">
        <v>1</v>
      </c>
      <c r="AK473" t="s">
        <v>60</v>
      </c>
    </row>
    <row r="474" spans="1:37" x14ac:dyDescent="0.25">
      <c r="A474" t="s">
        <v>43</v>
      </c>
      <c r="B474">
        <v>473</v>
      </c>
      <c r="C474" t="s">
        <v>44</v>
      </c>
      <c r="J474" t="s">
        <v>45</v>
      </c>
      <c r="K474" t="s">
        <v>46</v>
      </c>
      <c r="L474" t="s">
        <v>669</v>
      </c>
      <c r="M474" t="s">
        <v>48</v>
      </c>
      <c r="AJ474">
        <v>1</v>
      </c>
      <c r="AK474" t="s">
        <v>60</v>
      </c>
    </row>
    <row r="475" spans="1:37" x14ac:dyDescent="0.25">
      <c r="A475" t="s">
        <v>43</v>
      </c>
      <c r="B475">
        <v>474</v>
      </c>
      <c r="C475" t="s">
        <v>44</v>
      </c>
      <c r="J475" t="s">
        <v>45</v>
      </c>
      <c r="K475" t="s">
        <v>46</v>
      </c>
      <c r="L475" t="s">
        <v>670</v>
      </c>
      <c r="M475" t="s">
        <v>48</v>
      </c>
      <c r="AJ475">
        <v>1</v>
      </c>
      <c r="AK475" t="s">
        <v>60</v>
      </c>
    </row>
    <row r="476" spans="1:37" x14ac:dyDescent="0.25">
      <c r="A476" t="s">
        <v>43</v>
      </c>
      <c r="B476">
        <v>475</v>
      </c>
      <c r="C476" t="s">
        <v>44</v>
      </c>
      <c r="J476" t="s">
        <v>45</v>
      </c>
      <c r="K476" t="s">
        <v>46</v>
      </c>
      <c r="L476" t="s">
        <v>671</v>
      </c>
      <c r="M476" t="s">
        <v>48</v>
      </c>
      <c r="AJ476">
        <v>1</v>
      </c>
      <c r="AK476" t="s">
        <v>60</v>
      </c>
    </row>
    <row r="477" spans="1:37" x14ac:dyDescent="0.25">
      <c r="A477" t="s">
        <v>43</v>
      </c>
      <c r="B477">
        <v>476</v>
      </c>
      <c r="C477" t="s">
        <v>44</v>
      </c>
      <c r="J477" t="s">
        <v>45</v>
      </c>
      <c r="K477" t="s">
        <v>46</v>
      </c>
      <c r="L477" t="s">
        <v>672</v>
      </c>
      <c r="M477" t="s">
        <v>48</v>
      </c>
      <c r="AJ477">
        <v>1</v>
      </c>
      <c r="AK477" t="s">
        <v>51</v>
      </c>
    </row>
    <row r="478" spans="1:37" x14ac:dyDescent="0.25">
      <c r="A478" t="s">
        <v>43</v>
      </c>
      <c r="B478">
        <v>477</v>
      </c>
      <c r="C478" t="s">
        <v>44</v>
      </c>
      <c r="J478" t="s">
        <v>45</v>
      </c>
      <c r="K478" t="s">
        <v>46</v>
      </c>
      <c r="L478" t="s">
        <v>673</v>
      </c>
      <c r="M478" t="s">
        <v>48</v>
      </c>
      <c r="AJ478">
        <v>1</v>
      </c>
      <c r="AK478" t="s">
        <v>60</v>
      </c>
    </row>
    <row r="479" spans="1:37" x14ac:dyDescent="0.25">
      <c r="A479" t="s">
        <v>43</v>
      </c>
      <c r="B479">
        <v>478</v>
      </c>
      <c r="C479" t="s">
        <v>44</v>
      </c>
      <c r="J479" t="s">
        <v>45</v>
      </c>
      <c r="K479" t="s">
        <v>46</v>
      </c>
      <c r="L479" t="s">
        <v>674</v>
      </c>
      <c r="M479" t="s">
        <v>48</v>
      </c>
      <c r="AJ479">
        <v>1</v>
      </c>
      <c r="AK479" t="s">
        <v>60</v>
      </c>
    </row>
    <row r="480" spans="1:37" x14ac:dyDescent="0.25">
      <c r="A480" t="s">
        <v>43</v>
      </c>
      <c r="B480">
        <v>479</v>
      </c>
      <c r="C480" t="s">
        <v>44</v>
      </c>
      <c r="J480" t="s">
        <v>54</v>
      </c>
      <c r="K480" t="s">
        <v>55</v>
      </c>
      <c r="L480" t="s">
        <v>675</v>
      </c>
      <c r="M480" t="s">
        <v>676</v>
      </c>
      <c r="AJ480">
        <v>1</v>
      </c>
      <c r="AK480" t="s">
        <v>58</v>
      </c>
    </row>
    <row r="481" spans="1:37" x14ac:dyDescent="0.25">
      <c r="A481" t="s">
        <v>43</v>
      </c>
      <c r="B481">
        <v>480</v>
      </c>
      <c r="C481" t="s">
        <v>44</v>
      </c>
      <c r="J481" t="s">
        <v>54</v>
      </c>
      <c r="K481" t="s">
        <v>55</v>
      </c>
      <c r="L481" t="s">
        <v>677</v>
      </c>
      <c r="M481" t="s">
        <v>678</v>
      </c>
      <c r="AJ481">
        <v>1</v>
      </c>
      <c r="AK481" t="s">
        <v>58</v>
      </c>
    </row>
    <row r="482" spans="1:37" x14ac:dyDescent="0.25">
      <c r="A482" t="s">
        <v>43</v>
      </c>
      <c r="B482">
        <v>481</v>
      </c>
      <c r="C482" t="s">
        <v>44</v>
      </c>
      <c r="J482" t="s">
        <v>54</v>
      </c>
      <c r="K482" t="s">
        <v>55</v>
      </c>
      <c r="L482" t="s">
        <v>679</v>
      </c>
      <c r="M482" t="s">
        <v>680</v>
      </c>
      <c r="AJ482">
        <v>1</v>
      </c>
      <c r="AK482" t="s">
        <v>58</v>
      </c>
    </row>
    <row r="483" spans="1:37" x14ac:dyDescent="0.25">
      <c r="A483" t="s">
        <v>43</v>
      </c>
      <c r="B483">
        <v>482</v>
      </c>
      <c r="C483" t="s">
        <v>44</v>
      </c>
      <c r="J483" t="s">
        <v>45</v>
      </c>
      <c r="K483" t="s">
        <v>46</v>
      </c>
      <c r="L483" t="s">
        <v>681</v>
      </c>
      <c r="M483" t="s">
        <v>48</v>
      </c>
      <c r="AJ483">
        <v>1</v>
      </c>
      <c r="AK483" t="s">
        <v>60</v>
      </c>
    </row>
    <row r="484" spans="1:37" x14ac:dyDescent="0.25">
      <c r="A484" t="s">
        <v>43</v>
      </c>
      <c r="B484">
        <v>483</v>
      </c>
      <c r="C484" t="s">
        <v>44</v>
      </c>
      <c r="J484" t="s">
        <v>54</v>
      </c>
      <c r="K484" t="s">
        <v>55</v>
      </c>
      <c r="L484" t="s">
        <v>682</v>
      </c>
      <c r="M484" t="s">
        <v>683</v>
      </c>
      <c r="AJ484">
        <v>1</v>
      </c>
      <c r="AK484" t="s">
        <v>58</v>
      </c>
    </row>
    <row r="485" spans="1:37" x14ac:dyDescent="0.25">
      <c r="A485" t="s">
        <v>43</v>
      </c>
      <c r="B485">
        <v>484</v>
      </c>
      <c r="C485" t="s">
        <v>44</v>
      </c>
      <c r="J485" t="s">
        <v>45</v>
      </c>
      <c r="K485" t="s">
        <v>46</v>
      </c>
      <c r="L485" t="s">
        <v>684</v>
      </c>
      <c r="M485" t="s">
        <v>48</v>
      </c>
      <c r="AJ485">
        <v>1</v>
      </c>
      <c r="AK485" t="s">
        <v>60</v>
      </c>
    </row>
    <row r="486" spans="1:37" x14ac:dyDescent="0.25">
      <c r="A486" t="s">
        <v>43</v>
      </c>
      <c r="B486">
        <v>485</v>
      </c>
      <c r="C486" t="s">
        <v>44</v>
      </c>
      <c r="J486" t="s">
        <v>45</v>
      </c>
      <c r="K486" t="s">
        <v>46</v>
      </c>
      <c r="L486" t="s">
        <v>685</v>
      </c>
      <c r="M486" t="s">
        <v>48</v>
      </c>
      <c r="AJ486">
        <v>1</v>
      </c>
      <c r="AK486" t="s">
        <v>60</v>
      </c>
    </row>
    <row r="487" spans="1:37" x14ac:dyDescent="0.25">
      <c r="A487" t="s">
        <v>43</v>
      </c>
      <c r="B487">
        <v>486</v>
      </c>
      <c r="C487" t="s">
        <v>44</v>
      </c>
      <c r="J487" t="s">
        <v>45</v>
      </c>
      <c r="K487" t="s">
        <v>46</v>
      </c>
      <c r="L487" t="s">
        <v>686</v>
      </c>
      <c r="M487" t="s">
        <v>48</v>
      </c>
      <c r="AJ487">
        <v>1</v>
      </c>
      <c r="AK487" t="s">
        <v>60</v>
      </c>
    </row>
    <row r="488" spans="1:37" x14ac:dyDescent="0.25">
      <c r="A488" t="s">
        <v>43</v>
      </c>
      <c r="B488">
        <v>487</v>
      </c>
      <c r="C488" t="s">
        <v>44</v>
      </c>
      <c r="J488" t="s">
        <v>54</v>
      </c>
      <c r="K488" t="s">
        <v>55</v>
      </c>
      <c r="L488" t="s">
        <v>687</v>
      </c>
      <c r="M488" t="s">
        <v>688</v>
      </c>
      <c r="AJ488">
        <v>1</v>
      </c>
      <c r="AK488" t="s">
        <v>58</v>
      </c>
    </row>
    <row r="489" spans="1:37" x14ac:dyDescent="0.25">
      <c r="A489" t="s">
        <v>43</v>
      </c>
      <c r="B489">
        <v>488</v>
      </c>
      <c r="C489" t="s">
        <v>44</v>
      </c>
      <c r="J489" t="s">
        <v>45</v>
      </c>
      <c r="K489" t="s">
        <v>46</v>
      </c>
      <c r="L489" t="s">
        <v>689</v>
      </c>
      <c r="M489" t="s">
        <v>48</v>
      </c>
      <c r="AJ489">
        <v>1</v>
      </c>
      <c r="AK489" t="s">
        <v>60</v>
      </c>
    </row>
    <row r="490" spans="1:37" x14ac:dyDescent="0.25">
      <c r="A490" t="s">
        <v>43</v>
      </c>
      <c r="B490">
        <v>489</v>
      </c>
      <c r="C490" t="s">
        <v>44</v>
      </c>
      <c r="J490" t="s">
        <v>45</v>
      </c>
      <c r="K490" t="s">
        <v>46</v>
      </c>
      <c r="L490" t="s">
        <v>690</v>
      </c>
      <c r="M490" t="s">
        <v>48</v>
      </c>
      <c r="AJ490">
        <v>1</v>
      </c>
      <c r="AK490" t="s">
        <v>60</v>
      </c>
    </row>
    <row r="491" spans="1:37" x14ac:dyDescent="0.25">
      <c r="A491" t="s">
        <v>43</v>
      </c>
      <c r="B491">
        <v>490</v>
      </c>
      <c r="C491" t="s">
        <v>44</v>
      </c>
      <c r="J491" t="s">
        <v>45</v>
      </c>
      <c r="K491" t="s">
        <v>46</v>
      </c>
      <c r="L491" t="s">
        <v>691</v>
      </c>
      <c r="M491" t="s">
        <v>48</v>
      </c>
      <c r="AJ491">
        <v>1</v>
      </c>
      <c r="AK491" t="s">
        <v>60</v>
      </c>
    </row>
    <row r="492" spans="1:37" x14ac:dyDescent="0.25">
      <c r="A492" t="s">
        <v>43</v>
      </c>
      <c r="B492">
        <v>491</v>
      </c>
      <c r="C492" t="s">
        <v>44</v>
      </c>
      <c r="J492" t="s">
        <v>45</v>
      </c>
      <c r="K492" t="s">
        <v>46</v>
      </c>
      <c r="L492" t="s">
        <v>692</v>
      </c>
      <c r="M492" t="s">
        <v>48</v>
      </c>
      <c r="AJ492">
        <v>1</v>
      </c>
      <c r="AK492" t="s">
        <v>60</v>
      </c>
    </row>
    <row r="493" spans="1:37" x14ac:dyDescent="0.25">
      <c r="A493" t="s">
        <v>43</v>
      </c>
      <c r="B493">
        <v>492</v>
      </c>
      <c r="C493" t="s">
        <v>44</v>
      </c>
      <c r="J493" t="s">
        <v>45</v>
      </c>
      <c r="K493" t="s">
        <v>46</v>
      </c>
      <c r="L493" t="s">
        <v>693</v>
      </c>
      <c r="M493" t="s">
        <v>48</v>
      </c>
      <c r="AJ493">
        <v>1</v>
      </c>
      <c r="AK493" t="s">
        <v>60</v>
      </c>
    </row>
    <row r="494" spans="1:37" x14ac:dyDescent="0.25">
      <c r="A494" t="s">
        <v>43</v>
      </c>
      <c r="B494">
        <v>493</v>
      </c>
      <c r="C494" t="s">
        <v>44</v>
      </c>
      <c r="J494" t="s">
        <v>45</v>
      </c>
      <c r="K494" t="s">
        <v>46</v>
      </c>
      <c r="L494" t="s">
        <v>694</v>
      </c>
      <c r="M494" t="s">
        <v>48</v>
      </c>
      <c r="AJ494">
        <v>1</v>
      </c>
      <c r="AK494" t="s">
        <v>60</v>
      </c>
    </row>
    <row r="495" spans="1:37" x14ac:dyDescent="0.25">
      <c r="A495" t="s">
        <v>43</v>
      </c>
      <c r="B495">
        <v>494</v>
      </c>
      <c r="C495" t="s">
        <v>44</v>
      </c>
      <c r="J495" t="s">
        <v>45</v>
      </c>
      <c r="K495" t="s">
        <v>46</v>
      </c>
      <c r="L495" t="s">
        <v>695</v>
      </c>
      <c r="M495" t="s">
        <v>48</v>
      </c>
      <c r="AJ495">
        <v>1</v>
      </c>
      <c r="AK495" t="s">
        <v>60</v>
      </c>
    </row>
    <row r="496" spans="1:37" x14ac:dyDescent="0.25">
      <c r="A496" t="s">
        <v>43</v>
      </c>
      <c r="B496">
        <v>495</v>
      </c>
      <c r="C496" t="s">
        <v>44</v>
      </c>
      <c r="J496" t="s">
        <v>54</v>
      </c>
      <c r="K496" t="s">
        <v>55</v>
      </c>
      <c r="L496" t="s">
        <v>696</v>
      </c>
      <c r="M496" t="s">
        <v>697</v>
      </c>
      <c r="AJ496">
        <v>1</v>
      </c>
      <c r="AK496" t="s">
        <v>58</v>
      </c>
    </row>
    <row r="497" spans="1:37" x14ac:dyDescent="0.25">
      <c r="A497" t="s">
        <v>43</v>
      </c>
      <c r="B497">
        <v>496</v>
      </c>
      <c r="C497" t="s">
        <v>44</v>
      </c>
      <c r="J497" t="s">
        <v>54</v>
      </c>
      <c r="K497" t="s">
        <v>55</v>
      </c>
      <c r="L497" t="s">
        <v>698</v>
      </c>
      <c r="M497" t="s">
        <v>699</v>
      </c>
      <c r="AJ497">
        <v>1</v>
      </c>
      <c r="AK497" t="s">
        <v>58</v>
      </c>
    </row>
    <row r="498" spans="1:37" x14ac:dyDescent="0.25">
      <c r="A498" t="s">
        <v>43</v>
      </c>
      <c r="B498">
        <v>497</v>
      </c>
      <c r="C498" t="s">
        <v>44</v>
      </c>
      <c r="J498" t="s">
        <v>45</v>
      </c>
      <c r="K498" t="s">
        <v>46</v>
      </c>
      <c r="L498" t="s">
        <v>700</v>
      </c>
      <c r="M498" t="s">
        <v>48</v>
      </c>
      <c r="AJ498">
        <v>1</v>
      </c>
      <c r="AK498" t="s">
        <v>60</v>
      </c>
    </row>
    <row r="499" spans="1:37" x14ac:dyDescent="0.25">
      <c r="A499" t="s">
        <v>43</v>
      </c>
      <c r="B499">
        <v>498</v>
      </c>
      <c r="C499" t="s">
        <v>44</v>
      </c>
      <c r="J499" t="s">
        <v>45</v>
      </c>
      <c r="K499" t="s">
        <v>114</v>
      </c>
      <c r="L499" t="s">
        <v>115</v>
      </c>
      <c r="M499" t="s">
        <v>701</v>
      </c>
      <c r="AJ499">
        <v>1</v>
      </c>
      <c r="AK499" t="s">
        <v>117</v>
      </c>
    </row>
    <row r="500" spans="1:37" x14ac:dyDescent="0.25">
      <c r="A500" t="s">
        <v>43</v>
      </c>
      <c r="B500">
        <v>499</v>
      </c>
      <c r="C500" t="s">
        <v>44</v>
      </c>
      <c r="J500" t="s">
        <v>45</v>
      </c>
      <c r="K500" t="s">
        <v>46</v>
      </c>
      <c r="L500" t="s">
        <v>702</v>
      </c>
      <c r="M500" t="s">
        <v>48</v>
      </c>
      <c r="AJ500">
        <v>1</v>
      </c>
      <c r="AK500" t="s">
        <v>60</v>
      </c>
    </row>
    <row r="501" spans="1:37" x14ac:dyDescent="0.25">
      <c r="A501" t="s">
        <v>43</v>
      </c>
      <c r="B501">
        <v>500</v>
      </c>
      <c r="C501" t="s">
        <v>44</v>
      </c>
      <c r="J501" t="s">
        <v>54</v>
      </c>
      <c r="K501" t="s">
        <v>55</v>
      </c>
      <c r="L501" t="s">
        <v>703</v>
      </c>
      <c r="M501" t="s">
        <v>704</v>
      </c>
      <c r="AJ501">
        <v>1</v>
      </c>
      <c r="AK501" t="s">
        <v>58</v>
      </c>
    </row>
    <row r="502" spans="1:37" x14ac:dyDescent="0.25">
      <c r="A502" t="s">
        <v>43</v>
      </c>
      <c r="B502">
        <v>501</v>
      </c>
      <c r="C502" t="s">
        <v>44</v>
      </c>
      <c r="J502" t="s">
        <v>54</v>
      </c>
      <c r="K502" t="s">
        <v>55</v>
      </c>
      <c r="L502" t="s">
        <v>705</v>
      </c>
      <c r="M502" t="s">
        <v>706</v>
      </c>
      <c r="AJ502">
        <v>1</v>
      </c>
      <c r="AK502" t="s">
        <v>58</v>
      </c>
    </row>
    <row r="503" spans="1:37" x14ac:dyDescent="0.25">
      <c r="A503" t="s">
        <v>43</v>
      </c>
      <c r="B503">
        <v>502</v>
      </c>
      <c r="C503" t="s">
        <v>44</v>
      </c>
      <c r="J503" t="s">
        <v>45</v>
      </c>
      <c r="K503" t="s">
        <v>46</v>
      </c>
      <c r="L503" t="s">
        <v>707</v>
      </c>
      <c r="M503" t="s">
        <v>48</v>
      </c>
      <c r="AJ503">
        <v>1</v>
      </c>
      <c r="AK503" t="s">
        <v>51</v>
      </c>
    </row>
    <row r="504" spans="1:37" x14ac:dyDescent="0.25">
      <c r="A504" t="s">
        <v>43</v>
      </c>
      <c r="B504">
        <v>503</v>
      </c>
      <c r="C504" t="s">
        <v>44</v>
      </c>
      <c r="J504" t="s">
        <v>45</v>
      </c>
      <c r="K504" t="s">
        <v>46</v>
      </c>
      <c r="L504" t="s">
        <v>708</v>
      </c>
      <c r="M504" t="s">
        <v>48</v>
      </c>
      <c r="AJ504">
        <v>1</v>
      </c>
      <c r="AK504" t="s">
        <v>60</v>
      </c>
    </row>
    <row r="505" spans="1:37" x14ac:dyDescent="0.25">
      <c r="A505" t="s">
        <v>43</v>
      </c>
      <c r="B505">
        <v>504</v>
      </c>
      <c r="C505" t="s">
        <v>44</v>
      </c>
      <c r="J505" t="s">
        <v>45</v>
      </c>
      <c r="K505" t="s">
        <v>46</v>
      </c>
      <c r="L505" t="s">
        <v>709</v>
      </c>
      <c r="M505" t="s">
        <v>48</v>
      </c>
      <c r="AJ505">
        <v>1</v>
      </c>
      <c r="AK505" t="s">
        <v>60</v>
      </c>
    </row>
    <row r="506" spans="1:37" x14ac:dyDescent="0.25">
      <c r="A506" t="s">
        <v>43</v>
      </c>
      <c r="B506">
        <v>505</v>
      </c>
      <c r="C506" t="s">
        <v>44</v>
      </c>
      <c r="J506" t="s">
        <v>45</v>
      </c>
      <c r="K506" t="s">
        <v>46</v>
      </c>
      <c r="L506" t="s">
        <v>710</v>
      </c>
      <c r="M506" t="s">
        <v>48</v>
      </c>
      <c r="AJ506">
        <v>1</v>
      </c>
      <c r="AK506" t="s">
        <v>60</v>
      </c>
    </row>
    <row r="507" spans="1:37" x14ac:dyDescent="0.25">
      <c r="A507" t="s">
        <v>43</v>
      </c>
      <c r="B507">
        <v>506</v>
      </c>
      <c r="C507" t="s">
        <v>44</v>
      </c>
      <c r="J507" t="s">
        <v>45</v>
      </c>
      <c r="K507" t="s">
        <v>46</v>
      </c>
      <c r="L507" t="s">
        <v>711</v>
      </c>
      <c r="M507" t="s">
        <v>48</v>
      </c>
      <c r="AJ507">
        <v>1</v>
      </c>
      <c r="AK507" t="s">
        <v>60</v>
      </c>
    </row>
    <row r="508" spans="1:37" x14ac:dyDescent="0.25">
      <c r="A508" t="s">
        <v>43</v>
      </c>
      <c r="B508">
        <v>507</v>
      </c>
      <c r="C508" t="s">
        <v>44</v>
      </c>
      <c r="J508" t="s">
        <v>45</v>
      </c>
      <c r="K508" t="s">
        <v>46</v>
      </c>
      <c r="L508" t="s">
        <v>712</v>
      </c>
      <c r="M508" t="s">
        <v>48</v>
      </c>
      <c r="AJ508">
        <v>1</v>
      </c>
      <c r="AK508" t="s">
        <v>60</v>
      </c>
    </row>
    <row r="509" spans="1:37" x14ac:dyDescent="0.25">
      <c r="A509" t="s">
        <v>43</v>
      </c>
      <c r="B509">
        <v>508</v>
      </c>
      <c r="C509" t="s">
        <v>44</v>
      </c>
      <c r="J509" t="s">
        <v>45</v>
      </c>
      <c r="K509" t="s">
        <v>46</v>
      </c>
      <c r="L509" t="s">
        <v>713</v>
      </c>
      <c r="M509" t="s">
        <v>48</v>
      </c>
      <c r="AJ509">
        <v>1</v>
      </c>
      <c r="AK509" t="s">
        <v>209</v>
      </c>
    </row>
    <row r="510" spans="1:37" x14ac:dyDescent="0.25">
      <c r="A510" t="s">
        <v>43</v>
      </c>
      <c r="B510">
        <v>509</v>
      </c>
      <c r="C510" t="s">
        <v>44</v>
      </c>
      <c r="J510" t="s">
        <v>45</v>
      </c>
      <c r="K510" t="s">
        <v>46</v>
      </c>
      <c r="L510" t="s">
        <v>714</v>
      </c>
      <c r="M510" t="s">
        <v>48</v>
      </c>
      <c r="AJ510" t="s">
        <v>715</v>
      </c>
      <c r="AK510" t="s">
        <v>60</v>
      </c>
    </row>
    <row r="511" spans="1:37" x14ac:dyDescent="0.25">
      <c r="A511" t="s">
        <v>43</v>
      </c>
      <c r="B511">
        <v>510</v>
      </c>
      <c r="C511" t="s">
        <v>44</v>
      </c>
      <c r="J511" t="s">
        <v>54</v>
      </c>
      <c r="K511" t="s">
        <v>55</v>
      </c>
      <c r="L511" t="s">
        <v>716</v>
      </c>
      <c r="M511" t="s">
        <v>717</v>
      </c>
      <c r="AJ511">
        <v>1</v>
      </c>
      <c r="AK511" t="s">
        <v>58</v>
      </c>
    </row>
    <row r="512" spans="1:37" x14ac:dyDescent="0.25">
      <c r="A512" t="s">
        <v>43</v>
      </c>
      <c r="B512">
        <v>511</v>
      </c>
      <c r="C512" t="s">
        <v>44</v>
      </c>
      <c r="J512" t="s">
        <v>45</v>
      </c>
      <c r="K512" t="s">
        <v>46</v>
      </c>
      <c r="L512" t="s">
        <v>718</v>
      </c>
      <c r="M512" t="s">
        <v>48</v>
      </c>
      <c r="AJ512">
        <v>1</v>
      </c>
      <c r="AK512" t="s">
        <v>60</v>
      </c>
    </row>
    <row r="513" spans="1:37" x14ac:dyDescent="0.25">
      <c r="A513" t="s">
        <v>43</v>
      </c>
      <c r="B513">
        <v>512</v>
      </c>
      <c r="C513" t="s">
        <v>44</v>
      </c>
      <c r="J513" t="s">
        <v>45</v>
      </c>
      <c r="K513" t="s">
        <v>46</v>
      </c>
      <c r="L513" t="s">
        <v>719</v>
      </c>
      <c r="M513" t="s">
        <v>48</v>
      </c>
      <c r="AJ513">
        <v>1</v>
      </c>
      <c r="AK513" t="s">
        <v>60</v>
      </c>
    </row>
    <row r="514" spans="1:37" x14ac:dyDescent="0.25">
      <c r="A514" t="s">
        <v>43</v>
      </c>
      <c r="B514">
        <v>513</v>
      </c>
      <c r="C514" t="s">
        <v>44</v>
      </c>
      <c r="J514" t="s">
        <v>54</v>
      </c>
      <c r="K514" t="s">
        <v>55</v>
      </c>
      <c r="L514" t="s">
        <v>720</v>
      </c>
      <c r="M514" t="s">
        <v>667</v>
      </c>
      <c r="AJ514">
        <v>1</v>
      </c>
      <c r="AK514" t="s">
        <v>58</v>
      </c>
    </row>
    <row r="515" spans="1:37" x14ac:dyDescent="0.25">
      <c r="A515" t="s">
        <v>43</v>
      </c>
      <c r="B515">
        <v>514</v>
      </c>
      <c r="C515" t="s">
        <v>44</v>
      </c>
      <c r="J515" t="s">
        <v>45</v>
      </c>
      <c r="K515" t="s">
        <v>46</v>
      </c>
      <c r="L515" t="s">
        <v>721</v>
      </c>
      <c r="M515" t="s">
        <v>48</v>
      </c>
      <c r="AJ515">
        <v>1</v>
      </c>
      <c r="AK515" t="s">
        <v>60</v>
      </c>
    </row>
    <row r="516" spans="1:37" x14ac:dyDescent="0.25">
      <c r="A516" t="s">
        <v>43</v>
      </c>
      <c r="B516">
        <v>515</v>
      </c>
      <c r="C516" t="s">
        <v>44</v>
      </c>
      <c r="J516" t="s">
        <v>54</v>
      </c>
      <c r="K516" t="s">
        <v>55</v>
      </c>
      <c r="L516" t="s">
        <v>722</v>
      </c>
      <c r="M516" t="s">
        <v>723</v>
      </c>
      <c r="AJ516">
        <v>1</v>
      </c>
      <c r="AK516" t="s">
        <v>58</v>
      </c>
    </row>
    <row r="517" spans="1:37" x14ac:dyDescent="0.25">
      <c r="A517" t="s">
        <v>43</v>
      </c>
      <c r="B517">
        <v>516</v>
      </c>
      <c r="C517" t="s">
        <v>44</v>
      </c>
      <c r="J517" t="s">
        <v>54</v>
      </c>
      <c r="K517" t="s">
        <v>55</v>
      </c>
      <c r="L517" t="s">
        <v>724</v>
      </c>
      <c r="M517" t="s">
        <v>725</v>
      </c>
      <c r="AJ517">
        <v>1</v>
      </c>
      <c r="AK517" t="s">
        <v>58</v>
      </c>
    </row>
    <row r="518" spans="1:37" x14ac:dyDescent="0.25">
      <c r="A518" t="s">
        <v>43</v>
      </c>
      <c r="B518">
        <v>517</v>
      </c>
      <c r="C518" t="s">
        <v>44</v>
      </c>
      <c r="J518" t="s">
        <v>54</v>
      </c>
      <c r="K518" t="s">
        <v>55</v>
      </c>
      <c r="L518" t="s">
        <v>726</v>
      </c>
      <c r="M518" t="s">
        <v>727</v>
      </c>
      <c r="AJ518">
        <v>1</v>
      </c>
      <c r="AK518" t="s">
        <v>58</v>
      </c>
    </row>
    <row r="519" spans="1:37" x14ac:dyDescent="0.25">
      <c r="A519" t="s">
        <v>43</v>
      </c>
      <c r="B519">
        <v>518</v>
      </c>
      <c r="C519" t="s">
        <v>44</v>
      </c>
      <c r="J519" t="s">
        <v>45</v>
      </c>
      <c r="K519" t="s">
        <v>46</v>
      </c>
      <c r="L519" t="s">
        <v>728</v>
      </c>
      <c r="M519" t="s">
        <v>48</v>
      </c>
      <c r="AJ519">
        <v>1</v>
      </c>
      <c r="AK519" t="s">
        <v>60</v>
      </c>
    </row>
    <row r="520" spans="1:37" x14ac:dyDescent="0.25">
      <c r="A520" t="s">
        <v>43</v>
      </c>
      <c r="B520">
        <v>519</v>
      </c>
      <c r="C520" t="s">
        <v>44</v>
      </c>
      <c r="J520" t="s">
        <v>54</v>
      </c>
      <c r="K520" t="s">
        <v>55</v>
      </c>
      <c r="L520" t="s">
        <v>729</v>
      </c>
      <c r="M520" t="s">
        <v>730</v>
      </c>
      <c r="AJ520">
        <v>1</v>
      </c>
      <c r="AK520" t="s">
        <v>58</v>
      </c>
    </row>
    <row r="521" spans="1:37" x14ac:dyDescent="0.25">
      <c r="A521" t="s">
        <v>43</v>
      </c>
      <c r="B521">
        <v>520</v>
      </c>
      <c r="C521" t="s">
        <v>44</v>
      </c>
      <c r="J521" t="s">
        <v>54</v>
      </c>
      <c r="K521" t="s">
        <v>55</v>
      </c>
      <c r="L521" t="s">
        <v>731</v>
      </c>
      <c r="M521" t="s">
        <v>732</v>
      </c>
      <c r="AJ521">
        <v>1</v>
      </c>
      <c r="AK521" t="s">
        <v>58</v>
      </c>
    </row>
    <row r="522" spans="1:37" x14ac:dyDescent="0.25">
      <c r="A522" t="s">
        <v>43</v>
      </c>
      <c r="B522">
        <v>521</v>
      </c>
      <c r="C522" t="s">
        <v>44</v>
      </c>
      <c r="J522" t="s">
        <v>45</v>
      </c>
      <c r="K522" t="s">
        <v>46</v>
      </c>
      <c r="L522" t="s">
        <v>733</v>
      </c>
      <c r="M522" t="s">
        <v>48</v>
      </c>
      <c r="AJ522">
        <v>1</v>
      </c>
      <c r="AK522" t="s">
        <v>60</v>
      </c>
    </row>
    <row r="523" spans="1:37" x14ac:dyDescent="0.25">
      <c r="A523" t="s">
        <v>43</v>
      </c>
      <c r="B523">
        <v>522</v>
      </c>
      <c r="C523" t="s">
        <v>44</v>
      </c>
      <c r="J523" t="s">
        <v>45</v>
      </c>
      <c r="K523" t="s">
        <v>46</v>
      </c>
      <c r="L523" t="s">
        <v>734</v>
      </c>
      <c r="M523" t="s">
        <v>48</v>
      </c>
      <c r="AJ523">
        <v>1</v>
      </c>
      <c r="AK523" t="s">
        <v>60</v>
      </c>
    </row>
    <row r="524" spans="1:37" x14ac:dyDescent="0.25">
      <c r="A524" t="s">
        <v>43</v>
      </c>
      <c r="B524">
        <v>523</v>
      </c>
      <c r="C524" t="s">
        <v>44</v>
      </c>
      <c r="J524" t="s">
        <v>45</v>
      </c>
      <c r="K524" t="s">
        <v>46</v>
      </c>
      <c r="L524" t="s">
        <v>735</v>
      </c>
      <c r="M524" t="s">
        <v>48</v>
      </c>
      <c r="AJ524">
        <v>1</v>
      </c>
      <c r="AK524" t="s">
        <v>60</v>
      </c>
    </row>
    <row r="525" spans="1:37" x14ac:dyDescent="0.25">
      <c r="A525" t="s">
        <v>43</v>
      </c>
      <c r="B525">
        <v>524</v>
      </c>
      <c r="C525" t="s">
        <v>44</v>
      </c>
      <c r="J525" t="s">
        <v>45</v>
      </c>
      <c r="K525" t="s">
        <v>46</v>
      </c>
      <c r="L525" t="s">
        <v>736</v>
      </c>
      <c r="M525" t="s">
        <v>48</v>
      </c>
      <c r="AJ525">
        <v>1</v>
      </c>
      <c r="AK525" t="s">
        <v>60</v>
      </c>
    </row>
    <row r="526" spans="1:37" x14ac:dyDescent="0.25">
      <c r="A526" t="s">
        <v>43</v>
      </c>
      <c r="B526">
        <v>525</v>
      </c>
      <c r="C526" t="s">
        <v>44</v>
      </c>
      <c r="J526" t="s">
        <v>54</v>
      </c>
      <c r="K526" t="s">
        <v>55</v>
      </c>
      <c r="L526" t="s">
        <v>737</v>
      </c>
      <c r="M526" t="s">
        <v>738</v>
      </c>
      <c r="AJ526">
        <v>1</v>
      </c>
      <c r="AK526" t="s">
        <v>58</v>
      </c>
    </row>
    <row r="527" spans="1:37" x14ac:dyDescent="0.25">
      <c r="A527" t="s">
        <v>43</v>
      </c>
      <c r="B527">
        <v>526</v>
      </c>
      <c r="C527" t="s">
        <v>44</v>
      </c>
      <c r="J527" t="s">
        <v>54</v>
      </c>
      <c r="K527" t="s">
        <v>55</v>
      </c>
      <c r="L527" t="s">
        <v>739</v>
      </c>
      <c r="M527" t="s">
        <v>740</v>
      </c>
      <c r="AJ527">
        <v>1</v>
      </c>
      <c r="AK527" t="s">
        <v>58</v>
      </c>
    </row>
    <row r="528" spans="1:37" x14ac:dyDescent="0.25">
      <c r="A528" t="s">
        <v>43</v>
      </c>
      <c r="B528">
        <v>527</v>
      </c>
      <c r="C528" t="s">
        <v>44</v>
      </c>
      <c r="J528" t="s">
        <v>45</v>
      </c>
      <c r="K528" t="s">
        <v>46</v>
      </c>
      <c r="L528" t="s">
        <v>741</v>
      </c>
      <c r="M528" t="s">
        <v>48</v>
      </c>
      <c r="AJ528">
        <v>1</v>
      </c>
      <c r="AK528" t="s">
        <v>60</v>
      </c>
    </row>
    <row r="529" spans="1:37" x14ac:dyDescent="0.25">
      <c r="A529" t="s">
        <v>43</v>
      </c>
      <c r="B529">
        <v>528</v>
      </c>
      <c r="C529" t="s">
        <v>44</v>
      </c>
      <c r="J529" t="s">
        <v>54</v>
      </c>
      <c r="K529" t="s">
        <v>55</v>
      </c>
      <c r="L529" t="s">
        <v>742</v>
      </c>
      <c r="M529" t="s">
        <v>743</v>
      </c>
      <c r="AJ529">
        <v>1</v>
      </c>
      <c r="AK529" t="s">
        <v>58</v>
      </c>
    </row>
    <row r="530" spans="1:37" x14ac:dyDescent="0.25">
      <c r="A530" t="s">
        <v>43</v>
      </c>
      <c r="B530">
        <v>529</v>
      </c>
      <c r="C530" t="s">
        <v>44</v>
      </c>
      <c r="J530" t="s">
        <v>45</v>
      </c>
      <c r="K530" t="s">
        <v>46</v>
      </c>
      <c r="L530" t="s">
        <v>744</v>
      </c>
      <c r="M530" t="s">
        <v>48</v>
      </c>
      <c r="AJ530">
        <v>1</v>
      </c>
      <c r="AK530" t="s">
        <v>60</v>
      </c>
    </row>
    <row r="531" spans="1:37" x14ac:dyDescent="0.25">
      <c r="A531" t="s">
        <v>43</v>
      </c>
      <c r="B531">
        <v>530</v>
      </c>
      <c r="C531" t="s">
        <v>44</v>
      </c>
      <c r="J531" t="s">
        <v>45</v>
      </c>
      <c r="K531" t="s">
        <v>46</v>
      </c>
      <c r="L531" t="s">
        <v>745</v>
      </c>
      <c r="M531" t="s">
        <v>48</v>
      </c>
      <c r="AJ531">
        <v>1</v>
      </c>
      <c r="AK531" t="s">
        <v>60</v>
      </c>
    </row>
    <row r="532" spans="1:37" x14ac:dyDescent="0.25">
      <c r="A532" t="s">
        <v>43</v>
      </c>
      <c r="B532">
        <v>531</v>
      </c>
      <c r="C532" t="s">
        <v>44</v>
      </c>
      <c r="J532" t="s">
        <v>54</v>
      </c>
      <c r="K532" t="s">
        <v>55</v>
      </c>
      <c r="L532" t="s">
        <v>746</v>
      </c>
      <c r="M532" t="s">
        <v>747</v>
      </c>
      <c r="AJ532">
        <v>1</v>
      </c>
      <c r="AK532" t="s">
        <v>58</v>
      </c>
    </row>
    <row r="533" spans="1:37" x14ac:dyDescent="0.25">
      <c r="A533" t="s">
        <v>43</v>
      </c>
      <c r="B533">
        <v>532</v>
      </c>
      <c r="C533" t="s">
        <v>44</v>
      </c>
      <c r="J533" t="s">
        <v>45</v>
      </c>
      <c r="K533" t="s">
        <v>46</v>
      </c>
      <c r="L533" t="s">
        <v>748</v>
      </c>
      <c r="M533" t="s">
        <v>48</v>
      </c>
      <c r="AJ533">
        <v>1</v>
      </c>
      <c r="AK533" t="s">
        <v>76</v>
      </c>
    </row>
    <row r="534" spans="1:37" x14ac:dyDescent="0.25">
      <c r="A534" t="s">
        <v>43</v>
      </c>
      <c r="B534">
        <v>533</v>
      </c>
      <c r="C534" t="s">
        <v>44</v>
      </c>
      <c r="J534" t="s">
        <v>45</v>
      </c>
      <c r="K534" t="s">
        <v>46</v>
      </c>
      <c r="L534" t="s">
        <v>749</v>
      </c>
      <c r="M534" t="s">
        <v>48</v>
      </c>
      <c r="AJ534">
        <v>1</v>
      </c>
      <c r="AK534" t="s">
        <v>60</v>
      </c>
    </row>
    <row r="535" spans="1:37" x14ac:dyDescent="0.25">
      <c r="A535" t="s">
        <v>43</v>
      </c>
      <c r="B535">
        <v>534</v>
      </c>
      <c r="C535" t="s">
        <v>44</v>
      </c>
      <c r="J535" t="s">
        <v>45</v>
      </c>
      <c r="K535" t="s">
        <v>46</v>
      </c>
      <c r="L535" t="s">
        <v>750</v>
      </c>
      <c r="M535" t="s">
        <v>48</v>
      </c>
      <c r="AJ535">
        <v>1</v>
      </c>
      <c r="AK535" t="s">
        <v>60</v>
      </c>
    </row>
    <row r="536" spans="1:37" x14ac:dyDescent="0.25">
      <c r="A536" t="s">
        <v>43</v>
      </c>
      <c r="B536">
        <v>535</v>
      </c>
      <c r="C536" t="s">
        <v>44</v>
      </c>
      <c r="J536" t="s">
        <v>45</v>
      </c>
      <c r="K536" t="s">
        <v>114</v>
      </c>
      <c r="L536" t="s">
        <v>115</v>
      </c>
      <c r="M536" t="s">
        <v>751</v>
      </c>
      <c r="AJ536">
        <v>1</v>
      </c>
      <c r="AK536" t="s">
        <v>117</v>
      </c>
    </row>
    <row r="537" spans="1:37" x14ac:dyDescent="0.25">
      <c r="A537" t="s">
        <v>43</v>
      </c>
      <c r="B537">
        <v>536</v>
      </c>
      <c r="C537" t="s">
        <v>44</v>
      </c>
      <c r="J537" t="s">
        <v>45</v>
      </c>
      <c r="K537" t="s">
        <v>46</v>
      </c>
      <c r="L537" t="s">
        <v>752</v>
      </c>
      <c r="M537" t="s">
        <v>48</v>
      </c>
      <c r="AJ537">
        <v>1</v>
      </c>
      <c r="AK537" t="s">
        <v>60</v>
      </c>
    </row>
    <row r="538" spans="1:37" x14ac:dyDescent="0.25">
      <c r="A538" t="s">
        <v>43</v>
      </c>
      <c r="B538">
        <v>537</v>
      </c>
      <c r="C538" t="s">
        <v>44</v>
      </c>
      <c r="J538" t="s">
        <v>54</v>
      </c>
      <c r="K538" t="s">
        <v>55</v>
      </c>
      <c r="L538" t="s">
        <v>753</v>
      </c>
      <c r="M538" t="s">
        <v>754</v>
      </c>
      <c r="AJ538">
        <v>1</v>
      </c>
      <c r="AK538" t="s">
        <v>58</v>
      </c>
    </row>
    <row r="539" spans="1:37" x14ac:dyDescent="0.25">
      <c r="A539" t="s">
        <v>43</v>
      </c>
      <c r="B539">
        <v>538</v>
      </c>
      <c r="C539" t="s">
        <v>44</v>
      </c>
      <c r="J539" t="s">
        <v>45</v>
      </c>
      <c r="K539" t="s">
        <v>46</v>
      </c>
      <c r="L539" t="s">
        <v>755</v>
      </c>
      <c r="M539" t="s">
        <v>48</v>
      </c>
      <c r="AJ539">
        <v>1</v>
      </c>
      <c r="AK539" t="s">
        <v>76</v>
      </c>
    </row>
    <row r="540" spans="1:37" x14ac:dyDescent="0.25">
      <c r="A540" t="s">
        <v>43</v>
      </c>
      <c r="B540">
        <v>539</v>
      </c>
      <c r="C540" t="s">
        <v>44</v>
      </c>
      <c r="J540" t="s">
        <v>45</v>
      </c>
      <c r="K540" t="s">
        <v>46</v>
      </c>
      <c r="L540" t="s">
        <v>756</v>
      </c>
      <c r="M540" t="s">
        <v>48</v>
      </c>
      <c r="AJ540">
        <v>1</v>
      </c>
      <c r="AK540" t="s">
        <v>60</v>
      </c>
    </row>
    <row r="541" spans="1:37" x14ac:dyDescent="0.25">
      <c r="A541" t="s">
        <v>43</v>
      </c>
      <c r="B541">
        <v>540</v>
      </c>
      <c r="C541" t="s">
        <v>44</v>
      </c>
      <c r="J541" t="s">
        <v>45</v>
      </c>
      <c r="K541" t="s">
        <v>46</v>
      </c>
      <c r="L541" t="s">
        <v>757</v>
      </c>
      <c r="M541" t="s">
        <v>48</v>
      </c>
      <c r="AJ541">
        <v>1</v>
      </c>
      <c r="AK541" t="s">
        <v>51</v>
      </c>
    </row>
    <row r="542" spans="1:37" x14ac:dyDescent="0.25">
      <c r="A542" t="s">
        <v>43</v>
      </c>
      <c r="B542">
        <v>541</v>
      </c>
      <c r="C542" t="s">
        <v>44</v>
      </c>
      <c r="J542" t="s">
        <v>54</v>
      </c>
      <c r="K542" t="s">
        <v>55</v>
      </c>
      <c r="L542" t="s">
        <v>758</v>
      </c>
      <c r="M542" t="s">
        <v>759</v>
      </c>
      <c r="AJ542">
        <v>1</v>
      </c>
      <c r="AK542" t="s">
        <v>58</v>
      </c>
    </row>
    <row r="543" spans="1:37" x14ac:dyDescent="0.25">
      <c r="A543" t="s">
        <v>43</v>
      </c>
      <c r="B543">
        <v>542</v>
      </c>
      <c r="C543" t="s">
        <v>44</v>
      </c>
      <c r="J543" t="s">
        <v>45</v>
      </c>
      <c r="K543" t="s">
        <v>46</v>
      </c>
      <c r="L543" t="s">
        <v>760</v>
      </c>
      <c r="M543" t="s">
        <v>48</v>
      </c>
      <c r="AJ543">
        <v>1</v>
      </c>
      <c r="AK543" t="s">
        <v>60</v>
      </c>
    </row>
    <row r="544" spans="1:37" x14ac:dyDescent="0.25">
      <c r="A544" t="s">
        <v>43</v>
      </c>
      <c r="B544">
        <v>543</v>
      </c>
      <c r="C544" t="s">
        <v>44</v>
      </c>
      <c r="J544" t="s">
        <v>45</v>
      </c>
      <c r="K544" t="s">
        <v>46</v>
      </c>
      <c r="L544" t="s">
        <v>761</v>
      </c>
      <c r="M544" t="s">
        <v>48</v>
      </c>
      <c r="AJ544">
        <v>1</v>
      </c>
      <c r="AK544" t="s">
        <v>60</v>
      </c>
    </row>
    <row r="545" spans="1:37" x14ac:dyDescent="0.25">
      <c r="A545" t="s">
        <v>43</v>
      </c>
      <c r="B545">
        <v>544</v>
      </c>
      <c r="C545" t="s">
        <v>44</v>
      </c>
      <c r="J545" t="s">
        <v>45</v>
      </c>
      <c r="K545" t="s">
        <v>46</v>
      </c>
      <c r="L545" t="s">
        <v>762</v>
      </c>
      <c r="M545" t="s">
        <v>48</v>
      </c>
      <c r="AJ545">
        <v>1</v>
      </c>
      <c r="AK545" t="s">
        <v>60</v>
      </c>
    </row>
    <row r="546" spans="1:37" x14ac:dyDescent="0.25">
      <c r="A546" t="s">
        <v>43</v>
      </c>
      <c r="B546">
        <v>545</v>
      </c>
      <c r="C546" t="s">
        <v>44</v>
      </c>
      <c r="J546" t="s">
        <v>45</v>
      </c>
      <c r="K546" t="s">
        <v>46</v>
      </c>
      <c r="L546" t="s">
        <v>763</v>
      </c>
      <c r="M546" t="s">
        <v>48</v>
      </c>
      <c r="AJ546">
        <v>1</v>
      </c>
      <c r="AK546" t="s">
        <v>60</v>
      </c>
    </row>
    <row r="547" spans="1:37" x14ac:dyDescent="0.25">
      <c r="A547" t="s">
        <v>43</v>
      </c>
      <c r="B547">
        <v>546</v>
      </c>
      <c r="C547" t="s">
        <v>44</v>
      </c>
      <c r="J547" t="s">
        <v>45</v>
      </c>
      <c r="K547" t="s">
        <v>46</v>
      </c>
      <c r="L547" t="s">
        <v>764</v>
      </c>
      <c r="M547" t="s">
        <v>48</v>
      </c>
      <c r="AJ547">
        <v>1</v>
      </c>
      <c r="AK547" t="s">
        <v>60</v>
      </c>
    </row>
    <row r="548" spans="1:37" x14ac:dyDescent="0.25">
      <c r="A548" t="s">
        <v>43</v>
      </c>
      <c r="B548">
        <v>547</v>
      </c>
      <c r="C548" t="s">
        <v>44</v>
      </c>
      <c r="J548" t="s">
        <v>45</v>
      </c>
      <c r="K548" t="s">
        <v>46</v>
      </c>
      <c r="L548" t="s">
        <v>765</v>
      </c>
      <c r="M548" t="s">
        <v>48</v>
      </c>
      <c r="AJ548">
        <v>1</v>
      </c>
      <c r="AK548" t="s">
        <v>60</v>
      </c>
    </row>
    <row r="549" spans="1:37" x14ac:dyDescent="0.25">
      <c r="A549" t="s">
        <v>43</v>
      </c>
      <c r="B549">
        <v>548</v>
      </c>
      <c r="C549" t="s">
        <v>44</v>
      </c>
      <c r="J549" t="s">
        <v>45</v>
      </c>
      <c r="K549" t="s">
        <v>46</v>
      </c>
      <c r="L549" t="s">
        <v>766</v>
      </c>
      <c r="M549" t="s">
        <v>48</v>
      </c>
      <c r="AJ549">
        <v>1</v>
      </c>
      <c r="AK549" t="s">
        <v>60</v>
      </c>
    </row>
    <row r="550" spans="1:37" x14ac:dyDescent="0.25">
      <c r="A550" t="s">
        <v>43</v>
      </c>
      <c r="B550">
        <v>549</v>
      </c>
      <c r="C550" t="s">
        <v>44</v>
      </c>
      <c r="J550" t="s">
        <v>45</v>
      </c>
      <c r="K550" t="s">
        <v>46</v>
      </c>
      <c r="L550" t="s">
        <v>767</v>
      </c>
      <c r="M550" t="s">
        <v>48</v>
      </c>
      <c r="AJ550">
        <v>1</v>
      </c>
      <c r="AK550" t="s">
        <v>60</v>
      </c>
    </row>
    <row r="551" spans="1:37" x14ac:dyDescent="0.25">
      <c r="A551" t="s">
        <v>43</v>
      </c>
      <c r="B551">
        <v>550</v>
      </c>
      <c r="C551" t="s">
        <v>44</v>
      </c>
      <c r="J551" t="s">
        <v>54</v>
      </c>
      <c r="K551" t="s">
        <v>55</v>
      </c>
      <c r="L551" t="s">
        <v>768</v>
      </c>
      <c r="M551" t="s">
        <v>769</v>
      </c>
      <c r="AJ551">
        <v>1</v>
      </c>
      <c r="AK551" t="s">
        <v>58</v>
      </c>
    </row>
    <row r="552" spans="1:37" x14ac:dyDescent="0.25">
      <c r="A552" t="s">
        <v>43</v>
      </c>
      <c r="B552">
        <v>551</v>
      </c>
      <c r="C552" t="s">
        <v>44</v>
      </c>
      <c r="J552" t="s">
        <v>45</v>
      </c>
      <c r="K552" t="s">
        <v>46</v>
      </c>
      <c r="L552" t="s">
        <v>770</v>
      </c>
      <c r="M552" t="s">
        <v>48</v>
      </c>
      <c r="AJ552">
        <v>1</v>
      </c>
      <c r="AK552" t="s">
        <v>60</v>
      </c>
    </row>
    <row r="553" spans="1:37" x14ac:dyDescent="0.25">
      <c r="A553" t="s">
        <v>43</v>
      </c>
      <c r="B553">
        <v>552</v>
      </c>
      <c r="C553" t="s">
        <v>44</v>
      </c>
      <c r="J553" t="s">
        <v>45</v>
      </c>
      <c r="K553" t="s">
        <v>46</v>
      </c>
      <c r="L553" t="s">
        <v>771</v>
      </c>
      <c r="M553" t="s">
        <v>48</v>
      </c>
      <c r="AJ553">
        <v>1</v>
      </c>
      <c r="AK553" t="s">
        <v>60</v>
      </c>
    </row>
    <row r="554" spans="1:37" x14ac:dyDescent="0.25">
      <c r="A554" t="s">
        <v>43</v>
      </c>
      <c r="B554">
        <v>553</v>
      </c>
      <c r="C554" t="s">
        <v>44</v>
      </c>
      <c r="J554" t="s">
        <v>54</v>
      </c>
      <c r="K554" t="s">
        <v>55</v>
      </c>
      <c r="L554" t="s">
        <v>772</v>
      </c>
      <c r="M554" t="s">
        <v>773</v>
      </c>
      <c r="AJ554">
        <v>1</v>
      </c>
      <c r="AK554" t="s">
        <v>58</v>
      </c>
    </row>
    <row r="555" spans="1:37" x14ac:dyDescent="0.25">
      <c r="A555" t="s">
        <v>43</v>
      </c>
      <c r="B555">
        <v>554</v>
      </c>
      <c r="C555" t="s">
        <v>44</v>
      </c>
      <c r="J555" t="s">
        <v>54</v>
      </c>
      <c r="K555" t="s">
        <v>55</v>
      </c>
      <c r="L555" t="s">
        <v>774</v>
      </c>
      <c r="M555" t="s">
        <v>155</v>
      </c>
      <c r="AJ555">
        <v>1</v>
      </c>
      <c r="AK555" t="s">
        <v>58</v>
      </c>
    </row>
    <row r="556" spans="1:37" x14ac:dyDescent="0.25">
      <c r="A556" t="s">
        <v>43</v>
      </c>
      <c r="B556">
        <v>555</v>
      </c>
      <c r="C556" t="s">
        <v>44</v>
      </c>
      <c r="J556" t="s">
        <v>45</v>
      </c>
      <c r="K556" t="s">
        <v>46</v>
      </c>
      <c r="L556" t="s">
        <v>775</v>
      </c>
      <c r="M556" t="s">
        <v>48</v>
      </c>
      <c r="AJ556">
        <v>1</v>
      </c>
      <c r="AK556" t="s">
        <v>60</v>
      </c>
    </row>
    <row r="557" spans="1:37" x14ac:dyDescent="0.25">
      <c r="A557" t="s">
        <v>43</v>
      </c>
      <c r="B557">
        <v>556</v>
      </c>
      <c r="C557" t="s">
        <v>44</v>
      </c>
      <c r="J557" t="s">
        <v>45</v>
      </c>
      <c r="K557" t="s">
        <v>46</v>
      </c>
      <c r="L557" t="s">
        <v>776</v>
      </c>
      <c r="M557" t="s">
        <v>48</v>
      </c>
      <c r="AJ557">
        <v>1</v>
      </c>
      <c r="AK557" t="s">
        <v>76</v>
      </c>
    </row>
    <row r="558" spans="1:37" x14ac:dyDescent="0.25">
      <c r="A558" t="s">
        <v>43</v>
      </c>
      <c r="B558">
        <v>557</v>
      </c>
      <c r="C558" t="s">
        <v>44</v>
      </c>
      <c r="J558" t="s">
        <v>45</v>
      </c>
      <c r="K558" t="s">
        <v>46</v>
      </c>
      <c r="L558" t="s">
        <v>777</v>
      </c>
      <c r="M558" t="s">
        <v>48</v>
      </c>
      <c r="AJ558">
        <v>1</v>
      </c>
      <c r="AK558" t="s">
        <v>60</v>
      </c>
    </row>
    <row r="559" spans="1:37" x14ac:dyDescent="0.25">
      <c r="A559" t="s">
        <v>43</v>
      </c>
      <c r="B559">
        <v>558</v>
      </c>
      <c r="C559" t="s">
        <v>44</v>
      </c>
      <c r="J559" t="s">
        <v>45</v>
      </c>
      <c r="K559" t="s">
        <v>46</v>
      </c>
      <c r="L559" t="s">
        <v>778</v>
      </c>
      <c r="M559" t="s">
        <v>48</v>
      </c>
      <c r="AJ559">
        <v>1</v>
      </c>
      <c r="AK559" t="s">
        <v>60</v>
      </c>
    </row>
    <row r="560" spans="1:37" x14ac:dyDescent="0.25">
      <c r="A560" t="s">
        <v>43</v>
      </c>
      <c r="B560">
        <v>559</v>
      </c>
      <c r="C560" t="s">
        <v>44</v>
      </c>
      <c r="J560" t="s">
        <v>45</v>
      </c>
      <c r="K560" t="s">
        <v>46</v>
      </c>
      <c r="L560" t="s">
        <v>779</v>
      </c>
      <c r="M560" t="s">
        <v>48</v>
      </c>
      <c r="AJ560">
        <v>1</v>
      </c>
      <c r="AK560" t="s">
        <v>60</v>
      </c>
    </row>
    <row r="561" spans="1:37" x14ac:dyDescent="0.25">
      <c r="A561" t="s">
        <v>43</v>
      </c>
      <c r="B561">
        <v>560</v>
      </c>
      <c r="C561" t="s">
        <v>44</v>
      </c>
      <c r="J561" t="s">
        <v>45</v>
      </c>
      <c r="K561" t="s">
        <v>46</v>
      </c>
      <c r="L561" t="s">
        <v>780</v>
      </c>
      <c r="M561" t="s">
        <v>48</v>
      </c>
      <c r="AJ561">
        <v>1</v>
      </c>
      <c r="AK561" t="s">
        <v>60</v>
      </c>
    </row>
    <row r="562" spans="1:37" x14ac:dyDescent="0.25">
      <c r="A562" t="s">
        <v>43</v>
      </c>
      <c r="B562">
        <v>561</v>
      </c>
      <c r="C562" t="s">
        <v>44</v>
      </c>
      <c r="J562" t="s">
        <v>45</v>
      </c>
      <c r="K562" t="s">
        <v>46</v>
      </c>
      <c r="L562" t="s">
        <v>781</v>
      </c>
      <c r="M562" t="s">
        <v>48</v>
      </c>
      <c r="AJ562">
        <v>1</v>
      </c>
      <c r="AK562" t="s">
        <v>60</v>
      </c>
    </row>
    <row r="563" spans="1:37" x14ac:dyDescent="0.25">
      <c r="A563" t="s">
        <v>43</v>
      </c>
      <c r="B563">
        <v>562</v>
      </c>
      <c r="C563" t="s">
        <v>44</v>
      </c>
      <c r="J563" t="s">
        <v>54</v>
      </c>
      <c r="K563" t="s">
        <v>55</v>
      </c>
      <c r="L563" t="s">
        <v>782</v>
      </c>
      <c r="M563" t="s">
        <v>783</v>
      </c>
      <c r="AJ563">
        <v>1</v>
      </c>
      <c r="AK563" t="s">
        <v>58</v>
      </c>
    </row>
    <row r="564" spans="1:37" x14ac:dyDescent="0.25">
      <c r="A564" t="s">
        <v>43</v>
      </c>
      <c r="B564">
        <v>563</v>
      </c>
      <c r="C564" t="s">
        <v>44</v>
      </c>
      <c r="J564" t="s">
        <v>45</v>
      </c>
      <c r="K564" t="s">
        <v>46</v>
      </c>
      <c r="L564" t="s">
        <v>784</v>
      </c>
      <c r="M564" t="s">
        <v>48</v>
      </c>
      <c r="AJ564">
        <v>1</v>
      </c>
      <c r="AK564" t="s">
        <v>60</v>
      </c>
    </row>
    <row r="565" spans="1:37" x14ac:dyDescent="0.25">
      <c r="A565" t="s">
        <v>43</v>
      </c>
      <c r="B565">
        <v>564</v>
      </c>
      <c r="C565" t="s">
        <v>44</v>
      </c>
      <c r="J565" t="s">
        <v>45</v>
      </c>
      <c r="K565" t="s">
        <v>46</v>
      </c>
      <c r="L565" t="s">
        <v>785</v>
      </c>
      <c r="M565" t="s">
        <v>48</v>
      </c>
      <c r="AJ565">
        <v>1</v>
      </c>
      <c r="AK565" t="s">
        <v>60</v>
      </c>
    </row>
    <row r="566" spans="1:37" x14ac:dyDescent="0.25">
      <c r="A566" t="s">
        <v>43</v>
      </c>
      <c r="B566">
        <v>565</v>
      </c>
      <c r="C566" t="s">
        <v>44</v>
      </c>
      <c r="J566" t="s">
        <v>45</v>
      </c>
      <c r="K566" t="s">
        <v>46</v>
      </c>
      <c r="L566" t="s">
        <v>786</v>
      </c>
      <c r="M566" t="s">
        <v>48</v>
      </c>
      <c r="AJ566">
        <v>1</v>
      </c>
      <c r="AK566" t="s">
        <v>209</v>
      </c>
    </row>
    <row r="567" spans="1:37" x14ac:dyDescent="0.25">
      <c r="A567" t="s">
        <v>43</v>
      </c>
      <c r="B567">
        <v>566</v>
      </c>
      <c r="C567" t="s">
        <v>44</v>
      </c>
      <c r="J567" t="s">
        <v>54</v>
      </c>
      <c r="K567" t="s">
        <v>55</v>
      </c>
      <c r="L567" t="s">
        <v>787</v>
      </c>
      <c r="M567" t="s">
        <v>788</v>
      </c>
      <c r="AJ567">
        <v>1</v>
      </c>
      <c r="AK567" t="s">
        <v>58</v>
      </c>
    </row>
    <row r="568" spans="1:37" x14ac:dyDescent="0.25">
      <c r="A568" t="s">
        <v>43</v>
      </c>
      <c r="B568">
        <v>567</v>
      </c>
      <c r="C568" t="s">
        <v>44</v>
      </c>
      <c r="J568" t="s">
        <v>45</v>
      </c>
      <c r="K568" t="s">
        <v>46</v>
      </c>
      <c r="L568" t="s">
        <v>789</v>
      </c>
      <c r="M568" t="s">
        <v>48</v>
      </c>
      <c r="AJ568">
        <v>1</v>
      </c>
      <c r="AK568" t="s">
        <v>51</v>
      </c>
    </row>
    <row r="569" spans="1:37" x14ac:dyDescent="0.25">
      <c r="A569" t="s">
        <v>43</v>
      </c>
      <c r="B569">
        <v>568</v>
      </c>
      <c r="C569" t="s">
        <v>44</v>
      </c>
      <c r="J569" t="s">
        <v>45</v>
      </c>
      <c r="K569" t="s">
        <v>46</v>
      </c>
      <c r="L569" t="s">
        <v>790</v>
      </c>
      <c r="M569" t="s">
        <v>48</v>
      </c>
      <c r="AJ569">
        <v>1</v>
      </c>
      <c r="AK569" t="s">
        <v>60</v>
      </c>
    </row>
    <row r="570" spans="1:37" x14ac:dyDescent="0.25">
      <c r="A570" t="s">
        <v>43</v>
      </c>
      <c r="B570">
        <v>569</v>
      </c>
      <c r="C570" t="s">
        <v>44</v>
      </c>
      <c r="J570" t="s">
        <v>45</v>
      </c>
      <c r="K570" t="s">
        <v>46</v>
      </c>
      <c r="L570" t="s">
        <v>791</v>
      </c>
      <c r="M570" t="s">
        <v>48</v>
      </c>
      <c r="AJ570">
        <v>1</v>
      </c>
      <c r="AK570" t="s">
        <v>60</v>
      </c>
    </row>
    <row r="571" spans="1:37" x14ac:dyDescent="0.25">
      <c r="A571" t="s">
        <v>43</v>
      </c>
      <c r="B571">
        <v>570</v>
      </c>
      <c r="C571" t="s">
        <v>44</v>
      </c>
      <c r="J571" t="s">
        <v>45</v>
      </c>
      <c r="K571" t="s">
        <v>46</v>
      </c>
      <c r="L571" t="s">
        <v>792</v>
      </c>
      <c r="M571" t="s">
        <v>48</v>
      </c>
      <c r="AJ571">
        <v>1</v>
      </c>
      <c r="AK571" t="s">
        <v>60</v>
      </c>
    </row>
    <row r="572" spans="1:37" x14ac:dyDescent="0.25">
      <c r="A572" t="s">
        <v>43</v>
      </c>
      <c r="B572">
        <v>571</v>
      </c>
      <c r="C572" t="s">
        <v>44</v>
      </c>
      <c r="J572" t="s">
        <v>45</v>
      </c>
      <c r="K572" t="s">
        <v>46</v>
      </c>
      <c r="L572" t="s">
        <v>793</v>
      </c>
      <c r="M572" t="s">
        <v>48</v>
      </c>
      <c r="AJ572">
        <v>1</v>
      </c>
      <c r="AK572" t="s">
        <v>60</v>
      </c>
    </row>
    <row r="573" spans="1:37" x14ac:dyDescent="0.25">
      <c r="A573" t="s">
        <v>43</v>
      </c>
      <c r="B573">
        <v>572</v>
      </c>
      <c r="C573" t="s">
        <v>44</v>
      </c>
      <c r="J573" t="s">
        <v>45</v>
      </c>
      <c r="K573" t="s">
        <v>46</v>
      </c>
      <c r="L573" t="s">
        <v>794</v>
      </c>
      <c r="M573" t="s">
        <v>48</v>
      </c>
      <c r="AJ573">
        <v>1</v>
      </c>
      <c r="AK573" t="s">
        <v>60</v>
      </c>
    </row>
    <row r="574" spans="1:37" x14ac:dyDescent="0.25">
      <c r="A574" t="s">
        <v>43</v>
      </c>
      <c r="B574">
        <v>573</v>
      </c>
      <c r="C574" t="s">
        <v>44</v>
      </c>
      <c r="J574" t="s">
        <v>45</v>
      </c>
      <c r="K574" t="s">
        <v>46</v>
      </c>
      <c r="L574" t="s">
        <v>795</v>
      </c>
      <c r="M574" t="s">
        <v>48</v>
      </c>
      <c r="AJ574">
        <v>1</v>
      </c>
      <c r="AK574" t="s">
        <v>60</v>
      </c>
    </row>
    <row r="575" spans="1:37" x14ac:dyDescent="0.25">
      <c r="A575" t="s">
        <v>43</v>
      </c>
      <c r="B575">
        <v>574</v>
      </c>
      <c r="C575" t="s">
        <v>44</v>
      </c>
      <c r="J575" t="s">
        <v>45</v>
      </c>
      <c r="K575" t="s">
        <v>46</v>
      </c>
      <c r="L575" t="s">
        <v>796</v>
      </c>
      <c r="M575" t="s">
        <v>48</v>
      </c>
      <c r="AJ575">
        <v>1</v>
      </c>
      <c r="AK575" t="s">
        <v>60</v>
      </c>
    </row>
    <row r="576" spans="1:37" x14ac:dyDescent="0.25">
      <c r="A576" t="s">
        <v>43</v>
      </c>
      <c r="B576">
        <v>575</v>
      </c>
      <c r="C576" t="s">
        <v>44</v>
      </c>
      <c r="J576" t="s">
        <v>45</v>
      </c>
      <c r="K576" t="s">
        <v>46</v>
      </c>
      <c r="L576" t="s">
        <v>797</v>
      </c>
      <c r="M576" t="s">
        <v>48</v>
      </c>
      <c r="AJ576">
        <v>1</v>
      </c>
      <c r="AK576" t="s">
        <v>60</v>
      </c>
    </row>
    <row r="577" spans="1:37" x14ac:dyDescent="0.25">
      <c r="A577" t="s">
        <v>43</v>
      </c>
      <c r="B577">
        <v>576</v>
      </c>
      <c r="C577" t="s">
        <v>44</v>
      </c>
      <c r="J577" t="s">
        <v>54</v>
      </c>
      <c r="K577" t="s">
        <v>55</v>
      </c>
      <c r="L577" t="s">
        <v>798</v>
      </c>
      <c r="M577" t="s">
        <v>799</v>
      </c>
      <c r="AJ577">
        <v>1</v>
      </c>
      <c r="AK577" t="s">
        <v>58</v>
      </c>
    </row>
    <row r="578" spans="1:37" x14ac:dyDescent="0.25">
      <c r="A578" t="s">
        <v>43</v>
      </c>
      <c r="B578">
        <v>577</v>
      </c>
      <c r="C578" t="s">
        <v>44</v>
      </c>
      <c r="J578" t="s">
        <v>45</v>
      </c>
      <c r="K578" t="s">
        <v>46</v>
      </c>
      <c r="L578" t="s">
        <v>800</v>
      </c>
      <c r="M578" t="s">
        <v>48</v>
      </c>
      <c r="AJ578">
        <v>1</v>
      </c>
      <c r="AK578" t="s">
        <v>60</v>
      </c>
    </row>
    <row r="579" spans="1:37" x14ac:dyDescent="0.25">
      <c r="A579" t="s">
        <v>43</v>
      </c>
      <c r="B579">
        <v>578</v>
      </c>
      <c r="C579" t="s">
        <v>44</v>
      </c>
      <c r="J579" t="s">
        <v>54</v>
      </c>
      <c r="K579" t="s">
        <v>55</v>
      </c>
      <c r="L579" t="s">
        <v>801</v>
      </c>
      <c r="M579" t="s">
        <v>802</v>
      </c>
      <c r="AJ579">
        <v>1</v>
      </c>
      <c r="AK579" t="s">
        <v>58</v>
      </c>
    </row>
    <row r="580" spans="1:37" x14ac:dyDescent="0.25">
      <c r="A580" t="s">
        <v>43</v>
      </c>
      <c r="B580">
        <v>579</v>
      </c>
      <c r="C580" t="s">
        <v>44</v>
      </c>
      <c r="J580" t="s">
        <v>45</v>
      </c>
      <c r="K580" t="s">
        <v>46</v>
      </c>
      <c r="L580" t="s">
        <v>803</v>
      </c>
      <c r="M580" t="s">
        <v>48</v>
      </c>
      <c r="AJ580">
        <v>1</v>
      </c>
      <c r="AK580" t="s">
        <v>76</v>
      </c>
    </row>
    <row r="581" spans="1:37" x14ac:dyDescent="0.25">
      <c r="A581" t="s">
        <v>43</v>
      </c>
      <c r="B581">
        <v>580</v>
      </c>
      <c r="C581" t="s">
        <v>44</v>
      </c>
      <c r="J581" t="s">
        <v>45</v>
      </c>
      <c r="K581" t="s">
        <v>46</v>
      </c>
      <c r="L581" t="s">
        <v>804</v>
      </c>
      <c r="M581" t="s">
        <v>48</v>
      </c>
      <c r="AJ581">
        <v>1</v>
      </c>
      <c r="AK581" t="s">
        <v>60</v>
      </c>
    </row>
    <row r="582" spans="1:37" x14ac:dyDescent="0.25">
      <c r="A582" t="s">
        <v>43</v>
      </c>
      <c r="B582">
        <v>581</v>
      </c>
      <c r="C582" t="s">
        <v>44</v>
      </c>
      <c r="J582" t="s">
        <v>45</v>
      </c>
      <c r="K582" t="s">
        <v>46</v>
      </c>
      <c r="L582" t="s">
        <v>805</v>
      </c>
      <c r="M582" t="s">
        <v>48</v>
      </c>
      <c r="AJ582">
        <v>1</v>
      </c>
      <c r="AK582" t="s">
        <v>60</v>
      </c>
    </row>
    <row r="583" spans="1:37" x14ac:dyDescent="0.25">
      <c r="A583" t="s">
        <v>43</v>
      </c>
      <c r="B583">
        <v>582</v>
      </c>
      <c r="C583" t="s">
        <v>44</v>
      </c>
      <c r="J583" t="s">
        <v>54</v>
      </c>
      <c r="K583" t="s">
        <v>55</v>
      </c>
      <c r="L583" t="s">
        <v>806</v>
      </c>
      <c r="M583" t="s">
        <v>807</v>
      </c>
      <c r="AJ583">
        <v>1</v>
      </c>
      <c r="AK583" t="s">
        <v>58</v>
      </c>
    </row>
    <row r="584" spans="1:37" x14ac:dyDescent="0.25">
      <c r="A584" t="s">
        <v>43</v>
      </c>
      <c r="B584">
        <v>583</v>
      </c>
      <c r="C584" t="s">
        <v>44</v>
      </c>
      <c r="J584" t="s">
        <v>45</v>
      </c>
      <c r="K584" t="s">
        <v>46</v>
      </c>
      <c r="L584" t="s">
        <v>808</v>
      </c>
      <c r="M584" t="s">
        <v>48</v>
      </c>
      <c r="AJ584">
        <v>1</v>
      </c>
      <c r="AK584" t="s">
        <v>60</v>
      </c>
    </row>
    <row r="585" spans="1:37" x14ac:dyDescent="0.25">
      <c r="A585" t="s">
        <v>43</v>
      </c>
      <c r="B585">
        <v>584</v>
      </c>
      <c r="C585" t="s">
        <v>44</v>
      </c>
      <c r="J585" t="s">
        <v>45</v>
      </c>
      <c r="K585" t="s">
        <v>46</v>
      </c>
      <c r="L585" t="s">
        <v>809</v>
      </c>
      <c r="M585" t="s">
        <v>48</v>
      </c>
      <c r="AJ585">
        <v>1</v>
      </c>
      <c r="AK585" t="s">
        <v>60</v>
      </c>
    </row>
    <row r="586" spans="1:37" x14ac:dyDescent="0.25">
      <c r="A586" t="s">
        <v>43</v>
      </c>
      <c r="B586">
        <v>585</v>
      </c>
      <c r="C586" t="s">
        <v>44</v>
      </c>
      <c r="J586" t="s">
        <v>54</v>
      </c>
      <c r="K586" t="s">
        <v>55</v>
      </c>
      <c r="L586" t="s">
        <v>810</v>
      </c>
      <c r="M586" t="s">
        <v>811</v>
      </c>
      <c r="AJ586">
        <v>1</v>
      </c>
      <c r="AK586" t="s">
        <v>58</v>
      </c>
    </row>
    <row r="587" spans="1:37" x14ac:dyDescent="0.25">
      <c r="A587" t="s">
        <v>43</v>
      </c>
      <c r="B587">
        <v>586</v>
      </c>
      <c r="C587" t="s">
        <v>44</v>
      </c>
      <c r="J587" t="s">
        <v>45</v>
      </c>
      <c r="K587" t="s">
        <v>46</v>
      </c>
      <c r="L587" t="s">
        <v>812</v>
      </c>
      <c r="M587" t="s">
        <v>48</v>
      </c>
      <c r="AJ587">
        <v>1</v>
      </c>
      <c r="AK587" t="s">
        <v>60</v>
      </c>
    </row>
    <row r="588" spans="1:37" x14ac:dyDescent="0.25">
      <c r="A588" t="s">
        <v>43</v>
      </c>
      <c r="B588">
        <v>587</v>
      </c>
      <c r="C588" t="s">
        <v>44</v>
      </c>
      <c r="J588" t="s">
        <v>45</v>
      </c>
      <c r="K588" t="s">
        <v>46</v>
      </c>
      <c r="L588" t="s">
        <v>813</v>
      </c>
      <c r="M588" t="s">
        <v>48</v>
      </c>
      <c r="AJ588">
        <v>1</v>
      </c>
      <c r="AK588" t="s">
        <v>60</v>
      </c>
    </row>
    <row r="589" spans="1:37" x14ac:dyDescent="0.25">
      <c r="A589" t="s">
        <v>43</v>
      </c>
      <c r="B589">
        <v>588</v>
      </c>
      <c r="C589" t="s">
        <v>44</v>
      </c>
      <c r="J589" t="s">
        <v>45</v>
      </c>
      <c r="K589" t="s">
        <v>46</v>
      </c>
      <c r="L589" t="s">
        <v>814</v>
      </c>
      <c r="M589" t="s">
        <v>48</v>
      </c>
      <c r="AJ589">
        <v>1</v>
      </c>
      <c r="AK589" t="s">
        <v>60</v>
      </c>
    </row>
    <row r="590" spans="1:37" x14ac:dyDescent="0.25">
      <c r="A590" t="s">
        <v>43</v>
      </c>
      <c r="B590">
        <v>589</v>
      </c>
      <c r="C590" t="s">
        <v>44</v>
      </c>
      <c r="J590" t="s">
        <v>54</v>
      </c>
      <c r="K590" t="s">
        <v>55</v>
      </c>
      <c r="L590" t="s">
        <v>815</v>
      </c>
      <c r="M590" t="s">
        <v>816</v>
      </c>
      <c r="AJ590">
        <v>1</v>
      </c>
      <c r="AK590" t="s">
        <v>58</v>
      </c>
    </row>
    <row r="591" spans="1:37" x14ac:dyDescent="0.25">
      <c r="A591" t="s">
        <v>43</v>
      </c>
      <c r="B591">
        <v>590</v>
      </c>
      <c r="C591" t="s">
        <v>44</v>
      </c>
      <c r="J591" t="s">
        <v>45</v>
      </c>
      <c r="K591" t="s">
        <v>46</v>
      </c>
      <c r="L591" t="s">
        <v>817</v>
      </c>
      <c r="M591" t="s">
        <v>48</v>
      </c>
      <c r="AJ591">
        <v>1</v>
      </c>
      <c r="AK591" t="s">
        <v>60</v>
      </c>
    </row>
    <row r="592" spans="1:37" x14ac:dyDescent="0.25">
      <c r="A592" t="s">
        <v>43</v>
      </c>
      <c r="B592">
        <v>591</v>
      </c>
      <c r="C592" t="s">
        <v>44</v>
      </c>
      <c r="J592" t="s">
        <v>45</v>
      </c>
      <c r="K592" t="s">
        <v>46</v>
      </c>
      <c r="L592" t="s">
        <v>818</v>
      </c>
      <c r="M592" t="s">
        <v>48</v>
      </c>
      <c r="AJ592">
        <v>1</v>
      </c>
      <c r="AK592" t="s">
        <v>60</v>
      </c>
    </row>
    <row r="593" spans="1:37" x14ac:dyDescent="0.25">
      <c r="A593" t="s">
        <v>43</v>
      </c>
      <c r="B593">
        <v>592</v>
      </c>
      <c r="C593" t="s">
        <v>44</v>
      </c>
      <c r="J593" t="s">
        <v>45</v>
      </c>
      <c r="K593" t="s">
        <v>46</v>
      </c>
      <c r="L593" t="s">
        <v>819</v>
      </c>
      <c r="M593" t="s">
        <v>48</v>
      </c>
      <c r="AJ593">
        <v>1</v>
      </c>
      <c r="AK593" t="s">
        <v>60</v>
      </c>
    </row>
    <row r="594" spans="1:37" x14ac:dyDescent="0.25">
      <c r="A594" t="s">
        <v>43</v>
      </c>
      <c r="B594">
        <v>593</v>
      </c>
      <c r="C594" t="s">
        <v>44</v>
      </c>
      <c r="J594" t="s">
        <v>54</v>
      </c>
      <c r="K594" t="s">
        <v>55</v>
      </c>
      <c r="L594" t="s">
        <v>820</v>
      </c>
      <c r="M594" t="s">
        <v>821</v>
      </c>
      <c r="AJ594">
        <v>1</v>
      </c>
      <c r="AK594" t="s">
        <v>58</v>
      </c>
    </row>
    <row r="595" spans="1:37" x14ac:dyDescent="0.25">
      <c r="A595" t="s">
        <v>43</v>
      </c>
      <c r="B595">
        <v>594</v>
      </c>
      <c r="C595" t="s">
        <v>44</v>
      </c>
      <c r="J595" t="s">
        <v>45</v>
      </c>
      <c r="K595" t="s">
        <v>46</v>
      </c>
      <c r="L595" t="s">
        <v>822</v>
      </c>
      <c r="M595" t="s">
        <v>48</v>
      </c>
      <c r="AJ595">
        <v>1</v>
      </c>
      <c r="AK595" t="s">
        <v>60</v>
      </c>
    </row>
    <row r="596" spans="1:37" x14ac:dyDescent="0.25">
      <c r="A596" t="s">
        <v>43</v>
      </c>
      <c r="B596">
        <v>595</v>
      </c>
      <c r="C596" t="s">
        <v>44</v>
      </c>
      <c r="J596" t="s">
        <v>54</v>
      </c>
      <c r="K596" t="s">
        <v>55</v>
      </c>
      <c r="L596" t="s">
        <v>823</v>
      </c>
      <c r="M596" t="s">
        <v>824</v>
      </c>
      <c r="AJ596">
        <v>1</v>
      </c>
      <c r="AK596" t="s">
        <v>58</v>
      </c>
    </row>
    <row r="597" spans="1:37" x14ac:dyDescent="0.25">
      <c r="A597" t="s">
        <v>43</v>
      </c>
      <c r="B597">
        <v>596</v>
      </c>
      <c r="C597" t="s">
        <v>44</v>
      </c>
      <c r="J597" t="s">
        <v>45</v>
      </c>
      <c r="K597" t="s">
        <v>46</v>
      </c>
      <c r="L597" t="s">
        <v>825</v>
      </c>
      <c r="M597" t="s">
        <v>48</v>
      </c>
      <c r="AJ597">
        <v>1</v>
      </c>
      <c r="AK597" t="s">
        <v>60</v>
      </c>
    </row>
    <row r="598" spans="1:37" x14ac:dyDescent="0.25">
      <c r="A598" t="s">
        <v>43</v>
      </c>
      <c r="B598">
        <v>597</v>
      </c>
      <c r="C598" t="s">
        <v>44</v>
      </c>
      <c r="J598" t="s">
        <v>45</v>
      </c>
      <c r="K598" t="s">
        <v>46</v>
      </c>
      <c r="L598" t="s">
        <v>826</v>
      </c>
      <c r="M598" t="s">
        <v>48</v>
      </c>
      <c r="AJ598">
        <v>1</v>
      </c>
      <c r="AK598" t="s">
        <v>60</v>
      </c>
    </row>
    <row r="599" spans="1:37" x14ac:dyDescent="0.25">
      <c r="A599" t="s">
        <v>43</v>
      </c>
      <c r="B599">
        <v>598</v>
      </c>
      <c r="C599" t="s">
        <v>44</v>
      </c>
      <c r="J599" t="s">
        <v>54</v>
      </c>
      <c r="K599" t="s">
        <v>55</v>
      </c>
      <c r="L599" t="s">
        <v>827</v>
      </c>
      <c r="M599" t="s">
        <v>828</v>
      </c>
      <c r="AJ599">
        <v>1</v>
      </c>
      <c r="AK599" t="s">
        <v>58</v>
      </c>
    </row>
    <row r="600" spans="1:37" x14ac:dyDescent="0.25">
      <c r="A600" t="s">
        <v>43</v>
      </c>
      <c r="B600">
        <v>599</v>
      </c>
      <c r="C600" t="s">
        <v>44</v>
      </c>
      <c r="J600" t="s">
        <v>45</v>
      </c>
      <c r="K600" t="s">
        <v>46</v>
      </c>
      <c r="L600" t="s">
        <v>829</v>
      </c>
      <c r="M600" t="s">
        <v>48</v>
      </c>
      <c r="AJ600">
        <v>1</v>
      </c>
      <c r="AK600" t="s">
        <v>60</v>
      </c>
    </row>
    <row r="601" spans="1:37" x14ac:dyDescent="0.25">
      <c r="A601" t="s">
        <v>43</v>
      </c>
      <c r="B601">
        <v>600</v>
      </c>
      <c r="C601" t="s">
        <v>44</v>
      </c>
      <c r="J601" t="s">
        <v>45</v>
      </c>
      <c r="K601" t="s">
        <v>114</v>
      </c>
      <c r="L601" t="s">
        <v>115</v>
      </c>
      <c r="M601" t="s">
        <v>830</v>
      </c>
      <c r="AJ601">
        <v>1</v>
      </c>
      <c r="AK601" t="s">
        <v>117</v>
      </c>
    </row>
    <row r="602" spans="1:37" x14ac:dyDescent="0.25">
      <c r="A602" t="s">
        <v>43</v>
      </c>
      <c r="B602">
        <v>601</v>
      </c>
      <c r="C602" t="s">
        <v>44</v>
      </c>
      <c r="J602" t="s">
        <v>54</v>
      </c>
      <c r="K602" t="s">
        <v>55</v>
      </c>
      <c r="L602" t="s">
        <v>831</v>
      </c>
      <c r="M602" t="s">
        <v>832</v>
      </c>
      <c r="AJ602">
        <v>1</v>
      </c>
      <c r="AK602" t="s">
        <v>58</v>
      </c>
    </row>
    <row r="603" spans="1:37" x14ac:dyDescent="0.25">
      <c r="A603" t="s">
        <v>43</v>
      </c>
      <c r="B603">
        <v>602</v>
      </c>
      <c r="C603" t="s">
        <v>44</v>
      </c>
      <c r="J603" t="s">
        <v>45</v>
      </c>
      <c r="K603" t="s">
        <v>46</v>
      </c>
      <c r="L603" t="s">
        <v>833</v>
      </c>
      <c r="M603" t="s">
        <v>48</v>
      </c>
      <c r="AJ603">
        <v>1</v>
      </c>
      <c r="AK603" t="s">
        <v>76</v>
      </c>
    </row>
    <row r="604" spans="1:37" x14ac:dyDescent="0.25">
      <c r="A604" t="s">
        <v>43</v>
      </c>
      <c r="B604">
        <v>603</v>
      </c>
      <c r="C604" t="s">
        <v>44</v>
      </c>
      <c r="J604" t="s">
        <v>45</v>
      </c>
      <c r="K604" t="s">
        <v>46</v>
      </c>
      <c r="L604" t="s">
        <v>834</v>
      </c>
      <c r="M604" t="s">
        <v>48</v>
      </c>
      <c r="AJ604">
        <v>1</v>
      </c>
      <c r="AK604" t="s">
        <v>60</v>
      </c>
    </row>
    <row r="605" spans="1:37" x14ac:dyDescent="0.25">
      <c r="A605" t="s">
        <v>43</v>
      </c>
      <c r="B605">
        <v>604</v>
      </c>
      <c r="C605" t="s">
        <v>44</v>
      </c>
      <c r="J605" t="s">
        <v>54</v>
      </c>
      <c r="K605" t="s">
        <v>55</v>
      </c>
      <c r="L605" t="s">
        <v>835</v>
      </c>
      <c r="M605" t="s">
        <v>836</v>
      </c>
      <c r="AJ605">
        <v>1</v>
      </c>
      <c r="AK605" t="s">
        <v>58</v>
      </c>
    </row>
    <row r="606" spans="1:37" x14ac:dyDescent="0.25">
      <c r="A606" t="s">
        <v>43</v>
      </c>
      <c r="B606">
        <v>605</v>
      </c>
      <c r="C606" t="s">
        <v>44</v>
      </c>
      <c r="J606" t="s">
        <v>45</v>
      </c>
      <c r="K606" t="s">
        <v>46</v>
      </c>
      <c r="L606" t="s">
        <v>837</v>
      </c>
      <c r="M606" t="s">
        <v>48</v>
      </c>
      <c r="AJ606">
        <v>1</v>
      </c>
      <c r="AK606" t="s">
        <v>60</v>
      </c>
    </row>
    <row r="607" spans="1:37" x14ac:dyDescent="0.25">
      <c r="A607" t="s">
        <v>43</v>
      </c>
      <c r="B607">
        <v>606</v>
      </c>
      <c r="C607" t="s">
        <v>44</v>
      </c>
      <c r="J607" t="s">
        <v>45</v>
      </c>
      <c r="K607" t="s">
        <v>46</v>
      </c>
      <c r="L607" t="s">
        <v>838</v>
      </c>
      <c r="M607" t="s">
        <v>48</v>
      </c>
      <c r="AJ607">
        <v>1</v>
      </c>
      <c r="AK607" t="s">
        <v>60</v>
      </c>
    </row>
    <row r="608" spans="1:37" x14ac:dyDescent="0.25">
      <c r="A608" t="s">
        <v>43</v>
      </c>
      <c r="B608">
        <v>607</v>
      </c>
      <c r="C608" t="s">
        <v>44</v>
      </c>
      <c r="J608" t="s">
        <v>45</v>
      </c>
      <c r="K608" t="s">
        <v>46</v>
      </c>
      <c r="L608" t="s">
        <v>839</v>
      </c>
      <c r="M608" t="s">
        <v>48</v>
      </c>
      <c r="AJ608">
        <v>1</v>
      </c>
      <c r="AK608" t="s">
        <v>60</v>
      </c>
    </row>
    <row r="609" spans="1:37" x14ac:dyDescent="0.25">
      <c r="A609" t="s">
        <v>43</v>
      </c>
      <c r="B609">
        <v>608</v>
      </c>
      <c r="C609" t="s">
        <v>44</v>
      </c>
      <c r="J609" t="s">
        <v>45</v>
      </c>
      <c r="K609" t="s">
        <v>46</v>
      </c>
      <c r="L609" t="s">
        <v>840</v>
      </c>
      <c r="M609" t="s">
        <v>48</v>
      </c>
      <c r="AJ609">
        <v>1</v>
      </c>
      <c r="AK609" t="s">
        <v>76</v>
      </c>
    </row>
    <row r="610" spans="1:37" x14ac:dyDescent="0.25">
      <c r="A610" t="s">
        <v>43</v>
      </c>
      <c r="B610">
        <v>609</v>
      </c>
      <c r="C610" t="s">
        <v>44</v>
      </c>
      <c r="J610" t="s">
        <v>45</v>
      </c>
      <c r="K610" t="s">
        <v>46</v>
      </c>
      <c r="L610" t="s">
        <v>841</v>
      </c>
      <c r="M610" t="s">
        <v>48</v>
      </c>
      <c r="AJ610">
        <v>1</v>
      </c>
      <c r="AK610" t="s">
        <v>60</v>
      </c>
    </row>
    <row r="611" spans="1:37" x14ac:dyDescent="0.25">
      <c r="A611" t="s">
        <v>43</v>
      </c>
      <c r="B611">
        <v>610</v>
      </c>
      <c r="C611" t="s">
        <v>44</v>
      </c>
      <c r="J611" t="s">
        <v>45</v>
      </c>
      <c r="K611" t="s">
        <v>46</v>
      </c>
      <c r="L611" t="s">
        <v>842</v>
      </c>
      <c r="M611" t="s">
        <v>48</v>
      </c>
      <c r="AJ611">
        <v>1</v>
      </c>
      <c r="AK611" t="s">
        <v>60</v>
      </c>
    </row>
    <row r="612" spans="1:37" x14ac:dyDescent="0.25">
      <c r="A612" t="s">
        <v>43</v>
      </c>
      <c r="B612">
        <v>611</v>
      </c>
      <c r="C612" t="s">
        <v>44</v>
      </c>
      <c r="J612" t="s">
        <v>45</v>
      </c>
      <c r="K612" t="s">
        <v>46</v>
      </c>
      <c r="L612" t="s">
        <v>843</v>
      </c>
      <c r="M612" t="s">
        <v>48</v>
      </c>
      <c r="AJ612">
        <v>1</v>
      </c>
      <c r="AK612" t="s">
        <v>60</v>
      </c>
    </row>
    <row r="613" spans="1:37" x14ac:dyDescent="0.25">
      <c r="A613" t="s">
        <v>43</v>
      </c>
      <c r="B613">
        <v>612</v>
      </c>
      <c r="C613" t="s">
        <v>44</v>
      </c>
      <c r="J613" t="s">
        <v>45</v>
      </c>
      <c r="K613" t="s">
        <v>46</v>
      </c>
      <c r="L613" t="s">
        <v>844</v>
      </c>
      <c r="M613" t="s">
        <v>48</v>
      </c>
      <c r="AJ613">
        <v>1</v>
      </c>
      <c r="AK613" t="s">
        <v>60</v>
      </c>
    </row>
    <row r="614" spans="1:37" x14ac:dyDescent="0.25">
      <c r="A614" t="s">
        <v>43</v>
      </c>
      <c r="B614">
        <v>613</v>
      </c>
      <c r="C614" t="s">
        <v>44</v>
      </c>
      <c r="J614" t="s">
        <v>45</v>
      </c>
      <c r="K614" t="s">
        <v>114</v>
      </c>
      <c r="L614" t="s">
        <v>115</v>
      </c>
      <c r="M614" t="s">
        <v>845</v>
      </c>
      <c r="AJ614">
        <v>1</v>
      </c>
      <c r="AK614" t="s">
        <v>117</v>
      </c>
    </row>
    <row r="615" spans="1:37" x14ac:dyDescent="0.25">
      <c r="A615" t="s">
        <v>43</v>
      </c>
      <c r="B615">
        <v>614</v>
      </c>
      <c r="C615" t="s">
        <v>44</v>
      </c>
      <c r="J615" t="s">
        <v>45</v>
      </c>
      <c r="K615" t="s">
        <v>46</v>
      </c>
      <c r="L615" t="s">
        <v>846</v>
      </c>
      <c r="M615" t="s">
        <v>48</v>
      </c>
      <c r="AJ615">
        <v>1</v>
      </c>
      <c r="AK615" t="s">
        <v>60</v>
      </c>
    </row>
    <row r="616" spans="1:37" x14ac:dyDescent="0.25">
      <c r="A616" t="s">
        <v>43</v>
      </c>
      <c r="B616">
        <v>615</v>
      </c>
      <c r="C616" t="s">
        <v>44</v>
      </c>
      <c r="J616" t="s">
        <v>45</v>
      </c>
      <c r="K616" t="s">
        <v>46</v>
      </c>
      <c r="L616" t="s">
        <v>847</v>
      </c>
      <c r="M616" t="s">
        <v>48</v>
      </c>
      <c r="AJ616">
        <v>1</v>
      </c>
      <c r="AK616" t="s">
        <v>60</v>
      </c>
    </row>
    <row r="617" spans="1:37" x14ac:dyDescent="0.25">
      <c r="A617" t="s">
        <v>43</v>
      </c>
      <c r="B617">
        <v>616</v>
      </c>
      <c r="C617" t="s">
        <v>44</v>
      </c>
      <c r="J617" t="s">
        <v>45</v>
      </c>
      <c r="K617" t="s">
        <v>46</v>
      </c>
      <c r="L617" t="s">
        <v>848</v>
      </c>
      <c r="M617" t="s">
        <v>48</v>
      </c>
      <c r="AJ617">
        <v>1</v>
      </c>
      <c r="AK617" t="s">
        <v>60</v>
      </c>
    </row>
    <row r="618" spans="1:37" x14ac:dyDescent="0.25">
      <c r="A618" t="s">
        <v>43</v>
      </c>
      <c r="B618">
        <v>617</v>
      </c>
      <c r="C618" t="s">
        <v>44</v>
      </c>
      <c r="J618" t="s">
        <v>45</v>
      </c>
      <c r="K618" t="s">
        <v>46</v>
      </c>
      <c r="L618" t="s">
        <v>849</v>
      </c>
      <c r="M618" t="s">
        <v>48</v>
      </c>
      <c r="AJ618">
        <v>1</v>
      </c>
      <c r="AK618" t="s">
        <v>209</v>
      </c>
    </row>
    <row r="619" spans="1:37" x14ac:dyDescent="0.25">
      <c r="A619" t="s">
        <v>43</v>
      </c>
      <c r="B619">
        <v>618</v>
      </c>
      <c r="C619" t="s">
        <v>44</v>
      </c>
      <c r="J619" t="s">
        <v>54</v>
      </c>
      <c r="K619" t="s">
        <v>55</v>
      </c>
      <c r="L619" t="s">
        <v>850</v>
      </c>
      <c r="M619" t="s">
        <v>851</v>
      </c>
      <c r="AJ619">
        <v>1</v>
      </c>
      <c r="AK619" t="s">
        <v>58</v>
      </c>
    </row>
    <row r="620" spans="1:37" x14ac:dyDescent="0.25">
      <c r="A620" t="s">
        <v>43</v>
      </c>
      <c r="B620">
        <v>619</v>
      </c>
      <c r="C620" t="s">
        <v>44</v>
      </c>
      <c r="J620" t="s">
        <v>45</v>
      </c>
      <c r="K620" t="s">
        <v>46</v>
      </c>
      <c r="L620" t="s">
        <v>852</v>
      </c>
      <c r="M620" t="s">
        <v>48</v>
      </c>
      <c r="AJ620">
        <v>1</v>
      </c>
      <c r="AK620" t="s">
        <v>76</v>
      </c>
    </row>
    <row r="621" spans="1:37" x14ac:dyDescent="0.25">
      <c r="A621" t="s">
        <v>43</v>
      </c>
      <c r="B621">
        <v>620</v>
      </c>
      <c r="C621" t="s">
        <v>44</v>
      </c>
      <c r="J621" t="s">
        <v>45</v>
      </c>
      <c r="K621" t="s">
        <v>46</v>
      </c>
      <c r="L621" t="s">
        <v>853</v>
      </c>
      <c r="M621" t="s">
        <v>48</v>
      </c>
      <c r="AJ621">
        <v>1</v>
      </c>
      <c r="AK621" t="s">
        <v>60</v>
      </c>
    </row>
    <row r="622" spans="1:37" x14ac:dyDescent="0.25">
      <c r="A622" t="s">
        <v>43</v>
      </c>
      <c r="B622">
        <v>621</v>
      </c>
      <c r="C622" t="s">
        <v>44</v>
      </c>
      <c r="J622" t="s">
        <v>45</v>
      </c>
      <c r="K622" t="s">
        <v>46</v>
      </c>
      <c r="L622" t="s">
        <v>854</v>
      </c>
      <c r="M622" t="s">
        <v>48</v>
      </c>
      <c r="AJ622">
        <v>1</v>
      </c>
      <c r="AK622" t="s">
        <v>51</v>
      </c>
    </row>
    <row r="623" spans="1:37" x14ac:dyDescent="0.25">
      <c r="A623" t="s">
        <v>43</v>
      </c>
      <c r="B623">
        <v>622</v>
      </c>
      <c r="C623" t="s">
        <v>44</v>
      </c>
      <c r="J623" t="s">
        <v>45</v>
      </c>
      <c r="K623" t="s">
        <v>46</v>
      </c>
      <c r="L623" t="s">
        <v>855</v>
      </c>
      <c r="M623" t="s">
        <v>48</v>
      </c>
      <c r="AJ623">
        <v>1</v>
      </c>
      <c r="AK623" t="s">
        <v>60</v>
      </c>
    </row>
    <row r="624" spans="1:37" x14ac:dyDescent="0.25">
      <c r="A624" t="s">
        <v>43</v>
      </c>
      <c r="B624">
        <v>623</v>
      </c>
      <c r="C624" t="s">
        <v>44</v>
      </c>
      <c r="J624" t="s">
        <v>45</v>
      </c>
      <c r="K624" t="s">
        <v>46</v>
      </c>
      <c r="L624" t="s">
        <v>856</v>
      </c>
      <c r="M624" t="s">
        <v>48</v>
      </c>
      <c r="AJ624">
        <v>1</v>
      </c>
      <c r="AK624" t="s">
        <v>209</v>
      </c>
    </row>
    <row r="625" spans="1:37" x14ac:dyDescent="0.25">
      <c r="A625" t="s">
        <v>43</v>
      </c>
      <c r="B625">
        <v>624</v>
      </c>
      <c r="C625" t="s">
        <v>44</v>
      </c>
      <c r="J625" t="s">
        <v>45</v>
      </c>
      <c r="K625" t="s">
        <v>46</v>
      </c>
      <c r="L625" t="s">
        <v>857</v>
      </c>
      <c r="M625" t="s">
        <v>48</v>
      </c>
      <c r="AJ625">
        <v>1</v>
      </c>
      <c r="AK625" t="s">
        <v>60</v>
      </c>
    </row>
    <row r="626" spans="1:37" x14ac:dyDescent="0.25">
      <c r="A626" t="s">
        <v>43</v>
      </c>
      <c r="B626">
        <v>625</v>
      </c>
      <c r="C626" t="s">
        <v>44</v>
      </c>
      <c r="J626" t="s">
        <v>45</v>
      </c>
      <c r="K626" t="s">
        <v>46</v>
      </c>
      <c r="L626" t="s">
        <v>858</v>
      </c>
      <c r="M626" t="s">
        <v>48</v>
      </c>
      <c r="AJ626">
        <v>1</v>
      </c>
      <c r="AK626" t="s">
        <v>60</v>
      </c>
    </row>
    <row r="627" spans="1:37" x14ac:dyDescent="0.25">
      <c r="A627" t="s">
        <v>43</v>
      </c>
      <c r="B627">
        <v>626</v>
      </c>
      <c r="C627" t="s">
        <v>44</v>
      </c>
      <c r="J627" t="s">
        <v>45</v>
      </c>
      <c r="K627" t="s">
        <v>46</v>
      </c>
      <c r="L627" t="s">
        <v>859</v>
      </c>
      <c r="M627" t="s">
        <v>48</v>
      </c>
      <c r="AJ627">
        <v>1</v>
      </c>
      <c r="AK627" t="s">
        <v>51</v>
      </c>
    </row>
    <row r="628" spans="1:37" x14ac:dyDescent="0.25">
      <c r="A628" t="s">
        <v>43</v>
      </c>
      <c r="B628">
        <v>627</v>
      </c>
      <c r="C628" t="s">
        <v>44</v>
      </c>
      <c r="J628" t="s">
        <v>45</v>
      </c>
      <c r="K628" t="s">
        <v>46</v>
      </c>
      <c r="L628" t="s">
        <v>860</v>
      </c>
      <c r="M628" t="s">
        <v>48</v>
      </c>
      <c r="AJ628">
        <v>1</v>
      </c>
      <c r="AK628" t="s">
        <v>60</v>
      </c>
    </row>
    <row r="629" spans="1:37" x14ac:dyDescent="0.25">
      <c r="A629" t="s">
        <v>43</v>
      </c>
      <c r="B629">
        <v>628</v>
      </c>
      <c r="C629" t="s">
        <v>44</v>
      </c>
      <c r="J629" t="s">
        <v>45</v>
      </c>
      <c r="K629" t="s">
        <v>46</v>
      </c>
      <c r="L629" t="s">
        <v>861</v>
      </c>
      <c r="M629" t="s">
        <v>48</v>
      </c>
      <c r="AJ629">
        <v>1</v>
      </c>
      <c r="AK629" t="s">
        <v>209</v>
      </c>
    </row>
    <row r="630" spans="1:37" x14ac:dyDescent="0.25">
      <c r="A630" t="s">
        <v>43</v>
      </c>
      <c r="B630">
        <v>629</v>
      </c>
      <c r="C630" t="s">
        <v>44</v>
      </c>
      <c r="J630" t="s">
        <v>54</v>
      </c>
      <c r="K630" t="s">
        <v>55</v>
      </c>
      <c r="L630" t="s">
        <v>862</v>
      </c>
      <c r="M630" t="s">
        <v>863</v>
      </c>
      <c r="AJ630">
        <v>1</v>
      </c>
      <c r="AK630" t="s">
        <v>58</v>
      </c>
    </row>
    <row r="631" spans="1:37" x14ac:dyDescent="0.25">
      <c r="A631" t="s">
        <v>43</v>
      </c>
      <c r="B631">
        <v>630</v>
      </c>
      <c r="C631" t="s">
        <v>44</v>
      </c>
      <c r="J631" t="s">
        <v>54</v>
      </c>
      <c r="K631" t="s">
        <v>55</v>
      </c>
      <c r="L631" t="s">
        <v>864</v>
      </c>
      <c r="M631" t="s">
        <v>865</v>
      </c>
      <c r="AJ631">
        <v>1</v>
      </c>
      <c r="AK631" t="s">
        <v>58</v>
      </c>
    </row>
    <row r="632" spans="1:37" x14ac:dyDescent="0.25">
      <c r="A632" t="s">
        <v>43</v>
      </c>
      <c r="B632">
        <v>631</v>
      </c>
      <c r="C632" t="s">
        <v>44</v>
      </c>
      <c r="J632" t="s">
        <v>45</v>
      </c>
      <c r="K632" t="s">
        <v>46</v>
      </c>
      <c r="L632" t="s">
        <v>866</v>
      </c>
      <c r="M632" t="s">
        <v>48</v>
      </c>
      <c r="AJ632">
        <v>1</v>
      </c>
      <c r="AK632" t="s">
        <v>60</v>
      </c>
    </row>
    <row r="633" spans="1:37" x14ac:dyDescent="0.25">
      <c r="A633" t="s">
        <v>43</v>
      </c>
      <c r="B633">
        <v>632</v>
      </c>
      <c r="C633" t="s">
        <v>44</v>
      </c>
      <c r="J633" t="s">
        <v>54</v>
      </c>
      <c r="K633" t="s">
        <v>55</v>
      </c>
      <c r="L633" t="s">
        <v>867</v>
      </c>
      <c r="M633" t="s">
        <v>868</v>
      </c>
      <c r="AJ633">
        <v>1</v>
      </c>
      <c r="AK633" t="s">
        <v>58</v>
      </c>
    </row>
    <row r="634" spans="1:37" x14ac:dyDescent="0.25">
      <c r="A634" t="s">
        <v>43</v>
      </c>
      <c r="B634">
        <v>633</v>
      </c>
      <c r="C634" t="s">
        <v>44</v>
      </c>
      <c r="J634" t="s">
        <v>45</v>
      </c>
      <c r="K634" t="s">
        <v>46</v>
      </c>
      <c r="L634" t="s">
        <v>869</v>
      </c>
      <c r="M634" t="s">
        <v>48</v>
      </c>
      <c r="AJ634">
        <v>1</v>
      </c>
      <c r="AK634" t="s">
        <v>51</v>
      </c>
    </row>
    <row r="635" spans="1:37" x14ac:dyDescent="0.25">
      <c r="A635" t="s">
        <v>43</v>
      </c>
      <c r="B635">
        <v>634</v>
      </c>
      <c r="C635" t="s">
        <v>44</v>
      </c>
      <c r="J635" t="s">
        <v>54</v>
      </c>
      <c r="K635" t="s">
        <v>55</v>
      </c>
      <c r="L635" t="s">
        <v>870</v>
      </c>
      <c r="M635" t="s">
        <v>871</v>
      </c>
      <c r="AJ635">
        <v>1</v>
      </c>
      <c r="AK635" t="s">
        <v>58</v>
      </c>
    </row>
    <row r="636" spans="1:37" x14ac:dyDescent="0.25">
      <c r="A636" t="s">
        <v>43</v>
      </c>
      <c r="B636">
        <v>635</v>
      </c>
      <c r="C636" t="s">
        <v>44</v>
      </c>
      <c r="J636" t="s">
        <v>45</v>
      </c>
      <c r="K636" t="s">
        <v>46</v>
      </c>
      <c r="L636" t="s">
        <v>872</v>
      </c>
      <c r="M636" t="s">
        <v>48</v>
      </c>
      <c r="AJ636">
        <v>1</v>
      </c>
      <c r="AK636" t="s">
        <v>60</v>
      </c>
    </row>
    <row r="637" spans="1:37" x14ac:dyDescent="0.25">
      <c r="A637" t="s">
        <v>43</v>
      </c>
      <c r="B637">
        <v>636</v>
      </c>
      <c r="C637" t="s">
        <v>44</v>
      </c>
      <c r="J637" t="s">
        <v>45</v>
      </c>
      <c r="K637" t="s">
        <v>46</v>
      </c>
      <c r="L637" t="s">
        <v>873</v>
      </c>
      <c r="M637" t="s">
        <v>48</v>
      </c>
      <c r="AJ637">
        <v>1</v>
      </c>
      <c r="AK637" t="s">
        <v>60</v>
      </c>
    </row>
    <row r="638" spans="1:37" x14ac:dyDescent="0.25">
      <c r="A638" t="s">
        <v>43</v>
      </c>
      <c r="B638">
        <v>637</v>
      </c>
      <c r="C638" t="s">
        <v>44</v>
      </c>
      <c r="J638" t="s">
        <v>45</v>
      </c>
      <c r="K638" t="s">
        <v>46</v>
      </c>
      <c r="L638" t="s">
        <v>874</v>
      </c>
      <c r="M638" t="s">
        <v>48</v>
      </c>
      <c r="AJ638">
        <v>1</v>
      </c>
      <c r="AK638" t="s">
        <v>60</v>
      </c>
    </row>
    <row r="639" spans="1:37" x14ac:dyDescent="0.25">
      <c r="A639" t="s">
        <v>43</v>
      </c>
      <c r="B639">
        <v>638</v>
      </c>
      <c r="C639" t="s">
        <v>44</v>
      </c>
      <c r="J639" t="s">
        <v>54</v>
      </c>
      <c r="K639" t="s">
        <v>55</v>
      </c>
      <c r="L639" t="s">
        <v>875</v>
      </c>
      <c r="M639" t="s">
        <v>876</v>
      </c>
      <c r="AJ639">
        <v>1</v>
      </c>
      <c r="AK639" t="s">
        <v>58</v>
      </c>
    </row>
    <row r="640" spans="1:37" x14ac:dyDescent="0.25">
      <c r="A640" t="s">
        <v>43</v>
      </c>
      <c r="B640">
        <v>639</v>
      </c>
      <c r="C640" t="s">
        <v>44</v>
      </c>
      <c r="J640" t="s">
        <v>45</v>
      </c>
      <c r="K640" t="s">
        <v>46</v>
      </c>
      <c r="L640" t="s">
        <v>877</v>
      </c>
      <c r="M640" t="s">
        <v>48</v>
      </c>
      <c r="AJ640">
        <v>1</v>
      </c>
      <c r="AK640" t="s">
        <v>60</v>
      </c>
    </row>
    <row r="641" spans="1:37" x14ac:dyDescent="0.25">
      <c r="A641" t="s">
        <v>43</v>
      </c>
      <c r="B641">
        <v>640</v>
      </c>
      <c r="C641" t="s">
        <v>44</v>
      </c>
      <c r="J641" t="s">
        <v>45</v>
      </c>
      <c r="K641" t="s">
        <v>46</v>
      </c>
      <c r="L641" t="s">
        <v>878</v>
      </c>
      <c r="M641" t="s">
        <v>48</v>
      </c>
      <c r="AJ641">
        <v>1</v>
      </c>
      <c r="AK641" t="s">
        <v>60</v>
      </c>
    </row>
    <row r="642" spans="1:37" x14ac:dyDescent="0.25">
      <c r="A642" t="s">
        <v>43</v>
      </c>
      <c r="B642">
        <v>641</v>
      </c>
      <c r="C642" t="s">
        <v>44</v>
      </c>
      <c r="J642" t="s">
        <v>54</v>
      </c>
      <c r="K642" t="s">
        <v>55</v>
      </c>
      <c r="L642" t="s">
        <v>879</v>
      </c>
      <c r="M642" t="s">
        <v>880</v>
      </c>
      <c r="AJ642">
        <v>1</v>
      </c>
      <c r="AK642" t="s">
        <v>58</v>
      </c>
    </row>
    <row r="643" spans="1:37" x14ac:dyDescent="0.25">
      <c r="A643" t="s">
        <v>43</v>
      </c>
      <c r="B643">
        <v>642</v>
      </c>
      <c r="C643" t="s">
        <v>44</v>
      </c>
      <c r="J643" t="s">
        <v>45</v>
      </c>
      <c r="K643" t="s">
        <v>46</v>
      </c>
      <c r="L643" t="s">
        <v>881</v>
      </c>
      <c r="M643" t="s">
        <v>48</v>
      </c>
      <c r="AJ643">
        <v>1</v>
      </c>
      <c r="AK643" t="s">
        <v>60</v>
      </c>
    </row>
    <row r="644" spans="1:37" x14ac:dyDescent="0.25">
      <c r="A644" t="s">
        <v>43</v>
      </c>
      <c r="B644">
        <v>643</v>
      </c>
      <c r="C644" t="s">
        <v>44</v>
      </c>
      <c r="J644" t="s">
        <v>45</v>
      </c>
      <c r="K644" t="s">
        <v>46</v>
      </c>
      <c r="L644" t="s">
        <v>882</v>
      </c>
      <c r="M644" t="s">
        <v>48</v>
      </c>
      <c r="AJ644">
        <v>1</v>
      </c>
      <c r="AK644" t="s">
        <v>60</v>
      </c>
    </row>
    <row r="645" spans="1:37" x14ac:dyDescent="0.25">
      <c r="A645" t="s">
        <v>43</v>
      </c>
      <c r="B645">
        <v>644</v>
      </c>
      <c r="C645" t="s">
        <v>44</v>
      </c>
      <c r="J645" t="s">
        <v>54</v>
      </c>
      <c r="K645" t="s">
        <v>55</v>
      </c>
      <c r="L645" t="s">
        <v>883</v>
      </c>
      <c r="M645" t="s">
        <v>884</v>
      </c>
      <c r="AJ645">
        <v>1</v>
      </c>
      <c r="AK645" t="s">
        <v>58</v>
      </c>
    </row>
    <row r="646" spans="1:37" x14ac:dyDescent="0.25">
      <c r="A646" t="s">
        <v>43</v>
      </c>
      <c r="B646">
        <v>645</v>
      </c>
      <c r="C646" t="s">
        <v>44</v>
      </c>
      <c r="J646" t="s">
        <v>45</v>
      </c>
      <c r="K646" t="s">
        <v>46</v>
      </c>
      <c r="L646" t="s">
        <v>885</v>
      </c>
      <c r="M646" t="s">
        <v>48</v>
      </c>
      <c r="AJ646">
        <v>1</v>
      </c>
      <c r="AK646" t="s">
        <v>51</v>
      </c>
    </row>
    <row r="647" spans="1:37" x14ac:dyDescent="0.25">
      <c r="A647" t="s">
        <v>43</v>
      </c>
      <c r="B647">
        <v>646</v>
      </c>
      <c r="C647" t="s">
        <v>44</v>
      </c>
      <c r="J647" t="s">
        <v>45</v>
      </c>
      <c r="K647" t="s">
        <v>46</v>
      </c>
      <c r="L647" t="s">
        <v>886</v>
      </c>
      <c r="M647" t="s">
        <v>48</v>
      </c>
      <c r="AJ647">
        <v>1</v>
      </c>
      <c r="AK647" t="s">
        <v>76</v>
      </c>
    </row>
    <row r="648" spans="1:37" x14ac:dyDescent="0.25">
      <c r="A648" t="s">
        <v>43</v>
      </c>
      <c r="B648">
        <v>647</v>
      </c>
      <c r="C648" t="s">
        <v>44</v>
      </c>
      <c r="J648" t="s">
        <v>45</v>
      </c>
      <c r="K648" t="s">
        <v>46</v>
      </c>
      <c r="L648" t="s">
        <v>887</v>
      </c>
      <c r="M648" t="s">
        <v>48</v>
      </c>
      <c r="AJ648">
        <v>1</v>
      </c>
      <c r="AK648" t="s">
        <v>53</v>
      </c>
    </row>
    <row r="649" spans="1:37" x14ac:dyDescent="0.25">
      <c r="A649" t="s">
        <v>43</v>
      </c>
      <c r="B649">
        <v>648</v>
      </c>
      <c r="C649" t="s">
        <v>44</v>
      </c>
      <c r="J649" t="s">
        <v>54</v>
      </c>
      <c r="K649" t="s">
        <v>55</v>
      </c>
      <c r="L649" t="s">
        <v>888</v>
      </c>
      <c r="M649" t="s">
        <v>889</v>
      </c>
      <c r="AJ649">
        <v>1</v>
      </c>
      <c r="AK649" t="s">
        <v>58</v>
      </c>
    </row>
    <row r="650" spans="1:37" x14ac:dyDescent="0.25">
      <c r="A650" t="s">
        <v>43</v>
      </c>
      <c r="B650">
        <v>649</v>
      </c>
      <c r="C650" t="s">
        <v>44</v>
      </c>
      <c r="J650" t="s">
        <v>54</v>
      </c>
      <c r="K650" t="s">
        <v>55</v>
      </c>
      <c r="L650" t="s">
        <v>369</v>
      </c>
      <c r="M650" t="s">
        <v>208</v>
      </c>
      <c r="AJ650">
        <v>1</v>
      </c>
      <c r="AK650" t="s">
        <v>209</v>
      </c>
    </row>
    <row r="651" spans="1:37" x14ac:dyDescent="0.25">
      <c r="A651" t="s">
        <v>43</v>
      </c>
      <c r="B651">
        <v>650</v>
      </c>
      <c r="C651" t="s">
        <v>44</v>
      </c>
      <c r="J651" t="s">
        <v>45</v>
      </c>
      <c r="K651" t="s">
        <v>46</v>
      </c>
      <c r="L651" t="s">
        <v>890</v>
      </c>
      <c r="M651" t="s">
        <v>48</v>
      </c>
      <c r="AJ651">
        <v>1</v>
      </c>
      <c r="AK651" t="s">
        <v>209</v>
      </c>
    </row>
    <row r="652" spans="1:37" x14ac:dyDescent="0.25">
      <c r="A652" t="s">
        <v>43</v>
      </c>
      <c r="B652">
        <v>651</v>
      </c>
      <c r="C652" t="s">
        <v>44</v>
      </c>
      <c r="J652" t="s">
        <v>45</v>
      </c>
      <c r="K652" t="s">
        <v>46</v>
      </c>
      <c r="L652" t="s">
        <v>891</v>
      </c>
      <c r="M652" t="s">
        <v>48</v>
      </c>
      <c r="AJ652">
        <v>1</v>
      </c>
      <c r="AK652" t="s">
        <v>60</v>
      </c>
    </row>
    <row r="653" spans="1:37" x14ac:dyDescent="0.25">
      <c r="A653" t="s">
        <v>43</v>
      </c>
      <c r="B653">
        <v>652</v>
      </c>
      <c r="C653" t="s">
        <v>44</v>
      </c>
      <c r="J653" t="s">
        <v>45</v>
      </c>
      <c r="K653" t="s">
        <v>46</v>
      </c>
      <c r="L653" t="s">
        <v>892</v>
      </c>
      <c r="M653" t="s">
        <v>48</v>
      </c>
      <c r="AJ653">
        <v>1</v>
      </c>
      <c r="AK653" t="s">
        <v>60</v>
      </c>
    </row>
    <row r="654" spans="1:37" x14ac:dyDescent="0.25">
      <c r="A654" t="s">
        <v>43</v>
      </c>
      <c r="B654">
        <v>653</v>
      </c>
      <c r="C654" t="s">
        <v>44</v>
      </c>
      <c r="J654" t="s">
        <v>45</v>
      </c>
      <c r="K654" t="s">
        <v>46</v>
      </c>
      <c r="L654" t="s">
        <v>893</v>
      </c>
      <c r="M654" t="s">
        <v>48</v>
      </c>
      <c r="AJ654">
        <v>1</v>
      </c>
      <c r="AK654" t="s">
        <v>60</v>
      </c>
    </row>
    <row r="655" spans="1:37" x14ac:dyDescent="0.25">
      <c r="A655" t="s">
        <v>43</v>
      </c>
      <c r="B655">
        <v>654</v>
      </c>
      <c r="C655" t="s">
        <v>44</v>
      </c>
      <c r="J655" t="s">
        <v>45</v>
      </c>
      <c r="K655" t="s">
        <v>46</v>
      </c>
      <c r="L655" t="s">
        <v>894</v>
      </c>
      <c r="M655" t="s">
        <v>48</v>
      </c>
      <c r="AJ655">
        <v>1</v>
      </c>
      <c r="AK655" t="s">
        <v>60</v>
      </c>
    </row>
    <row r="656" spans="1:37" x14ac:dyDescent="0.25">
      <c r="A656" t="s">
        <v>43</v>
      </c>
      <c r="B656">
        <v>655</v>
      </c>
      <c r="C656" t="s">
        <v>44</v>
      </c>
      <c r="J656" t="s">
        <v>45</v>
      </c>
      <c r="K656" t="s">
        <v>46</v>
      </c>
      <c r="L656" t="s">
        <v>895</v>
      </c>
      <c r="M656" t="s">
        <v>48</v>
      </c>
      <c r="AJ656">
        <v>1</v>
      </c>
      <c r="AK656" t="s">
        <v>60</v>
      </c>
    </row>
    <row r="657" spans="1:37" x14ac:dyDescent="0.25">
      <c r="A657" t="s">
        <v>43</v>
      </c>
      <c r="B657">
        <v>656</v>
      </c>
      <c r="C657" t="s">
        <v>44</v>
      </c>
      <c r="J657" t="s">
        <v>54</v>
      </c>
      <c r="K657" t="s">
        <v>55</v>
      </c>
      <c r="L657" t="s">
        <v>896</v>
      </c>
      <c r="M657" t="s">
        <v>897</v>
      </c>
      <c r="AJ657">
        <v>1</v>
      </c>
      <c r="AK657" t="s">
        <v>58</v>
      </c>
    </row>
    <row r="658" spans="1:37" x14ac:dyDescent="0.25">
      <c r="A658" t="s">
        <v>43</v>
      </c>
      <c r="B658">
        <v>657</v>
      </c>
      <c r="C658" t="s">
        <v>44</v>
      </c>
      <c r="J658" t="s">
        <v>45</v>
      </c>
      <c r="K658" t="s">
        <v>46</v>
      </c>
      <c r="L658" t="s">
        <v>898</v>
      </c>
      <c r="M658" t="s">
        <v>48</v>
      </c>
      <c r="AJ658">
        <v>1</v>
      </c>
      <c r="AK658" t="s">
        <v>51</v>
      </c>
    </row>
    <row r="659" spans="1:37" x14ac:dyDescent="0.25">
      <c r="A659" t="s">
        <v>43</v>
      </c>
      <c r="B659">
        <v>658</v>
      </c>
      <c r="C659" t="s">
        <v>44</v>
      </c>
      <c r="J659" t="s">
        <v>45</v>
      </c>
      <c r="K659" t="s">
        <v>46</v>
      </c>
      <c r="L659" t="s">
        <v>899</v>
      </c>
      <c r="M659" t="s">
        <v>48</v>
      </c>
      <c r="AJ659">
        <v>1</v>
      </c>
      <c r="AK659" t="s">
        <v>60</v>
      </c>
    </row>
    <row r="660" spans="1:37" x14ac:dyDescent="0.25">
      <c r="A660" t="s">
        <v>43</v>
      </c>
      <c r="B660">
        <v>659</v>
      </c>
      <c r="C660" t="s">
        <v>44</v>
      </c>
      <c r="J660" t="s">
        <v>54</v>
      </c>
      <c r="K660" t="s">
        <v>55</v>
      </c>
      <c r="L660" t="s">
        <v>900</v>
      </c>
      <c r="M660" t="s">
        <v>901</v>
      </c>
      <c r="AJ660">
        <v>1</v>
      </c>
      <c r="AK660" t="s">
        <v>58</v>
      </c>
    </row>
    <row r="661" spans="1:37" x14ac:dyDescent="0.25">
      <c r="A661" t="s">
        <v>43</v>
      </c>
      <c r="B661">
        <v>660</v>
      </c>
      <c r="C661" t="s">
        <v>44</v>
      </c>
      <c r="J661" t="s">
        <v>45</v>
      </c>
      <c r="K661" t="s">
        <v>46</v>
      </c>
      <c r="L661" t="s">
        <v>902</v>
      </c>
      <c r="M661" t="s">
        <v>48</v>
      </c>
      <c r="AJ661">
        <v>1</v>
      </c>
      <c r="AK661" t="s">
        <v>60</v>
      </c>
    </row>
    <row r="662" spans="1:37" x14ac:dyDescent="0.25">
      <c r="A662" t="s">
        <v>43</v>
      </c>
      <c r="B662">
        <v>661</v>
      </c>
      <c r="C662" t="s">
        <v>44</v>
      </c>
      <c r="J662" t="s">
        <v>54</v>
      </c>
      <c r="K662" t="s">
        <v>55</v>
      </c>
      <c r="L662" t="s">
        <v>903</v>
      </c>
      <c r="M662" t="s">
        <v>904</v>
      </c>
      <c r="AJ662">
        <v>1</v>
      </c>
      <c r="AK662" t="s">
        <v>58</v>
      </c>
    </row>
    <row r="663" spans="1:37" x14ac:dyDescent="0.25">
      <c r="A663" t="s">
        <v>43</v>
      </c>
      <c r="B663">
        <v>662</v>
      </c>
      <c r="C663" t="s">
        <v>44</v>
      </c>
      <c r="J663" t="s">
        <v>45</v>
      </c>
      <c r="K663" t="s">
        <v>46</v>
      </c>
      <c r="L663" t="s">
        <v>905</v>
      </c>
      <c r="M663" t="s">
        <v>48</v>
      </c>
      <c r="AJ663">
        <v>1</v>
      </c>
      <c r="AK663" t="s">
        <v>60</v>
      </c>
    </row>
    <row r="664" spans="1:37" x14ac:dyDescent="0.25">
      <c r="A664" t="s">
        <v>43</v>
      </c>
      <c r="B664">
        <v>663</v>
      </c>
      <c r="C664" t="s">
        <v>44</v>
      </c>
      <c r="J664" t="s">
        <v>45</v>
      </c>
      <c r="K664" t="s">
        <v>46</v>
      </c>
      <c r="L664" t="s">
        <v>906</v>
      </c>
      <c r="M664" t="s">
        <v>48</v>
      </c>
      <c r="AJ664">
        <v>1</v>
      </c>
      <c r="AK664" t="s">
        <v>60</v>
      </c>
    </row>
    <row r="665" spans="1:37" x14ac:dyDescent="0.25">
      <c r="A665" t="s">
        <v>43</v>
      </c>
      <c r="B665">
        <v>664</v>
      </c>
      <c r="C665" t="s">
        <v>44</v>
      </c>
      <c r="J665" t="s">
        <v>45</v>
      </c>
      <c r="K665" t="s">
        <v>46</v>
      </c>
      <c r="L665" t="s">
        <v>907</v>
      </c>
      <c r="M665" t="s">
        <v>48</v>
      </c>
      <c r="AJ665">
        <v>1</v>
      </c>
      <c r="AK665" t="s">
        <v>209</v>
      </c>
    </row>
    <row r="666" spans="1:37" x14ac:dyDescent="0.25">
      <c r="A666" t="s">
        <v>43</v>
      </c>
      <c r="B666">
        <v>665</v>
      </c>
      <c r="C666" t="s">
        <v>44</v>
      </c>
      <c r="J666" t="s">
        <v>45</v>
      </c>
      <c r="K666" t="s">
        <v>46</v>
      </c>
      <c r="L666" t="s">
        <v>908</v>
      </c>
      <c r="M666" t="s">
        <v>48</v>
      </c>
      <c r="AJ666">
        <v>1</v>
      </c>
      <c r="AK666" t="s">
        <v>60</v>
      </c>
    </row>
    <row r="667" spans="1:37" x14ac:dyDescent="0.25">
      <c r="A667" t="s">
        <v>43</v>
      </c>
      <c r="B667">
        <v>666</v>
      </c>
      <c r="C667" t="s">
        <v>44</v>
      </c>
      <c r="J667" t="s">
        <v>45</v>
      </c>
      <c r="K667" t="s">
        <v>46</v>
      </c>
      <c r="L667" t="s">
        <v>909</v>
      </c>
      <c r="M667" t="s">
        <v>48</v>
      </c>
      <c r="AJ667">
        <v>1</v>
      </c>
      <c r="AK667" t="s">
        <v>60</v>
      </c>
    </row>
    <row r="668" spans="1:37" x14ac:dyDescent="0.25">
      <c r="A668" t="s">
        <v>43</v>
      </c>
      <c r="B668">
        <v>667</v>
      </c>
      <c r="C668" t="s">
        <v>44</v>
      </c>
      <c r="J668" t="s">
        <v>54</v>
      </c>
      <c r="K668" t="s">
        <v>55</v>
      </c>
      <c r="L668" t="s">
        <v>910</v>
      </c>
      <c r="M668" t="s">
        <v>911</v>
      </c>
      <c r="AJ668">
        <v>1</v>
      </c>
      <c r="AK668" t="s">
        <v>58</v>
      </c>
    </row>
    <row r="669" spans="1:37" x14ac:dyDescent="0.25">
      <c r="A669" t="s">
        <v>43</v>
      </c>
      <c r="B669">
        <v>668</v>
      </c>
      <c r="C669" t="s">
        <v>44</v>
      </c>
      <c r="J669" t="s">
        <v>45</v>
      </c>
      <c r="K669" t="s">
        <v>46</v>
      </c>
      <c r="L669" t="s">
        <v>912</v>
      </c>
      <c r="M669" t="s">
        <v>48</v>
      </c>
      <c r="AJ669" t="s">
        <v>715</v>
      </c>
      <c r="AK669" t="s">
        <v>60</v>
      </c>
    </row>
    <row r="670" spans="1:37" x14ac:dyDescent="0.25">
      <c r="A670" t="s">
        <v>43</v>
      </c>
      <c r="B670">
        <v>669</v>
      </c>
      <c r="C670" t="s">
        <v>44</v>
      </c>
      <c r="J670" t="s">
        <v>54</v>
      </c>
      <c r="K670" t="s">
        <v>55</v>
      </c>
      <c r="L670" t="s">
        <v>913</v>
      </c>
      <c r="M670" t="s">
        <v>914</v>
      </c>
      <c r="AJ670">
        <v>1</v>
      </c>
      <c r="AK670" t="s">
        <v>58</v>
      </c>
    </row>
    <row r="671" spans="1:37" x14ac:dyDescent="0.25">
      <c r="A671" t="s">
        <v>43</v>
      </c>
      <c r="B671">
        <v>670</v>
      </c>
      <c r="C671" t="s">
        <v>44</v>
      </c>
      <c r="J671" t="s">
        <v>54</v>
      </c>
      <c r="K671" t="s">
        <v>55</v>
      </c>
      <c r="L671" t="s">
        <v>915</v>
      </c>
      <c r="M671" t="s">
        <v>916</v>
      </c>
      <c r="AJ671">
        <v>1</v>
      </c>
      <c r="AK671" t="s">
        <v>58</v>
      </c>
    </row>
    <row r="672" spans="1:37" x14ac:dyDescent="0.25">
      <c r="A672" t="s">
        <v>43</v>
      </c>
      <c r="B672">
        <v>671</v>
      </c>
      <c r="C672" t="s">
        <v>44</v>
      </c>
      <c r="J672" t="s">
        <v>54</v>
      </c>
      <c r="K672" t="s">
        <v>55</v>
      </c>
      <c r="L672" t="s">
        <v>917</v>
      </c>
      <c r="M672" t="s">
        <v>918</v>
      </c>
      <c r="AJ672">
        <v>1</v>
      </c>
      <c r="AK672" t="s">
        <v>58</v>
      </c>
    </row>
    <row r="673" spans="1:37" x14ac:dyDescent="0.25">
      <c r="A673" t="s">
        <v>43</v>
      </c>
      <c r="B673">
        <v>672</v>
      </c>
      <c r="C673" t="s">
        <v>44</v>
      </c>
      <c r="J673" t="s">
        <v>45</v>
      </c>
      <c r="K673" t="s">
        <v>46</v>
      </c>
      <c r="L673" t="s">
        <v>919</v>
      </c>
      <c r="M673" t="s">
        <v>48</v>
      </c>
      <c r="AJ673">
        <v>1</v>
      </c>
      <c r="AK673" t="s">
        <v>60</v>
      </c>
    </row>
    <row r="674" spans="1:37" x14ac:dyDescent="0.25">
      <c r="A674" t="s">
        <v>43</v>
      </c>
      <c r="B674">
        <v>673</v>
      </c>
      <c r="C674" t="s">
        <v>44</v>
      </c>
      <c r="J674" t="s">
        <v>45</v>
      </c>
      <c r="K674" t="s">
        <v>46</v>
      </c>
      <c r="L674" t="s">
        <v>920</v>
      </c>
      <c r="M674" t="s">
        <v>48</v>
      </c>
      <c r="AJ674">
        <v>1</v>
      </c>
      <c r="AK674" t="s">
        <v>76</v>
      </c>
    </row>
    <row r="675" spans="1:37" x14ac:dyDescent="0.25">
      <c r="A675" t="s">
        <v>43</v>
      </c>
      <c r="B675">
        <v>674</v>
      </c>
      <c r="C675" t="s">
        <v>44</v>
      </c>
      <c r="J675" t="s">
        <v>45</v>
      </c>
      <c r="K675" t="s">
        <v>46</v>
      </c>
      <c r="L675" t="s">
        <v>921</v>
      </c>
      <c r="M675" t="s">
        <v>48</v>
      </c>
      <c r="AJ675">
        <v>1</v>
      </c>
      <c r="AK675" t="s">
        <v>76</v>
      </c>
    </row>
    <row r="676" spans="1:37" x14ac:dyDescent="0.25">
      <c r="A676" t="s">
        <v>43</v>
      </c>
      <c r="B676">
        <v>675</v>
      </c>
      <c r="C676" t="s">
        <v>44</v>
      </c>
      <c r="J676" t="s">
        <v>45</v>
      </c>
      <c r="K676" t="s">
        <v>46</v>
      </c>
      <c r="L676" t="s">
        <v>922</v>
      </c>
      <c r="M676" t="s">
        <v>48</v>
      </c>
      <c r="AJ676">
        <v>1</v>
      </c>
      <c r="AK676" t="s">
        <v>76</v>
      </c>
    </row>
    <row r="677" spans="1:37" x14ac:dyDescent="0.25">
      <c r="A677" t="s">
        <v>43</v>
      </c>
      <c r="B677">
        <v>676</v>
      </c>
      <c r="C677" t="s">
        <v>44</v>
      </c>
      <c r="J677" t="s">
        <v>54</v>
      </c>
      <c r="K677" t="s">
        <v>55</v>
      </c>
      <c r="L677" t="s">
        <v>923</v>
      </c>
      <c r="M677" t="s">
        <v>924</v>
      </c>
      <c r="AJ677">
        <v>1</v>
      </c>
      <c r="AK677" t="s">
        <v>58</v>
      </c>
    </row>
    <row r="678" spans="1:37" x14ac:dyDescent="0.25">
      <c r="A678" t="s">
        <v>43</v>
      </c>
      <c r="B678">
        <v>677</v>
      </c>
      <c r="C678" t="s">
        <v>44</v>
      </c>
      <c r="J678" t="s">
        <v>45</v>
      </c>
      <c r="K678" t="s">
        <v>46</v>
      </c>
      <c r="L678" t="s">
        <v>925</v>
      </c>
      <c r="M678" t="s">
        <v>48</v>
      </c>
      <c r="AJ678">
        <v>1</v>
      </c>
      <c r="AK678" t="s">
        <v>60</v>
      </c>
    </row>
    <row r="679" spans="1:37" x14ac:dyDescent="0.25">
      <c r="A679" t="s">
        <v>43</v>
      </c>
      <c r="B679">
        <v>678</v>
      </c>
      <c r="C679" t="s">
        <v>44</v>
      </c>
      <c r="J679" t="s">
        <v>45</v>
      </c>
      <c r="K679" t="s">
        <v>46</v>
      </c>
      <c r="L679" t="s">
        <v>926</v>
      </c>
      <c r="M679" t="s">
        <v>48</v>
      </c>
      <c r="AJ679">
        <v>1</v>
      </c>
      <c r="AK679" t="s">
        <v>60</v>
      </c>
    </row>
    <row r="680" spans="1:37" x14ac:dyDescent="0.25">
      <c r="A680" t="s">
        <v>43</v>
      </c>
      <c r="B680">
        <v>679</v>
      </c>
      <c r="C680" t="s">
        <v>44</v>
      </c>
      <c r="J680" t="s">
        <v>54</v>
      </c>
      <c r="K680" t="s">
        <v>55</v>
      </c>
      <c r="L680" t="s">
        <v>927</v>
      </c>
      <c r="M680" t="s">
        <v>928</v>
      </c>
      <c r="AJ680">
        <v>1</v>
      </c>
      <c r="AK680" t="s">
        <v>58</v>
      </c>
    </row>
    <row r="681" spans="1:37" x14ac:dyDescent="0.25">
      <c r="A681" t="s">
        <v>43</v>
      </c>
      <c r="B681">
        <v>680</v>
      </c>
      <c r="C681" t="s">
        <v>44</v>
      </c>
      <c r="J681" t="s">
        <v>45</v>
      </c>
      <c r="K681" t="s">
        <v>46</v>
      </c>
      <c r="L681" t="s">
        <v>929</v>
      </c>
      <c r="M681" t="s">
        <v>48</v>
      </c>
      <c r="AJ681">
        <v>1</v>
      </c>
      <c r="AK681" t="s">
        <v>60</v>
      </c>
    </row>
    <row r="682" spans="1:37" x14ac:dyDescent="0.25">
      <c r="A682" t="s">
        <v>43</v>
      </c>
      <c r="B682">
        <v>681</v>
      </c>
      <c r="C682" t="s">
        <v>44</v>
      </c>
      <c r="J682" t="s">
        <v>45</v>
      </c>
      <c r="K682" t="s">
        <v>46</v>
      </c>
      <c r="L682" t="s">
        <v>930</v>
      </c>
      <c r="M682" t="s">
        <v>48</v>
      </c>
      <c r="AJ682">
        <v>1</v>
      </c>
      <c r="AK682" t="s">
        <v>60</v>
      </c>
    </row>
    <row r="683" spans="1:37" x14ac:dyDescent="0.25">
      <c r="A683" t="s">
        <v>43</v>
      </c>
      <c r="B683">
        <v>682</v>
      </c>
      <c r="C683" t="s">
        <v>44</v>
      </c>
      <c r="J683" t="s">
        <v>54</v>
      </c>
      <c r="K683" t="s">
        <v>55</v>
      </c>
      <c r="L683" t="s">
        <v>931</v>
      </c>
      <c r="M683" t="s">
        <v>932</v>
      </c>
      <c r="AJ683">
        <v>1</v>
      </c>
      <c r="AK683" t="s">
        <v>58</v>
      </c>
    </row>
    <row r="684" spans="1:37" x14ac:dyDescent="0.25">
      <c r="A684" t="s">
        <v>43</v>
      </c>
      <c r="B684">
        <v>683</v>
      </c>
      <c r="C684" t="s">
        <v>44</v>
      </c>
      <c r="J684" t="s">
        <v>45</v>
      </c>
      <c r="K684" t="s">
        <v>46</v>
      </c>
      <c r="L684" t="s">
        <v>933</v>
      </c>
      <c r="M684" t="s">
        <v>48</v>
      </c>
      <c r="AJ684">
        <v>1</v>
      </c>
      <c r="AK684" t="s">
        <v>60</v>
      </c>
    </row>
    <row r="685" spans="1:37" x14ac:dyDescent="0.25">
      <c r="A685" t="s">
        <v>43</v>
      </c>
      <c r="B685">
        <v>684</v>
      </c>
      <c r="C685" t="s">
        <v>44</v>
      </c>
      <c r="J685" t="s">
        <v>45</v>
      </c>
      <c r="K685" t="s">
        <v>46</v>
      </c>
      <c r="L685" t="s">
        <v>934</v>
      </c>
      <c r="M685" t="s">
        <v>48</v>
      </c>
      <c r="AJ685">
        <v>1</v>
      </c>
      <c r="AK685" t="s">
        <v>60</v>
      </c>
    </row>
    <row r="686" spans="1:37" x14ac:dyDescent="0.25">
      <c r="A686" t="s">
        <v>43</v>
      </c>
      <c r="B686">
        <v>685</v>
      </c>
      <c r="C686" t="s">
        <v>44</v>
      </c>
      <c r="J686" t="s">
        <v>54</v>
      </c>
      <c r="K686" t="s">
        <v>55</v>
      </c>
      <c r="L686" t="s">
        <v>935</v>
      </c>
      <c r="M686" t="s">
        <v>936</v>
      </c>
      <c r="AJ686">
        <v>1</v>
      </c>
      <c r="AK686" t="s">
        <v>58</v>
      </c>
    </row>
    <row r="687" spans="1:37" x14ac:dyDescent="0.25">
      <c r="A687" t="s">
        <v>43</v>
      </c>
      <c r="B687">
        <v>686</v>
      </c>
      <c r="C687" t="s">
        <v>44</v>
      </c>
      <c r="J687" t="s">
        <v>45</v>
      </c>
      <c r="K687" t="s">
        <v>46</v>
      </c>
      <c r="L687" t="s">
        <v>937</v>
      </c>
      <c r="M687" t="s">
        <v>48</v>
      </c>
      <c r="AJ687">
        <v>1</v>
      </c>
      <c r="AK687" t="s">
        <v>51</v>
      </c>
    </row>
    <row r="688" spans="1:37" x14ac:dyDescent="0.25">
      <c r="A688" t="s">
        <v>43</v>
      </c>
      <c r="B688">
        <v>687</v>
      </c>
      <c r="C688" t="s">
        <v>44</v>
      </c>
      <c r="J688" t="s">
        <v>54</v>
      </c>
      <c r="K688" t="s">
        <v>55</v>
      </c>
      <c r="L688" t="s">
        <v>938</v>
      </c>
      <c r="M688" t="s">
        <v>939</v>
      </c>
      <c r="AJ688">
        <v>1</v>
      </c>
      <c r="AK688" t="s">
        <v>58</v>
      </c>
    </row>
    <row r="689" spans="1:37" x14ac:dyDescent="0.25">
      <c r="A689" t="s">
        <v>43</v>
      </c>
      <c r="B689">
        <v>688</v>
      </c>
      <c r="C689" t="s">
        <v>44</v>
      </c>
      <c r="J689" t="s">
        <v>45</v>
      </c>
      <c r="K689" t="s">
        <v>46</v>
      </c>
      <c r="L689" t="s">
        <v>940</v>
      </c>
      <c r="M689" t="s">
        <v>48</v>
      </c>
      <c r="AJ689">
        <v>1</v>
      </c>
      <c r="AK689" t="s">
        <v>60</v>
      </c>
    </row>
    <row r="690" spans="1:37" x14ac:dyDescent="0.25">
      <c r="A690" t="s">
        <v>43</v>
      </c>
      <c r="B690">
        <v>689</v>
      </c>
      <c r="C690" t="s">
        <v>44</v>
      </c>
      <c r="J690" t="s">
        <v>45</v>
      </c>
      <c r="K690" t="s">
        <v>46</v>
      </c>
      <c r="L690" t="s">
        <v>941</v>
      </c>
      <c r="M690" t="s">
        <v>48</v>
      </c>
      <c r="AJ690">
        <v>1</v>
      </c>
      <c r="AK690" t="s">
        <v>60</v>
      </c>
    </row>
    <row r="691" spans="1:37" x14ac:dyDescent="0.25">
      <c r="A691" t="s">
        <v>43</v>
      </c>
      <c r="B691">
        <v>690</v>
      </c>
      <c r="C691" t="s">
        <v>44</v>
      </c>
      <c r="J691" t="s">
        <v>45</v>
      </c>
      <c r="K691" t="s">
        <v>46</v>
      </c>
      <c r="L691" t="s">
        <v>942</v>
      </c>
      <c r="M691" t="s">
        <v>48</v>
      </c>
      <c r="AJ691">
        <v>1</v>
      </c>
      <c r="AK691" t="s">
        <v>60</v>
      </c>
    </row>
    <row r="692" spans="1:37" x14ac:dyDescent="0.25">
      <c r="A692" t="s">
        <v>43</v>
      </c>
      <c r="B692">
        <v>691</v>
      </c>
      <c r="C692" t="s">
        <v>44</v>
      </c>
      <c r="J692" t="s">
        <v>54</v>
      </c>
      <c r="K692" t="s">
        <v>55</v>
      </c>
      <c r="L692" t="s">
        <v>943</v>
      </c>
      <c r="M692" t="s">
        <v>944</v>
      </c>
      <c r="AJ692">
        <v>1</v>
      </c>
      <c r="AK692" t="s">
        <v>58</v>
      </c>
    </row>
    <row r="693" spans="1:37" x14ac:dyDescent="0.25">
      <c r="A693" t="s">
        <v>43</v>
      </c>
      <c r="B693">
        <v>692</v>
      </c>
      <c r="C693" t="s">
        <v>44</v>
      </c>
      <c r="J693" t="s">
        <v>45</v>
      </c>
      <c r="K693" t="s">
        <v>46</v>
      </c>
      <c r="L693" t="s">
        <v>945</v>
      </c>
      <c r="M693" t="s">
        <v>48</v>
      </c>
      <c r="AJ693">
        <v>1</v>
      </c>
      <c r="AK693" t="s">
        <v>946</v>
      </c>
    </row>
    <row r="694" spans="1:37" x14ac:dyDescent="0.25">
      <c r="A694" t="s">
        <v>43</v>
      </c>
      <c r="B694">
        <v>693</v>
      </c>
      <c r="C694" t="s">
        <v>44</v>
      </c>
      <c r="J694" t="s">
        <v>54</v>
      </c>
      <c r="K694" t="s">
        <v>55</v>
      </c>
      <c r="L694" t="s">
        <v>947</v>
      </c>
      <c r="M694" t="s">
        <v>948</v>
      </c>
      <c r="AJ694">
        <v>1</v>
      </c>
      <c r="AK694" t="s">
        <v>58</v>
      </c>
    </row>
    <row r="695" spans="1:37" x14ac:dyDescent="0.25">
      <c r="A695" t="s">
        <v>43</v>
      </c>
      <c r="B695">
        <v>694</v>
      </c>
      <c r="C695" t="s">
        <v>44</v>
      </c>
      <c r="J695" t="s">
        <v>45</v>
      </c>
      <c r="K695" t="s">
        <v>46</v>
      </c>
      <c r="L695" t="s">
        <v>949</v>
      </c>
      <c r="M695" t="s">
        <v>48</v>
      </c>
      <c r="AJ695">
        <v>1</v>
      </c>
      <c r="AK695" t="s">
        <v>60</v>
      </c>
    </row>
    <row r="696" spans="1:37" x14ac:dyDescent="0.25">
      <c r="A696" t="s">
        <v>43</v>
      </c>
      <c r="B696">
        <v>695</v>
      </c>
      <c r="C696" t="s">
        <v>44</v>
      </c>
      <c r="J696" t="s">
        <v>45</v>
      </c>
      <c r="K696" t="s">
        <v>46</v>
      </c>
      <c r="L696" t="s">
        <v>950</v>
      </c>
      <c r="M696" t="s">
        <v>48</v>
      </c>
      <c r="AJ696">
        <v>1</v>
      </c>
      <c r="AK696" t="s">
        <v>60</v>
      </c>
    </row>
    <row r="697" spans="1:37" x14ac:dyDescent="0.25">
      <c r="A697" t="s">
        <v>43</v>
      </c>
      <c r="B697">
        <v>696</v>
      </c>
      <c r="C697" t="s">
        <v>44</v>
      </c>
      <c r="J697" t="s">
        <v>45</v>
      </c>
      <c r="K697" t="s">
        <v>46</v>
      </c>
      <c r="L697" t="s">
        <v>951</v>
      </c>
      <c r="M697" t="s">
        <v>48</v>
      </c>
      <c r="AJ697">
        <v>1</v>
      </c>
      <c r="AK697" t="s">
        <v>60</v>
      </c>
    </row>
    <row r="698" spans="1:37" x14ac:dyDescent="0.25">
      <c r="A698" t="s">
        <v>43</v>
      </c>
      <c r="B698">
        <v>697</v>
      </c>
      <c r="C698" t="s">
        <v>44</v>
      </c>
      <c r="J698" t="s">
        <v>54</v>
      </c>
      <c r="K698" t="s">
        <v>55</v>
      </c>
      <c r="L698" t="s">
        <v>952</v>
      </c>
      <c r="M698" t="s">
        <v>953</v>
      </c>
      <c r="AJ698">
        <v>1</v>
      </c>
      <c r="AK698" t="s">
        <v>58</v>
      </c>
    </row>
    <row r="699" spans="1:37" x14ac:dyDescent="0.25">
      <c r="A699" t="s">
        <v>43</v>
      </c>
      <c r="B699">
        <v>698</v>
      </c>
      <c r="C699" t="s">
        <v>44</v>
      </c>
      <c r="J699" t="s">
        <v>45</v>
      </c>
      <c r="K699" t="s">
        <v>46</v>
      </c>
      <c r="L699" t="s">
        <v>954</v>
      </c>
      <c r="M699" t="s">
        <v>48</v>
      </c>
      <c r="AJ699">
        <v>1</v>
      </c>
      <c r="AK699" t="s">
        <v>51</v>
      </c>
    </row>
    <row r="700" spans="1:37" x14ac:dyDescent="0.25">
      <c r="A700" t="s">
        <v>43</v>
      </c>
      <c r="B700">
        <v>699</v>
      </c>
      <c r="C700" t="s">
        <v>44</v>
      </c>
      <c r="J700" t="s">
        <v>45</v>
      </c>
      <c r="K700" t="s">
        <v>46</v>
      </c>
      <c r="L700" t="s">
        <v>955</v>
      </c>
      <c r="M700" t="s">
        <v>48</v>
      </c>
      <c r="AJ700">
        <v>1</v>
      </c>
      <c r="AK700" t="s">
        <v>76</v>
      </c>
    </row>
    <row r="701" spans="1:37" x14ac:dyDescent="0.25">
      <c r="A701" t="s">
        <v>43</v>
      </c>
      <c r="B701">
        <v>700</v>
      </c>
      <c r="C701" t="s">
        <v>44</v>
      </c>
      <c r="J701" t="s">
        <v>45</v>
      </c>
      <c r="K701" t="s">
        <v>46</v>
      </c>
      <c r="L701" t="s">
        <v>956</v>
      </c>
      <c r="M701" t="s">
        <v>48</v>
      </c>
      <c r="AJ701">
        <v>1</v>
      </c>
      <c r="AK701" t="s">
        <v>60</v>
      </c>
    </row>
    <row r="702" spans="1:37" x14ac:dyDescent="0.25">
      <c r="A702" t="s">
        <v>43</v>
      </c>
      <c r="B702">
        <v>701</v>
      </c>
      <c r="C702" t="s">
        <v>44</v>
      </c>
      <c r="J702" t="s">
        <v>45</v>
      </c>
      <c r="K702" t="s">
        <v>46</v>
      </c>
      <c r="L702" t="s">
        <v>957</v>
      </c>
      <c r="M702" t="s">
        <v>48</v>
      </c>
      <c r="AJ702">
        <v>1</v>
      </c>
      <c r="AK702" t="s">
        <v>60</v>
      </c>
    </row>
    <row r="703" spans="1:37" x14ac:dyDescent="0.25">
      <c r="A703" t="s">
        <v>43</v>
      </c>
      <c r="B703">
        <v>702</v>
      </c>
      <c r="C703" t="s">
        <v>44</v>
      </c>
      <c r="J703" t="s">
        <v>45</v>
      </c>
      <c r="K703" t="s">
        <v>46</v>
      </c>
      <c r="L703" t="s">
        <v>958</v>
      </c>
      <c r="M703" t="s">
        <v>48</v>
      </c>
      <c r="AJ703">
        <v>1</v>
      </c>
      <c r="AK703" t="s">
        <v>60</v>
      </c>
    </row>
    <row r="704" spans="1:37" x14ac:dyDescent="0.25">
      <c r="A704" t="s">
        <v>43</v>
      </c>
      <c r="B704">
        <v>703</v>
      </c>
      <c r="C704" t="s">
        <v>44</v>
      </c>
      <c r="J704" t="s">
        <v>45</v>
      </c>
      <c r="K704" t="s">
        <v>46</v>
      </c>
      <c r="L704" t="s">
        <v>959</v>
      </c>
      <c r="M704" t="s">
        <v>48</v>
      </c>
      <c r="AJ704">
        <v>1</v>
      </c>
      <c r="AK704" t="s">
        <v>60</v>
      </c>
    </row>
    <row r="705" spans="1:37" x14ac:dyDescent="0.25">
      <c r="A705" t="s">
        <v>43</v>
      </c>
      <c r="B705">
        <v>704</v>
      </c>
      <c r="C705" t="s">
        <v>44</v>
      </c>
      <c r="J705" t="s">
        <v>45</v>
      </c>
      <c r="K705" t="s">
        <v>46</v>
      </c>
      <c r="L705" t="s">
        <v>960</v>
      </c>
      <c r="M705" t="s">
        <v>48</v>
      </c>
      <c r="AJ705">
        <v>1</v>
      </c>
      <c r="AK705" t="s">
        <v>60</v>
      </c>
    </row>
    <row r="706" spans="1:37" x14ac:dyDescent="0.25">
      <c r="A706" t="s">
        <v>43</v>
      </c>
      <c r="B706">
        <v>705</v>
      </c>
      <c r="C706" t="s">
        <v>44</v>
      </c>
      <c r="J706" t="s">
        <v>45</v>
      </c>
      <c r="K706" t="s">
        <v>46</v>
      </c>
      <c r="L706" t="s">
        <v>961</v>
      </c>
      <c r="M706" t="s">
        <v>48</v>
      </c>
      <c r="AJ706">
        <v>1</v>
      </c>
      <c r="AK706" t="s">
        <v>60</v>
      </c>
    </row>
    <row r="707" spans="1:37" x14ac:dyDescent="0.25">
      <c r="A707" t="s">
        <v>43</v>
      </c>
      <c r="B707">
        <v>706</v>
      </c>
      <c r="C707" t="s">
        <v>44</v>
      </c>
      <c r="J707" t="s">
        <v>54</v>
      </c>
      <c r="K707" t="s">
        <v>55</v>
      </c>
      <c r="L707" t="s">
        <v>962</v>
      </c>
      <c r="M707" t="s">
        <v>963</v>
      </c>
      <c r="AJ707">
        <v>1</v>
      </c>
      <c r="AK707" t="s">
        <v>58</v>
      </c>
    </row>
    <row r="708" spans="1:37" x14ac:dyDescent="0.25">
      <c r="A708" t="s">
        <v>43</v>
      </c>
      <c r="B708">
        <v>707</v>
      </c>
      <c r="C708" t="s">
        <v>44</v>
      </c>
      <c r="J708" t="s">
        <v>45</v>
      </c>
      <c r="K708" t="s">
        <v>46</v>
      </c>
      <c r="L708" t="s">
        <v>964</v>
      </c>
      <c r="M708" t="s">
        <v>48</v>
      </c>
      <c r="AJ708">
        <v>1</v>
      </c>
      <c r="AK708" t="s">
        <v>76</v>
      </c>
    </row>
    <row r="709" spans="1:37" x14ac:dyDescent="0.25">
      <c r="A709" t="s">
        <v>43</v>
      </c>
      <c r="B709">
        <v>708</v>
      </c>
      <c r="C709" t="s">
        <v>44</v>
      </c>
      <c r="J709" t="s">
        <v>54</v>
      </c>
      <c r="K709" t="s">
        <v>55</v>
      </c>
      <c r="L709" t="s">
        <v>965</v>
      </c>
      <c r="M709" t="s">
        <v>966</v>
      </c>
      <c r="AJ709">
        <v>1</v>
      </c>
      <c r="AK709" t="s">
        <v>58</v>
      </c>
    </row>
    <row r="710" spans="1:37" x14ac:dyDescent="0.25">
      <c r="A710" t="s">
        <v>43</v>
      </c>
      <c r="B710">
        <v>709</v>
      </c>
      <c r="C710" t="s">
        <v>44</v>
      </c>
      <c r="J710" t="s">
        <v>45</v>
      </c>
      <c r="K710" t="s">
        <v>46</v>
      </c>
      <c r="L710" t="s">
        <v>967</v>
      </c>
      <c r="M710" t="s">
        <v>48</v>
      </c>
      <c r="AJ710">
        <v>1</v>
      </c>
      <c r="AK710" t="s">
        <v>60</v>
      </c>
    </row>
    <row r="711" spans="1:37" x14ac:dyDescent="0.25">
      <c r="A711" t="s">
        <v>43</v>
      </c>
      <c r="B711">
        <v>710</v>
      </c>
      <c r="C711" t="s">
        <v>44</v>
      </c>
      <c r="J711" t="s">
        <v>45</v>
      </c>
      <c r="K711" t="s">
        <v>46</v>
      </c>
      <c r="L711" t="s">
        <v>968</v>
      </c>
      <c r="M711" t="s">
        <v>48</v>
      </c>
      <c r="AJ711">
        <v>1</v>
      </c>
      <c r="AK711" t="s">
        <v>60</v>
      </c>
    </row>
    <row r="712" spans="1:37" x14ac:dyDescent="0.25">
      <c r="A712" t="s">
        <v>43</v>
      </c>
      <c r="B712">
        <v>711</v>
      </c>
      <c r="C712" t="s">
        <v>44</v>
      </c>
      <c r="J712" t="s">
        <v>45</v>
      </c>
      <c r="K712" t="s">
        <v>46</v>
      </c>
      <c r="L712" t="s">
        <v>969</v>
      </c>
      <c r="M712" t="s">
        <v>48</v>
      </c>
      <c r="AJ712">
        <v>1</v>
      </c>
      <c r="AK712" t="s">
        <v>60</v>
      </c>
    </row>
    <row r="713" spans="1:37" x14ac:dyDescent="0.25">
      <c r="A713" t="s">
        <v>43</v>
      </c>
      <c r="B713">
        <v>712</v>
      </c>
      <c r="C713" t="s">
        <v>44</v>
      </c>
      <c r="J713" t="s">
        <v>45</v>
      </c>
      <c r="K713" t="s">
        <v>46</v>
      </c>
      <c r="L713" t="s">
        <v>970</v>
      </c>
      <c r="M713" t="s">
        <v>48</v>
      </c>
      <c r="AJ713">
        <v>1</v>
      </c>
      <c r="AK713" t="s">
        <v>60</v>
      </c>
    </row>
    <row r="714" spans="1:37" x14ac:dyDescent="0.25">
      <c r="A714" t="s">
        <v>43</v>
      </c>
      <c r="B714">
        <v>713</v>
      </c>
      <c r="C714" t="s">
        <v>44</v>
      </c>
      <c r="J714" t="s">
        <v>45</v>
      </c>
      <c r="K714" t="s">
        <v>46</v>
      </c>
      <c r="L714" t="s">
        <v>971</v>
      </c>
      <c r="M714" t="s">
        <v>48</v>
      </c>
      <c r="AJ714">
        <v>1</v>
      </c>
      <c r="AK714" t="s">
        <v>51</v>
      </c>
    </row>
    <row r="715" spans="1:37" x14ac:dyDescent="0.25">
      <c r="A715" t="s">
        <v>43</v>
      </c>
      <c r="B715">
        <v>714</v>
      </c>
      <c r="C715" t="s">
        <v>44</v>
      </c>
      <c r="J715" t="s">
        <v>54</v>
      </c>
      <c r="K715" t="s">
        <v>55</v>
      </c>
      <c r="L715" t="s">
        <v>972</v>
      </c>
      <c r="M715" t="s">
        <v>973</v>
      </c>
      <c r="AJ715">
        <v>1</v>
      </c>
      <c r="AK715" t="s">
        <v>58</v>
      </c>
    </row>
    <row r="716" spans="1:37" x14ac:dyDescent="0.25">
      <c r="A716" t="s">
        <v>43</v>
      </c>
      <c r="B716">
        <v>715</v>
      </c>
      <c r="C716" t="s">
        <v>44</v>
      </c>
      <c r="J716" t="s">
        <v>45</v>
      </c>
      <c r="K716" t="s">
        <v>46</v>
      </c>
      <c r="L716" t="s">
        <v>974</v>
      </c>
      <c r="M716" t="s">
        <v>48</v>
      </c>
      <c r="AJ716">
        <v>1</v>
      </c>
      <c r="AK716" t="s">
        <v>60</v>
      </c>
    </row>
    <row r="717" spans="1:37" x14ac:dyDescent="0.25">
      <c r="A717" t="s">
        <v>43</v>
      </c>
      <c r="B717">
        <v>716</v>
      </c>
      <c r="C717" t="s">
        <v>44</v>
      </c>
      <c r="J717" t="s">
        <v>45</v>
      </c>
      <c r="K717" t="s">
        <v>46</v>
      </c>
      <c r="L717" t="s">
        <v>975</v>
      </c>
      <c r="M717" t="s">
        <v>48</v>
      </c>
      <c r="AJ717">
        <v>1</v>
      </c>
      <c r="AK717" t="s">
        <v>60</v>
      </c>
    </row>
    <row r="718" spans="1:37" x14ac:dyDescent="0.25">
      <c r="A718" t="s">
        <v>43</v>
      </c>
      <c r="B718">
        <v>717</v>
      </c>
      <c r="C718" t="s">
        <v>44</v>
      </c>
      <c r="J718" t="s">
        <v>45</v>
      </c>
      <c r="K718" t="s">
        <v>46</v>
      </c>
      <c r="L718" t="s">
        <v>976</v>
      </c>
      <c r="M718" t="s">
        <v>48</v>
      </c>
      <c r="AJ718">
        <v>1</v>
      </c>
      <c r="AK718" t="s">
        <v>60</v>
      </c>
    </row>
    <row r="719" spans="1:37" x14ac:dyDescent="0.25">
      <c r="A719" t="s">
        <v>43</v>
      </c>
      <c r="B719">
        <v>718</v>
      </c>
      <c r="C719" t="s">
        <v>44</v>
      </c>
      <c r="J719" t="s">
        <v>45</v>
      </c>
      <c r="K719" t="s">
        <v>46</v>
      </c>
      <c r="L719" t="s">
        <v>977</v>
      </c>
      <c r="M719" t="s">
        <v>48</v>
      </c>
      <c r="AJ719">
        <v>1</v>
      </c>
      <c r="AK719" t="s">
        <v>209</v>
      </c>
    </row>
    <row r="720" spans="1:37" x14ac:dyDescent="0.25">
      <c r="A720" t="s">
        <v>43</v>
      </c>
      <c r="B720">
        <v>719</v>
      </c>
      <c r="C720" t="s">
        <v>44</v>
      </c>
      <c r="J720" t="s">
        <v>45</v>
      </c>
      <c r="K720" t="s">
        <v>46</v>
      </c>
      <c r="L720" t="s">
        <v>978</v>
      </c>
      <c r="M720" t="s">
        <v>48</v>
      </c>
      <c r="AJ720">
        <v>1</v>
      </c>
      <c r="AK720" t="s">
        <v>53</v>
      </c>
    </row>
    <row r="721" spans="1:37" x14ac:dyDescent="0.25">
      <c r="A721" t="s">
        <v>43</v>
      </c>
      <c r="B721">
        <v>720</v>
      </c>
      <c r="C721" t="s">
        <v>44</v>
      </c>
      <c r="J721" t="s">
        <v>45</v>
      </c>
      <c r="K721" t="s">
        <v>46</v>
      </c>
      <c r="L721" t="s">
        <v>979</v>
      </c>
      <c r="M721" t="s">
        <v>48</v>
      </c>
      <c r="AJ721">
        <v>1</v>
      </c>
      <c r="AK721" t="s">
        <v>51</v>
      </c>
    </row>
    <row r="722" spans="1:37" x14ac:dyDescent="0.25">
      <c r="A722" t="s">
        <v>43</v>
      </c>
      <c r="B722">
        <v>721</v>
      </c>
      <c r="C722" t="s">
        <v>44</v>
      </c>
      <c r="J722" t="s">
        <v>54</v>
      </c>
      <c r="K722" t="s">
        <v>55</v>
      </c>
      <c r="L722" t="s">
        <v>980</v>
      </c>
      <c r="M722" t="s">
        <v>981</v>
      </c>
      <c r="AJ722">
        <v>1</v>
      </c>
      <c r="AK722" t="s">
        <v>58</v>
      </c>
    </row>
    <row r="723" spans="1:37" x14ac:dyDescent="0.25">
      <c r="A723" t="s">
        <v>43</v>
      </c>
      <c r="B723">
        <v>722</v>
      </c>
      <c r="C723" t="s">
        <v>44</v>
      </c>
      <c r="J723" t="s">
        <v>45</v>
      </c>
      <c r="K723" t="s">
        <v>114</v>
      </c>
      <c r="L723" t="s">
        <v>519</v>
      </c>
      <c r="M723" t="s">
        <v>982</v>
      </c>
      <c r="AJ723">
        <v>1</v>
      </c>
      <c r="AK723" t="s">
        <v>983</v>
      </c>
    </row>
    <row r="724" spans="1:37" x14ac:dyDescent="0.25">
      <c r="A724" t="s">
        <v>43</v>
      </c>
      <c r="B724">
        <v>723</v>
      </c>
      <c r="C724" t="s">
        <v>44</v>
      </c>
      <c r="J724" t="s">
        <v>45</v>
      </c>
      <c r="K724" t="s">
        <v>46</v>
      </c>
      <c r="L724" t="s">
        <v>984</v>
      </c>
      <c r="M724" t="s">
        <v>48</v>
      </c>
      <c r="AJ724">
        <v>1</v>
      </c>
      <c r="AK724" t="s">
        <v>51</v>
      </c>
    </row>
    <row r="725" spans="1:37" x14ac:dyDescent="0.25">
      <c r="A725" t="s">
        <v>43</v>
      </c>
      <c r="B725">
        <v>724</v>
      </c>
      <c r="C725" t="s">
        <v>44</v>
      </c>
      <c r="J725" t="s">
        <v>45</v>
      </c>
      <c r="K725" t="s">
        <v>46</v>
      </c>
      <c r="L725" t="s">
        <v>985</v>
      </c>
      <c r="M725" t="s">
        <v>48</v>
      </c>
      <c r="AJ725">
        <v>1</v>
      </c>
      <c r="AK725" t="s">
        <v>60</v>
      </c>
    </row>
    <row r="726" spans="1:37" x14ac:dyDescent="0.25">
      <c r="A726" t="s">
        <v>43</v>
      </c>
      <c r="B726">
        <v>725</v>
      </c>
      <c r="C726" t="s">
        <v>44</v>
      </c>
      <c r="J726" t="s">
        <v>45</v>
      </c>
      <c r="K726" t="s">
        <v>46</v>
      </c>
      <c r="L726" t="s">
        <v>986</v>
      </c>
      <c r="M726" t="s">
        <v>48</v>
      </c>
      <c r="AJ726">
        <v>1</v>
      </c>
      <c r="AK726" t="s">
        <v>60</v>
      </c>
    </row>
    <row r="727" spans="1:37" x14ac:dyDescent="0.25">
      <c r="A727" t="s">
        <v>43</v>
      </c>
      <c r="B727">
        <v>726</v>
      </c>
      <c r="C727" t="s">
        <v>44</v>
      </c>
      <c r="J727" t="s">
        <v>45</v>
      </c>
      <c r="K727" t="s">
        <v>46</v>
      </c>
      <c r="L727" t="s">
        <v>987</v>
      </c>
      <c r="M727" t="s">
        <v>48</v>
      </c>
      <c r="AJ727">
        <v>1</v>
      </c>
      <c r="AK727" t="s">
        <v>60</v>
      </c>
    </row>
    <row r="728" spans="1:37" x14ac:dyDescent="0.25">
      <c r="A728" t="s">
        <v>43</v>
      </c>
      <c r="B728">
        <v>727</v>
      </c>
      <c r="C728" t="s">
        <v>44</v>
      </c>
      <c r="J728" t="s">
        <v>45</v>
      </c>
      <c r="K728" t="s">
        <v>46</v>
      </c>
      <c r="L728" t="s">
        <v>988</v>
      </c>
      <c r="M728" t="s">
        <v>48</v>
      </c>
      <c r="AJ728">
        <v>1</v>
      </c>
      <c r="AK728" t="s">
        <v>60</v>
      </c>
    </row>
    <row r="729" spans="1:37" x14ac:dyDescent="0.25">
      <c r="A729" t="s">
        <v>43</v>
      </c>
      <c r="B729">
        <v>728</v>
      </c>
      <c r="C729" t="s">
        <v>44</v>
      </c>
      <c r="J729" t="s">
        <v>45</v>
      </c>
      <c r="K729" t="s">
        <v>46</v>
      </c>
      <c r="L729" t="s">
        <v>989</v>
      </c>
      <c r="M729" t="s">
        <v>48</v>
      </c>
      <c r="AJ729">
        <v>1</v>
      </c>
      <c r="AK729" t="s">
        <v>60</v>
      </c>
    </row>
    <row r="730" spans="1:37" x14ac:dyDescent="0.25">
      <c r="A730" t="s">
        <v>43</v>
      </c>
      <c r="B730">
        <v>729</v>
      </c>
      <c r="C730" t="s">
        <v>44</v>
      </c>
      <c r="J730" t="s">
        <v>54</v>
      </c>
      <c r="K730" t="s">
        <v>55</v>
      </c>
      <c r="L730" t="s">
        <v>990</v>
      </c>
      <c r="M730" t="s">
        <v>991</v>
      </c>
      <c r="AJ730">
        <v>1</v>
      </c>
      <c r="AK730" t="s">
        <v>58</v>
      </c>
    </row>
    <row r="731" spans="1:37" x14ac:dyDescent="0.25">
      <c r="A731" t="s">
        <v>43</v>
      </c>
      <c r="B731">
        <v>730</v>
      </c>
      <c r="C731" t="s">
        <v>44</v>
      </c>
      <c r="J731" t="s">
        <v>45</v>
      </c>
      <c r="K731" t="s">
        <v>46</v>
      </c>
      <c r="L731" t="s">
        <v>992</v>
      </c>
      <c r="M731" t="s">
        <v>48</v>
      </c>
      <c r="AJ731">
        <v>1</v>
      </c>
      <c r="AK731" t="s">
        <v>60</v>
      </c>
    </row>
    <row r="732" spans="1:37" x14ac:dyDescent="0.25">
      <c r="A732" t="s">
        <v>43</v>
      </c>
      <c r="B732">
        <v>731</v>
      </c>
      <c r="C732" t="s">
        <v>44</v>
      </c>
      <c r="J732" t="s">
        <v>45</v>
      </c>
      <c r="K732" t="s">
        <v>46</v>
      </c>
      <c r="L732" t="s">
        <v>993</v>
      </c>
      <c r="M732" t="s">
        <v>48</v>
      </c>
      <c r="AJ732">
        <v>1</v>
      </c>
      <c r="AK732" t="s">
        <v>60</v>
      </c>
    </row>
    <row r="733" spans="1:37" x14ac:dyDescent="0.25">
      <c r="A733" t="s">
        <v>43</v>
      </c>
      <c r="B733">
        <v>732</v>
      </c>
      <c r="C733" t="s">
        <v>44</v>
      </c>
      <c r="J733" t="s">
        <v>45</v>
      </c>
      <c r="K733" t="s">
        <v>46</v>
      </c>
      <c r="L733" t="s">
        <v>994</v>
      </c>
      <c r="M733" t="s">
        <v>48</v>
      </c>
      <c r="AJ733">
        <v>1</v>
      </c>
      <c r="AK733" t="s">
        <v>60</v>
      </c>
    </row>
    <row r="734" spans="1:37" x14ac:dyDescent="0.25">
      <c r="A734" t="s">
        <v>43</v>
      </c>
      <c r="B734">
        <v>733</v>
      </c>
      <c r="C734" t="s">
        <v>44</v>
      </c>
      <c r="J734" t="s">
        <v>45</v>
      </c>
      <c r="K734" t="s">
        <v>46</v>
      </c>
      <c r="L734" t="s">
        <v>995</v>
      </c>
      <c r="M734" t="s">
        <v>48</v>
      </c>
      <c r="AJ734">
        <v>1</v>
      </c>
      <c r="AK734" t="s">
        <v>60</v>
      </c>
    </row>
    <row r="735" spans="1:37" x14ac:dyDescent="0.25">
      <c r="A735" t="s">
        <v>43</v>
      </c>
      <c r="B735">
        <v>734</v>
      </c>
      <c r="C735" t="s">
        <v>44</v>
      </c>
      <c r="J735" t="s">
        <v>45</v>
      </c>
      <c r="K735" t="s">
        <v>46</v>
      </c>
      <c r="L735" t="s">
        <v>996</v>
      </c>
      <c r="M735" t="s">
        <v>48</v>
      </c>
      <c r="AJ735">
        <v>1</v>
      </c>
      <c r="AK735" t="s">
        <v>60</v>
      </c>
    </row>
    <row r="736" spans="1:37" x14ac:dyDescent="0.25">
      <c r="A736" t="s">
        <v>43</v>
      </c>
      <c r="B736">
        <v>735</v>
      </c>
      <c r="C736" t="s">
        <v>44</v>
      </c>
      <c r="J736" t="s">
        <v>45</v>
      </c>
      <c r="K736" t="s">
        <v>46</v>
      </c>
      <c r="L736" t="s">
        <v>997</v>
      </c>
      <c r="M736" t="s">
        <v>48</v>
      </c>
      <c r="AJ736">
        <v>1</v>
      </c>
      <c r="AK736" t="s">
        <v>60</v>
      </c>
    </row>
    <row r="737" spans="1:37" x14ac:dyDescent="0.25">
      <c r="A737" t="s">
        <v>43</v>
      </c>
      <c r="B737">
        <v>736</v>
      </c>
      <c r="C737" t="s">
        <v>44</v>
      </c>
      <c r="J737" t="s">
        <v>45</v>
      </c>
      <c r="K737" t="s">
        <v>46</v>
      </c>
      <c r="L737" t="s">
        <v>998</v>
      </c>
      <c r="M737" t="s">
        <v>48</v>
      </c>
      <c r="AJ737">
        <v>1</v>
      </c>
      <c r="AK737" t="s">
        <v>60</v>
      </c>
    </row>
    <row r="738" spans="1:37" x14ac:dyDescent="0.25">
      <c r="A738" t="s">
        <v>43</v>
      </c>
      <c r="B738">
        <v>737</v>
      </c>
      <c r="C738" t="s">
        <v>44</v>
      </c>
      <c r="J738" t="s">
        <v>45</v>
      </c>
      <c r="K738" t="s">
        <v>46</v>
      </c>
      <c r="L738" t="s">
        <v>999</v>
      </c>
      <c r="M738" t="s">
        <v>48</v>
      </c>
      <c r="AJ738">
        <v>1</v>
      </c>
      <c r="AK738" t="s">
        <v>51</v>
      </c>
    </row>
    <row r="739" spans="1:37" x14ac:dyDescent="0.25">
      <c r="A739" t="s">
        <v>43</v>
      </c>
      <c r="B739">
        <v>738</v>
      </c>
      <c r="C739" t="s">
        <v>44</v>
      </c>
      <c r="J739" t="s">
        <v>45</v>
      </c>
      <c r="K739" t="s">
        <v>46</v>
      </c>
      <c r="L739" t="s">
        <v>1000</v>
      </c>
      <c r="M739" t="s">
        <v>48</v>
      </c>
      <c r="AJ739">
        <v>1</v>
      </c>
      <c r="AK739" t="s">
        <v>60</v>
      </c>
    </row>
    <row r="740" spans="1:37" x14ac:dyDescent="0.25">
      <c r="A740" t="s">
        <v>43</v>
      </c>
      <c r="B740">
        <v>739</v>
      </c>
      <c r="C740" t="s">
        <v>44</v>
      </c>
      <c r="J740" t="s">
        <v>54</v>
      </c>
      <c r="K740" t="s">
        <v>55</v>
      </c>
      <c r="L740" t="s">
        <v>1001</v>
      </c>
      <c r="M740" t="s">
        <v>1002</v>
      </c>
      <c r="AJ740">
        <v>1</v>
      </c>
      <c r="AK740" t="s">
        <v>58</v>
      </c>
    </row>
    <row r="741" spans="1:37" x14ac:dyDescent="0.25">
      <c r="A741" t="s">
        <v>43</v>
      </c>
      <c r="B741">
        <v>740</v>
      </c>
      <c r="C741" t="s">
        <v>44</v>
      </c>
      <c r="J741" t="s">
        <v>54</v>
      </c>
      <c r="K741" t="s">
        <v>55</v>
      </c>
      <c r="L741" t="s">
        <v>1003</v>
      </c>
      <c r="M741" t="s">
        <v>1004</v>
      </c>
      <c r="AJ741">
        <v>1</v>
      </c>
      <c r="AK741" t="s">
        <v>58</v>
      </c>
    </row>
    <row r="742" spans="1:37" x14ac:dyDescent="0.25">
      <c r="A742" t="s">
        <v>43</v>
      </c>
      <c r="B742">
        <v>741</v>
      </c>
      <c r="C742" t="s">
        <v>44</v>
      </c>
      <c r="J742" t="s">
        <v>45</v>
      </c>
      <c r="K742" t="s">
        <v>46</v>
      </c>
      <c r="L742" t="s">
        <v>1005</v>
      </c>
      <c r="M742" t="s">
        <v>48</v>
      </c>
      <c r="AJ742">
        <v>1</v>
      </c>
      <c r="AK742" t="s">
        <v>76</v>
      </c>
    </row>
    <row r="743" spans="1:37" x14ac:dyDescent="0.25">
      <c r="A743" t="s">
        <v>43</v>
      </c>
      <c r="B743">
        <v>742</v>
      </c>
      <c r="C743" t="s">
        <v>44</v>
      </c>
      <c r="J743" t="s">
        <v>54</v>
      </c>
      <c r="K743" t="s">
        <v>55</v>
      </c>
      <c r="L743" t="s">
        <v>1006</v>
      </c>
      <c r="M743" t="s">
        <v>1007</v>
      </c>
      <c r="AJ743">
        <v>1</v>
      </c>
      <c r="AK743" t="s">
        <v>58</v>
      </c>
    </row>
    <row r="744" spans="1:37" x14ac:dyDescent="0.25">
      <c r="A744" t="s">
        <v>43</v>
      </c>
      <c r="B744">
        <v>743</v>
      </c>
      <c r="C744" t="s">
        <v>44</v>
      </c>
      <c r="J744" t="s">
        <v>45</v>
      </c>
      <c r="K744" t="s">
        <v>46</v>
      </c>
      <c r="L744" t="s">
        <v>1008</v>
      </c>
      <c r="M744" t="s">
        <v>48</v>
      </c>
      <c r="AJ744">
        <v>1</v>
      </c>
      <c r="AK744" t="s">
        <v>60</v>
      </c>
    </row>
    <row r="745" spans="1:37" x14ac:dyDescent="0.25">
      <c r="A745" t="s">
        <v>43</v>
      </c>
      <c r="B745">
        <v>744</v>
      </c>
      <c r="C745" t="s">
        <v>44</v>
      </c>
      <c r="J745" t="s">
        <v>45</v>
      </c>
      <c r="K745" t="s">
        <v>46</v>
      </c>
      <c r="L745" t="s">
        <v>1009</v>
      </c>
      <c r="M745" t="s">
        <v>48</v>
      </c>
      <c r="AJ745">
        <v>1</v>
      </c>
      <c r="AK745" t="s">
        <v>60</v>
      </c>
    </row>
    <row r="746" spans="1:37" x14ac:dyDescent="0.25">
      <c r="A746" t="s">
        <v>43</v>
      </c>
      <c r="B746">
        <v>745</v>
      </c>
      <c r="C746" t="s">
        <v>44</v>
      </c>
      <c r="J746" t="s">
        <v>45</v>
      </c>
      <c r="K746" t="s">
        <v>46</v>
      </c>
      <c r="L746" t="s">
        <v>1010</v>
      </c>
      <c r="M746" t="s">
        <v>48</v>
      </c>
      <c r="AJ746">
        <v>1</v>
      </c>
      <c r="AK746" t="s">
        <v>60</v>
      </c>
    </row>
    <row r="747" spans="1:37" x14ac:dyDescent="0.25">
      <c r="A747" t="s">
        <v>43</v>
      </c>
      <c r="B747">
        <v>746</v>
      </c>
      <c r="C747" t="s">
        <v>44</v>
      </c>
      <c r="J747" t="s">
        <v>45</v>
      </c>
      <c r="K747" t="s">
        <v>46</v>
      </c>
      <c r="L747" t="s">
        <v>1011</v>
      </c>
      <c r="M747" t="s">
        <v>48</v>
      </c>
      <c r="AJ747">
        <v>1</v>
      </c>
      <c r="AK747" t="s">
        <v>60</v>
      </c>
    </row>
    <row r="748" spans="1:37" x14ac:dyDescent="0.25">
      <c r="A748" t="s">
        <v>43</v>
      </c>
      <c r="B748">
        <v>747</v>
      </c>
      <c r="C748" t="s">
        <v>44</v>
      </c>
      <c r="J748" t="s">
        <v>54</v>
      </c>
      <c r="K748" t="s">
        <v>55</v>
      </c>
      <c r="L748" t="s">
        <v>1012</v>
      </c>
      <c r="M748" t="s">
        <v>1013</v>
      </c>
      <c r="AJ748">
        <v>1</v>
      </c>
      <c r="AK748" t="s">
        <v>58</v>
      </c>
    </row>
    <row r="749" spans="1:37" x14ac:dyDescent="0.25">
      <c r="A749" t="s">
        <v>43</v>
      </c>
      <c r="B749">
        <v>748</v>
      </c>
      <c r="C749" t="s">
        <v>44</v>
      </c>
      <c r="J749" t="s">
        <v>45</v>
      </c>
      <c r="K749" t="s">
        <v>46</v>
      </c>
      <c r="L749" t="s">
        <v>1014</v>
      </c>
      <c r="M749" t="s">
        <v>48</v>
      </c>
      <c r="AJ749">
        <v>1</v>
      </c>
      <c r="AK749" t="s">
        <v>60</v>
      </c>
    </row>
    <row r="750" spans="1:37" x14ac:dyDescent="0.25">
      <c r="A750" t="s">
        <v>43</v>
      </c>
      <c r="B750">
        <v>749</v>
      </c>
      <c r="C750" t="s">
        <v>44</v>
      </c>
      <c r="J750" t="s">
        <v>54</v>
      </c>
      <c r="K750" t="s">
        <v>55</v>
      </c>
      <c r="L750" t="s">
        <v>1015</v>
      </c>
      <c r="M750" t="s">
        <v>1016</v>
      </c>
      <c r="AJ750">
        <v>1</v>
      </c>
      <c r="AK750" t="s">
        <v>58</v>
      </c>
    </row>
    <row r="751" spans="1:37" x14ac:dyDescent="0.25">
      <c r="A751" t="s">
        <v>43</v>
      </c>
      <c r="B751">
        <v>750</v>
      </c>
      <c r="C751" t="s">
        <v>44</v>
      </c>
      <c r="J751" t="s">
        <v>45</v>
      </c>
      <c r="K751" t="s">
        <v>46</v>
      </c>
      <c r="L751" t="s">
        <v>1017</v>
      </c>
      <c r="M751" t="s">
        <v>48</v>
      </c>
      <c r="AJ751">
        <v>1</v>
      </c>
      <c r="AK751" t="s">
        <v>60</v>
      </c>
    </row>
    <row r="752" spans="1:37" x14ac:dyDescent="0.25">
      <c r="A752" t="s">
        <v>43</v>
      </c>
      <c r="B752">
        <v>751</v>
      </c>
      <c r="C752" t="s">
        <v>44</v>
      </c>
      <c r="J752" t="s">
        <v>45</v>
      </c>
      <c r="K752" t="s">
        <v>46</v>
      </c>
      <c r="L752" t="s">
        <v>1018</v>
      </c>
      <c r="M752" t="s">
        <v>48</v>
      </c>
      <c r="AJ752">
        <v>1</v>
      </c>
      <c r="AK752" t="s">
        <v>60</v>
      </c>
    </row>
    <row r="753" spans="1:37" x14ac:dyDescent="0.25">
      <c r="A753" t="s">
        <v>43</v>
      </c>
      <c r="B753">
        <v>752</v>
      </c>
      <c r="C753" t="s">
        <v>44</v>
      </c>
      <c r="J753" t="s">
        <v>45</v>
      </c>
      <c r="K753" t="s">
        <v>46</v>
      </c>
      <c r="L753" t="s">
        <v>1019</v>
      </c>
      <c r="M753" t="s">
        <v>48</v>
      </c>
      <c r="AJ753">
        <v>1</v>
      </c>
      <c r="AK753" t="s">
        <v>51</v>
      </c>
    </row>
    <row r="754" spans="1:37" x14ac:dyDescent="0.25">
      <c r="A754" t="s">
        <v>43</v>
      </c>
      <c r="B754">
        <v>753</v>
      </c>
      <c r="C754" t="s">
        <v>44</v>
      </c>
      <c r="J754" t="s">
        <v>45</v>
      </c>
      <c r="K754" t="s">
        <v>46</v>
      </c>
      <c r="L754" t="s">
        <v>1020</v>
      </c>
      <c r="M754" t="s">
        <v>48</v>
      </c>
      <c r="AJ754">
        <v>1</v>
      </c>
      <c r="AK754" t="s">
        <v>60</v>
      </c>
    </row>
    <row r="755" spans="1:37" x14ac:dyDescent="0.25">
      <c r="A755" t="s">
        <v>43</v>
      </c>
      <c r="B755">
        <v>754</v>
      </c>
      <c r="C755" t="s">
        <v>44</v>
      </c>
      <c r="J755" t="s">
        <v>45</v>
      </c>
      <c r="K755" t="s">
        <v>46</v>
      </c>
      <c r="L755" t="s">
        <v>1021</v>
      </c>
      <c r="M755" t="s">
        <v>48</v>
      </c>
      <c r="AJ755">
        <v>1</v>
      </c>
      <c r="AK755" t="s">
        <v>60</v>
      </c>
    </row>
    <row r="756" spans="1:37" x14ac:dyDescent="0.25">
      <c r="A756" t="s">
        <v>43</v>
      </c>
      <c r="B756">
        <v>755</v>
      </c>
      <c r="C756" t="s">
        <v>44</v>
      </c>
      <c r="J756" t="s">
        <v>45</v>
      </c>
      <c r="K756" t="s">
        <v>46</v>
      </c>
      <c r="L756" t="s">
        <v>1022</v>
      </c>
      <c r="M756" t="s">
        <v>48</v>
      </c>
      <c r="AJ756">
        <v>1</v>
      </c>
      <c r="AK756" t="s">
        <v>60</v>
      </c>
    </row>
    <row r="757" spans="1:37" x14ac:dyDescent="0.25">
      <c r="A757" t="s">
        <v>43</v>
      </c>
      <c r="B757">
        <v>756</v>
      </c>
      <c r="C757" t="s">
        <v>44</v>
      </c>
      <c r="J757" t="s">
        <v>45</v>
      </c>
      <c r="K757" t="s">
        <v>46</v>
      </c>
      <c r="L757" t="s">
        <v>1023</v>
      </c>
      <c r="M757" t="s">
        <v>48</v>
      </c>
      <c r="AJ757">
        <v>1</v>
      </c>
      <c r="AK757" t="s">
        <v>60</v>
      </c>
    </row>
    <row r="758" spans="1:37" x14ac:dyDescent="0.25">
      <c r="A758" t="s">
        <v>43</v>
      </c>
      <c r="B758">
        <v>757</v>
      </c>
      <c r="C758" t="s">
        <v>44</v>
      </c>
      <c r="J758" t="s">
        <v>54</v>
      </c>
      <c r="K758" t="s">
        <v>55</v>
      </c>
      <c r="L758" t="s">
        <v>1024</v>
      </c>
      <c r="M758" t="s">
        <v>1025</v>
      </c>
      <c r="AJ758">
        <v>1</v>
      </c>
      <c r="AK758" t="s">
        <v>58</v>
      </c>
    </row>
    <row r="759" spans="1:37" x14ac:dyDescent="0.25">
      <c r="A759" t="s">
        <v>43</v>
      </c>
      <c r="B759">
        <v>758</v>
      </c>
      <c r="C759" t="s">
        <v>44</v>
      </c>
      <c r="J759" t="s">
        <v>45</v>
      </c>
      <c r="K759" t="s">
        <v>46</v>
      </c>
      <c r="L759" t="s">
        <v>1026</v>
      </c>
      <c r="M759" t="s">
        <v>48</v>
      </c>
      <c r="AJ759">
        <v>1</v>
      </c>
      <c r="AK759" t="s">
        <v>49</v>
      </c>
    </row>
    <row r="760" spans="1:37" x14ac:dyDescent="0.25">
      <c r="A760" t="s">
        <v>43</v>
      </c>
      <c r="B760">
        <v>759</v>
      </c>
      <c r="C760" t="s">
        <v>44</v>
      </c>
      <c r="J760" t="s">
        <v>54</v>
      </c>
      <c r="K760" t="s">
        <v>55</v>
      </c>
      <c r="L760" t="s">
        <v>1027</v>
      </c>
      <c r="M760" t="s">
        <v>1028</v>
      </c>
      <c r="AJ760">
        <v>1</v>
      </c>
      <c r="AK760" t="s">
        <v>58</v>
      </c>
    </row>
    <row r="761" spans="1:37" x14ac:dyDescent="0.25">
      <c r="A761" t="s">
        <v>43</v>
      </c>
      <c r="B761">
        <v>760</v>
      </c>
      <c r="C761" t="s">
        <v>44</v>
      </c>
      <c r="J761" t="s">
        <v>45</v>
      </c>
      <c r="K761" t="s">
        <v>46</v>
      </c>
      <c r="L761" t="s">
        <v>1029</v>
      </c>
      <c r="M761" t="s">
        <v>48</v>
      </c>
      <c r="AJ761">
        <v>1</v>
      </c>
      <c r="AK761" t="s">
        <v>60</v>
      </c>
    </row>
    <row r="762" spans="1:37" x14ac:dyDescent="0.25">
      <c r="A762" t="s">
        <v>43</v>
      </c>
      <c r="B762">
        <v>761</v>
      </c>
      <c r="C762" t="s">
        <v>44</v>
      </c>
      <c r="J762" t="s">
        <v>45</v>
      </c>
      <c r="K762" t="s">
        <v>46</v>
      </c>
      <c r="L762" t="s">
        <v>1030</v>
      </c>
      <c r="M762" t="s">
        <v>48</v>
      </c>
      <c r="AJ762">
        <v>1</v>
      </c>
      <c r="AK762" t="s">
        <v>60</v>
      </c>
    </row>
    <row r="763" spans="1:37" x14ac:dyDescent="0.25">
      <c r="A763" t="s">
        <v>43</v>
      </c>
      <c r="B763">
        <v>762</v>
      </c>
      <c r="C763" t="s">
        <v>44</v>
      </c>
      <c r="J763" t="s">
        <v>45</v>
      </c>
      <c r="K763" t="s">
        <v>46</v>
      </c>
      <c r="L763" t="s">
        <v>1031</v>
      </c>
      <c r="M763" t="s">
        <v>48</v>
      </c>
      <c r="AJ763">
        <v>1</v>
      </c>
      <c r="AK763" t="s">
        <v>53</v>
      </c>
    </row>
    <row r="764" spans="1:37" x14ac:dyDescent="0.25">
      <c r="A764" t="s">
        <v>43</v>
      </c>
      <c r="B764">
        <v>763</v>
      </c>
      <c r="C764" t="s">
        <v>44</v>
      </c>
      <c r="J764" t="s">
        <v>45</v>
      </c>
      <c r="K764" t="s">
        <v>46</v>
      </c>
      <c r="L764" t="s">
        <v>1032</v>
      </c>
      <c r="M764" t="s">
        <v>48</v>
      </c>
      <c r="AJ764">
        <v>1</v>
      </c>
      <c r="AK764" t="s">
        <v>76</v>
      </c>
    </row>
    <row r="765" spans="1:37" x14ac:dyDescent="0.25">
      <c r="A765" t="s">
        <v>43</v>
      </c>
      <c r="B765">
        <v>764</v>
      </c>
      <c r="C765" t="s">
        <v>44</v>
      </c>
      <c r="J765" t="s">
        <v>45</v>
      </c>
      <c r="K765" t="s">
        <v>46</v>
      </c>
      <c r="L765" t="s">
        <v>1033</v>
      </c>
      <c r="M765" t="s">
        <v>48</v>
      </c>
      <c r="AJ765">
        <v>1</v>
      </c>
      <c r="AK765" t="s">
        <v>60</v>
      </c>
    </row>
    <row r="766" spans="1:37" x14ac:dyDescent="0.25">
      <c r="A766" t="s">
        <v>43</v>
      </c>
      <c r="B766">
        <v>765</v>
      </c>
      <c r="C766" t="s">
        <v>44</v>
      </c>
      <c r="J766" t="s">
        <v>45</v>
      </c>
      <c r="K766" t="s">
        <v>46</v>
      </c>
      <c r="L766" t="s">
        <v>1034</v>
      </c>
      <c r="M766" t="s">
        <v>48</v>
      </c>
      <c r="AJ766">
        <v>1</v>
      </c>
      <c r="AK766" t="s">
        <v>60</v>
      </c>
    </row>
    <row r="767" spans="1:37" x14ac:dyDescent="0.25">
      <c r="A767" t="s">
        <v>43</v>
      </c>
      <c r="B767">
        <v>766</v>
      </c>
      <c r="C767" t="s">
        <v>44</v>
      </c>
      <c r="J767" t="s">
        <v>54</v>
      </c>
      <c r="K767" t="s">
        <v>55</v>
      </c>
      <c r="L767" t="s">
        <v>1035</v>
      </c>
      <c r="M767" t="s">
        <v>1036</v>
      </c>
      <c r="AJ767">
        <v>1</v>
      </c>
      <c r="AK767" t="s">
        <v>58</v>
      </c>
    </row>
    <row r="768" spans="1:37" x14ac:dyDescent="0.25">
      <c r="A768" t="s">
        <v>43</v>
      </c>
      <c r="B768">
        <v>767</v>
      </c>
      <c r="C768" t="s">
        <v>44</v>
      </c>
      <c r="J768" t="s">
        <v>54</v>
      </c>
      <c r="K768" t="s">
        <v>55</v>
      </c>
      <c r="L768" t="s">
        <v>1037</v>
      </c>
      <c r="M768" t="s">
        <v>1038</v>
      </c>
      <c r="AJ768">
        <v>1</v>
      </c>
      <c r="AK768" t="s">
        <v>58</v>
      </c>
    </row>
    <row r="769" spans="1:37" x14ac:dyDescent="0.25">
      <c r="A769" t="s">
        <v>43</v>
      </c>
      <c r="B769">
        <v>768</v>
      </c>
      <c r="C769" t="s">
        <v>44</v>
      </c>
      <c r="J769" t="s">
        <v>45</v>
      </c>
      <c r="K769" t="s">
        <v>46</v>
      </c>
      <c r="L769" t="s">
        <v>1039</v>
      </c>
      <c r="M769" t="s">
        <v>48</v>
      </c>
      <c r="AJ769">
        <v>1</v>
      </c>
      <c r="AK769" t="s">
        <v>76</v>
      </c>
    </row>
    <row r="770" spans="1:37" x14ac:dyDescent="0.25">
      <c r="A770" t="s">
        <v>43</v>
      </c>
      <c r="B770">
        <v>769</v>
      </c>
      <c r="C770" t="s">
        <v>44</v>
      </c>
      <c r="J770" t="s">
        <v>45</v>
      </c>
      <c r="K770" t="s">
        <v>46</v>
      </c>
      <c r="L770" t="s">
        <v>1040</v>
      </c>
      <c r="M770" t="s">
        <v>48</v>
      </c>
      <c r="AJ770">
        <v>1</v>
      </c>
      <c r="AK770" t="s">
        <v>60</v>
      </c>
    </row>
    <row r="771" spans="1:37" x14ac:dyDescent="0.25">
      <c r="A771" t="s">
        <v>43</v>
      </c>
      <c r="B771">
        <v>770</v>
      </c>
      <c r="C771" t="s">
        <v>44</v>
      </c>
      <c r="J771" t="s">
        <v>45</v>
      </c>
      <c r="K771" t="s">
        <v>46</v>
      </c>
      <c r="L771" t="s">
        <v>1041</v>
      </c>
      <c r="M771" t="s">
        <v>48</v>
      </c>
      <c r="AJ771">
        <v>1</v>
      </c>
      <c r="AK771" t="s">
        <v>60</v>
      </c>
    </row>
    <row r="772" spans="1:37" x14ac:dyDescent="0.25">
      <c r="A772" t="s">
        <v>43</v>
      </c>
      <c r="B772">
        <v>771</v>
      </c>
      <c r="C772" t="s">
        <v>44</v>
      </c>
      <c r="J772" t="s">
        <v>45</v>
      </c>
      <c r="K772" t="s">
        <v>46</v>
      </c>
      <c r="L772" t="s">
        <v>1042</v>
      </c>
      <c r="M772" t="s">
        <v>48</v>
      </c>
      <c r="AJ772">
        <v>1</v>
      </c>
      <c r="AK772" t="s">
        <v>60</v>
      </c>
    </row>
    <row r="773" spans="1:37" x14ac:dyDescent="0.25">
      <c r="A773" t="s">
        <v>43</v>
      </c>
      <c r="B773">
        <v>772</v>
      </c>
      <c r="C773" t="s">
        <v>44</v>
      </c>
      <c r="J773" t="s">
        <v>45</v>
      </c>
      <c r="K773" t="s">
        <v>46</v>
      </c>
      <c r="L773" t="s">
        <v>1043</v>
      </c>
      <c r="M773" t="s">
        <v>48</v>
      </c>
      <c r="AJ773">
        <v>1</v>
      </c>
      <c r="AK773" t="s">
        <v>60</v>
      </c>
    </row>
    <row r="774" spans="1:37" x14ac:dyDescent="0.25">
      <c r="A774" t="s">
        <v>43</v>
      </c>
      <c r="B774">
        <v>773</v>
      </c>
      <c r="C774" t="s">
        <v>44</v>
      </c>
      <c r="J774" t="s">
        <v>45</v>
      </c>
      <c r="K774" t="s">
        <v>46</v>
      </c>
      <c r="L774" t="s">
        <v>1044</v>
      </c>
      <c r="M774" t="s">
        <v>48</v>
      </c>
      <c r="AJ774">
        <v>1</v>
      </c>
      <c r="AK774" t="s">
        <v>60</v>
      </c>
    </row>
    <row r="775" spans="1:37" x14ac:dyDescent="0.25">
      <c r="A775" t="s">
        <v>43</v>
      </c>
      <c r="B775">
        <v>774</v>
      </c>
      <c r="C775" t="s">
        <v>44</v>
      </c>
      <c r="J775" t="s">
        <v>54</v>
      </c>
      <c r="K775" t="s">
        <v>55</v>
      </c>
      <c r="L775" t="s">
        <v>1045</v>
      </c>
      <c r="M775" t="s">
        <v>1046</v>
      </c>
      <c r="AJ775">
        <v>1</v>
      </c>
      <c r="AK775" t="s">
        <v>58</v>
      </c>
    </row>
    <row r="776" spans="1:37" x14ac:dyDescent="0.25">
      <c r="A776" t="s">
        <v>43</v>
      </c>
      <c r="B776">
        <v>775</v>
      </c>
      <c r="C776" t="s">
        <v>44</v>
      </c>
      <c r="J776" t="s">
        <v>45</v>
      </c>
      <c r="K776" t="s">
        <v>46</v>
      </c>
      <c r="L776" t="s">
        <v>1047</v>
      </c>
      <c r="M776" t="s">
        <v>48</v>
      </c>
      <c r="AJ776">
        <v>1</v>
      </c>
      <c r="AK776" t="s">
        <v>60</v>
      </c>
    </row>
    <row r="777" spans="1:37" x14ac:dyDescent="0.25">
      <c r="A777" t="s">
        <v>43</v>
      </c>
      <c r="B777">
        <v>776</v>
      </c>
      <c r="C777" t="s">
        <v>44</v>
      </c>
      <c r="J777" t="s">
        <v>45</v>
      </c>
      <c r="K777" t="s">
        <v>46</v>
      </c>
      <c r="L777" t="s">
        <v>1048</v>
      </c>
      <c r="M777" t="s">
        <v>48</v>
      </c>
      <c r="AJ777">
        <v>1</v>
      </c>
      <c r="AK777" t="s">
        <v>51</v>
      </c>
    </row>
    <row r="778" spans="1:37" x14ac:dyDescent="0.25">
      <c r="A778" t="s">
        <v>43</v>
      </c>
      <c r="B778">
        <v>777</v>
      </c>
      <c r="C778" t="s">
        <v>44</v>
      </c>
      <c r="J778" t="s">
        <v>54</v>
      </c>
      <c r="K778" t="s">
        <v>55</v>
      </c>
      <c r="L778" t="s">
        <v>1049</v>
      </c>
      <c r="M778" t="s">
        <v>1050</v>
      </c>
      <c r="AJ778">
        <v>1</v>
      </c>
      <c r="AK778" t="s">
        <v>58</v>
      </c>
    </row>
    <row r="779" spans="1:37" x14ac:dyDescent="0.25">
      <c r="A779" t="s">
        <v>43</v>
      </c>
      <c r="B779">
        <v>778</v>
      </c>
      <c r="C779" t="s">
        <v>44</v>
      </c>
      <c r="J779" t="s">
        <v>45</v>
      </c>
      <c r="K779" t="s">
        <v>46</v>
      </c>
      <c r="L779" t="s">
        <v>1051</v>
      </c>
      <c r="M779" t="s">
        <v>48</v>
      </c>
      <c r="AJ779">
        <v>1</v>
      </c>
      <c r="AK779" t="s">
        <v>60</v>
      </c>
    </row>
    <row r="780" spans="1:37" x14ac:dyDescent="0.25">
      <c r="A780" t="s">
        <v>43</v>
      </c>
      <c r="B780">
        <v>779</v>
      </c>
      <c r="C780" t="s">
        <v>44</v>
      </c>
      <c r="J780" t="s">
        <v>45</v>
      </c>
      <c r="K780" t="s">
        <v>46</v>
      </c>
      <c r="L780" t="s">
        <v>1052</v>
      </c>
      <c r="M780" t="s">
        <v>48</v>
      </c>
      <c r="AJ780">
        <v>1</v>
      </c>
      <c r="AK780" t="s">
        <v>60</v>
      </c>
    </row>
    <row r="781" spans="1:37" x14ac:dyDescent="0.25">
      <c r="A781" t="s">
        <v>43</v>
      </c>
      <c r="B781">
        <v>780</v>
      </c>
      <c r="C781" t="s">
        <v>44</v>
      </c>
      <c r="J781" t="s">
        <v>45</v>
      </c>
      <c r="K781" t="s">
        <v>46</v>
      </c>
      <c r="L781" t="s">
        <v>1053</v>
      </c>
      <c r="M781" t="s">
        <v>48</v>
      </c>
      <c r="AJ781">
        <v>1</v>
      </c>
      <c r="AK781" t="s">
        <v>60</v>
      </c>
    </row>
    <row r="782" spans="1:37" x14ac:dyDescent="0.25">
      <c r="A782" t="s">
        <v>43</v>
      </c>
      <c r="B782">
        <v>781</v>
      </c>
      <c r="C782" t="s">
        <v>44</v>
      </c>
      <c r="J782" t="s">
        <v>45</v>
      </c>
      <c r="K782" t="s">
        <v>46</v>
      </c>
      <c r="L782" t="s">
        <v>1054</v>
      </c>
      <c r="M782" t="s">
        <v>48</v>
      </c>
      <c r="AJ782">
        <v>1</v>
      </c>
      <c r="AK782" t="s">
        <v>60</v>
      </c>
    </row>
    <row r="783" spans="1:37" x14ac:dyDescent="0.25">
      <c r="A783" t="s">
        <v>43</v>
      </c>
      <c r="B783">
        <v>782</v>
      </c>
      <c r="C783" t="s">
        <v>44</v>
      </c>
      <c r="J783" t="s">
        <v>45</v>
      </c>
      <c r="K783" t="s">
        <v>46</v>
      </c>
      <c r="L783" t="s">
        <v>1055</v>
      </c>
      <c r="M783" t="s">
        <v>48</v>
      </c>
      <c r="AJ783">
        <v>1</v>
      </c>
      <c r="AK783" t="s">
        <v>53</v>
      </c>
    </row>
    <row r="784" spans="1:37" x14ac:dyDescent="0.25">
      <c r="A784" t="s">
        <v>43</v>
      </c>
      <c r="B784">
        <v>783</v>
      </c>
      <c r="C784" t="s">
        <v>44</v>
      </c>
      <c r="J784" t="s">
        <v>45</v>
      </c>
      <c r="K784" t="s">
        <v>46</v>
      </c>
      <c r="L784" t="s">
        <v>1056</v>
      </c>
      <c r="M784" t="s">
        <v>48</v>
      </c>
      <c r="AJ784">
        <v>1</v>
      </c>
      <c r="AK784" t="s">
        <v>51</v>
      </c>
    </row>
    <row r="785" spans="1:37" x14ac:dyDescent="0.25">
      <c r="A785" t="s">
        <v>43</v>
      </c>
      <c r="B785">
        <v>784</v>
      </c>
      <c r="C785" t="s">
        <v>44</v>
      </c>
      <c r="J785" t="s">
        <v>54</v>
      </c>
      <c r="K785" t="s">
        <v>55</v>
      </c>
      <c r="L785" t="s">
        <v>1057</v>
      </c>
      <c r="M785" t="s">
        <v>1058</v>
      </c>
      <c r="AJ785">
        <v>1</v>
      </c>
      <c r="AK785" t="s">
        <v>58</v>
      </c>
    </row>
    <row r="786" spans="1:37" x14ac:dyDescent="0.25">
      <c r="A786" t="s">
        <v>43</v>
      </c>
      <c r="B786">
        <v>785</v>
      </c>
      <c r="C786" t="s">
        <v>44</v>
      </c>
      <c r="J786" t="s">
        <v>45</v>
      </c>
      <c r="K786" t="s">
        <v>46</v>
      </c>
      <c r="L786" t="s">
        <v>1059</v>
      </c>
      <c r="M786" t="s">
        <v>48</v>
      </c>
      <c r="AJ786">
        <v>1</v>
      </c>
      <c r="AK786" t="s">
        <v>60</v>
      </c>
    </row>
    <row r="787" spans="1:37" x14ac:dyDescent="0.25">
      <c r="A787" t="s">
        <v>43</v>
      </c>
      <c r="B787">
        <v>786</v>
      </c>
      <c r="C787" t="s">
        <v>44</v>
      </c>
      <c r="J787" t="s">
        <v>45</v>
      </c>
      <c r="K787" t="s">
        <v>114</v>
      </c>
      <c r="L787" t="s">
        <v>115</v>
      </c>
      <c r="M787" t="s">
        <v>1060</v>
      </c>
      <c r="AJ787">
        <v>1</v>
      </c>
      <c r="AK787" t="s">
        <v>117</v>
      </c>
    </row>
    <row r="788" spans="1:37" x14ac:dyDescent="0.25">
      <c r="A788" t="s">
        <v>43</v>
      </c>
      <c r="B788">
        <v>787</v>
      </c>
      <c r="C788" t="s">
        <v>44</v>
      </c>
      <c r="J788" t="s">
        <v>45</v>
      </c>
      <c r="K788" t="s">
        <v>46</v>
      </c>
      <c r="L788" t="s">
        <v>1061</v>
      </c>
      <c r="M788" t="s">
        <v>48</v>
      </c>
      <c r="AJ788">
        <v>1</v>
      </c>
      <c r="AK788" t="s">
        <v>60</v>
      </c>
    </row>
    <row r="789" spans="1:37" x14ac:dyDescent="0.25">
      <c r="A789" t="s">
        <v>43</v>
      </c>
      <c r="B789">
        <v>788</v>
      </c>
      <c r="C789" t="s">
        <v>44</v>
      </c>
      <c r="J789" t="s">
        <v>45</v>
      </c>
      <c r="K789" t="s">
        <v>46</v>
      </c>
      <c r="L789" t="s">
        <v>1062</v>
      </c>
      <c r="M789" t="s">
        <v>48</v>
      </c>
      <c r="AJ789">
        <v>1</v>
      </c>
      <c r="AK789" t="s">
        <v>60</v>
      </c>
    </row>
    <row r="790" spans="1:37" x14ac:dyDescent="0.25">
      <c r="A790" t="s">
        <v>43</v>
      </c>
      <c r="B790">
        <v>789</v>
      </c>
      <c r="C790" t="s">
        <v>44</v>
      </c>
      <c r="J790" t="s">
        <v>54</v>
      </c>
      <c r="K790" t="s">
        <v>55</v>
      </c>
      <c r="L790" t="s">
        <v>1063</v>
      </c>
      <c r="M790" t="s">
        <v>871</v>
      </c>
      <c r="AJ790">
        <v>1</v>
      </c>
      <c r="AK790" t="s">
        <v>58</v>
      </c>
    </row>
    <row r="791" spans="1:37" x14ac:dyDescent="0.25">
      <c r="A791" t="s">
        <v>43</v>
      </c>
      <c r="B791">
        <v>790</v>
      </c>
      <c r="C791" t="s">
        <v>44</v>
      </c>
      <c r="J791" t="s">
        <v>45</v>
      </c>
      <c r="K791" t="s">
        <v>46</v>
      </c>
      <c r="L791" t="s">
        <v>1064</v>
      </c>
      <c r="M791" t="s">
        <v>48</v>
      </c>
      <c r="AJ791">
        <v>1</v>
      </c>
      <c r="AK791" t="s">
        <v>60</v>
      </c>
    </row>
    <row r="792" spans="1:37" x14ac:dyDescent="0.25">
      <c r="A792" t="s">
        <v>43</v>
      </c>
      <c r="B792">
        <v>791</v>
      </c>
      <c r="C792" t="s">
        <v>44</v>
      </c>
      <c r="J792" t="s">
        <v>45</v>
      </c>
      <c r="K792" t="s">
        <v>46</v>
      </c>
      <c r="L792" t="s">
        <v>1065</v>
      </c>
      <c r="M792" t="s">
        <v>48</v>
      </c>
      <c r="AJ792">
        <v>1</v>
      </c>
      <c r="AK792" t="s">
        <v>60</v>
      </c>
    </row>
    <row r="793" spans="1:37" x14ac:dyDescent="0.25">
      <c r="A793" t="s">
        <v>43</v>
      </c>
      <c r="B793">
        <v>792</v>
      </c>
      <c r="C793" t="s">
        <v>44</v>
      </c>
      <c r="J793" t="s">
        <v>45</v>
      </c>
      <c r="K793" t="s">
        <v>46</v>
      </c>
      <c r="L793" t="s">
        <v>1066</v>
      </c>
      <c r="M793" t="s">
        <v>48</v>
      </c>
      <c r="AJ793">
        <v>1</v>
      </c>
      <c r="AK793" t="s">
        <v>60</v>
      </c>
    </row>
    <row r="794" spans="1:37" x14ac:dyDescent="0.25">
      <c r="A794" t="s">
        <v>43</v>
      </c>
      <c r="B794">
        <v>793</v>
      </c>
      <c r="C794" t="s">
        <v>44</v>
      </c>
      <c r="J794" t="s">
        <v>54</v>
      </c>
      <c r="K794" t="s">
        <v>55</v>
      </c>
      <c r="L794" t="s">
        <v>1067</v>
      </c>
      <c r="M794" t="s">
        <v>1068</v>
      </c>
      <c r="AJ794">
        <v>1</v>
      </c>
      <c r="AK794" t="s">
        <v>58</v>
      </c>
    </row>
    <row r="795" spans="1:37" x14ac:dyDescent="0.25">
      <c r="A795" t="s">
        <v>43</v>
      </c>
      <c r="B795">
        <v>794</v>
      </c>
      <c r="C795" t="s">
        <v>44</v>
      </c>
      <c r="J795" t="s">
        <v>45</v>
      </c>
      <c r="K795" t="s">
        <v>46</v>
      </c>
      <c r="L795" t="s">
        <v>1069</v>
      </c>
      <c r="M795" t="s">
        <v>48</v>
      </c>
      <c r="AJ795">
        <v>1</v>
      </c>
      <c r="AK795" t="s">
        <v>209</v>
      </c>
    </row>
    <row r="796" spans="1:37" x14ac:dyDescent="0.25">
      <c r="A796" t="s">
        <v>43</v>
      </c>
      <c r="B796">
        <v>795</v>
      </c>
      <c r="C796" t="s">
        <v>44</v>
      </c>
      <c r="J796" t="s">
        <v>45</v>
      </c>
      <c r="K796" t="s">
        <v>46</v>
      </c>
      <c r="L796" t="s">
        <v>1070</v>
      </c>
      <c r="M796" t="s">
        <v>48</v>
      </c>
      <c r="AJ796">
        <v>1</v>
      </c>
      <c r="AK796" t="s">
        <v>60</v>
      </c>
    </row>
    <row r="797" spans="1:37" x14ac:dyDescent="0.25">
      <c r="A797" t="s">
        <v>43</v>
      </c>
      <c r="B797">
        <v>796</v>
      </c>
      <c r="C797" t="s">
        <v>44</v>
      </c>
      <c r="J797" t="s">
        <v>54</v>
      </c>
      <c r="K797" t="s">
        <v>55</v>
      </c>
      <c r="L797" t="s">
        <v>1071</v>
      </c>
      <c r="M797" t="s">
        <v>1072</v>
      </c>
      <c r="AJ797">
        <v>1</v>
      </c>
      <c r="AK797" t="s">
        <v>58</v>
      </c>
    </row>
    <row r="798" spans="1:37" x14ac:dyDescent="0.25">
      <c r="A798" t="s">
        <v>43</v>
      </c>
      <c r="B798">
        <v>797</v>
      </c>
      <c r="C798" t="s">
        <v>44</v>
      </c>
      <c r="J798" t="s">
        <v>45</v>
      </c>
      <c r="K798" t="s">
        <v>46</v>
      </c>
      <c r="L798" t="s">
        <v>1073</v>
      </c>
      <c r="M798" t="s">
        <v>48</v>
      </c>
      <c r="AJ798">
        <v>1</v>
      </c>
      <c r="AK798" t="s">
        <v>60</v>
      </c>
    </row>
    <row r="799" spans="1:37" x14ac:dyDescent="0.25">
      <c r="A799" t="s">
        <v>43</v>
      </c>
      <c r="B799">
        <v>798</v>
      </c>
      <c r="C799" t="s">
        <v>44</v>
      </c>
      <c r="J799" t="s">
        <v>54</v>
      </c>
      <c r="K799" t="s">
        <v>55</v>
      </c>
      <c r="L799" t="s">
        <v>1074</v>
      </c>
      <c r="M799" t="s">
        <v>1075</v>
      </c>
      <c r="AJ799">
        <v>1</v>
      </c>
      <c r="AK799" t="s">
        <v>58</v>
      </c>
    </row>
    <row r="800" spans="1:37" x14ac:dyDescent="0.25">
      <c r="A800" t="s">
        <v>43</v>
      </c>
      <c r="B800">
        <v>799</v>
      </c>
      <c r="C800" t="s">
        <v>44</v>
      </c>
      <c r="J800" t="s">
        <v>54</v>
      </c>
      <c r="K800" t="s">
        <v>55</v>
      </c>
      <c r="L800" t="s">
        <v>1076</v>
      </c>
      <c r="M800" t="s">
        <v>1077</v>
      </c>
      <c r="AJ800">
        <v>1</v>
      </c>
      <c r="AK800" t="s">
        <v>58</v>
      </c>
    </row>
    <row r="801" spans="1:37" x14ac:dyDescent="0.25">
      <c r="A801" t="s">
        <v>43</v>
      </c>
      <c r="B801">
        <v>800</v>
      </c>
      <c r="C801" t="s">
        <v>44</v>
      </c>
      <c r="J801" t="s">
        <v>45</v>
      </c>
      <c r="K801" t="s">
        <v>46</v>
      </c>
      <c r="L801" t="s">
        <v>1078</v>
      </c>
      <c r="M801" t="s">
        <v>48</v>
      </c>
      <c r="AJ801">
        <v>1</v>
      </c>
      <c r="AK801" t="s">
        <v>60</v>
      </c>
    </row>
    <row r="802" spans="1:37" x14ac:dyDescent="0.25">
      <c r="A802" t="s">
        <v>43</v>
      </c>
      <c r="B802">
        <v>801</v>
      </c>
      <c r="C802" t="s">
        <v>44</v>
      </c>
      <c r="J802" t="s">
        <v>45</v>
      </c>
      <c r="K802" t="s">
        <v>46</v>
      </c>
      <c r="L802" t="s">
        <v>1079</v>
      </c>
      <c r="M802" t="s">
        <v>48</v>
      </c>
      <c r="AJ802">
        <v>1</v>
      </c>
      <c r="AK802" t="s">
        <v>60</v>
      </c>
    </row>
    <row r="803" spans="1:37" x14ac:dyDescent="0.25">
      <c r="A803" t="s">
        <v>43</v>
      </c>
      <c r="B803">
        <v>802</v>
      </c>
      <c r="C803" t="s">
        <v>44</v>
      </c>
      <c r="J803" t="s">
        <v>45</v>
      </c>
      <c r="K803" t="s">
        <v>46</v>
      </c>
      <c r="L803" t="s">
        <v>1080</v>
      </c>
      <c r="M803" t="s">
        <v>48</v>
      </c>
      <c r="AJ803">
        <v>1</v>
      </c>
      <c r="AK803" t="s">
        <v>51</v>
      </c>
    </row>
    <row r="804" spans="1:37" x14ac:dyDescent="0.25">
      <c r="A804" t="s">
        <v>43</v>
      </c>
      <c r="B804">
        <v>803</v>
      </c>
      <c r="C804" t="s">
        <v>44</v>
      </c>
      <c r="J804" t="s">
        <v>45</v>
      </c>
      <c r="K804" t="s">
        <v>46</v>
      </c>
      <c r="L804" t="s">
        <v>1081</v>
      </c>
      <c r="M804" t="s">
        <v>48</v>
      </c>
      <c r="AJ804">
        <v>1</v>
      </c>
      <c r="AK804" t="s">
        <v>60</v>
      </c>
    </row>
    <row r="805" spans="1:37" x14ac:dyDescent="0.25">
      <c r="A805" t="s">
        <v>43</v>
      </c>
      <c r="B805">
        <v>804</v>
      </c>
      <c r="C805" t="s">
        <v>44</v>
      </c>
      <c r="J805" t="s">
        <v>45</v>
      </c>
      <c r="K805" t="s">
        <v>46</v>
      </c>
      <c r="L805" t="s">
        <v>1082</v>
      </c>
      <c r="M805" t="s">
        <v>48</v>
      </c>
      <c r="AJ805">
        <v>1</v>
      </c>
      <c r="AK805" t="s">
        <v>60</v>
      </c>
    </row>
    <row r="806" spans="1:37" x14ac:dyDescent="0.25">
      <c r="A806" t="s">
        <v>43</v>
      </c>
      <c r="B806">
        <v>805</v>
      </c>
      <c r="C806" t="s">
        <v>44</v>
      </c>
      <c r="J806" t="s">
        <v>54</v>
      </c>
      <c r="K806" t="s">
        <v>55</v>
      </c>
      <c r="L806" t="s">
        <v>1083</v>
      </c>
      <c r="M806" t="s">
        <v>1084</v>
      </c>
      <c r="AJ806">
        <v>1</v>
      </c>
      <c r="AK806" t="s">
        <v>58</v>
      </c>
    </row>
    <row r="807" spans="1:37" x14ac:dyDescent="0.25">
      <c r="A807" t="s">
        <v>43</v>
      </c>
      <c r="B807">
        <v>806</v>
      </c>
      <c r="C807" t="s">
        <v>44</v>
      </c>
      <c r="J807" t="s">
        <v>45</v>
      </c>
      <c r="K807" t="s">
        <v>46</v>
      </c>
      <c r="L807" t="s">
        <v>1085</v>
      </c>
      <c r="M807" t="s">
        <v>48</v>
      </c>
      <c r="AJ807">
        <v>1</v>
      </c>
      <c r="AK807" t="s">
        <v>60</v>
      </c>
    </row>
    <row r="808" spans="1:37" x14ac:dyDescent="0.25">
      <c r="A808" t="s">
        <v>43</v>
      </c>
      <c r="B808">
        <v>807</v>
      </c>
      <c r="C808" t="s">
        <v>44</v>
      </c>
      <c r="J808" t="s">
        <v>54</v>
      </c>
      <c r="K808" t="s">
        <v>55</v>
      </c>
      <c r="L808" t="s">
        <v>1086</v>
      </c>
      <c r="M808" t="s">
        <v>783</v>
      </c>
      <c r="AJ808">
        <v>1</v>
      </c>
      <c r="AK808" t="s">
        <v>58</v>
      </c>
    </row>
    <row r="809" spans="1:37" x14ac:dyDescent="0.25">
      <c r="A809" t="s">
        <v>43</v>
      </c>
      <c r="B809">
        <v>808</v>
      </c>
      <c r="C809" t="s">
        <v>44</v>
      </c>
      <c r="J809" t="s">
        <v>45</v>
      </c>
      <c r="K809" t="s">
        <v>46</v>
      </c>
      <c r="L809" t="s">
        <v>1087</v>
      </c>
      <c r="M809" t="s">
        <v>48</v>
      </c>
      <c r="AJ809">
        <v>1</v>
      </c>
      <c r="AK809" t="s">
        <v>60</v>
      </c>
    </row>
    <row r="810" spans="1:37" x14ac:dyDescent="0.25">
      <c r="A810" t="s">
        <v>43</v>
      </c>
      <c r="B810">
        <v>809</v>
      </c>
      <c r="C810" t="s">
        <v>44</v>
      </c>
      <c r="J810" t="s">
        <v>45</v>
      </c>
      <c r="K810" t="s">
        <v>46</v>
      </c>
      <c r="L810" t="s">
        <v>1088</v>
      </c>
      <c r="M810" t="s">
        <v>48</v>
      </c>
      <c r="AJ810">
        <v>1</v>
      </c>
      <c r="AK810" t="s">
        <v>60</v>
      </c>
    </row>
    <row r="811" spans="1:37" x14ac:dyDescent="0.25">
      <c r="A811" t="s">
        <v>43</v>
      </c>
      <c r="B811">
        <v>810</v>
      </c>
      <c r="C811" t="s">
        <v>44</v>
      </c>
      <c r="J811" t="s">
        <v>54</v>
      </c>
      <c r="K811" t="s">
        <v>55</v>
      </c>
      <c r="L811" t="s">
        <v>1089</v>
      </c>
      <c r="M811" t="s">
        <v>1090</v>
      </c>
      <c r="AJ811">
        <v>1</v>
      </c>
      <c r="AK811" t="s">
        <v>58</v>
      </c>
    </row>
    <row r="812" spans="1:37" x14ac:dyDescent="0.25">
      <c r="A812" t="s">
        <v>43</v>
      </c>
      <c r="B812">
        <v>811</v>
      </c>
      <c r="C812" t="s">
        <v>44</v>
      </c>
      <c r="J812" t="s">
        <v>45</v>
      </c>
      <c r="K812" t="s">
        <v>46</v>
      </c>
      <c r="L812" t="s">
        <v>1091</v>
      </c>
      <c r="M812" t="s">
        <v>48</v>
      </c>
      <c r="AJ812">
        <v>1</v>
      </c>
      <c r="AK812" t="s">
        <v>60</v>
      </c>
    </row>
    <row r="813" spans="1:37" x14ac:dyDescent="0.25">
      <c r="A813" t="s">
        <v>43</v>
      </c>
      <c r="B813">
        <v>812</v>
      </c>
      <c r="C813" t="s">
        <v>44</v>
      </c>
      <c r="J813" t="s">
        <v>54</v>
      </c>
      <c r="K813" t="s">
        <v>55</v>
      </c>
      <c r="L813" t="s">
        <v>1092</v>
      </c>
      <c r="M813" t="s">
        <v>1093</v>
      </c>
      <c r="AJ813">
        <v>1</v>
      </c>
      <c r="AK813" t="s">
        <v>58</v>
      </c>
    </row>
    <row r="814" spans="1:37" x14ac:dyDescent="0.25">
      <c r="A814" t="s">
        <v>43</v>
      </c>
      <c r="B814">
        <v>813</v>
      </c>
      <c r="C814" t="s">
        <v>44</v>
      </c>
      <c r="J814" t="s">
        <v>45</v>
      </c>
      <c r="K814" t="s">
        <v>46</v>
      </c>
      <c r="L814" t="s">
        <v>1094</v>
      </c>
      <c r="M814" t="s">
        <v>48</v>
      </c>
      <c r="AJ814">
        <v>1</v>
      </c>
      <c r="AK814" t="s">
        <v>60</v>
      </c>
    </row>
    <row r="815" spans="1:37" x14ac:dyDescent="0.25">
      <c r="A815" t="s">
        <v>43</v>
      </c>
      <c r="B815">
        <v>814</v>
      </c>
      <c r="C815" t="s">
        <v>44</v>
      </c>
      <c r="J815" t="s">
        <v>45</v>
      </c>
      <c r="K815" t="s">
        <v>46</v>
      </c>
      <c r="L815" t="s">
        <v>1095</v>
      </c>
      <c r="M815" t="s">
        <v>48</v>
      </c>
      <c r="AJ815">
        <v>1</v>
      </c>
      <c r="AK815" t="s">
        <v>60</v>
      </c>
    </row>
    <row r="816" spans="1:37" x14ac:dyDescent="0.25">
      <c r="A816" t="s">
        <v>43</v>
      </c>
      <c r="B816">
        <v>815</v>
      </c>
      <c r="C816" t="s">
        <v>44</v>
      </c>
      <c r="J816" t="s">
        <v>45</v>
      </c>
      <c r="K816" t="s">
        <v>46</v>
      </c>
      <c r="L816" t="s">
        <v>1096</v>
      </c>
      <c r="M816" t="s">
        <v>48</v>
      </c>
      <c r="AJ816">
        <v>1</v>
      </c>
      <c r="AK816" t="s">
        <v>60</v>
      </c>
    </row>
    <row r="817" spans="1:37" x14ac:dyDescent="0.25">
      <c r="A817" t="s">
        <v>43</v>
      </c>
      <c r="B817">
        <v>816</v>
      </c>
      <c r="C817" t="s">
        <v>44</v>
      </c>
      <c r="J817" t="s">
        <v>45</v>
      </c>
      <c r="K817" t="s">
        <v>46</v>
      </c>
      <c r="L817" t="s">
        <v>1097</v>
      </c>
      <c r="M817" t="s">
        <v>48</v>
      </c>
      <c r="AJ817">
        <v>1</v>
      </c>
      <c r="AK817" t="s">
        <v>60</v>
      </c>
    </row>
    <row r="818" spans="1:37" x14ac:dyDescent="0.25">
      <c r="A818" t="s">
        <v>43</v>
      </c>
      <c r="B818">
        <v>817</v>
      </c>
      <c r="C818" t="s">
        <v>44</v>
      </c>
      <c r="J818" t="s">
        <v>54</v>
      </c>
      <c r="K818" t="s">
        <v>55</v>
      </c>
      <c r="L818" t="s">
        <v>1098</v>
      </c>
      <c r="M818" t="s">
        <v>1099</v>
      </c>
      <c r="AJ818">
        <v>1</v>
      </c>
      <c r="AK818" t="s">
        <v>58</v>
      </c>
    </row>
    <row r="819" spans="1:37" x14ac:dyDescent="0.25">
      <c r="A819" t="s">
        <v>43</v>
      </c>
      <c r="B819">
        <v>818</v>
      </c>
      <c r="C819" t="s">
        <v>44</v>
      </c>
      <c r="J819" t="s">
        <v>54</v>
      </c>
      <c r="K819" t="s">
        <v>55</v>
      </c>
      <c r="L819" t="s">
        <v>1100</v>
      </c>
      <c r="M819" t="s">
        <v>1101</v>
      </c>
      <c r="AJ819">
        <v>1</v>
      </c>
      <c r="AK819" t="s">
        <v>58</v>
      </c>
    </row>
    <row r="820" spans="1:37" x14ac:dyDescent="0.25">
      <c r="A820" t="s">
        <v>43</v>
      </c>
      <c r="B820">
        <v>819</v>
      </c>
      <c r="C820" t="s">
        <v>44</v>
      </c>
      <c r="J820" t="s">
        <v>54</v>
      </c>
      <c r="K820" t="s">
        <v>55</v>
      </c>
      <c r="L820" t="s">
        <v>1102</v>
      </c>
      <c r="M820" t="s">
        <v>1103</v>
      </c>
      <c r="AJ820">
        <v>1</v>
      </c>
      <c r="AK820" t="s">
        <v>58</v>
      </c>
    </row>
    <row r="821" spans="1:37" x14ac:dyDescent="0.25">
      <c r="A821" t="s">
        <v>43</v>
      </c>
      <c r="B821">
        <v>820</v>
      </c>
      <c r="C821" t="s">
        <v>44</v>
      </c>
      <c r="J821" t="s">
        <v>54</v>
      </c>
      <c r="K821" t="s">
        <v>55</v>
      </c>
      <c r="L821" t="s">
        <v>1104</v>
      </c>
      <c r="M821" t="s">
        <v>1105</v>
      </c>
      <c r="AJ821">
        <v>1</v>
      </c>
      <c r="AK821" t="s">
        <v>58</v>
      </c>
    </row>
    <row r="822" spans="1:37" x14ac:dyDescent="0.25">
      <c r="A822" t="s">
        <v>43</v>
      </c>
      <c r="B822">
        <v>821</v>
      </c>
      <c r="C822" t="s">
        <v>44</v>
      </c>
      <c r="J822" t="s">
        <v>45</v>
      </c>
      <c r="K822" t="s">
        <v>46</v>
      </c>
      <c r="L822" t="s">
        <v>1106</v>
      </c>
      <c r="M822" t="s">
        <v>48</v>
      </c>
      <c r="AJ822">
        <v>1</v>
      </c>
      <c r="AK822" t="s">
        <v>60</v>
      </c>
    </row>
    <row r="823" spans="1:37" x14ac:dyDescent="0.25">
      <c r="A823" t="s">
        <v>43</v>
      </c>
      <c r="B823">
        <v>822</v>
      </c>
      <c r="C823" t="s">
        <v>44</v>
      </c>
      <c r="J823" t="s">
        <v>45</v>
      </c>
      <c r="K823" t="s">
        <v>46</v>
      </c>
      <c r="L823" t="s">
        <v>1107</v>
      </c>
      <c r="M823" t="s">
        <v>48</v>
      </c>
      <c r="AJ823">
        <v>1</v>
      </c>
      <c r="AK823" t="s">
        <v>60</v>
      </c>
    </row>
    <row r="824" spans="1:37" x14ac:dyDescent="0.25">
      <c r="A824" t="s">
        <v>43</v>
      </c>
      <c r="B824">
        <v>823</v>
      </c>
      <c r="C824" t="s">
        <v>44</v>
      </c>
      <c r="J824" t="s">
        <v>45</v>
      </c>
      <c r="K824" t="s">
        <v>46</v>
      </c>
      <c r="L824" t="s">
        <v>1108</v>
      </c>
      <c r="M824" t="s">
        <v>48</v>
      </c>
      <c r="AJ824">
        <v>1</v>
      </c>
      <c r="AK824" t="s">
        <v>60</v>
      </c>
    </row>
    <row r="825" spans="1:37" x14ac:dyDescent="0.25">
      <c r="A825" t="s">
        <v>43</v>
      </c>
      <c r="B825">
        <v>824</v>
      </c>
      <c r="C825" t="s">
        <v>44</v>
      </c>
      <c r="J825" t="s">
        <v>45</v>
      </c>
      <c r="K825" t="s">
        <v>46</v>
      </c>
      <c r="L825" t="s">
        <v>1109</v>
      </c>
      <c r="M825" t="s">
        <v>48</v>
      </c>
      <c r="AJ825">
        <v>1</v>
      </c>
      <c r="AK825" t="s">
        <v>60</v>
      </c>
    </row>
    <row r="826" spans="1:37" x14ac:dyDescent="0.25">
      <c r="A826" t="s">
        <v>43</v>
      </c>
      <c r="B826">
        <v>825</v>
      </c>
      <c r="C826" t="s">
        <v>44</v>
      </c>
      <c r="J826" t="s">
        <v>45</v>
      </c>
      <c r="K826" t="s">
        <v>46</v>
      </c>
      <c r="L826" t="s">
        <v>1110</v>
      </c>
      <c r="M826" t="s">
        <v>48</v>
      </c>
      <c r="AJ826">
        <v>1</v>
      </c>
      <c r="AK826" t="s">
        <v>60</v>
      </c>
    </row>
    <row r="827" spans="1:37" x14ac:dyDescent="0.25">
      <c r="A827" t="s">
        <v>43</v>
      </c>
      <c r="B827">
        <v>826</v>
      </c>
      <c r="C827" t="s">
        <v>44</v>
      </c>
      <c r="J827" t="s">
        <v>45</v>
      </c>
      <c r="K827" t="s">
        <v>46</v>
      </c>
      <c r="L827" t="s">
        <v>1111</v>
      </c>
      <c r="M827" t="s">
        <v>48</v>
      </c>
      <c r="AJ827">
        <v>1</v>
      </c>
      <c r="AK827" t="s">
        <v>53</v>
      </c>
    </row>
    <row r="828" spans="1:37" x14ac:dyDescent="0.25">
      <c r="A828" t="s">
        <v>43</v>
      </c>
      <c r="B828">
        <v>827</v>
      </c>
      <c r="C828" t="s">
        <v>44</v>
      </c>
      <c r="J828" t="s">
        <v>45</v>
      </c>
      <c r="K828" t="s">
        <v>46</v>
      </c>
      <c r="L828" t="s">
        <v>1112</v>
      </c>
      <c r="M828" t="s">
        <v>48</v>
      </c>
      <c r="AJ828">
        <v>1</v>
      </c>
      <c r="AK828" t="s">
        <v>60</v>
      </c>
    </row>
    <row r="829" spans="1:37" x14ac:dyDescent="0.25">
      <c r="A829" t="s">
        <v>43</v>
      </c>
      <c r="B829">
        <v>828</v>
      </c>
      <c r="C829" t="s">
        <v>44</v>
      </c>
      <c r="J829" t="s">
        <v>54</v>
      </c>
      <c r="K829" t="s">
        <v>55</v>
      </c>
      <c r="L829" t="s">
        <v>1113</v>
      </c>
      <c r="M829" t="s">
        <v>1114</v>
      </c>
      <c r="AJ829">
        <v>1</v>
      </c>
      <c r="AK829" t="s">
        <v>58</v>
      </c>
    </row>
    <row r="830" spans="1:37" x14ac:dyDescent="0.25">
      <c r="A830" t="s">
        <v>43</v>
      </c>
      <c r="B830">
        <v>829</v>
      </c>
      <c r="C830" t="s">
        <v>44</v>
      </c>
      <c r="J830" t="s">
        <v>54</v>
      </c>
      <c r="K830" t="s">
        <v>55</v>
      </c>
      <c r="L830" t="s">
        <v>1115</v>
      </c>
      <c r="M830" t="s">
        <v>1116</v>
      </c>
      <c r="AJ830">
        <v>1</v>
      </c>
      <c r="AK830" t="s">
        <v>58</v>
      </c>
    </row>
    <row r="831" spans="1:37" x14ac:dyDescent="0.25">
      <c r="A831" t="s">
        <v>43</v>
      </c>
      <c r="B831">
        <v>830</v>
      </c>
      <c r="C831" t="s">
        <v>44</v>
      </c>
      <c r="J831" t="s">
        <v>45</v>
      </c>
      <c r="K831" t="s">
        <v>46</v>
      </c>
      <c r="L831" t="s">
        <v>1117</v>
      </c>
      <c r="M831" t="s">
        <v>48</v>
      </c>
      <c r="AJ831">
        <v>1</v>
      </c>
      <c r="AK831" t="s">
        <v>60</v>
      </c>
    </row>
    <row r="832" spans="1:37" x14ac:dyDescent="0.25">
      <c r="A832" t="s">
        <v>43</v>
      </c>
      <c r="B832">
        <v>831</v>
      </c>
      <c r="C832" t="s">
        <v>44</v>
      </c>
      <c r="J832" t="s">
        <v>54</v>
      </c>
      <c r="K832" t="s">
        <v>55</v>
      </c>
      <c r="L832" t="s">
        <v>1118</v>
      </c>
      <c r="M832" t="s">
        <v>1119</v>
      </c>
      <c r="AJ832">
        <v>1</v>
      </c>
      <c r="AK832" t="s">
        <v>58</v>
      </c>
    </row>
    <row r="833" spans="1:37" x14ac:dyDescent="0.25">
      <c r="A833" t="s">
        <v>43</v>
      </c>
      <c r="B833">
        <v>832</v>
      </c>
      <c r="C833" t="s">
        <v>44</v>
      </c>
      <c r="J833" t="s">
        <v>45</v>
      </c>
      <c r="K833" t="s">
        <v>46</v>
      </c>
      <c r="L833" t="s">
        <v>1120</v>
      </c>
      <c r="M833" t="s">
        <v>48</v>
      </c>
      <c r="AJ833">
        <v>1</v>
      </c>
      <c r="AK833" t="s">
        <v>209</v>
      </c>
    </row>
    <row r="834" spans="1:37" x14ac:dyDescent="0.25">
      <c r="A834" t="s">
        <v>43</v>
      </c>
      <c r="B834">
        <v>833</v>
      </c>
      <c r="C834" t="s">
        <v>44</v>
      </c>
      <c r="J834" t="s">
        <v>45</v>
      </c>
      <c r="K834" t="s">
        <v>46</v>
      </c>
      <c r="L834" t="s">
        <v>1121</v>
      </c>
      <c r="M834" t="s">
        <v>48</v>
      </c>
      <c r="AJ834">
        <v>1</v>
      </c>
      <c r="AK834" t="s">
        <v>53</v>
      </c>
    </row>
    <row r="835" spans="1:37" x14ac:dyDescent="0.25">
      <c r="A835" t="s">
        <v>43</v>
      </c>
      <c r="B835">
        <v>834</v>
      </c>
      <c r="C835" t="s">
        <v>44</v>
      </c>
      <c r="J835" t="s">
        <v>45</v>
      </c>
      <c r="K835" t="s">
        <v>46</v>
      </c>
      <c r="L835" t="s">
        <v>1122</v>
      </c>
      <c r="M835" t="s">
        <v>48</v>
      </c>
      <c r="AJ835">
        <v>1</v>
      </c>
      <c r="AK835" t="s">
        <v>60</v>
      </c>
    </row>
    <row r="836" spans="1:37" x14ac:dyDescent="0.25">
      <c r="A836" t="s">
        <v>43</v>
      </c>
      <c r="B836">
        <v>835</v>
      </c>
      <c r="C836" t="s">
        <v>44</v>
      </c>
      <c r="J836" t="s">
        <v>45</v>
      </c>
      <c r="K836" t="s">
        <v>46</v>
      </c>
      <c r="L836" t="s">
        <v>1123</v>
      </c>
      <c r="M836" t="s">
        <v>48</v>
      </c>
      <c r="AJ836">
        <v>1</v>
      </c>
      <c r="AK836" t="s">
        <v>60</v>
      </c>
    </row>
    <row r="837" spans="1:37" x14ac:dyDescent="0.25">
      <c r="A837" t="s">
        <v>43</v>
      </c>
      <c r="B837">
        <v>836</v>
      </c>
      <c r="C837" t="s">
        <v>44</v>
      </c>
      <c r="J837" t="s">
        <v>54</v>
      </c>
      <c r="K837" t="s">
        <v>55</v>
      </c>
      <c r="L837" t="s">
        <v>1124</v>
      </c>
      <c r="M837" t="s">
        <v>1125</v>
      </c>
      <c r="AJ837">
        <v>1</v>
      </c>
      <c r="AK837" t="s">
        <v>58</v>
      </c>
    </row>
    <row r="838" spans="1:37" x14ac:dyDescent="0.25">
      <c r="A838" t="s">
        <v>43</v>
      </c>
      <c r="B838">
        <v>837</v>
      </c>
      <c r="C838" t="s">
        <v>44</v>
      </c>
      <c r="J838" t="s">
        <v>54</v>
      </c>
      <c r="K838" t="s">
        <v>55</v>
      </c>
      <c r="L838" t="s">
        <v>1126</v>
      </c>
      <c r="M838" t="s">
        <v>667</v>
      </c>
      <c r="AJ838">
        <v>1</v>
      </c>
      <c r="AK838" t="s">
        <v>58</v>
      </c>
    </row>
    <row r="839" spans="1:37" x14ac:dyDescent="0.25">
      <c r="A839" t="s">
        <v>43</v>
      </c>
      <c r="B839">
        <v>838</v>
      </c>
      <c r="C839" t="s">
        <v>44</v>
      </c>
      <c r="J839" t="s">
        <v>54</v>
      </c>
      <c r="K839" t="s">
        <v>55</v>
      </c>
      <c r="L839" t="s">
        <v>1127</v>
      </c>
      <c r="M839" t="s">
        <v>1128</v>
      </c>
      <c r="AJ839">
        <v>1</v>
      </c>
      <c r="AK839" t="s">
        <v>58</v>
      </c>
    </row>
    <row r="840" spans="1:37" x14ac:dyDescent="0.25">
      <c r="A840" t="s">
        <v>43</v>
      </c>
      <c r="B840">
        <v>839</v>
      </c>
      <c r="C840" t="s">
        <v>44</v>
      </c>
      <c r="J840" t="s">
        <v>45</v>
      </c>
      <c r="K840" t="s">
        <v>46</v>
      </c>
      <c r="L840" t="s">
        <v>1129</v>
      </c>
      <c r="M840" t="s">
        <v>48</v>
      </c>
      <c r="AJ840">
        <v>1</v>
      </c>
      <c r="AK840" t="s">
        <v>60</v>
      </c>
    </row>
    <row r="841" spans="1:37" x14ac:dyDescent="0.25">
      <c r="A841" t="s">
        <v>43</v>
      </c>
      <c r="B841">
        <v>840</v>
      </c>
      <c r="C841" t="s">
        <v>44</v>
      </c>
      <c r="J841" t="s">
        <v>45</v>
      </c>
      <c r="K841" t="s">
        <v>46</v>
      </c>
      <c r="L841" t="s">
        <v>1130</v>
      </c>
      <c r="M841" t="s">
        <v>48</v>
      </c>
      <c r="AJ841">
        <v>1</v>
      </c>
      <c r="AK841" t="s">
        <v>60</v>
      </c>
    </row>
    <row r="842" spans="1:37" x14ac:dyDescent="0.25">
      <c r="A842" t="s">
        <v>43</v>
      </c>
      <c r="B842">
        <v>841</v>
      </c>
      <c r="C842" t="s">
        <v>44</v>
      </c>
      <c r="J842" t="s">
        <v>54</v>
      </c>
      <c r="K842" t="s">
        <v>55</v>
      </c>
      <c r="L842" t="s">
        <v>1131</v>
      </c>
      <c r="M842" t="s">
        <v>1132</v>
      </c>
      <c r="AJ842">
        <v>1</v>
      </c>
      <c r="AK842" t="s">
        <v>58</v>
      </c>
    </row>
    <row r="843" spans="1:37" x14ac:dyDescent="0.25">
      <c r="A843" t="s">
        <v>43</v>
      </c>
      <c r="B843">
        <v>842</v>
      </c>
      <c r="C843" t="s">
        <v>44</v>
      </c>
      <c r="J843" t="s">
        <v>45</v>
      </c>
      <c r="K843" t="s">
        <v>46</v>
      </c>
      <c r="L843" t="s">
        <v>1133</v>
      </c>
      <c r="M843" t="s">
        <v>48</v>
      </c>
      <c r="AJ843">
        <v>1</v>
      </c>
      <c r="AK843" t="s">
        <v>60</v>
      </c>
    </row>
    <row r="844" spans="1:37" x14ac:dyDescent="0.25">
      <c r="A844" t="s">
        <v>43</v>
      </c>
      <c r="B844">
        <v>843</v>
      </c>
      <c r="C844" t="s">
        <v>44</v>
      </c>
      <c r="J844" t="s">
        <v>54</v>
      </c>
      <c r="K844" t="s">
        <v>55</v>
      </c>
      <c r="L844" t="s">
        <v>1134</v>
      </c>
      <c r="M844" t="s">
        <v>1135</v>
      </c>
      <c r="AJ844">
        <v>1</v>
      </c>
      <c r="AK844" t="s">
        <v>58</v>
      </c>
    </row>
    <row r="845" spans="1:37" x14ac:dyDescent="0.25">
      <c r="A845" t="s">
        <v>43</v>
      </c>
      <c r="B845">
        <v>844</v>
      </c>
      <c r="C845" t="s">
        <v>44</v>
      </c>
      <c r="J845" t="s">
        <v>54</v>
      </c>
      <c r="K845" t="s">
        <v>55</v>
      </c>
      <c r="L845" t="s">
        <v>1136</v>
      </c>
      <c r="M845" t="s">
        <v>1137</v>
      </c>
      <c r="AJ845">
        <v>1</v>
      </c>
      <c r="AK845" t="s">
        <v>58</v>
      </c>
    </row>
    <row r="846" spans="1:37" x14ac:dyDescent="0.25">
      <c r="A846" t="s">
        <v>43</v>
      </c>
      <c r="B846">
        <v>845</v>
      </c>
      <c r="C846" t="s">
        <v>44</v>
      </c>
      <c r="J846" t="s">
        <v>45</v>
      </c>
      <c r="K846" t="s">
        <v>114</v>
      </c>
      <c r="L846" t="s">
        <v>115</v>
      </c>
      <c r="M846" t="s">
        <v>1138</v>
      </c>
      <c r="AJ846">
        <v>1</v>
      </c>
      <c r="AK846" t="s">
        <v>117</v>
      </c>
    </row>
    <row r="847" spans="1:37" x14ac:dyDescent="0.25">
      <c r="A847" t="s">
        <v>43</v>
      </c>
      <c r="B847">
        <v>846</v>
      </c>
      <c r="C847" t="s">
        <v>44</v>
      </c>
      <c r="J847" t="s">
        <v>54</v>
      </c>
      <c r="K847" t="s">
        <v>55</v>
      </c>
      <c r="L847" t="s">
        <v>1139</v>
      </c>
      <c r="M847" t="s">
        <v>1140</v>
      </c>
      <c r="AJ847">
        <v>1</v>
      </c>
      <c r="AK847" t="s">
        <v>58</v>
      </c>
    </row>
    <row r="848" spans="1:37" x14ac:dyDescent="0.25">
      <c r="A848" t="s">
        <v>43</v>
      </c>
      <c r="B848">
        <v>847</v>
      </c>
      <c r="C848" t="s">
        <v>44</v>
      </c>
      <c r="J848" t="s">
        <v>45</v>
      </c>
      <c r="K848" t="s">
        <v>46</v>
      </c>
      <c r="L848" t="s">
        <v>1141</v>
      </c>
      <c r="M848" t="s">
        <v>48</v>
      </c>
      <c r="AJ848">
        <v>1</v>
      </c>
      <c r="AK848" t="s">
        <v>60</v>
      </c>
    </row>
    <row r="849" spans="1:37" x14ac:dyDescent="0.25">
      <c r="A849" t="s">
        <v>43</v>
      </c>
      <c r="B849">
        <v>848</v>
      </c>
      <c r="C849" t="s">
        <v>44</v>
      </c>
      <c r="J849" t="s">
        <v>45</v>
      </c>
      <c r="K849" t="s">
        <v>46</v>
      </c>
      <c r="L849" t="s">
        <v>1142</v>
      </c>
      <c r="M849" t="s">
        <v>48</v>
      </c>
      <c r="AJ849">
        <v>1</v>
      </c>
      <c r="AK849" t="s">
        <v>51</v>
      </c>
    </row>
    <row r="850" spans="1:37" x14ac:dyDescent="0.25">
      <c r="A850" t="s">
        <v>43</v>
      </c>
      <c r="B850">
        <v>849</v>
      </c>
      <c r="C850" t="s">
        <v>44</v>
      </c>
      <c r="J850" t="s">
        <v>54</v>
      </c>
      <c r="K850" t="s">
        <v>55</v>
      </c>
      <c r="L850" t="s">
        <v>1143</v>
      </c>
      <c r="M850" t="s">
        <v>1144</v>
      </c>
      <c r="AJ850">
        <v>1</v>
      </c>
      <c r="AK850" t="s">
        <v>58</v>
      </c>
    </row>
    <row r="851" spans="1:37" x14ac:dyDescent="0.25">
      <c r="A851" t="s">
        <v>43</v>
      </c>
      <c r="B851">
        <v>850</v>
      </c>
      <c r="C851" t="s">
        <v>44</v>
      </c>
      <c r="J851" t="s">
        <v>54</v>
      </c>
      <c r="K851" t="s">
        <v>55</v>
      </c>
      <c r="L851" t="s">
        <v>1145</v>
      </c>
      <c r="M851" t="s">
        <v>1146</v>
      </c>
      <c r="AJ851">
        <v>1</v>
      </c>
      <c r="AK851" t="s">
        <v>58</v>
      </c>
    </row>
    <row r="852" spans="1:37" x14ac:dyDescent="0.25">
      <c r="A852" t="s">
        <v>43</v>
      </c>
      <c r="B852">
        <v>851</v>
      </c>
      <c r="C852" t="s">
        <v>44</v>
      </c>
      <c r="J852" t="s">
        <v>45</v>
      </c>
      <c r="K852" t="s">
        <v>46</v>
      </c>
      <c r="L852" t="s">
        <v>1147</v>
      </c>
      <c r="M852" t="s">
        <v>48</v>
      </c>
      <c r="AJ852">
        <v>1</v>
      </c>
      <c r="AK852" t="s">
        <v>60</v>
      </c>
    </row>
    <row r="853" spans="1:37" x14ac:dyDescent="0.25">
      <c r="A853" t="s">
        <v>43</v>
      </c>
      <c r="B853">
        <v>852</v>
      </c>
      <c r="C853" t="s">
        <v>44</v>
      </c>
      <c r="J853" t="s">
        <v>45</v>
      </c>
      <c r="K853" t="s">
        <v>46</v>
      </c>
      <c r="L853" t="s">
        <v>1148</v>
      </c>
      <c r="M853" t="s">
        <v>48</v>
      </c>
      <c r="AJ853">
        <v>1</v>
      </c>
      <c r="AK853" t="s">
        <v>60</v>
      </c>
    </row>
    <row r="854" spans="1:37" x14ac:dyDescent="0.25">
      <c r="A854" t="s">
        <v>43</v>
      </c>
      <c r="B854">
        <v>853</v>
      </c>
      <c r="C854" t="s">
        <v>44</v>
      </c>
      <c r="J854" t="s">
        <v>45</v>
      </c>
      <c r="K854" t="s">
        <v>46</v>
      </c>
      <c r="L854" t="s">
        <v>1149</v>
      </c>
      <c r="M854" t="s">
        <v>48</v>
      </c>
      <c r="AJ854">
        <v>1</v>
      </c>
      <c r="AK854" t="s">
        <v>60</v>
      </c>
    </row>
    <row r="855" spans="1:37" x14ac:dyDescent="0.25">
      <c r="A855" t="s">
        <v>43</v>
      </c>
      <c r="B855">
        <v>854</v>
      </c>
      <c r="C855" t="s">
        <v>44</v>
      </c>
      <c r="J855" t="s">
        <v>45</v>
      </c>
      <c r="K855" t="s">
        <v>46</v>
      </c>
      <c r="L855" t="s">
        <v>1150</v>
      </c>
      <c r="M855" t="s">
        <v>48</v>
      </c>
      <c r="AJ855">
        <v>1</v>
      </c>
      <c r="AK855" t="s">
        <v>60</v>
      </c>
    </row>
    <row r="856" spans="1:37" x14ac:dyDescent="0.25">
      <c r="A856" t="s">
        <v>43</v>
      </c>
      <c r="B856">
        <v>855</v>
      </c>
      <c r="C856" t="s">
        <v>44</v>
      </c>
      <c r="J856" t="s">
        <v>45</v>
      </c>
      <c r="K856" t="s">
        <v>46</v>
      </c>
      <c r="L856" t="s">
        <v>1151</v>
      </c>
      <c r="M856" t="s">
        <v>48</v>
      </c>
      <c r="AJ856">
        <v>1</v>
      </c>
      <c r="AK856" t="s">
        <v>60</v>
      </c>
    </row>
    <row r="857" spans="1:37" x14ac:dyDescent="0.25">
      <c r="A857" t="s">
        <v>43</v>
      </c>
      <c r="B857">
        <v>856</v>
      </c>
      <c r="C857" t="s">
        <v>44</v>
      </c>
      <c r="J857" t="s">
        <v>45</v>
      </c>
      <c r="K857" t="s">
        <v>46</v>
      </c>
      <c r="L857" t="s">
        <v>1152</v>
      </c>
      <c r="M857" t="s">
        <v>48</v>
      </c>
      <c r="AJ857">
        <v>1</v>
      </c>
      <c r="AK857" t="s">
        <v>60</v>
      </c>
    </row>
    <row r="858" spans="1:37" x14ac:dyDescent="0.25">
      <c r="A858" t="s">
        <v>43</v>
      </c>
      <c r="B858">
        <v>857</v>
      </c>
      <c r="C858" t="s">
        <v>44</v>
      </c>
      <c r="J858" t="s">
        <v>45</v>
      </c>
      <c r="K858" t="s">
        <v>46</v>
      </c>
      <c r="L858" t="s">
        <v>1153</v>
      </c>
      <c r="M858" t="s">
        <v>48</v>
      </c>
      <c r="AJ858">
        <v>1</v>
      </c>
      <c r="AK858" t="s">
        <v>60</v>
      </c>
    </row>
    <row r="859" spans="1:37" x14ac:dyDescent="0.25">
      <c r="A859" t="s">
        <v>43</v>
      </c>
      <c r="B859">
        <v>858</v>
      </c>
      <c r="C859" t="s">
        <v>44</v>
      </c>
      <c r="J859" t="s">
        <v>54</v>
      </c>
      <c r="K859" t="s">
        <v>55</v>
      </c>
      <c r="L859" t="s">
        <v>1154</v>
      </c>
      <c r="M859" t="s">
        <v>1155</v>
      </c>
      <c r="AJ859">
        <v>1</v>
      </c>
      <c r="AK859" t="s">
        <v>58</v>
      </c>
    </row>
    <row r="860" spans="1:37" x14ac:dyDescent="0.25">
      <c r="A860" t="s">
        <v>43</v>
      </c>
      <c r="B860">
        <v>859</v>
      </c>
      <c r="C860" t="s">
        <v>44</v>
      </c>
      <c r="J860" t="s">
        <v>45</v>
      </c>
      <c r="K860" t="s">
        <v>46</v>
      </c>
      <c r="L860" t="s">
        <v>1156</v>
      </c>
      <c r="AJ860">
        <v>1</v>
      </c>
      <c r="AK860" t="s">
        <v>76</v>
      </c>
    </row>
    <row r="861" spans="1:37" x14ac:dyDescent="0.25">
      <c r="A861" t="s">
        <v>43</v>
      </c>
      <c r="B861">
        <v>860</v>
      </c>
      <c r="C861" t="s">
        <v>44</v>
      </c>
      <c r="J861" t="s">
        <v>45</v>
      </c>
      <c r="K861" t="s">
        <v>46</v>
      </c>
      <c r="L861" t="s">
        <v>1157</v>
      </c>
      <c r="AJ861">
        <v>1</v>
      </c>
      <c r="AK861" t="s">
        <v>49</v>
      </c>
    </row>
    <row r="862" spans="1:37" x14ac:dyDescent="0.25">
      <c r="A862" t="s">
        <v>43</v>
      </c>
      <c r="B862">
        <v>861</v>
      </c>
      <c r="C862" t="s">
        <v>44</v>
      </c>
      <c r="J862" t="s">
        <v>45</v>
      </c>
      <c r="K862" t="s">
        <v>46</v>
      </c>
      <c r="L862" t="s">
        <v>1158</v>
      </c>
      <c r="AJ862">
        <v>1</v>
      </c>
      <c r="AK862" t="s">
        <v>58</v>
      </c>
    </row>
    <row r="863" spans="1:37" x14ac:dyDescent="0.25">
      <c r="A863" t="s">
        <v>43</v>
      </c>
      <c r="B863">
        <v>862</v>
      </c>
      <c r="C863" t="s">
        <v>44</v>
      </c>
      <c r="J863" t="s">
        <v>45</v>
      </c>
      <c r="K863" t="s">
        <v>46</v>
      </c>
      <c r="L863" t="s">
        <v>1159</v>
      </c>
      <c r="AJ863">
        <v>1</v>
      </c>
      <c r="AK863" t="s">
        <v>76</v>
      </c>
    </row>
    <row r="864" spans="1:37" x14ac:dyDescent="0.25">
      <c r="A864" t="s">
        <v>43</v>
      </c>
      <c r="B864">
        <v>863</v>
      </c>
      <c r="C864" t="s">
        <v>44</v>
      </c>
      <c r="J864" t="s">
        <v>45</v>
      </c>
      <c r="K864" t="s">
        <v>46</v>
      </c>
      <c r="L864" t="s">
        <v>1160</v>
      </c>
      <c r="AJ864">
        <v>1</v>
      </c>
      <c r="AK864" t="s">
        <v>209</v>
      </c>
    </row>
    <row r="865" spans="1:37" x14ac:dyDescent="0.25">
      <c r="A865" t="s">
        <v>43</v>
      </c>
      <c r="B865">
        <v>864</v>
      </c>
      <c r="C865" t="s">
        <v>44</v>
      </c>
      <c r="J865" t="s">
        <v>45</v>
      </c>
      <c r="K865" t="s">
        <v>46</v>
      </c>
      <c r="L865" t="s">
        <v>1161</v>
      </c>
      <c r="AJ865">
        <v>1</v>
      </c>
      <c r="AK865" t="s">
        <v>53</v>
      </c>
    </row>
    <row r="866" spans="1:37" x14ac:dyDescent="0.25">
      <c r="A866" t="s">
        <v>43</v>
      </c>
      <c r="B866">
        <v>865</v>
      </c>
      <c r="C866" t="s">
        <v>44</v>
      </c>
      <c r="J866" t="s">
        <v>45</v>
      </c>
      <c r="K866" t="s">
        <v>46</v>
      </c>
      <c r="L866" t="s">
        <v>1162</v>
      </c>
      <c r="AJ866">
        <v>1</v>
      </c>
      <c r="AK866" t="s">
        <v>209</v>
      </c>
    </row>
    <row r="867" spans="1:37" x14ac:dyDescent="0.25">
      <c r="A867" t="s">
        <v>43</v>
      </c>
      <c r="B867">
        <v>866</v>
      </c>
      <c r="C867" t="s">
        <v>44</v>
      </c>
      <c r="J867" t="s">
        <v>45</v>
      </c>
      <c r="K867" t="s">
        <v>46</v>
      </c>
      <c r="L867" t="s">
        <v>1163</v>
      </c>
      <c r="AJ867">
        <v>1</v>
      </c>
      <c r="AK867" t="s">
        <v>1164</v>
      </c>
    </row>
    <row r="868" spans="1:37" x14ac:dyDescent="0.25">
      <c r="A868" t="s">
        <v>43</v>
      </c>
      <c r="B868">
        <v>867</v>
      </c>
      <c r="C868" t="s">
        <v>44</v>
      </c>
      <c r="J868" t="s">
        <v>45</v>
      </c>
      <c r="K868" t="s">
        <v>46</v>
      </c>
      <c r="L868" t="s">
        <v>1165</v>
      </c>
      <c r="AJ868">
        <v>1</v>
      </c>
      <c r="AK868" t="s">
        <v>76</v>
      </c>
    </row>
    <row r="869" spans="1:37" x14ac:dyDescent="0.25">
      <c r="A869" t="s">
        <v>43</v>
      </c>
      <c r="B869">
        <v>868</v>
      </c>
      <c r="C869" t="s">
        <v>44</v>
      </c>
      <c r="J869" t="s">
        <v>54</v>
      </c>
      <c r="K869" t="s">
        <v>55</v>
      </c>
      <c r="L869" t="s">
        <v>1166</v>
      </c>
      <c r="AJ869">
        <v>1</v>
      </c>
      <c r="AK869" t="s">
        <v>53</v>
      </c>
    </row>
    <row r="870" spans="1:37" x14ac:dyDescent="0.25">
      <c r="A870" t="s">
        <v>43</v>
      </c>
      <c r="B870">
        <v>869</v>
      </c>
      <c r="C870" t="s">
        <v>44</v>
      </c>
      <c r="J870" t="s">
        <v>45</v>
      </c>
      <c r="K870" t="s">
        <v>46</v>
      </c>
      <c r="L870" t="s">
        <v>1167</v>
      </c>
      <c r="AJ870">
        <v>1</v>
      </c>
      <c r="AK870" t="s">
        <v>53</v>
      </c>
    </row>
    <row r="871" spans="1:37" x14ac:dyDescent="0.25">
      <c r="A871" t="s">
        <v>43</v>
      </c>
      <c r="B871">
        <v>870</v>
      </c>
      <c r="C871" t="s">
        <v>44</v>
      </c>
      <c r="J871" t="s">
        <v>45</v>
      </c>
      <c r="K871" t="s">
        <v>46</v>
      </c>
      <c r="L871" t="s">
        <v>1168</v>
      </c>
      <c r="AJ871">
        <v>1</v>
      </c>
      <c r="AK871" t="s">
        <v>209</v>
      </c>
    </row>
    <row r="872" spans="1:37" x14ac:dyDescent="0.25">
      <c r="A872" t="s">
        <v>43</v>
      </c>
      <c r="B872">
        <v>871</v>
      </c>
      <c r="C872" t="s">
        <v>44</v>
      </c>
      <c r="J872" t="s">
        <v>45</v>
      </c>
      <c r="K872" t="s">
        <v>114</v>
      </c>
      <c r="L872" t="s">
        <v>1169</v>
      </c>
      <c r="AJ872">
        <v>1</v>
      </c>
      <c r="AK872" t="s">
        <v>1170</v>
      </c>
    </row>
    <row r="873" spans="1:37" x14ac:dyDescent="0.25">
      <c r="A873" t="s">
        <v>43</v>
      </c>
      <c r="B873">
        <v>872</v>
      </c>
      <c r="C873" t="s">
        <v>44</v>
      </c>
      <c r="J873" t="s">
        <v>45</v>
      </c>
      <c r="K873" t="s">
        <v>46</v>
      </c>
      <c r="L873" t="s">
        <v>1171</v>
      </c>
      <c r="AJ873">
        <v>1</v>
      </c>
      <c r="AK873" t="s">
        <v>209</v>
      </c>
    </row>
    <row r="874" spans="1:37" x14ac:dyDescent="0.25">
      <c r="A874" t="s">
        <v>43</v>
      </c>
      <c r="B874">
        <v>873</v>
      </c>
      <c r="C874" t="s">
        <v>44</v>
      </c>
      <c r="J874" t="s">
        <v>45</v>
      </c>
      <c r="K874" t="s">
        <v>46</v>
      </c>
      <c r="L874" t="s">
        <v>1172</v>
      </c>
      <c r="AJ874">
        <v>1</v>
      </c>
      <c r="AK874" t="s">
        <v>53</v>
      </c>
    </row>
    <row r="875" spans="1:37" x14ac:dyDescent="0.25">
      <c r="A875" t="s">
        <v>43</v>
      </c>
      <c r="B875">
        <v>874</v>
      </c>
      <c r="C875" t="s">
        <v>44</v>
      </c>
      <c r="J875" t="s">
        <v>54</v>
      </c>
      <c r="K875" t="s">
        <v>55</v>
      </c>
      <c r="L875" t="s">
        <v>1173</v>
      </c>
      <c r="AJ875">
        <v>1</v>
      </c>
      <c r="AK875" t="s">
        <v>1174</v>
      </c>
    </row>
    <row r="876" spans="1:37" x14ac:dyDescent="0.25">
      <c r="A876" t="s">
        <v>43</v>
      </c>
      <c r="B876">
        <v>875</v>
      </c>
      <c r="C876" t="s">
        <v>44</v>
      </c>
      <c r="J876" t="s">
        <v>45</v>
      </c>
      <c r="K876" t="s">
        <v>46</v>
      </c>
      <c r="L876" t="s">
        <v>1175</v>
      </c>
      <c r="AJ876">
        <v>1</v>
      </c>
      <c r="AK876" t="s">
        <v>76</v>
      </c>
    </row>
    <row r="877" spans="1:37" x14ac:dyDescent="0.25">
      <c r="A877" t="s">
        <v>43</v>
      </c>
      <c r="B877">
        <v>876</v>
      </c>
      <c r="C877" t="s">
        <v>44</v>
      </c>
      <c r="J877" t="s">
        <v>45</v>
      </c>
      <c r="K877" t="s">
        <v>46</v>
      </c>
      <c r="L877" t="s">
        <v>1176</v>
      </c>
      <c r="AJ877">
        <v>1</v>
      </c>
      <c r="AK877" t="s">
        <v>76</v>
      </c>
    </row>
    <row r="878" spans="1:37" x14ac:dyDescent="0.25">
      <c r="A878" t="s">
        <v>43</v>
      </c>
      <c r="B878">
        <v>877</v>
      </c>
      <c r="C878" t="s">
        <v>44</v>
      </c>
      <c r="J878" t="s">
        <v>45</v>
      </c>
      <c r="K878" t="s">
        <v>46</v>
      </c>
      <c r="L878" t="s">
        <v>1177</v>
      </c>
      <c r="AJ878">
        <v>1</v>
      </c>
      <c r="AK878" t="s">
        <v>76</v>
      </c>
    </row>
    <row r="879" spans="1:37" x14ac:dyDescent="0.25">
      <c r="A879" t="s">
        <v>43</v>
      </c>
      <c r="B879">
        <v>878</v>
      </c>
      <c r="C879" t="s">
        <v>44</v>
      </c>
      <c r="J879" t="s">
        <v>54</v>
      </c>
      <c r="K879" t="s">
        <v>55</v>
      </c>
      <c r="L879" t="s">
        <v>1178</v>
      </c>
      <c r="AJ879">
        <v>1</v>
      </c>
      <c r="AK879" t="s">
        <v>49</v>
      </c>
    </row>
    <row r="880" spans="1:37" x14ac:dyDescent="0.25">
      <c r="A880" t="s">
        <v>43</v>
      </c>
      <c r="B880">
        <v>879</v>
      </c>
      <c r="C880" t="s">
        <v>44</v>
      </c>
      <c r="J880" t="s">
        <v>45</v>
      </c>
      <c r="K880" t="s">
        <v>46</v>
      </c>
      <c r="L880" t="s">
        <v>1179</v>
      </c>
      <c r="AJ880">
        <v>1</v>
      </c>
      <c r="AK880" t="s">
        <v>49</v>
      </c>
    </row>
    <row r="881" spans="1:37" x14ac:dyDescent="0.25">
      <c r="A881" t="s">
        <v>43</v>
      </c>
      <c r="B881">
        <v>880</v>
      </c>
      <c r="C881" t="s">
        <v>44</v>
      </c>
      <c r="J881" t="s">
        <v>45</v>
      </c>
      <c r="K881" t="s">
        <v>187</v>
      </c>
      <c r="L881" t="s">
        <v>1180</v>
      </c>
      <c r="AJ881">
        <v>1</v>
      </c>
      <c r="AK881" t="s">
        <v>53</v>
      </c>
    </row>
    <row r="882" spans="1:37" x14ac:dyDescent="0.25">
      <c r="A882" t="s">
        <v>43</v>
      </c>
      <c r="B882">
        <v>881</v>
      </c>
      <c r="C882" t="s">
        <v>44</v>
      </c>
      <c r="J882" t="s">
        <v>45</v>
      </c>
      <c r="K882" t="s">
        <v>46</v>
      </c>
      <c r="L882" t="s">
        <v>1181</v>
      </c>
      <c r="AJ882" t="s">
        <v>1182</v>
      </c>
      <c r="AK882" t="s">
        <v>53</v>
      </c>
    </row>
    <row r="883" spans="1:37" x14ac:dyDescent="0.25">
      <c r="A883" t="s">
        <v>43</v>
      </c>
      <c r="B883">
        <v>882</v>
      </c>
      <c r="C883" t="s">
        <v>44</v>
      </c>
      <c r="J883" t="s">
        <v>45</v>
      </c>
      <c r="K883" t="s">
        <v>46</v>
      </c>
      <c r="L883" t="s">
        <v>1183</v>
      </c>
      <c r="AJ883">
        <v>1</v>
      </c>
      <c r="AK883" t="s">
        <v>209</v>
      </c>
    </row>
    <row r="884" spans="1:37" x14ac:dyDescent="0.25">
      <c r="A884" t="s">
        <v>43</v>
      </c>
      <c r="B884">
        <v>883</v>
      </c>
      <c r="C884" t="s">
        <v>44</v>
      </c>
      <c r="J884" t="s">
        <v>45</v>
      </c>
      <c r="K884" t="s">
        <v>46</v>
      </c>
      <c r="L884" t="s">
        <v>1184</v>
      </c>
      <c r="AJ884">
        <v>1</v>
      </c>
      <c r="AK884" t="s">
        <v>76</v>
      </c>
    </row>
    <row r="885" spans="1:37" x14ac:dyDescent="0.25">
      <c r="A885" t="s">
        <v>43</v>
      </c>
      <c r="B885">
        <v>884</v>
      </c>
      <c r="C885" t="s">
        <v>44</v>
      </c>
      <c r="J885" t="s">
        <v>45</v>
      </c>
      <c r="K885" t="s">
        <v>46</v>
      </c>
      <c r="L885" t="s">
        <v>1185</v>
      </c>
      <c r="AJ885">
        <v>1</v>
      </c>
      <c r="AK885" t="s">
        <v>76</v>
      </c>
    </row>
    <row r="886" spans="1:37" x14ac:dyDescent="0.25">
      <c r="A886" t="s">
        <v>43</v>
      </c>
      <c r="B886">
        <v>885</v>
      </c>
      <c r="C886" t="s">
        <v>44</v>
      </c>
      <c r="J886" t="s">
        <v>45</v>
      </c>
      <c r="K886" t="s">
        <v>46</v>
      </c>
      <c r="L886" t="s">
        <v>1186</v>
      </c>
      <c r="AJ886">
        <v>1</v>
      </c>
      <c r="AK886" t="s">
        <v>76</v>
      </c>
    </row>
    <row r="887" spans="1:37" x14ac:dyDescent="0.25">
      <c r="A887" t="s">
        <v>43</v>
      </c>
      <c r="B887">
        <v>886</v>
      </c>
      <c r="C887" t="s">
        <v>44</v>
      </c>
      <c r="J887" t="s">
        <v>45</v>
      </c>
      <c r="K887" t="s">
        <v>46</v>
      </c>
      <c r="L887" t="s">
        <v>1187</v>
      </c>
      <c r="AJ887">
        <v>1</v>
      </c>
      <c r="AK887" t="s">
        <v>76</v>
      </c>
    </row>
    <row r="888" spans="1:37" x14ac:dyDescent="0.25">
      <c r="A888" t="s">
        <v>43</v>
      </c>
      <c r="B888">
        <v>887</v>
      </c>
      <c r="C888" t="s">
        <v>44</v>
      </c>
      <c r="J888" t="s">
        <v>45</v>
      </c>
      <c r="K888" t="s">
        <v>46</v>
      </c>
      <c r="L888" t="s">
        <v>1188</v>
      </c>
      <c r="AJ888">
        <v>1</v>
      </c>
      <c r="AK888" t="s">
        <v>209</v>
      </c>
    </row>
    <row r="889" spans="1:37" x14ac:dyDescent="0.25">
      <c r="A889" t="s">
        <v>43</v>
      </c>
      <c r="B889">
        <v>888</v>
      </c>
      <c r="C889" t="s">
        <v>44</v>
      </c>
      <c r="J889" t="s">
        <v>45</v>
      </c>
      <c r="K889" t="s">
        <v>46</v>
      </c>
      <c r="L889" t="s">
        <v>1189</v>
      </c>
      <c r="AJ889">
        <v>1</v>
      </c>
      <c r="AK889" t="s">
        <v>76</v>
      </c>
    </row>
    <row r="890" spans="1:37" x14ac:dyDescent="0.25">
      <c r="A890" t="s">
        <v>43</v>
      </c>
      <c r="B890">
        <v>889</v>
      </c>
      <c r="C890" t="s">
        <v>44</v>
      </c>
      <c r="J890" t="s">
        <v>45</v>
      </c>
      <c r="K890" t="s">
        <v>46</v>
      </c>
      <c r="L890" t="s">
        <v>1190</v>
      </c>
      <c r="AJ890">
        <v>1</v>
      </c>
      <c r="AK890" t="s">
        <v>209</v>
      </c>
    </row>
    <row r="891" spans="1:37" x14ac:dyDescent="0.25">
      <c r="A891" t="s">
        <v>43</v>
      </c>
      <c r="B891">
        <v>890</v>
      </c>
      <c r="C891" t="s">
        <v>44</v>
      </c>
      <c r="J891" t="s">
        <v>45</v>
      </c>
      <c r="K891" t="s">
        <v>46</v>
      </c>
      <c r="L891" t="s">
        <v>1191</v>
      </c>
      <c r="AJ891">
        <v>1</v>
      </c>
      <c r="AK891" t="s">
        <v>209</v>
      </c>
    </row>
    <row r="892" spans="1:37" x14ac:dyDescent="0.25">
      <c r="A892" t="s">
        <v>43</v>
      </c>
      <c r="B892">
        <v>891</v>
      </c>
      <c r="C892" t="s">
        <v>44</v>
      </c>
      <c r="J892" t="s">
        <v>45</v>
      </c>
      <c r="K892" t="s">
        <v>46</v>
      </c>
      <c r="L892" t="s">
        <v>1192</v>
      </c>
      <c r="AJ892">
        <v>1</v>
      </c>
      <c r="AK892" t="s">
        <v>1193</v>
      </c>
    </row>
    <row r="893" spans="1:37" x14ac:dyDescent="0.25">
      <c r="A893" t="s">
        <v>43</v>
      </c>
      <c r="B893">
        <v>892</v>
      </c>
      <c r="C893" t="s">
        <v>44</v>
      </c>
      <c r="J893" t="s">
        <v>45</v>
      </c>
      <c r="K893" t="s">
        <v>46</v>
      </c>
      <c r="L893" t="s">
        <v>1194</v>
      </c>
      <c r="AJ893">
        <v>1</v>
      </c>
      <c r="AK893" t="s">
        <v>1195</v>
      </c>
    </row>
    <row r="894" spans="1:37" x14ac:dyDescent="0.25">
      <c r="A894" t="s">
        <v>43</v>
      </c>
      <c r="B894">
        <v>893</v>
      </c>
      <c r="C894" t="s">
        <v>44</v>
      </c>
      <c r="J894" t="s">
        <v>45</v>
      </c>
      <c r="K894" t="s">
        <v>46</v>
      </c>
      <c r="L894" t="s">
        <v>1196</v>
      </c>
      <c r="AJ894">
        <v>1</v>
      </c>
      <c r="AK894" t="s">
        <v>209</v>
      </c>
    </row>
    <row r="895" spans="1:37" x14ac:dyDescent="0.25">
      <c r="A895" t="s">
        <v>43</v>
      </c>
      <c r="B895">
        <v>894</v>
      </c>
      <c r="C895" t="s">
        <v>44</v>
      </c>
      <c r="J895" t="s">
        <v>45</v>
      </c>
      <c r="K895" t="s">
        <v>46</v>
      </c>
      <c r="L895" t="s">
        <v>1197</v>
      </c>
      <c r="AJ895">
        <v>1</v>
      </c>
      <c r="AK895" t="s">
        <v>209</v>
      </c>
    </row>
    <row r="896" spans="1:37" x14ac:dyDescent="0.25">
      <c r="A896" t="s">
        <v>43</v>
      </c>
      <c r="B896">
        <v>895</v>
      </c>
      <c r="C896" t="s">
        <v>44</v>
      </c>
      <c r="J896" t="s">
        <v>45</v>
      </c>
      <c r="K896" t="s">
        <v>46</v>
      </c>
      <c r="L896" t="s">
        <v>1198</v>
      </c>
      <c r="AJ896">
        <v>1</v>
      </c>
      <c r="AK896" t="s">
        <v>209</v>
      </c>
    </row>
    <row r="897" spans="1:37" x14ac:dyDescent="0.25">
      <c r="A897" t="s">
        <v>43</v>
      </c>
      <c r="B897">
        <v>896</v>
      </c>
      <c r="C897" t="s">
        <v>44</v>
      </c>
      <c r="J897" t="s">
        <v>45</v>
      </c>
      <c r="K897" t="s">
        <v>46</v>
      </c>
      <c r="L897" t="s">
        <v>1199</v>
      </c>
      <c r="AJ897">
        <v>1</v>
      </c>
      <c r="AK897" t="s">
        <v>53</v>
      </c>
    </row>
    <row r="898" spans="1:37" x14ac:dyDescent="0.25">
      <c r="A898" t="s">
        <v>43</v>
      </c>
      <c r="B898">
        <v>897</v>
      </c>
      <c r="C898" t="s">
        <v>44</v>
      </c>
      <c r="J898" t="s">
        <v>45</v>
      </c>
      <c r="K898" t="s">
        <v>46</v>
      </c>
      <c r="L898" t="s">
        <v>1200</v>
      </c>
      <c r="AJ898">
        <v>1</v>
      </c>
      <c r="AK898" t="s">
        <v>76</v>
      </c>
    </row>
    <row r="899" spans="1:37" x14ac:dyDescent="0.25">
      <c r="A899" t="s">
        <v>43</v>
      </c>
      <c r="B899">
        <v>898</v>
      </c>
      <c r="C899" t="s">
        <v>44</v>
      </c>
      <c r="J899" t="s">
        <v>45</v>
      </c>
      <c r="K899" t="s">
        <v>46</v>
      </c>
      <c r="L899" t="s">
        <v>1201</v>
      </c>
      <c r="AJ899">
        <v>1</v>
      </c>
      <c r="AK899" t="s">
        <v>53</v>
      </c>
    </row>
    <row r="900" spans="1:37" x14ac:dyDescent="0.25">
      <c r="A900" t="s">
        <v>43</v>
      </c>
      <c r="B900">
        <v>899</v>
      </c>
      <c r="C900" t="s">
        <v>44</v>
      </c>
      <c r="J900" t="s">
        <v>45</v>
      </c>
      <c r="K900" t="s">
        <v>46</v>
      </c>
      <c r="L900" t="s">
        <v>1202</v>
      </c>
      <c r="AJ900">
        <v>1</v>
      </c>
      <c r="AK900" t="s">
        <v>76</v>
      </c>
    </row>
    <row r="901" spans="1:37" x14ac:dyDescent="0.25">
      <c r="A901" t="s">
        <v>43</v>
      </c>
      <c r="B901">
        <v>900</v>
      </c>
      <c r="C901" t="s">
        <v>44</v>
      </c>
      <c r="J901" t="s">
        <v>45</v>
      </c>
      <c r="K901" t="s">
        <v>46</v>
      </c>
      <c r="L901" t="s">
        <v>1203</v>
      </c>
      <c r="AJ901">
        <v>1</v>
      </c>
      <c r="AK901" t="s">
        <v>49</v>
      </c>
    </row>
    <row r="902" spans="1:37" x14ac:dyDescent="0.25">
      <c r="A902" t="s">
        <v>43</v>
      </c>
      <c r="B902">
        <v>901</v>
      </c>
      <c r="C902" t="s">
        <v>44</v>
      </c>
      <c r="J902" t="s">
        <v>45</v>
      </c>
      <c r="K902" t="s">
        <v>46</v>
      </c>
      <c r="L902" t="s">
        <v>1204</v>
      </c>
      <c r="AJ902">
        <v>1</v>
      </c>
      <c r="AK902" t="s">
        <v>53</v>
      </c>
    </row>
    <row r="903" spans="1:37" x14ac:dyDescent="0.25">
      <c r="A903" t="s">
        <v>43</v>
      </c>
      <c r="B903">
        <v>902</v>
      </c>
      <c r="C903" t="s">
        <v>44</v>
      </c>
      <c r="J903" t="s">
        <v>45</v>
      </c>
      <c r="K903" t="s">
        <v>187</v>
      </c>
      <c r="L903" t="s">
        <v>1205</v>
      </c>
      <c r="AJ903">
        <v>1</v>
      </c>
      <c r="AK903" t="s">
        <v>49</v>
      </c>
    </row>
    <row r="904" spans="1:37" x14ac:dyDescent="0.25">
      <c r="A904" t="s">
        <v>43</v>
      </c>
      <c r="B904">
        <v>903</v>
      </c>
      <c r="C904" t="s">
        <v>44</v>
      </c>
      <c r="J904" t="s">
        <v>45</v>
      </c>
      <c r="K904" t="s">
        <v>46</v>
      </c>
      <c r="L904" t="s">
        <v>1206</v>
      </c>
      <c r="AJ904">
        <v>1</v>
      </c>
      <c r="AK904" t="s">
        <v>76</v>
      </c>
    </row>
    <row r="905" spans="1:37" x14ac:dyDescent="0.25">
      <c r="A905" t="s">
        <v>43</v>
      </c>
      <c r="B905">
        <v>904</v>
      </c>
      <c r="C905" t="s">
        <v>44</v>
      </c>
      <c r="J905" t="s">
        <v>45</v>
      </c>
      <c r="K905" t="s">
        <v>46</v>
      </c>
      <c r="L905" t="s">
        <v>1207</v>
      </c>
      <c r="AJ905">
        <v>1</v>
      </c>
      <c r="AK905" t="s">
        <v>53</v>
      </c>
    </row>
    <row r="906" spans="1:37" x14ac:dyDescent="0.25">
      <c r="A906" t="s">
        <v>43</v>
      </c>
      <c r="B906">
        <v>905</v>
      </c>
      <c r="C906" t="s">
        <v>44</v>
      </c>
      <c r="J906" t="s">
        <v>45</v>
      </c>
      <c r="K906" t="s">
        <v>46</v>
      </c>
      <c r="L906" t="s">
        <v>1208</v>
      </c>
      <c r="AJ906">
        <v>1</v>
      </c>
      <c r="AK906" t="s">
        <v>76</v>
      </c>
    </row>
    <row r="907" spans="1:37" x14ac:dyDescent="0.25">
      <c r="A907" t="s">
        <v>43</v>
      </c>
      <c r="B907">
        <v>906</v>
      </c>
      <c r="C907" t="s">
        <v>44</v>
      </c>
      <c r="J907" t="s">
        <v>45</v>
      </c>
      <c r="K907" t="s">
        <v>46</v>
      </c>
      <c r="L907" t="s">
        <v>1209</v>
      </c>
      <c r="AJ907">
        <v>1</v>
      </c>
      <c r="AK907" t="s">
        <v>76</v>
      </c>
    </row>
    <row r="908" spans="1:37" x14ac:dyDescent="0.25">
      <c r="A908" t="s">
        <v>43</v>
      </c>
      <c r="B908">
        <v>907</v>
      </c>
      <c r="C908" t="s">
        <v>44</v>
      </c>
      <c r="J908" t="s">
        <v>45</v>
      </c>
      <c r="K908" t="s">
        <v>46</v>
      </c>
      <c r="L908" t="s">
        <v>1210</v>
      </c>
      <c r="AJ908">
        <v>1</v>
      </c>
      <c r="AK908" t="s">
        <v>49</v>
      </c>
    </row>
    <row r="909" spans="1:37" x14ac:dyDescent="0.25">
      <c r="A909" t="s">
        <v>43</v>
      </c>
      <c r="B909">
        <v>908</v>
      </c>
      <c r="C909" t="s">
        <v>44</v>
      </c>
      <c r="J909" t="s">
        <v>45</v>
      </c>
      <c r="K909" t="s">
        <v>46</v>
      </c>
      <c r="L909" t="s">
        <v>1211</v>
      </c>
      <c r="AJ909">
        <v>1</v>
      </c>
      <c r="AK909" t="s">
        <v>1164</v>
      </c>
    </row>
    <row r="910" spans="1:37" x14ac:dyDescent="0.25">
      <c r="A910" t="s">
        <v>43</v>
      </c>
      <c r="B910">
        <v>909</v>
      </c>
      <c r="C910" t="s">
        <v>44</v>
      </c>
      <c r="J910" t="s">
        <v>45</v>
      </c>
      <c r="K910" t="s">
        <v>46</v>
      </c>
      <c r="L910" t="s">
        <v>1212</v>
      </c>
      <c r="AJ910">
        <v>1</v>
      </c>
      <c r="AK910" t="s">
        <v>76</v>
      </c>
    </row>
    <row r="911" spans="1:37" x14ac:dyDescent="0.25">
      <c r="A911" t="s">
        <v>43</v>
      </c>
      <c r="B911">
        <v>910</v>
      </c>
      <c r="C911" t="s">
        <v>44</v>
      </c>
      <c r="J911" t="s">
        <v>45</v>
      </c>
      <c r="K911" t="s">
        <v>114</v>
      </c>
      <c r="L911" t="s">
        <v>1213</v>
      </c>
      <c r="AJ911">
        <v>1</v>
      </c>
      <c r="AK911" t="s">
        <v>1170</v>
      </c>
    </row>
    <row r="912" spans="1:37" x14ac:dyDescent="0.25">
      <c r="A912" t="s">
        <v>43</v>
      </c>
      <c r="B912">
        <v>911</v>
      </c>
      <c r="C912" t="s">
        <v>44</v>
      </c>
      <c r="J912" t="s">
        <v>45</v>
      </c>
      <c r="K912" t="s">
        <v>46</v>
      </c>
      <c r="L912" t="s">
        <v>1214</v>
      </c>
      <c r="AJ912">
        <v>1</v>
      </c>
      <c r="AK912" t="s">
        <v>1215</v>
      </c>
    </row>
    <row r="913" spans="1:37" x14ac:dyDescent="0.25">
      <c r="A913" t="s">
        <v>43</v>
      </c>
      <c r="B913">
        <v>912</v>
      </c>
      <c r="C913" t="s">
        <v>44</v>
      </c>
      <c r="J913" t="s">
        <v>45</v>
      </c>
      <c r="K913" t="s">
        <v>46</v>
      </c>
      <c r="L913" t="s">
        <v>1216</v>
      </c>
      <c r="AJ913">
        <v>1</v>
      </c>
      <c r="AK913" t="s">
        <v>49</v>
      </c>
    </row>
    <row r="914" spans="1:37" x14ac:dyDescent="0.25">
      <c r="A914" t="s">
        <v>43</v>
      </c>
      <c r="B914">
        <v>913</v>
      </c>
      <c r="C914" t="s">
        <v>44</v>
      </c>
      <c r="J914" t="s">
        <v>45</v>
      </c>
      <c r="K914" t="s">
        <v>46</v>
      </c>
      <c r="L914" t="s">
        <v>1217</v>
      </c>
      <c r="AJ914">
        <v>1</v>
      </c>
      <c r="AK914" t="s">
        <v>53</v>
      </c>
    </row>
    <row r="915" spans="1:37" x14ac:dyDescent="0.25">
      <c r="A915" t="s">
        <v>43</v>
      </c>
      <c r="B915">
        <v>914</v>
      </c>
      <c r="C915" t="s">
        <v>44</v>
      </c>
      <c r="J915" t="s">
        <v>45</v>
      </c>
      <c r="K915" t="s">
        <v>46</v>
      </c>
      <c r="L915" t="s">
        <v>1218</v>
      </c>
      <c r="AJ915">
        <v>1</v>
      </c>
      <c r="AK915" t="s">
        <v>76</v>
      </c>
    </row>
    <row r="916" spans="1:37" x14ac:dyDescent="0.25">
      <c r="A916" t="s">
        <v>43</v>
      </c>
      <c r="B916">
        <v>915</v>
      </c>
      <c r="C916" t="s">
        <v>44</v>
      </c>
      <c r="J916" t="s">
        <v>45</v>
      </c>
      <c r="K916" t="s">
        <v>46</v>
      </c>
      <c r="L916" t="s">
        <v>1219</v>
      </c>
      <c r="AJ916">
        <v>1</v>
      </c>
      <c r="AK916" t="s">
        <v>53</v>
      </c>
    </row>
    <row r="917" spans="1:37" x14ac:dyDescent="0.25">
      <c r="A917" t="s">
        <v>43</v>
      </c>
      <c r="B917">
        <v>916</v>
      </c>
      <c r="C917" t="s">
        <v>44</v>
      </c>
      <c r="J917" t="s">
        <v>45</v>
      </c>
      <c r="K917" t="s">
        <v>46</v>
      </c>
      <c r="L917" t="s">
        <v>1220</v>
      </c>
      <c r="AJ917">
        <v>1</v>
      </c>
      <c r="AK917" t="s">
        <v>1195</v>
      </c>
    </row>
    <row r="918" spans="1:37" x14ac:dyDescent="0.25">
      <c r="A918" t="s">
        <v>43</v>
      </c>
      <c r="B918">
        <v>917</v>
      </c>
      <c r="C918" t="s">
        <v>44</v>
      </c>
      <c r="J918" t="s">
        <v>45</v>
      </c>
      <c r="K918" t="s">
        <v>46</v>
      </c>
      <c r="L918" t="s">
        <v>1221</v>
      </c>
      <c r="AJ918">
        <v>1</v>
      </c>
      <c r="AK918" t="s">
        <v>1215</v>
      </c>
    </row>
    <row r="919" spans="1:37" x14ac:dyDescent="0.25">
      <c r="A919" t="s">
        <v>43</v>
      </c>
      <c r="B919">
        <v>918</v>
      </c>
      <c r="C919" t="s">
        <v>44</v>
      </c>
      <c r="J919" t="s">
        <v>45</v>
      </c>
      <c r="K919" t="s">
        <v>46</v>
      </c>
      <c r="L919" t="s">
        <v>1222</v>
      </c>
      <c r="AJ919">
        <v>1</v>
      </c>
      <c r="AK919" t="s">
        <v>49</v>
      </c>
    </row>
    <row r="920" spans="1:37" x14ac:dyDescent="0.25">
      <c r="A920" t="s">
        <v>43</v>
      </c>
      <c r="B920">
        <v>919</v>
      </c>
      <c r="C920" t="s">
        <v>44</v>
      </c>
      <c r="J920" t="s">
        <v>45</v>
      </c>
      <c r="K920" t="s">
        <v>114</v>
      </c>
      <c r="L920" t="s">
        <v>1223</v>
      </c>
      <c r="AJ920">
        <v>1</v>
      </c>
      <c r="AK920" t="s">
        <v>76</v>
      </c>
    </row>
    <row r="921" spans="1:37" x14ac:dyDescent="0.25">
      <c r="A921" t="s">
        <v>43</v>
      </c>
      <c r="B921">
        <v>920</v>
      </c>
      <c r="C921" t="s">
        <v>44</v>
      </c>
      <c r="J921" t="s">
        <v>45</v>
      </c>
      <c r="K921" t="s">
        <v>46</v>
      </c>
      <c r="L921" t="s">
        <v>1224</v>
      </c>
      <c r="AJ921">
        <v>1</v>
      </c>
      <c r="AK921" t="s">
        <v>53</v>
      </c>
    </row>
    <row r="922" spans="1:37" x14ac:dyDescent="0.25">
      <c r="A922" t="s">
        <v>43</v>
      </c>
      <c r="B922">
        <v>921</v>
      </c>
      <c r="C922" t="s">
        <v>44</v>
      </c>
      <c r="J922" t="s">
        <v>45</v>
      </c>
      <c r="K922" t="s">
        <v>187</v>
      </c>
      <c r="L922" t="s">
        <v>1225</v>
      </c>
      <c r="AJ922">
        <v>1</v>
      </c>
      <c r="AK922" t="s">
        <v>49</v>
      </c>
    </row>
    <row r="923" spans="1:37" x14ac:dyDescent="0.25">
      <c r="A923" t="s">
        <v>43</v>
      </c>
      <c r="B923">
        <v>922</v>
      </c>
      <c r="C923" t="s">
        <v>44</v>
      </c>
      <c r="J923" t="s">
        <v>45</v>
      </c>
      <c r="K923" t="s">
        <v>46</v>
      </c>
      <c r="L923" t="s">
        <v>1226</v>
      </c>
      <c r="AJ923">
        <v>1</v>
      </c>
      <c r="AK923" t="s">
        <v>76</v>
      </c>
    </row>
    <row r="924" spans="1:37" x14ac:dyDescent="0.25">
      <c r="A924" t="s">
        <v>43</v>
      </c>
      <c r="B924">
        <v>923</v>
      </c>
      <c r="C924" t="s">
        <v>44</v>
      </c>
      <c r="J924" t="s">
        <v>45</v>
      </c>
      <c r="K924" t="s">
        <v>46</v>
      </c>
      <c r="L924" t="s">
        <v>1227</v>
      </c>
      <c r="AJ924">
        <v>1</v>
      </c>
      <c r="AK924" t="s">
        <v>49</v>
      </c>
    </row>
    <row r="925" spans="1:37" x14ac:dyDescent="0.25">
      <c r="A925" t="s">
        <v>43</v>
      </c>
      <c r="B925">
        <v>924</v>
      </c>
      <c r="C925" t="s">
        <v>44</v>
      </c>
      <c r="J925" t="s">
        <v>54</v>
      </c>
      <c r="K925" t="s">
        <v>55</v>
      </c>
      <c r="L925" t="s">
        <v>1228</v>
      </c>
      <c r="AJ925">
        <v>1</v>
      </c>
      <c r="AK925" t="s">
        <v>49</v>
      </c>
    </row>
    <row r="926" spans="1:37" x14ac:dyDescent="0.25">
      <c r="A926" t="s">
        <v>43</v>
      </c>
      <c r="B926">
        <v>925</v>
      </c>
      <c r="C926" t="s">
        <v>44</v>
      </c>
      <c r="J926" t="s">
        <v>45</v>
      </c>
      <c r="K926" t="s">
        <v>46</v>
      </c>
      <c r="L926" t="s">
        <v>1229</v>
      </c>
      <c r="AJ926">
        <v>1</v>
      </c>
      <c r="AK926" t="s">
        <v>209</v>
      </c>
    </row>
    <row r="927" spans="1:37" x14ac:dyDescent="0.25">
      <c r="A927" t="s">
        <v>43</v>
      </c>
      <c r="B927">
        <v>926</v>
      </c>
      <c r="C927" t="s">
        <v>44</v>
      </c>
      <c r="J927" t="s">
        <v>45</v>
      </c>
      <c r="K927" t="s">
        <v>46</v>
      </c>
      <c r="L927" t="s">
        <v>1230</v>
      </c>
      <c r="AJ927">
        <v>1</v>
      </c>
      <c r="AK927" t="s">
        <v>60</v>
      </c>
    </row>
    <row r="928" spans="1:37" x14ac:dyDescent="0.25">
      <c r="A928" t="s">
        <v>43</v>
      </c>
      <c r="B928">
        <v>927</v>
      </c>
      <c r="C928" t="s">
        <v>44</v>
      </c>
      <c r="J928" t="s">
        <v>45</v>
      </c>
      <c r="K928" t="s">
        <v>46</v>
      </c>
      <c r="L928" t="s">
        <v>1231</v>
      </c>
      <c r="AJ928">
        <v>1</v>
      </c>
      <c r="AK928" t="s">
        <v>76</v>
      </c>
    </row>
    <row r="929" spans="1:37" x14ac:dyDescent="0.25">
      <c r="A929" t="s">
        <v>43</v>
      </c>
      <c r="B929">
        <v>928</v>
      </c>
      <c r="C929" t="s">
        <v>44</v>
      </c>
      <c r="J929" t="s">
        <v>45</v>
      </c>
      <c r="K929" t="s">
        <v>46</v>
      </c>
      <c r="L929" t="s">
        <v>1232</v>
      </c>
      <c r="AJ929">
        <v>1</v>
      </c>
      <c r="AK929" t="s">
        <v>49</v>
      </c>
    </row>
    <row r="930" spans="1:37" x14ac:dyDescent="0.25">
      <c r="A930" t="s">
        <v>43</v>
      </c>
      <c r="B930">
        <v>929</v>
      </c>
      <c r="C930" t="s">
        <v>44</v>
      </c>
      <c r="J930" t="s">
        <v>45</v>
      </c>
      <c r="K930" t="s">
        <v>46</v>
      </c>
      <c r="L930" t="s">
        <v>1233</v>
      </c>
      <c r="AJ930">
        <v>1</v>
      </c>
      <c r="AK930" t="s">
        <v>209</v>
      </c>
    </row>
    <row r="931" spans="1:37" x14ac:dyDescent="0.25">
      <c r="A931" t="s">
        <v>43</v>
      </c>
      <c r="B931">
        <v>930</v>
      </c>
      <c r="C931" t="s">
        <v>44</v>
      </c>
      <c r="J931" t="s">
        <v>45</v>
      </c>
      <c r="K931" t="s">
        <v>46</v>
      </c>
      <c r="L931" t="s">
        <v>1234</v>
      </c>
      <c r="AJ931">
        <v>1</v>
      </c>
      <c r="AK931" t="s">
        <v>49</v>
      </c>
    </row>
    <row r="932" spans="1:37" x14ac:dyDescent="0.25">
      <c r="A932" t="s">
        <v>43</v>
      </c>
      <c r="B932">
        <v>931</v>
      </c>
      <c r="C932" t="s">
        <v>44</v>
      </c>
      <c r="J932" t="s">
        <v>45</v>
      </c>
      <c r="K932" t="s">
        <v>187</v>
      </c>
      <c r="L932" t="s">
        <v>1235</v>
      </c>
      <c r="AJ932">
        <v>1</v>
      </c>
      <c r="AK932" t="s">
        <v>49</v>
      </c>
    </row>
    <row r="933" spans="1:37" x14ac:dyDescent="0.25">
      <c r="A933" t="s">
        <v>43</v>
      </c>
      <c r="B933">
        <v>932</v>
      </c>
      <c r="C933" t="s">
        <v>44</v>
      </c>
      <c r="J933" t="s">
        <v>54</v>
      </c>
      <c r="K933" t="s">
        <v>55</v>
      </c>
      <c r="L933" t="s">
        <v>1236</v>
      </c>
      <c r="AJ933" t="s">
        <v>1237</v>
      </c>
      <c r="AK933" t="s">
        <v>49</v>
      </c>
    </row>
    <row r="934" spans="1:37" x14ac:dyDescent="0.25">
      <c r="A934" t="s">
        <v>43</v>
      </c>
      <c r="B934">
        <v>933</v>
      </c>
      <c r="C934" t="s">
        <v>44</v>
      </c>
      <c r="J934" t="s">
        <v>45</v>
      </c>
      <c r="K934" t="s">
        <v>1238</v>
      </c>
      <c r="L934" t="s">
        <v>1239</v>
      </c>
      <c r="AJ934">
        <v>1</v>
      </c>
      <c r="AK934" t="s">
        <v>53</v>
      </c>
    </row>
    <row r="935" spans="1:37" x14ac:dyDescent="0.25">
      <c r="A935" t="s">
        <v>43</v>
      </c>
      <c r="B935">
        <v>934</v>
      </c>
      <c r="C935" t="s">
        <v>44</v>
      </c>
      <c r="J935" t="s">
        <v>45</v>
      </c>
      <c r="K935" t="s">
        <v>46</v>
      </c>
      <c r="L935" t="s">
        <v>1240</v>
      </c>
      <c r="AJ935">
        <v>1</v>
      </c>
      <c r="AK935" t="s">
        <v>209</v>
      </c>
    </row>
    <row r="936" spans="1:37" x14ac:dyDescent="0.25">
      <c r="A936" t="s">
        <v>43</v>
      </c>
      <c r="B936">
        <v>935</v>
      </c>
      <c r="C936" t="s">
        <v>44</v>
      </c>
      <c r="J936" t="s">
        <v>45</v>
      </c>
      <c r="K936" t="s">
        <v>46</v>
      </c>
      <c r="L936" t="s">
        <v>1241</v>
      </c>
      <c r="AJ936">
        <v>1</v>
      </c>
      <c r="AK936" t="s">
        <v>76</v>
      </c>
    </row>
    <row r="937" spans="1:37" x14ac:dyDescent="0.25">
      <c r="A937" t="s">
        <v>43</v>
      </c>
      <c r="B937">
        <v>936</v>
      </c>
      <c r="C937" t="s">
        <v>44</v>
      </c>
      <c r="J937" t="s">
        <v>45</v>
      </c>
      <c r="K937" t="s">
        <v>46</v>
      </c>
      <c r="L937" t="s">
        <v>1242</v>
      </c>
      <c r="AJ937">
        <v>1</v>
      </c>
      <c r="AK937" t="s">
        <v>76</v>
      </c>
    </row>
    <row r="938" spans="1:37" x14ac:dyDescent="0.25">
      <c r="A938" t="s">
        <v>43</v>
      </c>
      <c r="B938">
        <v>937</v>
      </c>
      <c r="C938" t="s">
        <v>44</v>
      </c>
      <c r="J938" t="s">
        <v>54</v>
      </c>
      <c r="K938" t="s">
        <v>55</v>
      </c>
      <c r="L938" t="s">
        <v>1243</v>
      </c>
      <c r="AJ938">
        <v>1</v>
      </c>
      <c r="AK938" t="s">
        <v>53</v>
      </c>
    </row>
    <row r="939" spans="1:37" x14ac:dyDescent="0.25">
      <c r="A939" t="s">
        <v>43</v>
      </c>
      <c r="B939">
        <v>938</v>
      </c>
      <c r="C939" t="s">
        <v>44</v>
      </c>
      <c r="J939" t="s">
        <v>45</v>
      </c>
      <c r="K939" t="s">
        <v>46</v>
      </c>
      <c r="L939" t="s">
        <v>1244</v>
      </c>
      <c r="AJ939" t="s">
        <v>1245</v>
      </c>
      <c r="AK939" t="s">
        <v>209</v>
      </c>
    </row>
    <row r="940" spans="1:37" x14ac:dyDescent="0.25">
      <c r="A940" t="s">
        <v>43</v>
      </c>
      <c r="B940">
        <v>939</v>
      </c>
      <c r="C940" t="s">
        <v>44</v>
      </c>
      <c r="J940" t="s">
        <v>45</v>
      </c>
      <c r="K940" t="s">
        <v>187</v>
      </c>
      <c r="L940" t="s">
        <v>1246</v>
      </c>
      <c r="AJ940">
        <v>1</v>
      </c>
      <c r="AK940" t="s">
        <v>1247</v>
      </c>
    </row>
    <row r="941" spans="1:37" x14ac:dyDescent="0.25">
      <c r="A941" t="s">
        <v>43</v>
      </c>
      <c r="B941">
        <v>940</v>
      </c>
      <c r="C941" t="s">
        <v>44</v>
      </c>
      <c r="J941" t="s">
        <v>45</v>
      </c>
      <c r="K941" t="s">
        <v>46</v>
      </c>
      <c r="L941" t="s">
        <v>1248</v>
      </c>
      <c r="AJ941">
        <v>1</v>
      </c>
      <c r="AK941" t="s">
        <v>1249</v>
      </c>
    </row>
    <row r="942" spans="1:37" x14ac:dyDescent="0.25">
      <c r="A942" t="s">
        <v>43</v>
      </c>
      <c r="B942">
        <v>941</v>
      </c>
      <c r="C942" t="s">
        <v>44</v>
      </c>
      <c r="J942" t="s">
        <v>45</v>
      </c>
      <c r="K942" t="s">
        <v>187</v>
      </c>
      <c r="L942" t="s">
        <v>1250</v>
      </c>
      <c r="AJ942">
        <v>1</v>
      </c>
      <c r="AK942" t="s">
        <v>53</v>
      </c>
    </row>
    <row r="943" spans="1:37" x14ac:dyDescent="0.25">
      <c r="A943" t="s">
        <v>43</v>
      </c>
      <c r="B943">
        <v>942</v>
      </c>
      <c r="C943" t="s">
        <v>44</v>
      </c>
      <c r="J943" t="s">
        <v>45</v>
      </c>
      <c r="K943" t="s">
        <v>46</v>
      </c>
      <c r="L943" t="s">
        <v>1251</v>
      </c>
      <c r="AJ943">
        <v>1</v>
      </c>
      <c r="AK943" t="s">
        <v>76</v>
      </c>
    </row>
    <row r="944" spans="1:37" x14ac:dyDescent="0.25">
      <c r="A944" t="s">
        <v>43</v>
      </c>
      <c r="B944">
        <v>943</v>
      </c>
      <c r="C944" t="s">
        <v>44</v>
      </c>
      <c r="J944" t="s">
        <v>45</v>
      </c>
      <c r="K944" t="s">
        <v>46</v>
      </c>
      <c r="L944" t="s">
        <v>1252</v>
      </c>
      <c r="AJ944">
        <v>1</v>
      </c>
      <c r="AK944" t="s">
        <v>209</v>
      </c>
    </row>
    <row r="945" spans="1:37" x14ac:dyDescent="0.25">
      <c r="A945" t="s">
        <v>43</v>
      </c>
      <c r="B945">
        <v>944</v>
      </c>
      <c r="C945" t="s">
        <v>44</v>
      </c>
      <c r="J945" t="s">
        <v>45</v>
      </c>
      <c r="K945" t="s">
        <v>46</v>
      </c>
      <c r="L945" t="s">
        <v>1253</v>
      </c>
      <c r="AJ945">
        <v>1</v>
      </c>
      <c r="AK945" t="s">
        <v>76</v>
      </c>
    </row>
    <row r="946" spans="1:37" x14ac:dyDescent="0.25">
      <c r="A946" t="s">
        <v>43</v>
      </c>
      <c r="B946">
        <v>945</v>
      </c>
      <c r="C946" t="s">
        <v>44</v>
      </c>
      <c r="J946" t="s">
        <v>54</v>
      </c>
      <c r="K946" t="s">
        <v>55</v>
      </c>
      <c r="L946" t="s">
        <v>1254</v>
      </c>
      <c r="AJ946">
        <v>1</v>
      </c>
      <c r="AK946" t="s">
        <v>1195</v>
      </c>
    </row>
    <row r="947" spans="1:37" x14ac:dyDescent="0.25">
      <c r="A947" t="s">
        <v>43</v>
      </c>
      <c r="B947">
        <v>946</v>
      </c>
      <c r="C947" t="s">
        <v>44</v>
      </c>
      <c r="J947" t="s">
        <v>45</v>
      </c>
      <c r="K947" t="s">
        <v>46</v>
      </c>
      <c r="L947" t="s">
        <v>1255</v>
      </c>
      <c r="AJ947">
        <v>1</v>
      </c>
      <c r="AK947" t="s">
        <v>76</v>
      </c>
    </row>
    <row r="948" spans="1:37" x14ac:dyDescent="0.25">
      <c r="A948" t="s">
        <v>43</v>
      </c>
      <c r="B948">
        <v>947</v>
      </c>
      <c r="C948" t="s">
        <v>44</v>
      </c>
      <c r="J948" t="s">
        <v>45</v>
      </c>
      <c r="K948" t="s">
        <v>46</v>
      </c>
      <c r="L948" t="s">
        <v>1256</v>
      </c>
      <c r="AJ948" t="s">
        <v>1257</v>
      </c>
      <c r="AK948" t="s">
        <v>1258</v>
      </c>
    </row>
    <row r="949" spans="1:37" x14ac:dyDescent="0.25">
      <c r="A949" t="s">
        <v>43</v>
      </c>
      <c r="B949">
        <v>948</v>
      </c>
      <c r="C949" t="s">
        <v>44</v>
      </c>
      <c r="J949" t="s">
        <v>45</v>
      </c>
      <c r="K949" t="s">
        <v>46</v>
      </c>
      <c r="L949" t="s">
        <v>1259</v>
      </c>
      <c r="AJ949">
        <v>1</v>
      </c>
      <c r="AK949" t="s">
        <v>53</v>
      </c>
    </row>
    <row r="950" spans="1:37" x14ac:dyDescent="0.25">
      <c r="A950" t="s">
        <v>43</v>
      </c>
      <c r="B950">
        <v>949</v>
      </c>
      <c r="C950" t="s">
        <v>44</v>
      </c>
      <c r="J950" t="s">
        <v>54</v>
      </c>
      <c r="K950" t="s">
        <v>55</v>
      </c>
      <c r="L950" t="s">
        <v>1260</v>
      </c>
      <c r="AJ950">
        <v>1</v>
      </c>
      <c r="AK950" t="s">
        <v>53</v>
      </c>
    </row>
    <row r="951" spans="1:37" x14ac:dyDescent="0.25">
      <c r="A951" t="s">
        <v>43</v>
      </c>
      <c r="B951">
        <v>950</v>
      </c>
      <c r="C951" t="s">
        <v>44</v>
      </c>
      <c r="J951" t="s">
        <v>45</v>
      </c>
      <c r="K951" t="s">
        <v>46</v>
      </c>
      <c r="L951" t="s">
        <v>1261</v>
      </c>
      <c r="AJ951">
        <v>1</v>
      </c>
      <c r="AK951" t="s">
        <v>76</v>
      </c>
    </row>
    <row r="952" spans="1:37" x14ac:dyDescent="0.25">
      <c r="A952" t="s">
        <v>43</v>
      </c>
      <c r="B952">
        <v>951</v>
      </c>
      <c r="C952" t="s">
        <v>44</v>
      </c>
      <c r="J952" t="s">
        <v>45</v>
      </c>
      <c r="K952" t="s">
        <v>46</v>
      </c>
      <c r="L952" t="s">
        <v>1262</v>
      </c>
      <c r="AJ952">
        <v>1</v>
      </c>
      <c r="AK952" t="s">
        <v>209</v>
      </c>
    </row>
    <row r="953" spans="1:37" x14ac:dyDescent="0.25">
      <c r="A953" t="s">
        <v>43</v>
      </c>
      <c r="B953">
        <v>952</v>
      </c>
      <c r="C953" t="s">
        <v>44</v>
      </c>
      <c r="J953" t="s">
        <v>45</v>
      </c>
      <c r="K953" t="s">
        <v>46</v>
      </c>
      <c r="L953" t="s">
        <v>1263</v>
      </c>
      <c r="AJ953">
        <v>1</v>
      </c>
      <c r="AK953" t="s">
        <v>76</v>
      </c>
    </row>
    <row r="954" spans="1:37" x14ac:dyDescent="0.25">
      <c r="A954" t="s">
        <v>43</v>
      </c>
      <c r="B954">
        <v>953</v>
      </c>
      <c r="C954" t="s">
        <v>44</v>
      </c>
      <c r="J954" t="s">
        <v>45</v>
      </c>
      <c r="K954" t="s">
        <v>46</v>
      </c>
      <c r="L954" t="s">
        <v>1264</v>
      </c>
      <c r="AJ954">
        <v>1</v>
      </c>
      <c r="AK954" t="s">
        <v>946</v>
      </c>
    </row>
    <row r="955" spans="1:37" x14ac:dyDescent="0.25">
      <c r="A955" t="s">
        <v>43</v>
      </c>
      <c r="B955">
        <v>954</v>
      </c>
      <c r="C955" t="s">
        <v>44</v>
      </c>
      <c r="J955" t="s">
        <v>54</v>
      </c>
      <c r="K955" t="s">
        <v>55</v>
      </c>
      <c r="L955" t="s">
        <v>1265</v>
      </c>
      <c r="AJ955">
        <v>1</v>
      </c>
      <c r="AK955" t="s">
        <v>49</v>
      </c>
    </row>
    <row r="956" spans="1:37" x14ac:dyDescent="0.25">
      <c r="A956" t="s">
        <v>43</v>
      </c>
      <c r="B956">
        <v>955</v>
      </c>
      <c r="C956" t="s">
        <v>44</v>
      </c>
      <c r="J956" t="s">
        <v>54</v>
      </c>
      <c r="K956" t="s">
        <v>55</v>
      </c>
      <c r="L956" t="s">
        <v>1266</v>
      </c>
      <c r="AJ956">
        <v>1</v>
      </c>
      <c r="AK956" t="s">
        <v>49</v>
      </c>
    </row>
    <row r="957" spans="1:37" x14ac:dyDescent="0.25">
      <c r="A957" t="s">
        <v>43</v>
      </c>
      <c r="B957">
        <v>956</v>
      </c>
      <c r="C957" t="s">
        <v>44</v>
      </c>
      <c r="J957" t="s">
        <v>54</v>
      </c>
      <c r="K957" t="s">
        <v>55</v>
      </c>
      <c r="L957" t="s">
        <v>1267</v>
      </c>
      <c r="AJ957">
        <v>1</v>
      </c>
      <c r="AK957" t="s">
        <v>1247</v>
      </c>
    </row>
    <row r="958" spans="1:37" x14ac:dyDescent="0.25">
      <c r="A958" t="s">
        <v>43</v>
      </c>
      <c r="B958">
        <v>957</v>
      </c>
      <c r="C958" t="s">
        <v>44</v>
      </c>
      <c r="J958" t="s">
        <v>45</v>
      </c>
      <c r="K958" t="s">
        <v>46</v>
      </c>
      <c r="L958" t="s">
        <v>1268</v>
      </c>
      <c r="AJ958">
        <v>1</v>
      </c>
      <c r="AK958" t="s">
        <v>49</v>
      </c>
    </row>
    <row r="959" spans="1:37" x14ac:dyDescent="0.25">
      <c r="A959" t="s">
        <v>43</v>
      </c>
      <c r="B959">
        <v>958</v>
      </c>
      <c r="C959" t="s">
        <v>44</v>
      </c>
      <c r="J959" t="s">
        <v>45</v>
      </c>
      <c r="K959" t="s">
        <v>46</v>
      </c>
      <c r="L959" t="s">
        <v>1269</v>
      </c>
      <c r="AJ959">
        <v>1</v>
      </c>
      <c r="AK959" t="s">
        <v>53</v>
      </c>
    </row>
    <row r="960" spans="1:37" x14ac:dyDescent="0.25">
      <c r="A960" t="s">
        <v>43</v>
      </c>
      <c r="B960">
        <v>959</v>
      </c>
      <c r="C960" t="s">
        <v>44</v>
      </c>
      <c r="J960" t="s">
        <v>45</v>
      </c>
      <c r="K960" t="s">
        <v>46</v>
      </c>
      <c r="L960" t="s">
        <v>1270</v>
      </c>
      <c r="AJ960">
        <v>1</v>
      </c>
      <c r="AK960" t="s">
        <v>209</v>
      </c>
    </row>
    <row r="961" spans="1:37" x14ac:dyDescent="0.25">
      <c r="A961" t="s">
        <v>43</v>
      </c>
      <c r="B961">
        <v>960</v>
      </c>
      <c r="C961" t="s">
        <v>44</v>
      </c>
      <c r="J961" t="s">
        <v>45</v>
      </c>
      <c r="K961" t="s">
        <v>46</v>
      </c>
      <c r="L961" t="s">
        <v>1271</v>
      </c>
      <c r="AJ961">
        <v>1</v>
      </c>
      <c r="AK961" t="s">
        <v>209</v>
      </c>
    </row>
    <row r="962" spans="1:37" x14ac:dyDescent="0.25">
      <c r="A962" t="s">
        <v>43</v>
      </c>
      <c r="B962">
        <v>961</v>
      </c>
      <c r="C962" t="s">
        <v>44</v>
      </c>
      <c r="J962" t="s">
        <v>45</v>
      </c>
      <c r="K962" t="s">
        <v>46</v>
      </c>
      <c r="L962" t="s">
        <v>1272</v>
      </c>
      <c r="AJ962">
        <v>1</v>
      </c>
      <c r="AK962" t="s">
        <v>76</v>
      </c>
    </row>
    <row r="963" spans="1:37" x14ac:dyDescent="0.25">
      <c r="A963" t="s">
        <v>43</v>
      </c>
      <c r="B963">
        <v>962</v>
      </c>
      <c r="C963" t="s">
        <v>44</v>
      </c>
      <c r="J963" t="s">
        <v>45</v>
      </c>
      <c r="K963" t="s">
        <v>46</v>
      </c>
      <c r="L963" t="s">
        <v>1273</v>
      </c>
      <c r="AJ963">
        <v>1</v>
      </c>
      <c r="AK963" t="s">
        <v>53</v>
      </c>
    </row>
    <row r="964" spans="1:37" x14ac:dyDescent="0.25">
      <c r="A964" t="s">
        <v>43</v>
      </c>
      <c r="B964">
        <v>963</v>
      </c>
      <c r="C964" t="s">
        <v>44</v>
      </c>
      <c r="J964" t="s">
        <v>45</v>
      </c>
      <c r="K964" t="s">
        <v>46</v>
      </c>
      <c r="L964" t="s">
        <v>1274</v>
      </c>
      <c r="AJ964">
        <v>1</v>
      </c>
      <c r="AK964" t="s">
        <v>76</v>
      </c>
    </row>
    <row r="965" spans="1:37" x14ac:dyDescent="0.25">
      <c r="A965" t="s">
        <v>43</v>
      </c>
      <c r="B965">
        <v>964</v>
      </c>
      <c r="C965" t="s">
        <v>44</v>
      </c>
      <c r="J965" t="s">
        <v>45</v>
      </c>
      <c r="K965" t="s">
        <v>46</v>
      </c>
      <c r="L965" t="s">
        <v>1275</v>
      </c>
      <c r="AJ965">
        <v>1</v>
      </c>
      <c r="AK965" t="s">
        <v>76</v>
      </c>
    </row>
    <row r="966" spans="1:37" x14ac:dyDescent="0.25">
      <c r="A966" t="s">
        <v>43</v>
      </c>
      <c r="B966">
        <v>965</v>
      </c>
      <c r="C966" t="s">
        <v>44</v>
      </c>
      <c r="J966" t="s">
        <v>45</v>
      </c>
      <c r="K966" t="s">
        <v>46</v>
      </c>
      <c r="L966" t="s">
        <v>1276</v>
      </c>
      <c r="AJ966">
        <v>1</v>
      </c>
      <c r="AK966" t="s">
        <v>209</v>
      </c>
    </row>
    <row r="967" spans="1:37" x14ac:dyDescent="0.25">
      <c r="A967" t="s">
        <v>43</v>
      </c>
      <c r="B967">
        <v>966</v>
      </c>
      <c r="C967" t="s">
        <v>44</v>
      </c>
      <c r="J967" t="s">
        <v>45</v>
      </c>
      <c r="K967" t="s">
        <v>46</v>
      </c>
      <c r="L967" t="s">
        <v>1277</v>
      </c>
      <c r="AJ967">
        <v>1</v>
      </c>
      <c r="AK967" t="s">
        <v>76</v>
      </c>
    </row>
    <row r="968" spans="1:37" x14ac:dyDescent="0.25">
      <c r="A968" t="s">
        <v>43</v>
      </c>
      <c r="B968">
        <v>967</v>
      </c>
      <c r="C968" t="s">
        <v>44</v>
      </c>
      <c r="J968" t="s">
        <v>45</v>
      </c>
      <c r="K968" t="s">
        <v>46</v>
      </c>
      <c r="L968" t="s">
        <v>1278</v>
      </c>
      <c r="AJ968">
        <v>1</v>
      </c>
      <c r="AK968" t="s">
        <v>76</v>
      </c>
    </row>
    <row r="969" spans="1:37" x14ac:dyDescent="0.25">
      <c r="A969" t="s">
        <v>43</v>
      </c>
      <c r="B969">
        <v>968</v>
      </c>
      <c r="C969" t="s">
        <v>44</v>
      </c>
      <c r="J969" t="s">
        <v>45</v>
      </c>
      <c r="K969" t="s">
        <v>46</v>
      </c>
      <c r="L969" t="s">
        <v>1279</v>
      </c>
      <c r="AJ969">
        <v>1</v>
      </c>
      <c r="AK969" t="s">
        <v>76</v>
      </c>
    </row>
    <row r="970" spans="1:37" x14ac:dyDescent="0.25">
      <c r="A970" t="s">
        <v>43</v>
      </c>
      <c r="B970">
        <v>969</v>
      </c>
      <c r="C970" t="s">
        <v>44</v>
      </c>
      <c r="J970" t="s">
        <v>45</v>
      </c>
      <c r="K970" t="s">
        <v>114</v>
      </c>
      <c r="L970" t="s">
        <v>1280</v>
      </c>
      <c r="AJ970">
        <v>1</v>
      </c>
      <c r="AK970" t="s">
        <v>1170</v>
      </c>
    </row>
    <row r="971" spans="1:37" x14ac:dyDescent="0.25">
      <c r="A971" t="s">
        <v>43</v>
      </c>
      <c r="B971">
        <v>970</v>
      </c>
      <c r="C971" t="s">
        <v>44</v>
      </c>
      <c r="J971" t="s">
        <v>45</v>
      </c>
      <c r="K971" t="s">
        <v>46</v>
      </c>
      <c r="L971" t="s">
        <v>1281</v>
      </c>
      <c r="AJ971">
        <v>1</v>
      </c>
      <c r="AK971" t="s">
        <v>76</v>
      </c>
    </row>
    <row r="972" spans="1:37" x14ac:dyDescent="0.25">
      <c r="A972" t="s">
        <v>43</v>
      </c>
      <c r="B972">
        <v>971</v>
      </c>
      <c r="C972" t="s">
        <v>44</v>
      </c>
      <c r="J972" t="s">
        <v>54</v>
      </c>
      <c r="K972" t="s">
        <v>55</v>
      </c>
      <c r="L972" t="s">
        <v>1282</v>
      </c>
      <c r="AJ972">
        <v>1</v>
      </c>
      <c r="AK972" t="s">
        <v>53</v>
      </c>
    </row>
    <row r="973" spans="1:37" x14ac:dyDescent="0.25">
      <c r="A973" t="s">
        <v>43</v>
      </c>
      <c r="B973">
        <v>972</v>
      </c>
      <c r="C973" t="s">
        <v>44</v>
      </c>
      <c r="J973" t="s">
        <v>45</v>
      </c>
      <c r="K973" t="s">
        <v>46</v>
      </c>
      <c r="L973" t="s">
        <v>1283</v>
      </c>
      <c r="AJ973" t="s">
        <v>1284</v>
      </c>
      <c r="AK973" t="s">
        <v>53</v>
      </c>
    </row>
    <row r="974" spans="1:37" x14ac:dyDescent="0.25">
      <c r="A974" t="s">
        <v>43</v>
      </c>
      <c r="B974">
        <v>973</v>
      </c>
      <c r="C974" t="s">
        <v>44</v>
      </c>
      <c r="J974" t="s">
        <v>45</v>
      </c>
      <c r="K974" t="s">
        <v>46</v>
      </c>
      <c r="L974" t="s">
        <v>1285</v>
      </c>
      <c r="AJ974">
        <v>1</v>
      </c>
      <c r="AK974" t="s">
        <v>76</v>
      </c>
    </row>
    <row r="975" spans="1:37" x14ac:dyDescent="0.25">
      <c r="A975" t="s">
        <v>43</v>
      </c>
      <c r="B975">
        <v>974</v>
      </c>
      <c r="C975" t="s">
        <v>44</v>
      </c>
      <c r="J975" t="s">
        <v>45</v>
      </c>
      <c r="K975" t="s">
        <v>46</v>
      </c>
      <c r="L975" t="s">
        <v>1286</v>
      </c>
      <c r="AJ975">
        <v>1</v>
      </c>
      <c r="AK975" t="s">
        <v>49</v>
      </c>
    </row>
    <row r="976" spans="1:37" x14ac:dyDescent="0.25">
      <c r="A976" t="s">
        <v>43</v>
      </c>
      <c r="B976">
        <v>975</v>
      </c>
      <c r="C976" t="s">
        <v>44</v>
      </c>
      <c r="J976" t="s">
        <v>45</v>
      </c>
      <c r="K976" t="s">
        <v>46</v>
      </c>
      <c r="L976" t="s">
        <v>1287</v>
      </c>
      <c r="AJ976">
        <v>1</v>
      </c>
      <c r="AK976" t="s">
        <v>946</v>
      </c>
    </row>
    <row r="977" spans="1:37" x14ac:dyDescent="0.25">
      <c r="A977" t="s">
        <v>43</v>
      </c>
      <c r="B977">
        <v>976</v>
      </c>
      <c r="C977" t="s">
        <v>44</v>
      </c>
      <c r="J977" t="s">
        <v>45</v>
      </c>
      <c r="K977" t="s">
        <v>46</v>
      </c>
      <c r="L977" t="s">
        <v>1288</v>
      </c>
      <c r="AJ977">
        <v>1</v>
      </c>
      <c r="AK977" t="s">
        <v>49</v>
      </c>
    </row>
    <row r="978" spans="1:37" x14ac:dyDescent="0.25">
      <c r="A978" t="s">
        <v>43</v>
      </c>
      <c r="B978">
        <v>977</v>
      </c>
      <c r="C978" t="s">
        <v>44</v>
      </c>
      <c r="J978" t="s">
        <v>45</v>
      </c>
      <c r="K978" t="s">
        <v>46</v>
      </c>
      <c r="L978" t="s">
        <v>1289</v>
      </c>
      <c r="AJ978">
        <v>1</v>
      </c>
      <c r="AK978" t="s">
        <v>76</v>
      </c>
    </row>
    <row r="979" spans="1:37" x14ac:dyDescent="0.25">
      <c r="A979" t="s">
        <v>43</v>
      </c>
      <c r="B979">
        <v>978</v>
      </c>
      <c r="C979" t="s">
        <v>44</v>
      </c>
      <c r="J979" t="s">
        <v>45</v>
      </c>
      <c r="K979" t="s">
        <v>114</v>
      </c>
      <c r="L979" t="s">
        <v>519</v>
      </c>
      <c r="AJ979">
        <v>1</v>
      </c>
      <c r="AK979" t="s">
        <v>1170</v>
      </c>
    </row>
    <row r="980" spans="1:37" x14ac:dyDescent="0.25">
      <c r="A980" t="s">
        <v>43</v>
      </c>
      <c r="B980">
        <v>979</v>
      </c>
      <c r="C980" t="s">
        <v>44</v>
      </c>
      <c r="J980" t="s">
        <v>45</v>
      </c>
      <c r="K980" t="s">
        <v>46</v>
      </c>
      <c r="L980" t="s">
        <v>1290</v>
      </c>
      <c r="AJ980">
        <v>1</v>
      </c>
      <c r="AK980" t="s">
        <v>209</v>
      </c>
    </row>
    <row r="981" spans="1:37" x14ac:dyDescent="0.25">
      <c r="A981" t="s">
        <v>43</v>
      </c>
      <c r="B981">
        <v>980</v>
      </c>
      <c r="C981" t="s">
        <v>44</v>
      </c>
      <c r="J981" t="s">
        <v>45</v>
      </c>
      <c r="K981" t="s">
        <v>46</v>
      </c>
      <c r="L981" t="s">
        <v>1291</v>
      </c>
      <c r="AJ981">
        <v>1</v>
      </c>
      <c r="AK981" t="s">
        <v>209</v>
      </c>
    </row>
    <row r="982" spans="1:37" x14ac:dyDescent="0.25">
      <c r="A982" t="s">
        <v>43</v>
      </c>
      <c r="B982">
        <v>981</v>
      </c>
      <c r="C982" t="s">
        <v>44</v>
      </c>
      <c r="J982" t="s">
        <v>45</v>
      </c>
      <c r="K982" t="s">
        <v>46</v>
      </c>
      <c r="L982" t="s">
        <v>1292</v>
      </c>
      <c r="AJ982">
        <v>1</v>
      </c>
      <c r="AK982" t="s">
        <v>76</v>
      </c>
    </row>
    <row r="983" spans="1:37" x14ac:dyDescent="0.25">
      <c r="A983" t="s">
        <v>43</v>
      </c>
      <c r="B983">
        <v>982</v>
      </c>
      <c r="C983" t="s">
        <v>44</v>
      </c>
      <c r="J983" t="s">
        <v>45</v>
      </c>
      <c r="K983" t="s">
        <v>46</v>
      </c>
      <c r="L983" t="s">
        <v>1293</v>
      </c>
      <c r="AJ983">
        <v>1</v>
      </c>
      <c r="AK983" t="s">
        <v>53</v>
      </c>
    </row>
    <row r="984" spans="1:37" x14ac:dyDescent="0.25">
      <c r="A984" t="s">
        <v>43</v>
      </c>
      <c r="B984">
        <v>983</v>
      </c>
      <c r="C984" t="s">
        <v>44</v>
      </c>
      <c r="J984" t="s">
        <v>45</v>
      </c>
      <c r="K984" t="s">
        <v>46</v>
      </c>
      <c r="L984" t="s">
        <v>1294</v>
      </c>
      <c r="AJ984">
        <v>1</v>
      </c>
      <c r="AK984" t="s">
        <v>209</v>
      </c>
    </row>
    <row r="985" spans="1:37" x14ac:dyDescent="0.25">
      <c r="A985" t="s">
        <v>43</v>
      </c>
      <c r="B985">
        <v>984</v>
      </c>
      <c r="C985" t="s">
        <v>44</v>
      </c>
      <c r="J985" t="s">
        <v>54</v>
      </c>
      <c r="K985" t="s">
        <v>55</v>
      </c>
      <c r="L985" t="s">
        <v>1295</v>
      </c>
      <c r="AJ985">
        <v>1</v>
      </c>
      <c r="AK985" t="s">
        <v>209</v>
      </c>
    </row>
    <row r="986" spans="1:37" x14ac:dyDescent="0.25">
      <c r="A986" t="s">
        <v>43</v>
      </c>
      <c r="B986">
        <v>985</v>
      </c>
      <c r="C986" t="s">
        <v>44</v>
      </c>
      <c r="J986" t="s">
        <v>45</v>
      </c>
      <c r="K986" t="s">
        <v>46</v>
      </c>
      <c r="L986" t="s">
        <v>1296</v>
      </c>
      <c r="AJ986">
        <v>1</v>
      </c>
      <c r="AK986" t="s">
        <v>53</v>
      </c>
    </row>
    <row r="987" spans="1:37" x14ac:dyDescent="0.25">
      <c r="A987" t="s">
        <v>43</v>
      </c>
      <c r="B987">
        <v>986</v>
      </c>
      <c r="C987" t="s">
        <v>44</v>
      </c>
      <c r="J987" t="s">
        <v>45</v>
      </c>
      <c r="K987" t="s">
        <v>46</v>
      </c>
      <c r="L987" t="s">
        <v>1297</v>
      </c>
      <c r="AJ987">
        <v>1</v>
      </c>
      <c r="AK987" t="s">
        <v>76</v>
      </c>
    </row>
    <row r="988" spans="1:37" x14ac:dyDescent="0.25">
      <c r="A988" t="s">
        <v>43</v>
      </c>
      <c r="B988">
        <v>987</v>
      </c>
      <c r="C988" t="s">
        <v>44</v>
      </c>
      <c r="J988" t="s">
        <v>54</v>
      </c>
      <c r="K988" t="s">
        <v>55</v>
      </c>
      <c r="L988" t="s">
        <v>1298</v>
      </c>
      <c r="AJ988">
        <v>1</v>
      </c>
      <c r="AK988" t="s">
        <v>53</v>
      </c>
    </row>
    <row r="989" spans="1:37" x14ac:dyDescent="0.25">
      <c r="A989" t="s">
        <v>43</v>
      </c>
      <c r="B989">
        <v>988</v>
      </c>
      <c r="C989" t="s">
        <v>44</v>
      </c>
      <c r="J989" t="s">
        <v>45</v>
      </c>
      <c r="K989" t="s">
        <v>46</v>
      </c>
      <c r="L989" t="s">
        <v>1299</v>
      </c>
      <c r="AJ989">
        <v>1</v>
      </c>
      <c r="AK989" t="s">
        <v>49</v>
      </c>
    </row>
    <row r="990" spans="1:37" x14ac:dyDescent="0.25">
      <c r="A990" t="s">
        <v>43</v>
      </c>
      <c r="B990">
        <v>989</v>
      </c>
      <c r="C990" t="s">
        <v>44</v>
      </c>
      <c r="J990" t="s">
        <v>45</v>
      </c>
      <c r="K990" t="s">
        <v>46</v>
      </c>
      <c r="L990" t="s">
        <v>1300</v>
      </c>
      <c r="AJ990">
        <v>1</v>
      </c>
      <c r="AK990" t="s">
        <v>1195</v>
      </c>
    </row>
    <row r="991" spans="1:37" x14ac:dyDescent="0.25">
      <c r="A991" t="s">
        <v>43</v>
      </c>
      <c r="B991">
        <v>990</v>
      </c>
      <c r="C991" t="s">
        <v>44</v>
      </c>
      <c r="J991" t="s">
        <v>45</v>
      </c>
      <c r="K991" t="s">
        <v>46</v>
      </c>
      <c r="L991" t="s">
        <v>1301</v>
      </c>
      <c r="AJ991">
        <v>1</v>
      </c>
      <c r="AK991" t="s">
        <v>53</v>
      </c>
    </row>
    <row r="992" spans="1:37" x14ac:dyDescent="0.25">
      <c r="A992" t="s">
        <v>43</v>
      </c>
      <c r="B992">
        <v>991</v>
      </c>
      <c r="C992" t="s">
        <v>44</v>
      </c>
      <c r="J992" t="s">
        <v>45</v>
      </c>
      <c r="K992" t="s">
        <v>46</v>
      </c>
      <c r="L992" t="s">
        <v>1302</v>
      </c>
      <c r="AJ992">
        <v>1</v>
      </c>
      <c r="AK992" t="s">
        <v>76</v>
      </c>
    </row>
    <row r="993" spans="1:37" x14ac:dyDescent="0.25">
      <c r="A993" t="s">
        <v>43</v>
      </c>
      <c r="B993">
        <v>992</v>
      </c>
      <c r="C993" t="s">
        <v>44</v>
      </c>
      <c r="J993" t="s">
        <v>45</v>
      </c>
      <c r="K993" t="s">
        <v>46</v>
      </c>
      <c r="L993" t="s">
        <v>1303</v>
      </c>
      <c r="AJ993">
        <v>1</v>
      </c>
      <c r="AK993" t="s">
        <v>49</v>
      </c>
    </row>
    <row r="994" spans="1:37" x14ac:dyDescent="0.25">
      <c r="A994" t="s">
        <v>43</v>
      </c>
      <c r="B994">
        <v>993</v>
      </c>
      <c r="C994" t="s">
        <v>44</v>
      </c>
      <c r="J994" t="s">
        <v>54</v>
      </c>
      <c r="K994" t="s">
        <v>55</v>
      </c>
      <c r="L994" t="s">
        <v>1304</v>
      </c>
      <c r="AJ994">
        <v>1</v>
      </c>
      <c r="AK994" t="s">
        <v>49</v>
      </c>
    </row>
    <row r="995" spans="1:37" x14ac:dyDescent="0.25">
      <c r="A995" t="s">
        <v>43</v>
      </c>
      <c r="B995">
        <v>994</v>
      </c>
      <c r="C995" t="s">
        <v>44</v>
      </c>
      <c r="J995" t="s">
        <v>45</v>
      </c>
      <c r="K995" t="s">
        <v>46</v>
      </c>
      <c r="L995" t="s">
        <v>1305</v>
      </c>
      <c r="AJ995">
        <v>1</v>
      </c>
      <c r="AK995" t="s">
        <v>76</v>
      </c>
    </row>
    <row r="996" spans="1:37" x14ac:dyDescent="0.25">
      <c r="A996" t="s">
        <v>43</v>
      </c>
      <c r="B996">
        <v>995</v>
      </c>
      <c r="C996" t="s">
        <v>44</v>
      </c>
      <c r="J996" t="s">
        <v>45</v>
      </c>
      <c r="K996" t="s">
        <v>46</v>
      </c>
      <c r="L996" t="s">
        <v>1306</v>
      </c>
      <c r="AJ996">
        <v>1</v>
      </c>
      <c r="AK996" t="s">
        <v>76</v>
      </c>
    </row>
    <row r="997" spans="1:37" x14ac:dyDescent="0.25">
      <c r="A997" t="s">
        <v>43</v>
      </c>
      <c r="B997">
        <v>996</v>
      </c>
      <c r="C997" t="s">
        <v>44</v>
      </c>
      <c r="J997" t="s">
        <v>45</v>
      </c>
      <c r="K997" t="s">
        <v>46</v>
      </c>
      <c r="L997" t="s">
        <v>1307</v>
      </c>
      <c r="AJ997">
        <v>1</v>
      </c>
      <c r="AK997" t="s">
        <v>53</v>
      </c>
    </row>
    <row r="998" spans="1:37" x14ac:dyDescent="0.25">
      <c r="A998" t="s">
        <v>43</v>
      </c>
      <c r="B998">
        <v>997</v>
      </c>
      <c r="C998" t="s">
        <v>44</v>
      </c>
      <c r="J998" t="s">
        <v>45</v>
      </c>
      <c r="K998" t="s">
        <v>46</v>
      </c>
      <c r="L998" t="s">
        <v>1308</v>
      </c>
      <c r="AJ998">
        <v>1</v>
      </c>
      <c r="AK998" t="s">
        <v>76</v>
      </c>
    </row>
    <row r="999" spans="1:37" x14ac:dyDescent="0.25">
      <c r="A999" t="s">
        <v>43</v>
      </c>
      <c r="B999">
        <v>998</v>
      </c>
      <c r="C999" t="s">
        <v>44</v>
      </c>
      <c r="J999" t="s">
        <v>45</v>
      </c>
      <c r="K999" t="s">
        <v>46</v>
      </c>
      <c r="L999" t="s">
        <v>1309</v>
      </c>
      <c r="AJ999">
        <v>1</v>
      </c>
      <c r="AK999" t="s">
        <v>76</v>
      </c>
    </row>
    <row r="1000" spans="1:37" x14ac:dyDescent="0.25">
      <c r="A1000" t="s">
        <v>43</v>
      </c>
      <c r="B1000">
        <v>999</v>
      </c>
      <c r="C1000" t="s">
        <v>44</v>
      </c>
      <c r="J1000" t="s">
        <v>45</v>
      </c>
      <c r="K1000" t="s">
        <v>46</v>
      </c>
      <c r="L1000" t="s">
        <v>1310</v>
      </c>
      <c r="AJ1000">
        <v>1</v>
      </c>
      <c r="AK1000" t="s">
        <v>76</v>
      </c>
    </row>
    <row r="1001" spans="1:37" x14ac:dyDescent="0.25">
      <c r="A1001" t="s">
        <v>43</v>
      </c>
      <c r="B1001">
        <v>1000</v>
      </c>
      <c r="C1001" t="s">
        <v>44</v>
      </c>
      <c r="J1001" t="s">
        <v>45</v>
      </c>
      <c r="K1001" t="s">
        <v>46</v>
      </c>
      <c r="L1001" t="s">
        <v>1311</v>
      </c>
      <c r="AJ1001">
        <v>1</v>
      </c>
      <c r="AK1001" t="s">
        <v>53</v>
      </c>
    </row>
    <row r="1002" spans="1:37" x14ac:dyDescent="0.25">
      <c r="A1002" t="s">
        <v>43</v>
      </c>
      <c r="B1002">
        <v>1001</v>
      </c>
      <c r="C1002" t="s">
        <v>44</v>
      </c>
      <c r="J1002" t="s">
        <v>45</v>
      </c>
      <c r="K1002" t="s">
        <v>46</v>
      </c>
      <c r="L1002" t="s">
        <v>1312</v>
      </c>
      <c r="AJ1002">
        <v>1</v>
      </c>
      <c r="AK1002" t="s">
        <v>209</v>
      </c>
    </row>
    <row r="1003" spans="1:37" x14ac:dyDescent="0.25">
      <c r="A1003" t="s">
        <v>43</v>
      </c>
      <c r="B1003">
        <v>1002</v>
      </c>
      <c r="C1003" t="s">
        <v>44</v>
      </c>
      <c r="J1003" t="s">
        <v>45</v>
      </c>
      <c r="K1003" t="s">
        <v>46</v>
      </c>
      <c r="L1003" t="s">
        <v>1313</v>
      </c>
      <c r="AJ1003">
        <v>1</v>
      </c>
      <c r="AK1003" t="s">
        <v>76</v>
      </c>
    </row>
    <row r="1004" spans="1:37" x14ac:dyDescent="0.25">
      <c r="A1004" t="s">
        <v>43</v>
      </c>
      <c r="B1004">
        <v>1003</v>
      </c>
      <c r="C1004" t="s">
        <v>44</v>
      </c>
      <c r="J1004" t="s">
        <v>45</v>
      </c>
      <c r="K1004" t="s">
        <v>46</v>
      </c>
      <c r="L1004" t="s">
        <v>1314</v>
      </c>
      <c r="AJ1004">
        <v>1</v>
      </c>
      <c r="AK1004" t="s">
        <v>209</v>
      </c>
    </row>
    <row r="1005" spans="1:37" x14ac:dyDescent="0.25">
      <c r="A1005" t="s">
        <v>43</v>
      </c>
      <c r="B1005">
        <v>1004</v>
      </c>
      <c r="C1005" t="s">
        <v>44</v>
      </c>
      <c r="J1005" t="s">
        <v>45</v>
      </c>
      <c r="K1005" t="s">
        <v>46</v>
      </c>
      <c r="L1005" t="s">
        <v>1315</v>
      </c>
      <c r="AJ1005">
        <v>1</v>
      </c>
      <c r="AK1005" t="s">
        <v>1164</v>
      </c>
    </row>
    <row r="1006" spans="1:37" x14ac:dyDescent="0.25">
      <c r="A1006" t="s">
        <v>43</v>
      </c>
      <c r="B1006">
        <v>1005</v>
      </c>
      <c r="C1006" t="s">
        <v>44</v>
      </c>
      <c r="J1006" t="s">
        <v>45</v>
      </c>
      <c r="K1006" t="s">
        <v>46</v>
      </c>
      <c r="L1006" t="s">
        <v>1316</v>
      </c>
      <c r="AJ1006">
        <v>1</v>
      </c>
      <c r="AK1006" t="s">
        <v>1317</v>
      </c>
    </row>
    <row r="1007" spans="1:37" x14ac:dyDescent="0.25">
      <c r="A1007" t="s">
        <v>43</v>
      </c>
      <c r="B1007">
        <v>1006</v>
      </c>
      <c r="C1007" t="s">
        <v>44</v>
      </c>
      <c r="J1007" t="s">
        <v>45</v>
      </c>
      <c r="K1007" t="s">
        <v>46</v>
      </c>
      <c r="L1007" t="s">
        <v>1318</v>
      </c>
      <c r="AJ1007">
        <v>1</v>
      </c>
      <c r="AK1007" t="s">
        <v>76</v>
      </c>
    </row>
    <row r="1008" spans="1:37" x14ac:dyDescent="0.25">
      <c r="A1008" t="s">
        <v>43</v>
      </c>
      <c r="B1008">
        <v>1007</v>
      </c>
      <c r="C1008" t="s">
        <v>44</v>
      </c>
      <c r="J1008" t="s">
        <v>45</v>
      </c>
      <c r="K1008" t="s">
        <v>46</v>
      </c>
      <c r="L1008" t="s">
        <v>1319</v>
      </c>
      <c r="AJ1008">
        <v>1</v>
      </c>
      <c r="AK1008" t="s">
        <v>76</v>
      </c>
    </row>
    <row r="1009" spans="1:37" x14ac:dyDescent="0.25">
      <c r="A1009" t="s">
        <v>43</v>
      </c>
      <c r="B1009">
        <v>1008</v>
      </c>
      <c r="C1009" t="s">
        <v>44</v>
      </c>
      <c r="J1009" t="s">
        <v>45</v>
      </c>
      <c r="K1009" t="s">
        <v>46</v>
      </c>
      <c r="L1009" t="s">
        <v>1320</v>
      </c>
      <c r="AJ1009">
        <v>1</v>
      </c>
      <c r="AK1009" t="s">
        <v>76</v>
      </c>
    </row>
    <row r="1010" spans="1:37" x14ac:dyDescent="0.25">
      <c r="A1010" t="s">
        <v>43</v>
      </c>
      <c r="B1010">
        <v>1009</v>
      </c>
      <c r="C1010" t="s">
        <v>44</v>
      </c>
      <c r="J1010" t="s">
        <v>45</v>
      </c>
      <c r="K1010" t="s">
        <v>46</v>
      </c>
      <c r="L1010" t="s">
        <v>1321</v>
      </c>
      <c r="AJ1010">
        <v>1</v>
      </c>
      <c r="AK1010" t="s">
        <v>49</v>
      </c>
    </row>
    <row r="1011" spans="1:37" x14ac:dyDescent="0.25">
      <c r="A1011" t="s">
        <v>43</v>
      </c>
      <c r="B1011">
        <v>1010</v>
      </c>
      <c r="C1011" t="s">
        <v>44</v>
      </c>
      <c r="J1011" t="s">
        <v>45</v>
      </c>
      <c r="K1011" t="s">
        <v>46</v>
      </c>
      <c r="L1011" t="s">
        <v>1322</v>
      </c>
      <c r="AJ1011">
        <v>1</v>
      </c>
      <c r="AK1011" t="s">
        <v>1215</v>
      </c>
    </row>
    <row r="1012" spans="1:37" x14ac:dyDescent="0.25">
      <c r="A1012" t="s">
        <v>43</v>
      </c>
      <c r="B1012">
        <v>1011</v>
      </c>
      <c r="C1012" t="s">
        <v>44</v>
      </c>
      <c r="J1012" t="s">
        <v>45</v>
      </c>
      <c r="K1012" t="s">
        <v>46</v>
      </c>
      <c r="L1012" t="s">
        <v>1323</v>
      </c>
      <c r="AJ1012">
        <v>1</v>
      </c>
      <c r="AK1012" t="s">
        <v>49</v>
      </c>
    </row>
    <row r="1013" spans="1:37" x14ac:dyDescent="0.25">
      <c r="A1013" t="s">
        <v>43</v>
      </c>
      <c r="B1013">
        <v>1012</v>
      </c>
      <c r="C1013" t="s">
        <v>44</v>
      </c>
      <c r="J1013" t="s">
        <v>54</v>
      </c>
      <c r="K1013" t="s">
        <v>55</v>
      </c>
      <c r="L1013" t="s">
        <v>1324</v>
      </c>
      <c r="AJ1013">
        <v>1</v>
      </c>
      <c r="AK1013" t="s">
        <v>1195</v>
      </c>
    </row>
    <row r="1014" spans="1:37" x14ac:dyDescent="0.25">
      <c r="A1014" t="s">
        <v>43</v>
      </c>
      <c r="B1014">
        <v>1013</v>
      </c>
      <c r="C1014" t="s">
        <v>44</v>
      </c>
      <c r="J1014" t="s">
        <v>45</v>
      </c>
      <c r="K1014" t="s">
        <v>46</v>
      </c>
      <c r="L1014" t="s">
        <v>1325</v>
      </c>
      <c r="AJ1014">
        <v>1</v>
      </c>
      <c r="AK1014" t="s">
        <v>76</v>
      </c>
    </row>
    <row r="1015" spans="1:37" x14ac:dyDescent="0.25">
      <c r="A1015" t="s">
        <v>43</v>
      </c>
      <c r="B1015">
        <v>1014</v>
      </c>
      <c r="C1015" t="s">
        <v>44</v>
      </c>
      <c r="J1015" t="s">
        <v>45</v>
      </c>
      <c r="K1015" t="s">
        <v>46</v>
      </c>
      <c r="L1015" t="s">
        <v>1326</v>
      </c>
      <c r="AJ1015">
        <v>1</v>
      </c>
      <c r="AK1015" t="s">
        <v>76</v>
      </c>
    </row>
    <row r="1016" spans="1:37" x14ac:dyDescent="0.25">
      <c r="A1016" t="s">
        <v>43</v>
      </c>
      <c r="B1016">
        <v>1015</v>
      </c>
      <c r="C1016" t="s">
        <v>44</v>
      </c>
      <c r="J1016" t="s">
        <v>45</v>
      </c>
      <c r="K1016" t="s">
        <v>46</v>
      </c>
      <c r="L1016" t="s">
        <v>1327</v>
      </c>
      <c r="AJ1016">
        <v>1</v>
      </c>
      <c r="AK1016" t="s">
        <v>76</v>
      </c>
    </row>
    <row r="1017" spans="1:37" x14ac:dyDescent="0.25">
      <c r="A1017" t="s">
        <v>43</v>
      </c>
      <c r="B1017">
        <v>1016</v>
      </c>
      <c r="C1017" t="s">
        <v>44</v>
      </c>
      <c r="J1017" t="s">
        <v>45</v>
      </c>
      <c r="K1017" t="s">
        <v>46</v>
      </c>
      <c r="L1017" t="s">
        <v>1328</v>
      </c>
      <c r="AJ1017">
        <v>1</v>
      </c>
      <c r="AK1017" t="s">
        <v>1215</v>
      </c>
    </row>
    <row r="1018" spans="1:37" x14ac:dyDescent="0.25">
      <c r="A1018" t="s">
        <v>43</v>
      </c>
      <c r="B1018">
        <v>1017</v>
      </c>
      <c r="C1018" t="s">
        <v>44</v>
      </c>
      <c r="J1018" t="s">
        <v>45</v>
      </c>
      <c r="K1018" t="s">
        <v>46</v>
      </c>
      <c r="L1018" t="s">
        <v>1329</v>
      </c>
      <c r="AJ1018">
        <v>1</v>
      </c>
      <c r="AK1018" t="s">
        <v>76</v>
      </c>
    </row>
    <row r="1019" spans="1:37" x14ac:dyDescent="0.25">
      <c r="A1019" t="s">
        <v>43</v>
      </c>
      <c r="B1019">
        <v>1018</v>
      </c>
      <c r="C1019" t="s">
        <v>44</v>
      </c>
      <c r="J1019" t="s">
        <v>45</v>
      </c>
      <c r="K1019" t="s">
        <v>46</v>
      </c>
      <c r="L1019" t="s">
        <v>1330</v>
      </c>
      <c r="AJ1019">
        <v>1</v>
      </c>
      <c r="AK1019" t="s">
        <v>76</v>
      </c>
    </row>
    <row r="1020" spans="1:37" x14ac:dyDescent="0.25">
      <c r="A1020" t="s">
        <v>43</v>
      </c>
      <c r="B1020">
        <v>1019</v>
      </c>
      <c r="C1020" t="s">
        <v>44</v>
      </c>
      <c r="J1020" t="s">
        <v>45</v>
      </c>
      <c r="K1020" t="s">
        <v>46</v>
      </c>
      <c r="L1020" t="s">
        <v>1331</v>
      </c>
      <c r="AJ1020">
        <v>1</v>
      </c>
      <c r="AK1020" t="s">
        <v>76</v>
      </c>
    </row>
    <row r="1021" spans="1:37" x14ac:dyDescent="0.25">
      <c r="A1021" t="s">
        <v>43</v>
      </c>
      <c r="B1021">
        <v>1020</v>
      </c>
      <c r="C1021" t="s">
        <v>44</v>
      </c>
      <c r="J1021" t="s">
        <v>45</v>
      </c>
      <c r="K1021" t="s">
        <v>46</v>
      </c>
      <c r="L1021" t="s">
        <v>1332</v>
      </c>
      <c r="AJ1021">
        <v>1</v>
      </c>
      <c r="AK1021" t="s">
        <v>1215</v>
      </c>
    </row>
    <row r="1022" spans="1:37" x14ac:dyDescent="0.25">
      <c r="A1022" t="s">
        <v>43</v>
      </c>
      <c r="B1022">
        <v>1021</v>
      </c>
      <c r="C1022" t="s">
        <v>44</v>
      </c>
      <c r="J1022" t="s">
        <v>45</v>
      </c>
      <c r="K1022" t="s">
        <v>46</v>
      </c>
      <c r="L1022" t="s">
        <v>1333</v>
      </c>
      <c r="AJ1022">
        <v>1</v>
      </c>
      <c r="AK1022" t="s">
        <v>209</v>
      </c>
    </row>
    <row r="1023" spans="1:37" x14ac:dyDescent="0.25">
      <c r="A1023" t="s">
        <v>43</v>
      </c>
      <c r="B1023">
        <v>1022</v>
      </c>
      <c r="C1023" t="s">
        <v>44</v>
      </c>
      <c r="J1023" t="s">
        <v>45</v>
      </c>
      <c r="K1023" t="s">
        <v>46</v>
      </c>
      <c r="L1023" t="s">
        <v>1334</v>
      </c>
      <c r="AJ1023">
        <v>1</v>
      </c>
      <c r="AK1023" t="s">
        <v>209</v>
      </c>
    </row>
    <row r="1024" spans="1:37" x14ac:dyDescent="0.25">
      <c r="A1024" t="s">
        <v>43</v>
      </c>
      <c r="B1024">
        <v>1023</v>
      </c>
      <c r="C1024" t="s">
        <v>44</v>
      </c>
      <c r="J1024" t="s">
        <v>45</v>
      </c>
      <c r="K1024" t="s">
        <v>46</v>
      </c>
      <c r="L1024" t="s">
        <v>1335</v>
      </c>
      <c r="AJ1024">
        <v>1</v>
      </c>
      <c r="AK1024" t="s">
        <v>1215</v>
      </c>
    </row>
    <row r="1025" spans="1:37" x14ac:dyDescent="0.25">
      <c r="A1025" t="s">
        <v>43</v>
      </c>
      <c r="B1025">
        <v>1024</v>
      </c>
      <c r="C1025" t="s">
        <v>44</v>
      </c>
      <c r="J1025" t="s">
        <v>45</v>
      </c>
      <c r="K1025" t="s">
        <v>46</v>
      </c>
      <c r="L1025" t="s">
        <v>1336</v>
      </c>
      <c r="AJ1025">
        <v>1</v>
      </c>
      <c r="AK1025" t="s">
        <v>76</v>
      </c>
    </row>
    <row r="1026" spans="1:37" x14ac:dyDescent="0.25">
      <c r="A1026" t="s">
        <v>43</v>
      </c>
      <c r="B1026">
        <v>1025</v>
      </c>
      <c r="C1026" t="s">
        <v>44</v>
      </c>
      <c r="J1026" t="s">
        <v>45</v>
      </c>
      <c r="K1026" t="s">
        <v>46</v>
      </c>
      <c r="L1026" t="s">
        <v>1337</v>
      </c>
      <c r="AJ1026">
        <v>1</v>
      </c>
      <c r="AK1026" t="s">
        <v>209</v>
      </c>
    </row>
    <row r="1027" spans="1:37" x14ac:dyDescent="0.25">
      <c r="A1027" t="s">
        <v>43</v>
      </c>
      <c r="B1027">
        <v>1026</v>
      </c>
      <c r="C1027" t="s">
        <v>44</v>
      </c>
      <c r="J1027" t="s">
        <v>45</v>
      </c>
      <c r="K1027" t="s">
        <v>187</v>
      </c>
      <c r="L1027" t="s">
        <v>1338</v>
      </c>
      <c r="AJ1027">
        <v>1</v>
      </c>
      <c r="AK1027" t="s">
        <v>49</v>
      </c>
    </row>
    <row r="1028" spans="1:37" x14ac:dyDescent="0.25">
      <c r="A1028" t="s">
        <v>43</v>
      </c>
      <c r="B1028">
        <v>1027</v>
      </c>
      <c r="C1028" t="s">
        <v>44</v>
      </c>
      <c r="J1028" t="s">
        <v>45</v>
      </c>
      <c r="K1028" t="s">
        <v>46</v>
      </c>
      <c r="L1028" t="s">
        <v>1339</v>
      </c>
      <c r="AJ1028">
        <v>1</v>
      </c>
      <c r="AK1028" t="s">
        <v>53</v>
      </c>
    </row>
    <row r="1029" spans="1:37" x14ac:dyDescent="0.25">
      <c r="A1029" t="s">
        <v>43</v>
      </c>
      <c r="B1029">
        <v>1028</v>
      </c>
      <c r="C1029" t="s">
        <v>44</v>
      </c>
      <c r="J1029" t="s">
        <v>45</v>
      </c>
      <c r="K1029" t="s">
        <v>46</v>
      </c>
      <c r="L1029" t="s">
        <v>1340</v>
      </c>
      <c r="AJ1029">
        <v>1</v>
      </c>
      <c r="AK1029" t="s">
        <v>53</v>
      </c>
    </row>
    <row r="1030" spans="1:37" x14ac:dyDescent="0.25">
      <c r="A1030" t="s">
        <v>43</v>
      </c>
      <c r="B1030">
        <v>1029</v>
      </c>
      <c r="C1030" t="s">
        <v>44</v>
      </c>
      <c r="J1030" t="s">
        <v>45</v>
      </c>
      <c r="K1030" t="s">
        <v>46</v>
      </c>
      <c r="L1030" t="s">
        <v>1341</v>
      </c>
      <c r="AJ1030">
        <v>1</v>
      </c>
      <c r="AK1030" t="s">
        <v>76</v>
      </c>
    </row>
    <row r="1031" spans="1:37" x14ac:dyDescent="0.25">
      <c r="A1031" t="s">
        <v>43</v>
      </c>
      <c r="B1031">
        <v>1030</v>
      </c>
      <c r="C1031" t="s">
        <v>44</v>
      </c>
      <c r="J1031" t="s">
        <v>45</v>
      </c>
      <c r="K1031" t="s">
        <v>46</v>
      </c>
      <c r="L1031" t="s">
        <v>1342</v>
      </c>
      <c r="AJ1031">
        <v>1</v>
      </c>
      <c r="AK1031" t="s">
        <v>76</v>
      </c>
    </row>
    <row r="1032" spans="1:37" x14ac:dyDescent="0.25">
      <c r="A1032" t="s">
        <v>43</v>
      </c>
      <c r="B1032">
        <v>1031</v>
      </c>
      <c r="C1032" t="s">
        <v>44</v>
      </c>
      <c r="J1032" t="s">
        <v>45</v>
      </c>
      <c r="K1032" t="s">
        <v>46</v>
      </c>
      <c r="L1032" t="s">
        <v>1343</v>
      </c>
      <c r="AJ1032">
        <v>1</v>
      </c>
      <c r="AK1032" t="s">
        <v>53</v>
      </c>
    </row>
    <row r="1033" spans="1:37" x14ac:dyDescent="0.25">
      <c r="A1033" t="s">
        <v>43</v>
      </c>
      <c r="B1033">
        <v>1032</v>
      </c>
      <c r="C1033" t="s">
        <v>44</v>
      </c>
      <c r="J1033" t="s">
        <v>45</v>
      </c>
      <c r="K1033" t="s">
        <v>46</v>
      </c>
      <c r="L1033" t="s">
        <v>1344</v>
      </c>
      <c r="AJ1033">
        <v>1</v>
      </c>
      <c r="AK1033" t="s">
        <v>76</v>
      </c>
    </row>
    <row r="1034" spans="1:37" x14ac:dyDescent="0.25">
      <c r="A1034" t="s">
        <v>43</v>
      </c>
      <c r="B1034">
        <v>1033</v>
      </c>
      <c r="C1034" t="s">
        <v>44</v>
      </c>
      <c r="J1034" t="s">
        <v>45</v>
      </c>
      <c r="K1034" t="s">
        <v>46</v>
      </c>
      <c r="L1034" t="s">
        <v>1345</v>
      </c>
      <c r="AJ1034">
        <v>1</v>
      </c>
      <c r="AK1034" t="s">
        <v>53</v>
      </c>
    </row>
    <row r="1035" spans="1:37" x14ac:dyDescent="0.25">
      <c r="A1035" t="s">
        <v>43</v>
      </c>
      <c r="B1035">
        <v>1034</v>
      </c>
      <c r="C1035" t="s">
        <v>44</v>
      </c>
      <c r="J1035" t="s">
        <v>54</v>
      </c>
      <c r="K1035" t="s">
        <v>55</v>
      </c>
      <c r="L1035" t="s">
        <v>1346</v>
      </c>
      <c r="AJ1035">
        <v>1</v>
      </c>
      <c r="AK1035" t="s">
        <v>209</v>
      </c>
    </row>
    <row r="1036" spans="1:37" x14ac:dyDescent="0.25">
      <c r="A1036" t="s">
        <v>43</v>
      </c>
      <c r="B1036">
        <v>1035</v>
      </c>
      <c r="C1036" t="s">
        <v>44</v>
      </c>
      <c r="J1036" t="s">
        <v>45</v>
      </c>
      <c r="K1036" t="s">
        <v>46</v>
      </c>
      <c r="L1036" t="s">
        <v>1347</v>
      </c>
      <c r="AJ1036">
        <v>1</v>
      </c>
      <c r="AK1036" t="s">
        <v>209</v>
      </c>
    </row>
    <row r="1037" spans="1:37" x14ac:dyDescent="0.25">
      <c r="A1037" t="s">
        <v>43</v>
      </c>
      <c r="B1037">
        <v>1036</v>
      </c>
      <c r="C1037" t="s">
        <v>44</v>
      </c>
      <c r="J1037" t="s">
        <v>45</v>
      </c>
      <c r="K1037" t="s">
        <v>46</v>
      </c>
      <c r="L1037" t="s">
        <v>1348</v>
      </c>
      <c r="AJ1037">
        <v>1</v>
      </c>
      <c r="AK1037" t="s">
        <v>1164</v>
      </c>
    </row>
    <row r="1038" spans="1:37" x14ac:dyDescent="0.25">
      <c r="A1038" t="s">
        <v>43</v>
      </c>
      <c r="B1038">
        <v>1037</v>
      </c>
      <c r="C1038" t="s">
        <v>44</v>
      </c>
      <c r="J1038" t="s">
        <v>45</v>
      </c>
      <c r="K1038" t="s">
        <v>46</v>
      </c>
      <c r="L1038" t="s">
        <v>1349</v>
      </c>
      <c r="AJ1038">
        <v>1</v>
      </c>
      <c r="AK1038" t="s">
        <v>76</v>
      </c>
    </row>
    <row r="1039" spans="1:37" x14ac:dyDescent="0.25">
      <c r="A1039" t="s">
        <v>43</v>
      </c>
      <c r="B1039">
        <v>1038</v>
      </c>
      <c r="C1039" t="s">
        <v>44</v>
      </c>
      <c r="J1039" t="s">
        <v>45</v>
      </c>
      <c r="K1039" t="s">
        <v>46</v>
      </c>
      <c r="L1039" t="s">
        <v>1350</v>
      </c>
      <c r="AJ1039">
        <v>1</v>
      </c>
      <c r="AK1039" t="s">
        <v>49</v>
      </c>
    </row>
    <row r="1040" spans="1:37" x14ac:dyDescent="0.25">
      <c r="A1040" t="s">
        <v>43</v>
      </c>
      <c r="B1040">
        <v>1039</v>
      </c>
      <c r="C1040" t="s">
        <v>44</v>
      </c>
      <c r="J1040" t="s">
        <v>45</v>
      </c>
      <c r="K1040" t="s">
        <v>187</v>
      </c>
      <c r="L1040" t="s">
        <v>1351</v>
      </c>
      <c r="AJ1040">
        <v>1</v>
      </c>
      <c r="AK1040" t="s">
        <v>49</v>
      </c>
    </row>
    <row r="1041" spans="1:37" x14ac:dyDescent="0.25">
      <c r="A1041" t="s">
        <v>43</v>
      </c>
      <c r="B1041">
        <v>1040</v>
      </c>
      <c r="C1041" t="s">
        <v>44</v>
      </c>
      <c r="J1041" t="s">
        <v>45</v>
      </c>
      <c r="K1041" t="s">
        <v>46</v>
      </c>
      <c r="L1041" t="s">
        <v>1352</v>
      </c>
      <c r="AJ1041" t="s">
        <v>1353</v>
      </c>
      <c r="AK1041" t="s">
        <v>76</v>
      </c>
    </row>
    <row r="1042" spans="1:37" x14ac:dyDescent="0.25">
      <c r="A1042" t="s">
        <v>43</v>
      </c>
      <c r="B1042">
        <v>1041</v>
      </c>
      <c r="C1042" t="s">
        <v>44</v>
      </c>
      <c r="J1042" t="s">
        <v>45</v>
      </c>
      <c r="K1042" t="s">
        <v>46</v>
      </c>
      <c r="L1042" t="s">
        <v>1354</v>
      </c>
      <c r="AJ1042">
        <v>1</v>
      </c>
      <c r="AK1042" t="s">
        <v>209</v>
      </c>
    </row>
    <row r="1043" spans="1:37" x14ac:dyDescent="0.25">
      <c r="A1043" t="s">
        <v>43</v>
      </c>
      <c r="B1043">
        <v>1042</v>
      </c>
      <c r="C1043" t="s">
        <v>44</v>
      </c>
      <c r="J1043" t="s">
        <v>45</v>
      </c>
      <c r="K1043" t="s">
        <v>46</v>
      </c>
      <c r="L1043" t="s">
        <v>1355</v>
      </c>
      <c r="AJ1043">
        <v>1</v>
      </c>
      <c r="AK1043" t="s">
        <v>1249</v>
      </c>
    </row>
    <row r="1044" spans="1:37" x14ac:dyDescent="0.25">
      <c r="A1044" t="s">
        <v>43</v>
      </c>
      <c r="B1044">
        <v>1043</v>
      </c>
      <c r="C1044" t="s">
        <v>44</v>
      </c>
      <c r="J1044" t="s">
        <v>45</v>
      </c>
      <c r="K1044" t="s">
        <v>46</v>
      </c>
      <c r="L1044" t="s">
        <v>1356</v>
      </c>
      <c r="AJ1044">
        <v>1</v>
      </c>
      <c r="AK1044" t="s">
        <v>76</v>
      </c>
    </row>
    <row r="1045" spans="1:37" x14ac:dyDescent="0.25">
      <c r="A1045" t="s">
        <v>43</v>
      </c>
      <c r="B1045">
        <v>1044</v>
      </c>
      <c r="C1045" t="s">
        <v>44</v>
      </c>
      <c r="J1045" t="s">
        <v>45</v>
      </c>
      <c r="K1045" t="s">
        <v>46</v>
      </c>
      <c r="L1045" t="s">
        <v>1357</v>
      </c>
      <c r="AJ1045">
        <v>1</v>
      </c>
      <c r="AK1045" t="s">
        <v>49</v>
      </c>
    </row>
    <row r="1046" spans="1:37" x14ac:dyDescent="0.25">
      <c r="A1046" t="s">
        <v>43</v>
      </c>
      <c r="B1046">
        <v>1045</v>
      </c>
      <c r="C1046" t="s">
        <v>44</v>
      </c>
      <c r="J1046" t="s">
        <v>45</v>
      </c>
      <c r="K1046" t="s">
        <v>46</v>
      </c>
      <c r="L1046" t="s">
        <v>1358</v>
      </c>
      <c r="AJ1046">
        <v>1</v>
      </c>
      <c r="AK1046" t="s">
        <v>76</v>
      </c>
    </row>
    <row r="1047" spans="1:37" x14ac:dyDescent="0.25">
      <c r="A1047" t="s">
        <v>43</v>
      </c>
      <c r="B1047">
        <v>1046</v>
      </c>
      <c r="C1047" t="s">
        <v>44</v>
      </c>
      <c r="J1047" t="s">
        <v>45</v>
      </c>
      <c r="K1047" t="s">
        <v>46</v>
      </c>
      <c r="L1047" t="s">
        <v>1359</v>
      </c>
      <c r="AJ1047">
        <v>1</v>
      </c>
      <c r="AK1047" t="s">
        <v>76</v>
      </c>
    </row>
    <row r="1048" spans="1:37" x14ac:dyDescent="0.25">
      <c r="A1048" t="s">
        <v>43</v>
      </c>
      <c r="B1048">
        <v>1047</v>
      </c>
      <c r="C1048" t="s">
        <v>44</v>
      </c>
      <c r="J1048" t="s">
        <v>45</v>
      </c>
      <c r="K1048" t="s">
        <v>46</v>
      </c>
      <c r="L1048" t="s">
        <v>1360</v>
      </c>
      <c r="AJ1048">
        <v>1</v>
      </c>
      <c r="AK1048" t="s">
        <v>76</v>
      </c>
    </row>
    <row r="1049" spans="1:37" x14ac:dyDescent="0.25">
      <c r="A1049" t="s">
        <v>43</v>
      </c>
      <c r="B1049">
        <v>1048</v>
      </c>
      <c r="C1049" t="s">
        <v>44</v>
      </c>
      <c r="J1049" t="s">
        <v>45</v>
      </c>
      <c r="K1049" t="s">
        <v>187</v>
      </c>
      <c r="L1049" t="s">
        <v>1361</v>
      </c>
      <c r="AJ1049">
        <v>1</v>
      </c>
      <c r="AK1049" t="s">
        <v>49</v>
      </c>
    </row>
    <row r="1050" spans="1:37" x14ac:dyDescent="0.25">
      <c r="A1050" t="s">
        <v>43</v>
      </c>
      <c r="B1050">
        <v>1049</v>
      </c>
      <c r="C1050" t="s">
        <v>44</v>
      </c>
      <c r="J1050" t="s">
        <v>45</v>
      </c>
      <c r="K1050" t="s">
        <v>46</v>
      </c>
      <c r="L1050" t="s">
        <v>1362</v>
      </c>
      <c r="AJ1050">
        <v>1</v>
      </c>
      <c r="AK1050" t="s">
        <v>49</v>
      </c>
    </row>
    <row r="1051" spans="1:37" x14ac:dyDescent="0.25">
      <c r="A1051" t="s">
        <v>43</v>
      </c>
      <c r="B1051">
        <v>1050</v>
      </c>
      <c r="C1051" t="s">
        <v>44</v>
      </c>
      <c r="J1051" t="s">
        <v>45</v>
      </c>
      <c r="K1051" t="s">
        <v>46</v>
      </c>
      <c r="L1051" t="s">
        <v>1363</v>
      </c>
      <c r="AJ1051">
        <v>1</v>
      </c>
      <c r="AK1051" t="s">
        <v>76</v>
      </c>
    </row>
    <row r="1052" spans="1:37" x14ac:dyDescent="0.25">
      <c r="A1052" t="s">
        <v>43</v>
      </c>
      <c r="B1052">
        <v>1051</v>
      </c>
      <c r="C1052" t="s">
        <v>44</v>
      </c>
      <c r="J1052" t="s">
        <v>45</v>
      </c>
      <c r="K1052" t="s">
        <v>46</v>
      </c>
      <c r="L1052" t="s">
        <v>1364</v>
      </c>
      <c r="AJ1052">
        <v>1</v>
      </c>
      <c r="AK1052" t="s">
        <v>1170</v>
      </c>
    </row>
    <row r="1053" spans="1:37" x14ac:dyDescent="0.25">
      <c r="A1053" t="s">
        <v>43</v>
      </c>
      <c r="B1053">
        <v>1052</v>
      </c>
      <c r="C1053" t="s">
        <v>44</v>
      </c>
      <c r="J1053" t="s">
        <v>45</v>
      </c>
      <c r="K1053" t="s">
        <v>46</v>
      </c>
      <c r="L1053" t="s">
        <v>1365</v>
      </c>
      <c r="AJ1053">
        <v>1</v>
      </c>
      <c r="AK1053" t="s">
        <v>49</v>
      </c>
    </row>
    <row r="1054" spans="1:37" x14ac:dyDescent="0.25">
      <c r="A1054" t="s">
        <v>43</v>
      </c>
      <c r="B1054">
        <v>1053</v>
      </c>
      <c r="C1054" t="s">
        <v>44</v>
      </c>
      <c r="J1054" t="s">
        <v>45</v>
      </c>
      <c r="K1054" t="s">
        <v>46</v>
      </c>
      <c r="L1054" t="s">
        <v>1366</v>
      </c>
      <c r="AJ1054">
        <v>1</v>
      </c>
      <c r="AK1054" t="s">
        <v>76</v>
      </c>
    </row>
    <row r="1055" spans="1:37" x14ac:dyDescent="0.25">
      <c r="A1055" t="s">
        <v>43</v>
      </c>
      <c r="B1055">
        <v>1054</v>
      </c>
      <c r="C1055" t="s">
        <v>44</v>
      </c>
      <c r="J1055" t="s">
        <v>45</v>
      </c>
      <c r="K1055" t="s">
        <v>46</v>
      </c>
      <c r="L1055" t="s">
        <v>1367</v>
      </c>
      <c r="AJ1055">
        <v>1</v>
      </c>
      <c r="AK1055" t="s">
        <v>1215</v>
      </c>
    </row>
    <row r="1056" spans="1:37" x14ac:dyDescent="0.25">
      <c r="A1056" t="s">
        <v>43</v>
      </c>
      <c r="B1056">
        <v>1055</v>
      </c>
      <c r="C1056" t="s">
        <v>44</v>
      </c>
      <c r="J1056" t="s">
        <v>45</v>
      </c>
      <c r="K1056" t="s">
        <v>46</v>
      </c>
      <c r="L1056" t="s">
        <v>1368</v>
      </c>
      <c r="AJ1056">
        <v>1</v>
      </c>
      <c r="AK1056" t="s">
        <v>76</v>
      </c>
    </row>
    <row r="1057" spans="1:37" x14ac:dyDescent="0.25">
      <c r="A1057" t="s">
        <v>43</v>
      </c>
      <c r="B1057">
        <v>1056</v>
      </c>
      <c r="C1057" t="s">
        <v>44</v>
      </c>
      <c r="J1057" t="s">
        <v>45</v>
      </c>
      <c r="K1057" t="s">
        <v>46</v>
      </c>
      <c r="L1057" t="s">
        <v>1369</v>
      </c>
      <c r="AJ1057">
        <v>1</v>
      </c>
      <c r="AK1057" t="s">
        <v>76</v>
      </c>
    </row>
    <row r="1058" spans="1:37" x14ac:dyDescent="0.25">
      <c r="A1058" t="s">
        <v>43</v>
      </c>
      <c r="B1058">
        <v>1057</v>
      </c>
      <c r="C1058" t="s">
        <v>44</v>
      </c>
      <c r="J1058" t="s">
        <v>54</v>
      </c>
      <c r="K1058" t="s">
        <v>55</v>
      </c>
      <c r="L1058" t="s">
        <v>1370</v>
      </c>
      <c r="AJ1058">
        <v>1</v>
      </c>
      <c r="AK1058" t="s">
        <v>1174</v>
      </c>
    </row>
    <row r="1059" spans="1:37" x14ac:dyDescent="0.25">
      <c r="A1059" t="s">
        <v>43</v>
      </c>
      <c r="B1059">
        <v>1058</v>
      </c>
      <c r="C1059" t="s">
        <v>44</v>
      </c>
      <c r="J1059" t="s">
        <v>45</v>
      </c>
      <c r="K1059" t="s">
        <v>46</v>
      </c>
      <c r="L1059" t="s">
        <v>1371</v>
      </c>
      <c r="AJ1059">
        <v>1</v>
      </c>
      <c r="AK1059" t="s">
        <v>76</v>
      </c>
    </row>
    <row r="1060" spans="1:37" x14ac:dyDescent="0.25">
      <c r="A1060" t="s">
        <v>43</v>
      </c>
      <c r="B1060">
        <v>1059</v>
      </c>
      <c r="C1060" t="s">
        <v>44</v>
      </c>
      <c r="J1060" t="s">
        <v>45</v>
      </c>
      <c r="K1060" t="s">
        <v>46</v>
      </c>
      <c r="L1060" t="s">
        <v>1372</v>
      </c>
      <c r="AJ1060">
        <v>1</v>
      </c>
      <c r="AK1060" t="s">
        <v>209</v>
      </c>
    </row>
    <row r="1061" spans="1:37" x14ac:dyDescent="0.25">
      <c r="A1061" t="s">
        <v>43</v>
      </c>
      <c r="B1061">
        <v>1060</v>
      </c>
      <c r="C1061" t="s">
        <v>44</v>
      </c>
      <c r="J1061" t="s">
        <v>45</v>
      </c>
      <c r="K1061" t="s">
        <v>46</v>
      </c>
      <c r="L1061" t="s">
        <v>1373</v>
      </c>
      <c r="AJ1061">
        <v>1</v>
      </c>
      <c r="AK1061" t="s">
        <v>53</v>
      </c>
    </row>
    <row r="1062" spans="1:37" x14ac:dyDescent="0.25">
      <c r="A1062" t="s">
        <v>43</v>
      </c>
      <c r="B1062">
        <v>1061</v>
      </c>
      <c r="C1062" t="s">
        <v>44</v>
      </c>
      <c r="J1062" t="s">
        <v>45</v>
      </c>
      <c r="K1062" t="s">
        <v>46</v>
      </c>
      <c r="L1062" t="s">
        <v>1374</v>
      </c>
      <c r="AJ1062">
        <v>1</v>
      </c>
      <c r="AK1062" t="s">
        <v>49</v>
      </c>
    </row>
    <row r="1063" spans="1:37" x14ac:dyDescent="0.25">
      <c r="A1063" t="s">
        <v>43</v>
      </c>
      <c r="B1063">
        <v>1062</v>
      </c>
      <c r="C1063" t="s">
        <v>44</v>
      </c>
      <c r="J1063" t="s">
        <v>45</v>
      </c>
      <c r="K1063" t="s">
        <v>46</v>
      </c>
      <c r="L1063" t="s">
        <v>1375</v>
      </c>
      <c r="AJ1063">
        <v>1</v>
      </c>
      <c r="AK1063" t="s">
        <v>53</v>
      </c>
    </row>
    <row r="1064" spans="1:37" x14ac:dyDescent="0.25">
      <c r="A1064" t="s">
        <v>43</v>
      </c>
      <c r="B1064">
        <v>1063</v>
      </c>
      <c r="C1064" t="s">
        <v>44</v>
      </c>
      <c r="J1064" t="s">
        <v>45</v>
      </c>
      <c r="K1064" t="s">
        <v>46</v>
      </c>
      <c r="L1064" t="s">
        <v>1376</v>
      </c>
      <c r="AJ1064">
        <v>1</v>
      </c>
      <c r="AK1064" t="s">
        <v>1195</v>
      </c>
    </row>
    <row r="1065" spans="1:37" x14ac:dyDescent="0.25">
      <c r="A1065" t="s">
        <v>43</v>
      </c>
      <c r="B1065">
        <v>1064</v>
      </c>
      <c r="C1065" t="s">
        <v>44</v>
      </c>
      <c r="J1065" t="s">
        <v>45</v>
      </c>
      <c r="K1065" t="s">
        <v>46</v>
      </c>
      <c r="L1065" t="s">
        <v>1377</v>
      </c>
      <c r="AJ1065">
        <v>1</v>
      </c>
      <c r="AK1065" t="s">
        <v>76</v>
      </c>
    </row>
    <row r="1066" spans="1:37" x14ac:dyDescent="0.25">
      <c r="A1066" t="s">
        <v>43</v>
      </c>
      <c r="B1066">
        <v>1065</v>
      </c>
      <c r="C1066" t="s">
        <v>44</v>
      </c>
      <c r="J1066" t="s">
        <v>45</v>
      </c>
      <c r="K1066" t="s">
        <v>46</v>
      </c>
      <c r="L1066" t="s">
        <v>1378</v>
      </c>
      <c r="AJ1066">
        <v>1</v>
      </c>
      <c r="AK1066" t="s">
        <v>76</v>
      </c>
    </row>
    <row r="1067" spans="1:37" x14ac:dyDescent="0.25">
      <c r="A1067" t="s">
        <v>43</v>
      </c>
      <c r="B1067">
        <v>1066</v>
      </c>
      <c r="C1067" t="s">
        <v>44</v>
      </c>
      <c r="J1067" t="s">
        <v>45</v>
      </c>
      <c r="K1067" t="s">
        <v>46</v>
      </c>
      <c r="L1067" t="s">
        <v>1379</v>
      </c>
      <c r="AJ1067">
        <v>1</v>
      </c>
      <c r="AK1067" t="s">
        <v>76</v>
      </c>
    </row>
    <row r="1068" spans="1:37" x14ac:dyDescent="0.25">
      <c r="A1068" t="s">
        <v>43</v>
      </c>
      <c r="B1068">
        <v>1067</v>
      </c>
      <c r="C1068" t="s">
        <v>44</v>
      </c>
      <c r="J1068" t="s">
        <v>45</v>
      </c>
      <c r="K1068" t="s">
        <v>46</v>
      </c>
      <c r="L1068" t="s">
        <v>1380</v>
      </c>
      <c r="AJ1068">
        <v>1</v>
      </c>
      <c r="AK1068" t="s">
        <v>1215</v>
      </c>
    </row>
    <row r="1069" spans="1:37" x14ac:dyDescent="0.25">
      <c r="A1069" t="s">
        <v>43</v>
      </c>
      <c r="B1069">
        <v>1068</v>
      </c>
      <c r="C1069" t="s">
        <v>44</v>
      </c>
      <c r="J1069" t="s">
        <v>45</v>
      </c>
      <c r="K1069" t="s">
        <v>46</v>
      </c>
      <c r="L1069" t="s">
        <v>1381</v>
      </c>
      <c r="AJ1069">
        <v>1</v>
      </c>
      <c r="AK1069" t="s">
        <v>76</v>
      </c>
    </row>
    <row r="1070" spans="1:37" x14ac:dyDescent="0.25">
      <c r="A1070" t="s">
        <v>43</v>
      </c>
      <c r="B1070">
        <v>1069</v>
      </c>
      <c r="C1070" t="s">
        <v>44</v>
      </c>
      <c r="J1070" t="s">
        <v>45</v>
      </c>
      <c r="K1070" t="s">
        <v>46</v>
      </c>
      <c r="L1070" t="s">
        <v>1382</v>
      </c>
      <c r="AJ1070">
        <v>1</v>
      </c>
      <c r="AK1070" t="s">
        <v>209</v>
      </c>
    </row>
    <row r="1071" spans="1:37" x14ac:dyDescent="0.25">
      <c r="A1071" t="s">
        <v>43</v>
      </c>
      <c r="B1071">
        <v>1070</v>
      </c>
      <c r="C1071" t="s">
        <v>44</v>
      </c>
      <c r="J1071" t="s">
        <v>45</v>
      </c>
      <c r="K1071" t="s">
        <v>114</v>
      </c>
      <c r="L1071" t="s">
        <v>1383</v>
      </c>
      <c r="AJ1071">
        <v>1</v>
      </c>
      <c r="AK1071" t="s">
        <v>1170</v>
      </c>
    </row>
    <row r="1072" spans="1:37" x14ac:dyDescent="0.25">
      <c r="A1072" t="s">
        <v>43</v>
      </c>
      <c r="B1072">
        <v>1071</v>
      </c>
      <c r="C1072" t="s">
        <v>44</v>
      </c>
      <c r="J1072" t="s">
        <v>45</v>
      </c>
      <c r="K1072" t="s">
        <v>46</v>
      </c>
      <c r="L1072" t="s">
        <v>1384</v>
      </c>
      <c r="AJ1072">
        <v>1</v>
      </c>
      <c r="AK1072" t="s">
        <v>76</v>
      </c>
    </row>
    <row r="1073" spans="1:37" x14ac:dyDescent="0.25">
      <c r="A1073" t="s">
        <v>43</v>
      </c>
      <c r="B1073">
        <v>1072</v>
      </c>
      <c r="C1073" t="s">
        <v>44</v>
      </c>
      <c r="J1073" t="s">
        <v>45</v>
      </c>
      <c r="K1073" t="s">
        <v>46</v>
      </c>
      <c r="L1073" t="s">
        <v>1385</v>
      </c>
      <c r="AJ1073">
        <v>1</v>
      </c>
      <c r="AK1073" t="s">
        <v>209</v>
      </c>
    </row>
    <row r="1074" spans="1:37" x14ac:dyDescent="0.25">
      <c r="A1074" t="s">
        <v>43</v>
      </c>
      <c r="B1074">
        <v>1073</v>
      </c>
      <c r="C1074" t="s">
        <v>44</v>
      </c>
      <c r="J1074" t="s">
        <v>54</v>
      </c>
      <c r="K1074" t="s">
        <v>55</v>
      </c>
      <c r="L1074" t="s">
        <v>1386</v>
      </c>
      <c r="AJ1074">
        <v>1</v>
      </c>
      <c r="AK1074" t="s">
        <v>1247</v>
      </c>
    </row>
    <row r="1075" spans="1:37" x14ac:dyDescent="0.25">
      <c r="A1075" t="s">
        <v>43</v>
      </c>
      <c r="B1075">
        <v>1074</v>
      </c>
      <c r="C1075" t="s">
        <v>44</v>
      </c>
      <c r="J1075" t="s">
        <v>45</v>
      </c>
      <c r="K1075" t="s">
        <v>46</v>
      </c>
      <c r="L1075" t="s">
        <v>1387</v>
      </c>
      <c r="AJ1075">
        <v>1</v>
      </c>
      <c r="AK1075" t="s">
        <v>76</v>
      </c>
    </row>
    <row r="1076" spans="1:37" x14ac:dyDescent="0.25">
      <c r="A1076" t="s">
        <v>43</v>
      </c>
      <c r="B1076">
        <v>1075</v>
      </c>
      <c r="C1076" t="s">
        <v>44</v>
      </c>
      <c r="J1076" t="s">
        <v>45</v>
      </c>
      <c r="K1076" t="s">
        <v>46</v>
      </c>
      <c r="L1076" t="s">
        <v>1388</v>
      </c>
      <c r="AJ1076">
        <v>1</v>
      </c>
      <c r="AK1076" t="s">
        <v>49</v>
      </c>
    </row>
    <row r="1077" spans="1:37" x14ac:dyDescent="0.25">
      <c r="A1077" t="s">
        <v>43</v>
      </c>
      <c r="B1077">
        <v>1076</v>
      </c>
      <c r="C1077" t="s">
        <v>44</v>
      </c>
      <c r="J1077" t="s">
        <v>45</v>
      </c>
      <c r="K1077" t="s">
        <v>114</v>
      </c>
      <c r="L1077" t="s">
        <v>1389</v>
      </c>
      <c r="AJ1077">
        <v>1</v>
      </c>
      <c r="AK1077" t="s">
        <v>1170</v>
      </c>
    </row>
    <row r="1078" spans="1:37" x14ac:dyDescent="0.25">
      <c r="A1078" t="s">
        <v>43</v>
      </c>
      <c r="B1078">
        <v>1077</v>
      </c>
      <c r="C1078" t="s">
        <v>44</v>
      </c>
      <c r="J1078" t="s">
        <v>45</v>
      </c>
      <c r="K1078" t="s">
        <v>46</v>
      </c>
      <c r="L1078" t="s">
        <v>1390</v>
      </c>
      <c r="AJ1078">
        <v>1</v>
      </c>
      <c r="AK1078" t="s">
        <v>49</v>
      </c>
    </row>
    <row r="1079" spans="1:37" x14ac:dyDescent="0.25">
      <c r="A1079" t="s">
        <v>43</v>
      </c>
      <c r="B1079">
        <v>1078</v>
      </c>
      <c r="C1079" t="s">
        <v>44</v>
      </c>
      <c r="J1079" t="s">
        <v>45</v>
      </c>
      <c r="K1079" t="s">
        <v>46</v>
      </c>
      <c r="L1079" t="s">
        <v>1391</v>
      </c>
      <c r="AJ1079">
        <v>1</v>
      </c>
      <c r="AK1079" t="s">
        <v>76</v>
      </c>
    </row>
    <row r="1080" spans="1:37" x14ac:dyDescent="0.25">
      <c r="A1080" t="s">
        <v>43</v>
      </c>
      <c r="B1080">
        <v>1079</v>
      </c>
      <c r="C1080" t="s">
        <v>44</v>
      </c>
      <c r="J1080" t="s">
        <v>45</v>
      </c>
      <c r="K1080" t="s">
        <v>114</v>
      </c>
      <c r="L1080" t="s">
        <v>1392</v>
      </c>
      <c r="AJ1080">
        <v>1</v>
      </c>
      <c r="AK1080" t="s">
        <v>1170</v>
      </c>
    </row>
    <row r="1081" spans="1:37" x14ac:dyDescent="0.25">
      <c r="A1081" t="s">
        <v>43</v>
      </c>
      <c r="B1081">
        <v>1080</v>
      </c>
      <c r="C1081" t="s">
        <v>44</v>
      </c>
      <c r="J1081" t="s">
        <v>45</v>
      </c>
      <c r="K1081" t="s">
        <v>46</v>
      </c>
      <c r="L1081" t="s">
        <v>1393</v>
      </c>
      <c r="AJ1081">
        <v>1</v>
      </c>
      <c r="AK1081" t="s">
        <v>76</v>
      </c>
    </row>
    <row r="1082" spans="1:37" x14ac:dyDescent="0.25">
      <c r="A1082" t="s">
        <v>43</v>
      </c>
      <c r="B1082">
        <v>1081</v>
      </c>
      <c r="C1082" t="s">
        <v>44</v>
      </c>
      <c r="J1082" t="s">
        <v>45</v>
      </c>
      <c r="K1082" t="s">
        <v>46</v>
      </c>
      <c r="L1082" t="s">
        <v>1394</v>
      </c>
      <c r="AJ1082">
        <v>1</v>
      </c>
      <c r="AK1082" t="s">
        <v>76</v>
      </c>
    </row>
    <row r="1083" spans="1:37" x14ac:dyDescent="0.25">
      <c r="A1083" t="s">
        <v>43</v>
      </c>
      <c r="B1083">
        <v>1082</v>
      </c>
      <c r="C1083" t="s">
        <v>44</v>
      </c>
      <c r="J1083" t="s">
        <v>1395</v>
      </c>
      <c r="K1083" t="s">
        <v>114</v>
      </c>
      <c r="L1083" t="s">
        <v>1396</v>
      </c>
      <c r="M1083" t="s">
        <v>1397</v>
      </c>
      <c r="AJ1083">
        <v>1</v>
      </c>
      <c r="AK1083" t="s">
        <v>53</v>
      </c>
    </row>
    <row r="1084" spans="1:37" x14ac:dyDescent="0.25">
      <c r="A1084" t="s">
        <v>43</v>
      </c>
      <c r="B1084">
        <v>1083</v>
      </c>
      <c r="C1084" t="s">
        <v>44</v>
      </c>
      <c r="J1084" t="s">
        <v>1395</v>
      </c>
      <c r="K1084" t="s">
        <v>114</v>
      </c>
      <c r="L1084" t="s">
        <v>1396</v>
      </c>
      <c r="M1084" t="s">
        <v>1398</v>
      </c>
      <c r="AJ1084">
        <v>1</v>
      </c>
      <c r="AK1084" t="s">
        <v>190</v>
      </c>
    </row>
    <row r="1085" spans="1:37" x14ac:dyDescent="0.25">
      <c r="A1085" t="s">
        <v>43</v>
      </c>
      <c r="B1085">
        <v>1084</v>
      </c>
      <c r="C1085" t="s">
        <v>44</v>
      </c>
      <c r="J1085" t="s">
        <v>1395</v>
      </c>
      <c r="K1085" t="s">
        <v>114</v>
      </c>
      <c r="L1085" t="s">
        <v>1396</v>
      </c>
      <c r="M1085" t="s">
        <v>1399</v>
      </c>
      <c r="AJ1085">
        <v>1</v>
      </c>
      <c r="AK1085" t="s">
        <v>190</v>
      </c>
    </row>
    <row r="1086" spans="1:37" x14ac:dyDescent="0.25">
      <c r="A1086" t="s">
        <v>43</v>
      </c>
      <c r="B1086">
        <v>1085</v>
      </c>
      <c r="C1086" t="s">
        <v>44</v>
      </c>
      <c r="J1086" t="s">
        <v>1395</v>
      </c>
      <c r="K1086" t="s">
        <v>114</v>
      </c>
      <c r="L1086" t="s">
        <v>1396</v>
      </c>
      <c r="M1086" t="s">
        <v>1400</v>
      </c>
      <c r="AJ1086">
        <v>1</v>
      </c>
      <c r="AK1086" t="s">
        <v>53</v>
      </c>
    </row>
    <row r="1087" spans="1:37" x14ac:dyDescent="0.25">
      <c r="A1087" t="s">
        <v>43</v>
      </c>
      <c r="B1087">
        <v>1086</v>
      </c>
      <c r="C1087" t="s">
        <v>44</v>
      </c>
      <c r="J1087" t="s">
        <v>45</v>
      </c>
      <c r="K1087" t="s">
        <v>46</v>
      </c>
      <c r="L1087" t="s">
        <v>1401</v>
      </c>
      <c r="M1087" t="s">
        <v>48</v>
      </c>
      <c r="AJ1087">
        <v>1</v>
      </c>
      <c r="AK1087" t="s">
        <v>209</v>
      </c>
    </row>
    <row r="1088" spans="1:37" x14ac:dyDescent="0.25">
      <c r="A1088" t="s">
        <v>43</v>
      </c>
      <c r="B1088">
        <v>1087</v>
      </c>
      <c r="C1088" t="s">
        <v>44</v>
      </c>
      <c r="J1088" t="s">
        <v>45</v>
      </c>
      <c r="K1088" t="s">
        <v>55</v>
      </c>
      <c r="L1088" t="s">
        <v>1402</v>
      </c>
      <c r="M1088" t="s">
        <v>48</v>
      </c>
      <c r="AJ1088">
        <v>1</v>
      </c>
      <c r="AK1088" t="s">
        <v>946</v>
      </c>
    </row>
    <row r="1089" spans="1:37" x14ac:dyDescent="0.25">
      <c r="A1089" t="s">
        <v>43</v>
      </c>
      <c r="B1089">
        <v>1088</v>
      </c>
      <c r="C1089" t="s">
        <v>44</v>
      </c>
      <c r="J1089" t="s">
        <v>45</v>
      </c>
      <c r="K1089" t="s">
        <v>1403</v>
      </c>
      <c r="L1089" t="s">
        <v>1396</v>
      </c>
      <c r="M1089" t="s">
        <v>1404</v>
      </c>
      <c r="AJ1089">
        <v>1</v>
      </c>
      <c r="AK1089" t="s">
        <v>1405</v>
      </c>
    </row>
    <row r="1090" spans="1:37" x14ac:dyDescent="0.25">
      <c r="A1090" t="s">
        <v>43</v>
      </c>
      <c r="B1090">
        <v>1089</v>
      </c>
      <c r="C1090" t="s">
        <v>44</v>
      </c>
      <c r="J1090" t="s">
        <v>45</v>
      </c>
      <c r="K1090" t="s">
        <v>1403</v>
      </c>
      <c r="L1090" t="s">
        <v>1396</v>
      </c>
      <c r="M1090" t="s">
        <v>1406</v>
      </c>
      <c r="AJ1090">
        <v>1</v>
      </c>
      <c r="AK1090" t="s">
        <v>1405</v>
      </c>
    </row>
    <row r="1091" spans="1:37" x14ac:dyDescent="0.25">
      <c r="A1091" t="s">
        <v>43</v>
      </c>
      <c r="B1091">
        <v>1090</v>
      </c>
      <c r="C1091" t="s">
        <v>44</v>
      </c>
      <c r="J1091" t="s">
        <v>45</v>
      </c>
      <c r="K1091" t="s">
        <v>1403</v>
      </c>
      <c r="L1091" t="s">
        <v>1396</v>
      </c>
      <c r="M1091" t="s">
        <v>1407</v>
      </c>
      <c r="AJ1091">
        <v>1</v>
      </c>
      <c r="AK1091" t="s">
        <v>1408</v>
      </c>
    </row>
    <row r="1092" spans="1:37" x14ac:dyDescent="0.25">
      <c r="A1092" t="s">
        <v>43</v>
      </c>
      <c r="B1092">
        <v>1091</v>
      </c>
      <c r="C1092" t="s">
        <v>44</v>
      </c>
      <c r="J1092" t="s">
        <v>45</v>
      </c>
      <c r="K1092" t="s">
        <v>1403</v>
      </c>
      <c r="L1092" t="s">
        <v>1396</v>
      </c>
      <c r="M1092" t="s">
        <v>1409</v>
      </c>
      <c r="AJ1092">
        <v>1</v>
      </c>
      <c r="AK1092" t="s">
        <v>53</v>
      </c>
    </row>
    <row r="1093" spans="1:37" x14ac:dyDescent="0.25">
      <c r="A1093" t="s">
        <v>43</v>
      </c>
      <c r="B1093">
        <v>1092</v>
      </c>
      <c r="C1093" t="s">
        <v>44</v>
      </c>
      <c r="J1093" t="s">
        <v>45</v>
      </c>
      <c r="K1093" t="s">
        <v>1403</v>
      </c>
      <c r="L1093" t="s">
        <v>1396</v>
      </c>
      <c r="M1093" t="s">
        <v>1410</v>
      </c>
      <c r="AJ1093">
        <v>1</v>
      </c>
      <c r="AK1093" t="s">
        <v>209</v>
      </c>
    </row>
    <row r="1094" spans="1:37" x14ac:dyDescent="0.25">
      <c r="A1094" t="s">
        <v>43</v>
      </c>
      <c r="B1094">
        <v>1093</v>
      </c>
      <c r="C1094" t="s">
        <v>44</v>
      </c>
      <c r="J1094" t="s">
        <v>45</v>
      </c>
      <c r="K1094" t="s">
        <v>1403</v>
      </c>
      <c r="L1094" t="s">
        <v>1396</v>
      </c>
      <c r="M1094" t="s">
        <v>1411</v>
      </c>
      <c r="AJ1094">
        <v>1</v>
      </c>
      <c r="AK1094" t="s">
        <v>1405</v>
      </c>
    </row>
    <row r="1095" spans="1:37" x14ac:dyDescent="0.25">
      <c r="A1095" t="s">
        <v>43</v>
      </c>
      <c r="B1095">
        <v>1094</v>
      </c>
      <c r="C1095" t="s">
        <v>44</v>
      </c>
      <c r="J1095" t="s">
        <v>45</v>
      </c>
      <c r="K1095" t="s">
        <v>1403</v>
      </c>
      <c r="L1095" t="s">
        <v>1396</v>
      </c>
      <c r="M1095" t="s">
        <v>1412</v>
      </c>
      <c r="AJ1095">
        <v>1</v>
      </c>
      <c r="AK1095" t="s">
        <v>209</v>
      </c>
    </row>
    <row r="1096" spans="1:37" x14ac:dyDescent="0.25">
      <c r="A1096" t="s">
        <v>43</v>
      </c>
      <c r="B1096">
        <v>1095</v>
      </c>
      <c r="C1096" t="s">
        <v>44</v>
      </c>
      <c r="J1096" t="s">
        <v>45</v>
      </c>
      <c r="K1096" t="s">
        <v>1403</v>
      </c>
      <c r="L1096" t="s">
        <v>1396</v>
      </c>
      <c r="M1096" t="s">
        <v>1413</v>
      </c>
      <c r="AJ1096">
        <v>1</v>
      </c>
      <c r="AK1096" t="s">
        <v>1215</v>
      </c>
    </row>
    <row r="1097" spans="1:37" x14ac:dyDescent="0.25">
      <c r="A1097" t="s">
        <v>43</v>
      </c>
      <c r="B1097">
        <v>1096</v>
      </c>
      <c r="C1097" t="s">
        <v>44</v>
      </c>
      <c r="J1097" t="s">
        <v>45</v>
      </c>
      <c r="K1097" t="s">
        <v>1403</v>
      </c>
      <c r="L1097" t="s">
        <v>1396</v>
      </c>
      <c r="M1097" t="s">
        <v>1414</v>
      </c>
      <c r="AJ1097">
        <v>1</v>
      </c>
      <c r="AK1097" t="s">
        <v>1215</v>
      </c>
    </row>
    <row r="1098" spans="1:37" x14ac:dyDescent="0.25">
      <c r="A1098" t="s">
        <v>43</v>
      </c>
      <c r="B1098">
        <v>1097</v>
      </c>
      <c r="C1098" t="s">
        <v>44</v>
      </c>
      <c r="J1098" t="s">
        <v>45</v>
      </c>
      <c r="K1098" t="s">
        <v>1403</v>
      </c>
      <c r="L1098" t="s">
        <v>1396</v>
      </c>
      <c r="M1098" t="s">
        <v>1415</v>
      </c>
      <c r="AJ1098">
        <v>1</v>
      </c>
      <c r="AK1098" t="s">
        <v>1405</v>
      </c>
    </row>
    <row r="1099" spans="1:37" x14ac:dyDescent="0.25">
      <c r="A1099" t="s">
        <v>43</v>
      </c>
      <c r="B1099">
        <v>1098</v>
      </c>
      <c r="C1099" t="s">
        <v>44</v>
      </c>
      <c r="J1099" t="s">
        <v>45</v>
      </c>
      <c r="K1099" t="s">
        <v>1403</v>
      </c>
      <c r="L1099" t="s">
        <v>1396</v>
      </c>
      <c r="M1099" t="s">
        <v>1416</v>
      </c>
      <c r="AJ1099">
        <v>1</v>
      </c>
      <c r="AK1099" t="s">
        <v>49</v>
      </c>
    </row>
    <row r="1100" spans="1:37" x14ac:dyDescent="0.25">
      <c r="A1100" t="s">
        <v>43</v>
      </c>
      <c r="B1100">
        <v>1099</v>
      </c>
      <c r="C1100" t="s">
        <v>44</v>
      </c>
      <c r="J1100" t="s">
        <v>45</v>
      </c>
      <c r="K1100" t="s">
        <v>1403</v>
      </c>
      <c r="L1100" t="s">
        <v>1396</v>
      </c>
      <c r="M1100" t="s">
        <v>1417</v>
      </c>
      <c r="AJ1100">
        <v>1</v>
      </c>
      <c r="AK1100" t="s">
        <v>1405</v>
      </c>
    </row>
    <row r="1101" spans="1:37" x14ac:dyDescent="0.25">
      <c r="A1101" t="s">
        <v>43</v>
      </c>
      <c r="B1101">
        <v>1100</v>
      </c>
      <c r="C1101" t="s">
        <v>44</v>
      </c>
      <c r="J1101" t="s">
        <v>45</v>
      </c>
      <c r="K1101" t="s">
        <v>1403</v>
      </c>
      <c r="L1101" t="s">
        <v>1396</v>
      </c>
      <c r="M1101" t="s">
        <v>1418</v>
      </c>
      <c r="AJ1101">
        <v>1</v>
      </c>
      <c r="AK1101" t="s">
        <v>1405</v>
      </c>
    </row>
    <row r="1102" spans="1:37" x14ac:dyDescent="0.25">
      <c r="A1102" t="s">
        <v>43</v>
      </c>
      <c r="B1102">
        <v>1101</v>
      </c>
      <c r="C1102" t="s">
        <v>44</v>
      </c>
      <c r="J1102" t="s">
        <v>45</v>
      </c>
      <c r="K1102" t="s">
        <v>1403</v>
      </c>
      <c r="L1102" t="s">
        <v>1396</v>
      </c>
      <c r="M1102" t="s">
        <v>1419</v>
      </c>
      <c r="AJ1102">
        <v>1</v>
      </c>
      <c r="AK1102" t="s">
        <v>1195</v>
      </c>
    </row>
    <row r="1103" spans="1:37" x14ac:dyDescent="0.25">
      <c r="A1103" t="s">
        <v>43</v>
      </c>
      <c r="B1103">
        <v>1102</v>
      </c>
      <c r="C1103" t="s">
        <v>44</v>
      </c>
      <c r="J1103" t="s">
        <v>45</v>
      </c>
      <c r="K1103" t="s">
        <v>1403</v>
      </c>
      <c r="L1103" t="s">
        <v>1396</v>
      </c>
      <c r="M1103" t="s">
        <v>1420</v>
      </c>
      <c r="AJ1103">
        <v>1</v>
      </c>
      <c r="AK1103" t="s">
        <v>1405</v>
      </c>
    </row>
    <row r="1104" spans="1:37" x14ac:dyDescent="0.25">
      <c r="A1104" t="s">
        <v>43</v>
      </c>
      <c r="B1104">
        <v>1103</v>
      </c>
      <c r="C1104" t="s">
        <v>44</v>
      </c>
      <c r="J1104" t="s">
        <v>45</v>
      </c>
      <c r="K1104" t="s">
        <v>1403</v>
      </c>
      <c r="L1104" t="s">
        <v>1396</v>
      </c>
      <c r="M1104" t="s">
        <v>1421</v>
      </c>
      <c r="AJ1104">
        <v>1</v>
      </c>
      <c r="AK1104" t="s">
        <v>1405</v>
      </c>
    </row>
    <row r="1105" spans="1:37" x14ac:dyDescent="0.25">
      <c r="A1105" t="s">
        <v>43</v>
      </c>
      <c r="B1105">
        <v>1104</v>
      </c>
      <c r="C1105" t="s">
        <v>44</v>
      </c>
      <c r="J1105" t="s">
        <v>45</v>
      </c>
      <c r="K1105" t="s">
        <v>1403</v>
      </c>
      <c r="L1105" t="s">
        <v>1396</v>
      </c>
      <c r="M1105" t="s">
        <v>1422</v>
      </c>
      <c r="AJ1105">
        <v>1</v>
      </c>
      <c r="AK1105" t="s">
        <v>209</v>
      </c>
    </row>
    <row r="1106" spans="1:37" x14ac:dyDescent="0.25">
      <c r="A1106" t="s">
        <v>43</v>
      </c>
      <c r="B1106">
        <v>1105</v>
      </c>
      <c r="C1106" t="s">
        <v>44</v>
      </c>
      <c r="J1106" t="s">
        <v>45</v>
      </c>
      <c r="K1106" t="s">
        <v>1403</v>
      </c>
      <c r="L1106" t="s">
        <v>1396</v>
      </c>
      <c r="M1106" t="s">
        <v>1423</v>
      </c>
      <c r="AJ1106">
        <v>1</v>
      </c>
      <c r="AK1106" t="s">
        <v>1405</v>
      </c>
    </row>
    <row r="1107" spans="1:37" x14ac:dyDescent="0.25">
      <c r="A1107" t="s">
        <v>43</v>
      </c>
      <c r="B1107">
        <v>1106</v>
      </c>
      <c r="C1107" t="s">
        <v>44</v>
      </c>
      <c r="J1107" t="s">
        <v>45</v>
      </c>
      <c r="K1107" t="s">
        <v>1403</v>
      </c>
      <c r="L1107" t="s">
        <v>1396</v>
      </c>
      <c r="M1107" t="s">
        <v>1424</v>
      </c>
      <c r="AJ1107">
        <v>1</v>
      </c>
      <c r="AK1107" t="s">
        <v>1405</v>
      </c>
    </row>
    <row r="1108" spans="1:37" x14ac:dyDescent="0.25">
      <c r="A1108" t="s">
        <v>43</v>
      </c>
      <c r="B1108">
        <v>1107</v>
      </c>
      <c r="C1108" t="s">
        <v>44</v>
      </c>
      <c r="J1108" t="s">
        <v>45</v>
      </c>
      <c r="K1108" t="s">
        <v>1403</v>
      </c>
      <c r="L1108" t="s">
        <v>1396</v>
      </c>
      <c r="M1108" t="s">
        <v>1425</v>
      </c>
      <c r="AJ1108">
        <v>1</v>
      </c>
      <c r="AK1108" t="s">
        <v>209</v>
      </c>
    </row>
    <row r="1109" spans="1:37" x14ac:dyDescent="0.25">
      <c r="A1109" t="s">
        <v>43</v>
      </c>
      <c r="B1109">
        <v>1108</v>
      </c>
      <c r="C1109" t="s">
        <v>44</v>
      </c>
      <c r="J1109" t="s">
        <v>45</v>
      </c>
      <c r="K1109" t="s">
        <v>1403</v>
      </c>
      <c r="L1109" t="s">
        <v>1396</v>
      </c>
      <c r="M1109" t="s">
        <v>1426</v>
      </c>
      <c r="AJ1109">
        <v>1</v>
      </c>
      <c r="AK1109" t="s">
        <v>1405</v>
      </c>
    </row>
    <row r="1110" spans="1:37" x14ac:dyDescent="0.25">
      <c r="A1110" t="s">
        <v>43</v>
      </c>
      <c r="B1110">
        <v>1109</v>
      </c>
      <c r="C1110" t="s">
        <v>44</v>
      </c>
      <c r="J1110" t="s">
        <v>45</v>
      </c>
      <c r="K1110" t="s">
        <v>1403</v>
      </c>
      <c r="L1110" t="s">
        <v>1396</v>
      </c>
      <c r="M1110" t="s">
        <v>1427</v>
      </c>
      <c r="AJ1110">
        <v>1</v>
      </c>
      <c r="AK1110" t="s">
        <v>1405</v>
      </c>
    </row>
    <row r="1111" spans="1:37" x14ac:dyDescent="0.25">
      <c r="A1111" t="s">
        <v>43</v>
      </c>
      <c r="B1111">
        <v>1110</v>
      </c>
      <c r="C1111" t="s">
        <v>44</v>
      </c>
      <c r="J1111" t="s">
        <v>45</v>
      </c>
      <c r="K1111" t="s">
        <v>1403</v>
      </c>
      <c r="L1111" t="s">
        <v>1396</v>
      </c>
      <c r="M1111" t="s">
        <v>1428</v>
      </c>
      <c r="AJ1111">
        <v>1</v>
      </c>
      <c r="AK1111" t="s">
        <v>53</v>
      </c>
    </row>
    <row r="1112" spans="1:37" x14ac:dyDescent="0.25">
      <c r="A1112" t="s">
        <v>43</v>
      </c>
      <c r="B1112">
        <v>1111</v>
      </c>
      <c r="C1112" t="s">
        <v>44</v>
      </c>
      <c r="J1112" t="s">
        <v>45</v>
      </c>
      <c r="K1112" t="s">
        <v>1403</v>
      </c>
      <c r="L1112" t="s">
        <v>1396</v>
      </c>
      <c r="M1112" t="s">
        <v>1429</v>
      </c>
      <c r="AJ1112">
        <v>1</v>
      </c>
      <c r="AK1112" t="s">
        <v>209</v>
      </c>
    </row>
    <row r="1113" spans="1:37" x14ac:dyDescent="0.25">
      <c r="A1113" t="s">
        <v>43</v>
      </c>
      <c r="B1113">
        <v>1112</v>
      </c>
      <c r="C1113" t="s">
        <v>44</v>
      </c>
      <c r="J1113" t="s">
        <v>45</v>
      </c>
      <c r="K1113" t="s">
        <v>1403</v>
      </c>
      <c r="L1113" t="s">
        <v>1396</v>
      </c>
      <c r="M1113" t="s">
        <v>1430</v>
      </c>
      <c r="AJ1113">
        <v>1</v>
      </c>
      <c r="AK1113" t="s">
        <v>53</v>
      </c>
    </row>
    <row r="1114" spans="1:37" x14ac:dyDescent="0.25">
      <c r="A1114" t="s">
        <v>43</v>
      </c>
      <c r="B1114">
        <v>1113</v>
      </c>
      <c r="C1114" t="s">
        <v>44</v>
      </c>
      <c r="J1114" t="s">
        <v>45</v>
      </c>
      <c r="K1114" t="s">
        <v>1403</v>
      </c>
      <c r="L1114" t="s">
        <v>1396</v>
      </c>
      <c r="M1114" t="s">
        <v>1431</v>
      </c>
      <c r="AJ1114">
        <v>1</v>
      </c>
      <c r="AK1114" t="s">
        <v>1405</v>
      </c>
    </row>
    <row r="1115" spans="1:37" x14ac:dyDescent="0.25">
      <c r="A1115" t="s">
        <v>43</v>
      </c>
      <c r="B1115">
        <v>1114</v>
      </c>
      <c r="C1115" t="s">
        <v>44</v>
      </c>
      <c r="J1115" t="s">
        <v>45</v>
      </c>
      <c r="K1115" t="s">
        <v>1403</v>
      </c>
      <c r="L1115" t="s">
        <v>1396</v>
      </c>
      <c r="M1115" t="s">
        <v>1432</v>
      </c>
      <c r="AJ1115">
        <v>1</v>
      </c>
      <c r="AK1115" t="s">
        <v>1215</v>
      </c>
    </row>
    <row r="1116" spans="1:37" x14ac:dyDescent="0.25">
      <c r="A1116" t="s">
        <v>43</v>
      </c>
      <c r="B1116">
        <v>1115</v>
      </c>
      <c r="C1116" t="s">
        <v>44</v>
      </c>
      <c r="J1116" t="s">
        <v>45</v>
      </c>
      <c r="K1116" t="s">
        <v>1403</v>
      </c>
      <c r="L1116" t="s">
        <v>1396</v>
      </c>
      <c r="M1116" t="s">
        <v>1433</v>
      </c>
      <c r="AJ1116">
        <v>1</v>
      </c>
      <c r="AK1116" t="s">
        <v>1405</v>
      </c>
    </row>
    <row r="1117" spans="1:37" x14ac:dyDescent="0.25">
      <c r="A1117" t="s">
        <v>43</v>
      </c>
      <c r="B1117">
        <v>1116</v>
      </c>
      <c r="C1117" t="s">
        <v>44</v>
      </c>
      <c r="J1117" t="s">
        <v>45</v>
      </c>
      <c r="K1117" t="s">
        <v>1403</v>
      </c>
      <c r="L1117" t="s">
        <v>1396</v>
      </c>
      <c r="M1117" t="s">
        <v>1434</v>
      </c>
      <c r="AJ1117">
        <v>1</v>
      </c>
      <c r="AK1117" t="s">
        <v>1405</v>
      </c>
    </row>
    <row r="1118" spans="1:37" x14ac:dyDescent="0.25">
      <c r="A1118" t="s">
        <v>43</v>
      </c>
      <c r="B1118">
        <v>1117</v>
      </c>
      <c r="C1118" t="s">
        <v>44</v>
      </c>
      <c r="J1118" t="s">
        <v>45</v>
      </c>
      <c r="K1118" t="s">
        <v>1403</v>
      </c>
      <c r="L1118" t="s">
        <v>1396</v>
      </c>
      <c r="M1118" t="s">
        <v>1435</v>
      </c>
      <c r="AJ1118">
        <v>1</v>
      </c>
      <c r="AK1118" t="s">
        <v>209</v>
      </c>
    </row>
    <row r="1119" spans="1:37" x14ac:dyDescent="0.25">
      <c r="A1119" t="s">
        <v>43</v>
      </c>
      <c r="B1119">
        <v>1118</v>
      </c>
      <c r="C1119" t="s">
        <v>44</v>
      </c>
      <c r="J1119" t="s">
        <v>45</v>
      </c>
      <c r="K1119" t="s">
        <v>1403</v>
      </c>
      <c r="L1119" t="s">
        <v>1396</v>
      </c>
      <c r="M1119" t="s">
        <v>1436</v>
      </c>
      <c r="AJ1119">
        <v>1</v>
      </c>
      <c r="AK1119" t="s">
        <v>1405</v>
      </c>
    </row>
    <row r="1120" spans="1:37" x14ac:dyDescent="0.25">
      <c r="A1120" t="s">
        <v>43</v>
      </c>
      <c r="B1120">
        <v>1119</v>
      </c>
      <c r="C1120" t="s">
        <v>44</v>
      </c>
      <c r="J1120" t="s">
        <v>45</v>
      </c>
      <c r="K1120" t="s">
        <v>1403</v>
      </c>
      <c r="L1120" t="s">
        <v>1396</v>
      </c>
      <c r="M1120" t="s">
        <v>1437</v>
      </c>
      <c r="AJ1120">
        <v>1</v>
      </c>
      <c r="AK1120" t="s">
        <v>1405</v>
      </c>
    </row>
    <row r="1121" spans="1:37" x14ac:dyDescent="0.25">
      <c r="A1121" t="s">
        <v>43</v>
      </c>
      <c r="B1121">
        <v>1120</v>
      </c>
      <c r="C1121" t="s">
        <v>44</v>
      </c>
      <c r="J1121" t="s">
        <v>45</v>
      </c>
      <c r="K1121" t="s">
        <v>1403</v>
      </c>
      <c r="L1121" t="s">
        <v>1396</v>
      </c>
      <c r="M1121" t="s">
        <v>1438</v>
      </c>
      <c r="AJ1121">
        <v>1</v>
      </c>
      <c r="AK1121" t="s">
        <v>53</v>
      </c>
    </row>
    <row r="1122" spans="1:37" x14ac:dyDescent="0.25">
      <c r="A1122" t="s">
        <v>43</v>
      </c>
      <c r="B1122">
        <v>1121</v>
      </c>
      <c r="C1122" t="s">
        <v>44</v>
      </c>
      <c r="J1122" t="s">
        <v>45</v>
      </c>
      <c r="K1122" t="s">
        <v>1403</v>
      </c>
      <c r="L1122" t="s">
        <v>1396</v>
      </c>
      <c r="M1122" t="s">
        <v>1439</v>
      </c>
      <c r="AJ1122">
        <v>1</v>
      </c>
      <c r="AK1122" t="s">
        <v>1405</v>
      </c>
    </row>
    <row r="1123" spans="1:37" x14ac:dyDescent="0.25">
      <c r="A1123" t="s">
        <v>43</v>
      </c>
      <c r="B1123">
        <v>1122</v>
      </c>
      <c r="C1123" t="s">
        <v>44</v>
      </c>
      <c r="J1123" t="s">
        <v>45</v>
      </c>
      <c r="K1123" t="s">
        <v>1403</v>
      </c>
      <c r="L1123" t="s">
        <v>1396</v>
      </c>
      <c r="M1123" t="s">
        <v>1440</v>
      </c>
      <c r="AJ1123">
        <v>1</v>
      </c>
      <c r="AK1123" t="s">
        <v>53</v>
      </c>
    </row>
    <row r="1124" spans="1:37" x14ac:dyDescent="0.25">
      <c r="A1124" t="s">
        <v>43</v>
      </c>
      <c r="B1124">
        <v>1123</v>
      </c>
      <c r="C1124" t="s">
        <v>44</v>
      </c>
      <c r="J1124" t="s">
        <v>45</v>
      </c>
      <c r="K1124" t="s">
        <v>1403</v>
      </c>
      <c r="L1124" t="s">
        <v>1396</v>
      </c>
      <c r="M1124" t="s">
        <v>1441</v>
      </c>
      <c r="AJ1124">
        <v>1</v>
      </c>
      <c r="AK1124" t="s">
        <v>1405</v>
      </c>
    </row>
    <row r="1125" spans="1:37" x14ac:dyDescent="0.25">
      <c r="A1125" t="s">
        <v>43</v>
      </c>
      <c r="B1125">
        <v>1124</v>
      </c>
      <c r="C1125" t="s">
        <v>44</v>
      </c>
      <c r="J1125" t="s">
        <v>45</v>
      </c>
      <c r="K1125" t="s">
        <v>1403</v>
      </c>
      <c r="L1125" t="s">
        <v>1396</v>
      </c>
      <c r="M1125" t="s">
        <v>1442</v>
      </c>
      <c r="AJ1125">
        <v>1</v>
      </c>
      <c r="AK1125" t="s">
        <v>53</v>
      </c>
    </row>
    <row r="1126" spans="1:37" x14ac:dyDescent="0.25">
      <c r="A1126" t="s">
        <v>43</v>
      </c>
      <c r="B1126">
        <v>1125</v>
      </c>
      <c r="C1126" t="s">
        <v>44</v>
      </c>
      <c r="J1126" t="s">
        <v>45</v>
      </c>
      <c r="K1126" t="s">
        <v>1403</v>
      </c>
      <c r="L1126" t="s">
        <v>1396</v>
      </c>
      <c r="M1126" t="s">
        <v>1443</v>
      </c>
      <c r="AJ1126">
        <v>1</v>
      </c>
      <c r="AK1126" t="s">
        <v>53</v>
      </c>
    </row>
    <row r="1127" spans="1:37" x14ac:dyDescent="0.25">
      <c r="A1127" t="s">
        <v>43</v>
      </c>
      <c r="B1127">
        <v>1126</v>
      </c>
      <c r="C1127" t="s">
        <v>44</v>
      </c>
      <c r="J1127" t="s">
        <v>45</v>
      </c>
      <c r="K1127" t="s">
        <v>1403</v>
      </c>
      <c r="L1127" t="s">
        <v>1396</v>
      </c>
      <c r="M1127" t="s">
        <v>1444</v>
      </c>
      <c r="AJ1127">
        <v>1</v>
      </c>
      <c r="AK1127" t="s">
        <v>1405</v>
      </c>
    </row>
    <row r="1128" spans="1:37" x14ac:dyDescent="0.25">
      <c r="A1128" t="s">
        <v>43</v>
      </c>
      <c r="B1128">
        <v>1127</v>
      </c>
      <c r="C1128" t="s">
        <v>44</v>
      </c>
      <c r="J1128" t="s">
        <v>45</v>
      </c>
      <c r="K1128" t="s">
        <v>1403</v>
      </c>
      <c r="L1128" t="s">
        <v>1396</v>
      </c>
      <c r="M1128" t="s">
        <v>1445</v>
      </c>
      <c r="AJ1128">
        <v>1</v>
      </c>
      <c r="AK1128" t="s">
        <v>1215</v>
      </c>
    </row>
    <row r="1129" spans="1:37" x14ac:dyDescent="0.25">
      <c r="A1129" t="s">
        <v>43</v>
      </c>
      <c r="B1129">
        <v>1128</v>
      </c>
      <c r="C1129" t="s">
        <v>44</v>
      </c>
      <c r="J1129" t="s">
        <v>45</v>
      </c>
      <c r="K1129" t="s">
        <v>1403</v>
      </c>
      <c r="L1129" t="s">
        <v>1396</v>
      </c>
      <c r="M1129" t="s">
        <v>1446</v>
      </c>
      <c r="AJ1129">
        <v>1</v>
      </c>
      <c r="AK1129" t="s">
        <v>53</v>
      </c>
    </row>
    <row r="1130" spans="1:37" x14ac:dyDescent="0.25">
      <c r="A1130" t="s">
        <v>43</v>
      </c>
      <c r="B1130">
        <v>1129</v>
      </c>
      <c r="C1130" t="s">
        <v>44</v>
      </c>
      <c r="J1130" t="s">
        <v>45</v>
      </c>
      <c r="K1130" t="s">
        <v>1403</v>
      </c>
      <c r="L1130" t="s">
        <v>1396</v>
      </c>
      <c r="M1130" t="s">
        <v>1447</v>
      </c>
      <c r="AJ1130">
        <v>1</v>
      </c>
      <c r="AK1130" t="s">
        <v>53</v>
      </c>
    </row>
    <row r="1131" spans="1:37" x14ac:dyDescent="0.25">
      <c r="A1131" t="s">
        <v>43</v>
      </c>
      <c r="B1131">
        <v>1130</v>
      </c>
      <c r="C1131" t="s">
        <v>44</v>
      </c>
      <c r="J1131" t="s">
        <v>45</v>
      </c>
      <c r="K1131" t="s">
        <v>1403</v>
      </c>
      <c r="L1131" t="s">
        <v>1396</v>
      </c>
      <c r="M1131" t="s">
        <v>1448</v>
      </c>
      <c r="AJ1131">
        <v>1</v>
      </c>
      <c r="AK1131" t="s">
        <v>53</v>
      </c>
    </row>
    <row r="1132" spans="1:37" x14ac:dyDescent="0.25">
      <c r="A1132" t="s">
        <v>43</v>
      </c>
      <c r="B1132">
        <v>1131</v>
      </c>
      <c r="C1132" t="s">
        <v>44</v>
      </c>
      <c r="J1132" t="s">
        <v>45</v>
      </c>
      <c r="K1132" t="s">
        <v>1403</v>
      </c>
      <c r="L1132" t="s">
        <v>1396</v>
      </c>
      <c r="M1132" t="s">
        <v>1449</v>
      </c>
      <c r="AJ1132">
        <v>1</v>
      </c>
      <c r="AK1132" t="s">
        <v>53</v>
      </c>
    </row>
    <row r="1133" spans="1:37" x14ac:dyDescent="0.25">
      <c r="A1133" t="s">
        <v>43</v>
      </c>
      <c r="B1133">
        <v>1132</v>
      </c>
      <c r="C1133" t="s">
        <v>44</v>
      </c>
      <c r="J1133" t="s">
        <v>45</v>
      </c>
      <c r="K1133" t="s">
        <v>1403</v>
      </c>
      <c r="L1133" t="s">
        <v>1396</v>
      </c>
      <c r="M1133" t="s">
        <v>1450</v>
      </c>
      <c r="AJ1133">
        <v>1</v>
      </c>
      <c r="AK1133" t="s">
        <v>209</v>
      </c>
    </row>
    <row r="1134" spans="1:37" x14ac:dyDescent="0.25">
      <c r="A1134" t="s">
        <v>43</v>
      </c>
      <c r="B1134">
        <v>1133</v>
      </c>
      <c r="C1134" t="s">
        <v>44</v>
      </c>
      <c r="J1134" t="s">
        <v>45</v>
      </c>
      <c r="K1134" t="s">
        <v>1403</v>
      </c>
      <c r="L1134" t="s">
        <v>1396</v>
      </c>
      <c r="M1134" t="s">
        <v>1451</v>
      </c>
      <c r="AJ1134">
        <v>1</v>
      </c>
      <c r="AK1134" t="s">
        <v>49</v>
      </c>
    </row>
    <row r="1135" spans="1:37" x14ac:dyDescent="0.25">
      <c r="A1135" t="s">
        <v>43</v>
      </c>
      <c r="B1135">
        <v>1134</v>
      </c>
      <c r="C1135" t="s">
        <v>44</v>
      </c>
      <c r="J1135" t="s">
        <v>45</v>
      </c>
      <c r="K1135" t="s">
        <v>1403</v>
      </c>
      <c r="L1135" t="s">
        <v>1396</v>
      </c>
      <c r="M1135" t="s">
        <v>1452</v>
      </c>
      <c r="AJ1135">
        <v>1</v>
      </c>
      <c r="AK1135" t="s">
        <v>1405</v>
      </c>
    </row>
    <row r="1136" spans="1:37" x14ac:dyDescent="0.25">
      <c r="A1136" t="s">
        <v>43</v>
      </c>
      <c r="B1136">
        <v>1135</v>
      </c>
      <c r="C1136" t="s">
        <v>44</v>
      </c>
      <c r="J1136" t="s">
        <v>45</v>
      </c>
      <c r="K1136" t="s">
        <v>1403</v>
      </c>
      <c r="L1136" t="s">
        <v>1396</v>
      </c>
      <c r="M1136" t="s">
        <v>1453</v>
      </c>
      <c r="AJ1136">
        <v>1</v>
      </c>
      <c r="AK1136" t="s">
        <v>53</v>
      </c>
    </row>
    <row r="1137" spans="1:37" x14ac:dyDescent="0.25">
      <c r="A1137" t="s">
        <v>43</v>
      </c>
      <c r="B1137">
        <v>1136</v>
      </c>
      <c r="C1137" t="s">
        <v>44</v>
      </c>
      <c r="J1137" t="s">
        <v>45</v>
      </c>
      <c r="K1137" t="s">
        <v>1403</v>
      </c>
      <c r="L1137" t="s">
        <v>1396</v>
      </c>
      <c r="M1137" t="s">
        <v>1454</v>
      </c>
      <c r="AJ1137">
        <v>1</v>
      </c>
      <c r="AK1137" t="s">
        <v>1455</v>
      </c>
    </row>
    <row r="1138" spans="1:37" x14ac:dyDescent="0.25">
      <c r="A1138" t="s">
        <v>43</v>
      </c>
      <c r="B1138">
        <v>1137</v>
      </c>
      <c r="C1138" t="s">
        <v>44</v>
      </c>
      <c r="J1138" t="s">
        <v>45</v>
      </c>
      <c r="K1138" t="s">
        <v>1403</v>
      </c>
      <c r="L1138" t="s">
        <v>1396</v>
      </c>
      <c r="M1138" t="s">
        <v>1456</v>
      </c>
      <c r="AJ1138">
        <v>1</v>
      </c>
      <c r="AK1138" t="s">
        <v>1195</v>
      </c>
    </row>
    <row r="1139" spans="1:37" x14ac:dyDescent="0.25">
      <c r="A1139" t="s">
        <v>43</v>
      </c>
      <c r="B1139">
        <v>1138</v>
      </c>
      <c r="C1139" t="s">
        <v>44</v>
      </c>
      <c r="J1139" t="s">
        <v>45</v>
      </c>
      <c r="K1139" t="s">
        <v>1403</v>
      </c>
      <c r="L1139" t="s">
        <v>1396</v>
      </c>
      <c r="M1139" t="s">
        <v>1457</v>
      </c>
      <c r="AJ1139">
        <v>1</v>
      </c>
      <c r="AK1139" t="s">
        <v>1405</v>
      </c>
    </row>
    <row r="1140" spans="1:37" x14ac:dyDescent="0.25">
      <c r="A1140" t="s">
        <v>43</v>
      </c>
      <c r="B1140">
        <v>1139</v>
      </c>
      <c r="C1140" t="s">
        <v>44</v>
      </c>
      <c r="J1140" t="s">
        <v>45</v>
      </c>
      <c r="K1140" t="s">
        <v>1403</v>
      </c>
      <c r="L1140" t="s">
        <v>1396</v>
      </c>
      <c r="M1140" t="s">
        <v>1458</v>
      </c>
      <c r="AJ1140">
        <v>1</v>
      </c>
      <c r="AK1140" t="s">
        <v>1405</v>
      </c>
    </row>
    <row r="1141" spans="1:37" x14ac:dyDescent="0.25">
      <c r="A1141" t="s">
        <v>43</v>
      </c>
      <c r="B1141">
        <v>1140</v>
      </c>
      <c r="C1141" t="s">
        <v>44</v>
      </c>
      <c r="J1141" t="s">
        <v>45</v>
      </c>
      <c r="K1141" t="s">
        <v>1403</v>
      </c>
      <c r="L1141" t="s">
        <v>1396</v>
      </c>
      <c r="M1141" t="s">
        <v>1459</v>
      </c>
      <c r="AJ1141">
        <v>1</v>
      </c>
      <c r="AK1141" t="s">
        <v>1405</v>
      </c>
    </row>
    <row r="1142" spans="1:37" x14ac:dyDescent="0.25">
      <c r="A1142" t="s">
        <v>43</v>
      </c>
      <c r="B1142">
        <v>1141</v>
      </c>
      <c r="C1142" t="s">
        <v>44</v>
      </c>
      <c r="J1142" t="s">
        <v>45</v>
      </c>
      <c r="K1142" t="s">
        <v>1403</v>
      </c>
      <c r="L1142" t="s">
        <v>1396</v>
      </c>
      <c r="M1142" t="s">
        <v>1460</v>
      </c>
      <c r="AJ1142">
        <v>1</v>
      </c>
      <c r="AK1142" t="s">
        <v>1405</v>
      </c>
    </row>
    <row r="1143" spans="1:37" x14ac:dyDescent="0.25">
      <c r="A1143" t="s">
        <v>43</v>
      </c>
      <c r="B1143">
        <v>1142</v>
      </c>
      <c r="C1143" t="s">
        <v>44</v>
      </c>
      <c r="J1143" t="s">
        <v>45</v>
      </c>
      <c r="K1143" t="s">
        <v>1403</v>
      </c>
      <c r="L1143" t="s">
        <v>1396</v>
      </c>
      <c r="M1143" t="s">
        <v>1461</v>
      </c>
      <c r="AJ1143">
        <v>1</v>
      </c>
      <c r="AK1143" t="s">
        <v>1405</v>
      </c>
    </row>
    <row r="1144" spans="1:37" x14ac:dyDescent="0.25">
      <c r="A1144" t="s">
        <v>43</v>
      </c>
      <c r="B1144">
        <v>1143</v>
      </c>
      <c r="C1144" t="s">
        <v>44</v>
      </c>
      <c r="J1144" t="s">
        <v>45</v>
      </c>
      <c r="K1144" t="s">
        <v>1403</v>
      </c>
      <c r="L1144" t="s">
        <v>1396</v>
      </c>
      <c r="M1144" t="s">
        <v>1462</v>
      </c>
      <c r="AJ1144">
        <v>1</v>
      </c>
      <c r="AK1144" t="s">
        <v>1405</v>
      </c>
    </row>
    <row r="1145" spans="1:37" x14ac:dyDescent="0.25">
      <c r="A1145" t="s">
        <v>43</v>
      </c>
      <c r="B1145">
        <v>1144</v>
      </c>
      <c r="C1145" t="s">
        <v>44</v>
      </c>
      <c r="J1145" t="s">
        <v>45</v>
      </c>
      <c r="K1145" t="s">
        <v>1403</v>
      </c>
      <c r="L1145" t="s">
        <v>1396</v>
      </c>
      <c r="M1145" t="s">
        <v>1463</v>
      </c>
      <c r="AJ1145">
        <v>1</v>
      </c>
      <c r="AK1145" t="s">
        <v>53</v>
      </c>
    </row>
    <row r="1146" spans="1:37" x14ac:dyDescent="0.25">
      <c r="A1146" t="s">
        <v>43</v>
      </c>
      <c r="B1146">
        <v>1145</v>
      </c>
      <c r="C1146" t="s">
        <v>44</v>
      </c>
      <c r="J1146" t="s">
        <v>45</v>
      </c>
      <c r="K1146" t="s">
        <v>1403</v>
      </c>
      <c r="L1146" t="s">
        <v>1396</v>
      </c>
      <c r="M1146" t="s">
        <v>1464</v>
      </c>
      <c r="AJ1146">
        <v>1</v>
      </c>
      <c r="AK1146" t="s">
        <v>53</v>
      </c>
    </row>
    <row r="1147" spans="1:37" x14ac:dyDescent="0.25">
      <c r="A1147" t="s">
        <v>43</v>
      </c>
      <c r="B1147">
        <v>1146</v>
      </c>
      <c r="C1147" t="s">
        <v>44</v>
      </c>
      <c r="J1147" t="s">
        <v>45</v>
      </c>
      <c r="K1147" t="s">
        <v>1403</v>
      </c>
      <c r="L1147" t="s">
        <v>1396</v>
      </c>
      <c r="M1147" t="s">
        <v>1465</v>
      </c>
      <c r="AJ1147">
        <v>1</v>
      </c>
      <c r="AK1147" t="s">
        <v>1405</v>
      </c>
    </row>
    <row r="1148" spans="1:37" x14ac:dyDescent="0.25">
      <c r="A1148" t="s">
        <v>43</v>
      </c>
      <c r="B1148">
        <v>1147</v>
      </c>
      <c r="C1148" t="s">
        <v>44</v>
      </c>
      <c r="J1148" t="s">
        <v>45</v>
      </c>
      <c r="K1148" t="s">
        <v>1403</v>
      </c>
      <c r="L1148" t="s">
        <v>1396</v>
      </c>
      <c r="M1148" t="s">
        <v>1466</v>
      </c>
      <c r="AJ1148">
        <v>1</v>
      </c>
      <c r="AK1148" t="s">
        <v>53</v>
      </c>
    </row>
    <row r="1149" spans="1:37" x14ac:dyDescent="0.25">
      <c r="A1149" t="s">
        <v>43</v>
      </c>
      <c r="B1149">
        <v>1148</v>
      </c>
      <c r="C1149" t="s">
        <v>44</v>
      </c>
      <c r="J1149" t="s">
        <v>45</v>
      </c>
      <c r="K1149" t="s">
        <v>1403</v>
      </c>
      <c r="L1149" t="s">
        <v>1396</v>
      </c>
      <c r="M1149" t="s">
        <v>1467</v>
      </c>
      <c r="AJ1149">
        <v>1</v>
      </c>
      <c r="AK1149" t="s">
        <v>1405</v>
      </c>
    </row>
    <row r="1150" spans="1:37" x14ac:dyDescent="0.25">
      <c r="A1150" t="s">
        <v>43</v>
      </c>
      <c r="B1150">
        <v>1149</v>
      </c>
      <c r="C1150" t="s">
        <v>44</v>
      </c>
      <c r="J1150" t="s">
        <v>45</v>
      </c>
      <c r="K1150" t="s">
        <v>1403</v>
      </c>
      <c r="L1150" t="s">
        <v>1396</v>
      </c>
      <c r="M1150" t="s">
        <v>1468</v>
      </c>
      <c r="AJ1150">
        <v>1</v>
      </c>
      <c r="AK1150" t="s">
        <v>1195</v>
      </c>
    </row>
    <row r="1151" spans="1:37" x14ac:dyDescent="0.25">
      <c r="A1151" t="s">
        <v>43</v>
      </c>
      <c r="B1151">
        <v>1150</v>
      </c>
      <c r="C1151" t="s">
        <v>44</v>
      </c>
      <c r="J1151" t="s">
        <v>45</v>
      </c>
      <c r="K1151" t="s">
        <v>1403</v>
      </c>
      <c r="L1151" t="s">
        <v>1396</v>
      </c>
      <c r="M1151" t="s">
        <v>1469</v>
      </c>
      <c r="AJ1151">
        <v>1</v>
      </c>
      <c r="AK1151" t="s">
        <v>53</v>
      </c>
    </row>
    <row r="1152" spans="1:37" x14ac:dyDescent="0.25">
      <c r="A1152" t="s">
        <v>43</v>
      </c>
      <c r="B1152">
        <v>1151</v>
      </c>
      <c r="C1152" t="s">
        <v>44</v>
      </c>
      <c r="J1152" t="s">
        <v>45</v>
      </c>
      <c r="K1152" t="s">
        <v>1403</v>
      </c>
      <c r="L1152" t="s">
        <v>1396</v>
      </c>
      <c r="M1152" t="s">
        <v>1470</v>
      </c>
      <c r="AJ1152">
        <v>1</v>
      </c>
      <c r="AK1152" t="s">
        <v>1215</v>
      </c>
    </row>
    <row r="1153" spans="1:37" x14ac:dyDescent="0.25">
      <c r="A1153" t="s">
        <v>43</v>
      </c>
      <c r="B1153">
        <v>1152</v>
      </c>
      <c r="C1153" t="s">
        <v>44</v>
      </c>
      <c r="J1153" t="s">
        <v>45</v>
      </c>
      <c r="K1153" t="s">
        <v>1403</v>
      </c>
      <c r="L1153" t="s">
        <v>1396</v>
      </c>
      <c r="M1153" t="s">
        <v>1471</v>
      </c>
      <c r="AJ1153">
        <v>1</v>
      </c>
      <c r="AK1153" t="s">
        <v>53</v>
      </c>
    </row>
    <row r="1154" spans="1:37" x14ac:dyDescent="0.25">
      <c r="A1154" t="s">
        <v>43</v>
      </c>
      <c r="B1154">
        <v>1153</v>
      </c>
      <c r="C1154" t="s">
        <v>44</v>
      </c>
      <c r="J1154" t="s">
        <v>45</v>
      </c>
      <c r="K1154" t="s">
        <v>1403</v>
      </c>
      <c r="L1154" t="s">
        <v>1396</v>
      </c>
      <c r="M1154" t="s">
        <v>1472</v>
      </c>
      <c r="AJ1154">
        <v>1</v>
      </c>
      <c r="AK1154" t="s">
        <v>190</v>
      </c>
    </row>
    <row r="1155" spans="1:37" x14ac:dyDescent="0.25">
      <c r="A1155" t="s">
        <v>43</v>
      </c>
      <c r="B1155">
        <v>1154</v>
      </c>
      <c r="C1155" t="s">
        <v>44</v>
      </c>
      <c r="J1155" t="s">
        <v>45</v>
      </c>
      <c r="K1155" t="s">
        <v>1403</v>
      </c>
      <c r="L1155" t="s">
        <v>1396</v>
      </c>
      <c r="M1155" t="s">
        <v>1473</v>
      </c>
      <c r="AJ1155">
        <v>1</v>
      </c>
      <c r="AK1155" t="s">
        <v>53</v>
      </c>
    </row>
    <row r="1156" spans="1:37" x14ac:dyDescent="0.25">
      <c r="A1156" t="s">
        <v>43</v>
      </c>
      <c r="B1156">
        <v>1155</v>
      </c>
      <c r="C1156" t="s">
        <v>44</v>
      </c>
      <c r="J1156" t="s">
        <v>45</v>
      </c>
      <c r="K1156" t="s">
        <v>1403</v>
      </c>
      <c r="L1156" t="s">
        <v>1396</v>
      </c>
      <c r="M1156" t="s">
        <v>1474</v>
      </c>
      <c r="AJ1156">
        <v>1</v>
      </c>
      <c r="AK1156" t="s">
        <v>1195</v>
      </c>
    </row>
    <row r="1157" spans="1:37" x14ac:dyDescent="0.25">
      <c r="A1157" t="s">
        <v>43</v>
      </c>
      <c r="B1157">
        <v>1156</v>
      </c>
      <c r="C1157" t="s">
        <v>44</v>
      </c>
      <c r="J1157" t="s">
        <v>45</v>
      </c>
      <c r="K1157" t="s">
        <v>1403</v>
      </c>
      <c r="L1157" t="s">
        <v>1396</v>
      </c>
      <c r="M1157" t="s">
        <v>1475</v>
      </c>
      <c r="AJ1157">
        <v>1</v>
      </c>
      <c r="AK1157" t="s">
        <v>1405</v>
      </c>
    </row>
    <row r="1158" spans="1:37" x14ac:dyDescent="0.25">
      <c r="A1158" t="s">
        <v>43</v>
      </c>
      <c r="B1158">
        <v>1157</v>
      </c>
      <c r="C1158" t="s">
        <v>44</v>
      </c>
      <c r="J1158" t="s">
        <v>45</v>
      </c>
      <c r="K1158" t="s">
        <v>1403</v>
      </c>
      <c r="L1158" t="s">
        <v>1396</v>
      </c>
      <c r="M1158" t="s">
        <v>1476</v>
      </c>
      <c r="AJ1158">
        <v>1</v>
      </c>
      <c r="AK1158" t="s">
        <v>53</v>
      </c>
    </row>
    <row r="1159" spans="1:37" x14ac:dyDescent="0.25">
      <c r="A1159" t="s">
        <v>43</v>
      </c>
      <c r="B1159">
        <v>1158</v>
      </c>
      <c r="C1159" t="s">
        <v>44</v>
      </c>
      <c r="J1159" t="s">
        <v>45</v>
      </c>
      <c r="K1159" t="s">
        <v>1403</v>
      </c>
      <c r="L1159" t="s">
        <v>1396</v>
      </c>
      <c r="M1159" t="s">
        <v>1477</v>
      </c>
      <c r="AJ1159">
        <v>1</v>
      </c>
      <c r="AK1159" t="s">
        <v>1405</v>
      </c>
    </row>
    <row r="1160" spans="1:37" x14ac:dyDescent="0.25">
      <c r="A1160" t="s">
        <v>43</v>
      </c>
      <c r="B1160">
        <v>1159</v>
      </c>
      <c r="C1160" t="s">
        <v>44</v>
      </c>
      <c r="J1160" t="s">
        <v>45</v>
      </c>
      <c r="K1160" t="s">
        <v>1403</v>
      </c>
      <c r="L1160" t="s">
        <v>1396</v>
      </c>
      <c r="M1160" t="s">
        <v>1478</v>
      </c>
      <c r="AJ1160">
        <v>1</v>
      </c>
      <c r="AK1160" t="s">
        <v>1408</v>
      </c>
    </row>
    <row r="1161" spans="1:37" x14ac:dyDescent="0.25">
      <c r="A1161" t="s">
        <v>43</v>
      </c>
      <c r="B1161">
        <v>1160</v>
      </c>
      <c r="C1161" t="s">
        <v>44</v>
      </c>
      <c r="J1161" t="s">
        <v>45</v>
      </c>
      <c r="K1161" t="s">
        <v>1403</v>
      </c>
      <c r="L1161" t="s">
        <v>1396</v>
      </c>
      <c r="M1161" t="s">
        <v>1479</v>
      </c>
      <c r="AJ1161">
        <v>1</v>
      </c>
      <c r="AK1161" t="s">
        <v>53</v>
      </c>
    </row>
    <row r="1162" spans="1:37" x14ac:dyDescent="0.25">
      <c r="A1162" t="s">
        <v>43</v>
      </c>
      <c r="B1162">
        <v>1161</v>
      </c>
      <c r="C1162" t="s">
        <v>44</v>
      </c>
      <c r="J1162" t="s">
        <v>45</v>
      </c>
      <c r="K1162" t="s">
        <v>1403</v>
      </c>
      <c r="L1162" t="s">
        <v>1396</v>
      </c>
      <c r="M1162" t="s">
        <v>1480</v>
      </c>
      <c r="AJ1162">
        <v>1</v>
      </c>
      <c r="AK1162" t="s">
        <v>209</v>
      </c>
    </row>
    <row r="1163" spans="1:37" x14ac:dyDescent="0.25">
      <c r="A1163" t="s">
        <v>43</v>
      </c>
      <c r="B1163">
        <v>1162</v>
      </c>
      <c r="C1163" t="s">
        <v>44</v>
      </c>
      <c r="J1163" t="s">
        <v>45</v>
      </c>
      <c r="K1163" t="s">
        <v>1403</v>
      </c>
      <c r="L1163" t="s">
        <v>1396</v>
      </c>
      <c r="M1163" t="s">
        <v>1481</v>
      </c>
      <c r="AJ1163">
        <v>1</v>
      </c>
      <c r="AK1163" t="s">
        <v>1405</v>
      </c>
    </row>
    <row r="1164" spans="1:37" x14ac:dyDescent="0.25">
      <c r="A1164" t="s">
        <v>43</v>
      </c>
      <c r="B1164">
        <v>1163</v>
      </c>
      <c r="C1164" t="s">
        <v>44</v>
      </c>
      <c r="J1164" t="s">
        <v>45</v>
      </c>
      <c r="K1164" t="s">
        <v>1403</v>
      </c>
      <c r="L1164" t="s">
        <v>1396</v>
      </c>
      <c r="M1164" t="s">
        <v>1482</v>
      </c>
      <c r="AJ1164">
        <v>1</v>
      </c>
      <c r="AK1164" t="s">
        <v>1405</v>
      </c>
    </row>
    <row r="1165" spans="1:37" x14ac:dyDescent="0.25">
      <c r="A1165" t="s">
        <v>43</v>
      </c>
      <c r="B1165">
        <v>1164</v>
      </c>
      <c r="C1165" t="s">
        <v>44</v>
      </c>
      <c r="J1165" t="s">
        <v>45</v>
      </c>
      <c r="K1165" t="s">
        <v>1403</v>
      </c>
      <c r="L1165" t="s">
        <v>1396</v>
      </c>
      <c r="M1165" t="s">
        <v>1483</v>
      </c>
      <c r="AJ1165">
        <v>1</v>
      </c>
      <c r="AK1165" t="s">
        <v>53</v>
      </c>
    </row>
    <row r="1166" spans="1:37" x14ac:dyDescent="0.25">
      <c r="A1166" t="s">
        <v>43</v>
      </c>
      <c r="B1166">
        <v>1165</v>
      </c>
      <c r="C1166" t="s">
        <v>44</v>
      </c>
      <c r="J1166" t="s">
        <v>45</v>
      </c>
      <c r="K1166" t="s">
        <v>1403</v>
      </c>
      <c r="L1166" t="s">
        <v>1396</v>
      </c>
      <c r="M1166" t="s">
        <v>1484</v>
      </c>
      <c r="AJ1166">
        <v>1</v>
      </c>
      <c r="AK1166" t="s">
        <v>53</v>
      </c>
    </row>
    <row r="1167" spans="1:37" x14ac:dyDescent="0.25">
      <c r="A1167" t="s">
        <v>43</v>
      </c>
      <c r="B1167">
        <v>1166</v>
      </c>
      <c r="C1167" t="s">
        <v>44</v>
      </c>
      <c r="J1167" t="s">
        <v>45</v>
      </c>
      <c r="K1167" t="s">
        <v>1403</v>
      </c>
      <c r="L1167" t="s">
        <v>1396</v>
      </c>
      <c r="M1167" t="s">
        <v>1485</v>
      </c>
      <c r="AJ1167">
        <v>1</v>
      </c>
      <c r="AK1167" t="s">
        <v>1195</v>
      </c>
    </row>
    <row r="1168" spans="1:37" x14ac:dyDescent="0.25">
      <c r="A1168" t="s">
        <v>43</v>
      </c>
      <c r="B1168">
        <v>1167</v>
      </c>
      <c r="C1168" t="s">
        <v>44</v>
      </c>
      <c r="J1168" t="s">
        <v>45</v>
      </c>
      <c r="K1168" t="s">
        <v>1403</v>
      </c>
      <c r="L1168" t="s">
        <v>1396</v>
      </c>
      <c r="M1168" t="s">
        <v>1486</v>
      </c>
      <c r="AJ1168">
        <v>1</v>
      </c>
      <c r="AK1168" t="s">
        <v>1215</v>
      </c>
    </row>
    <row r="1169" spans="1:37" x14ac:dyDescent="0.25">
      <c r="A1169" t="s">
        <v>43</v>
      </c>
      <c r="B1169">
        <v>1168</v>
      </c>
      <c r="C1169" t="s">
        <v>44</v>
      </c>
      <c r="J1169" t="s">
        <v>45</v>
      </c>
      <c r="K1169" t="s">
        <v>1403</v>
      </c>
      <c r="L1169" t="s">
        <v>1396</v>
      </c>
      <c r="M1169" t="s">
        <v>1487</v>
      </c>
      <c r="AJ1169">
        <v>1</v>
      </c>
      <c r="AK1169" t="s">
        <v>209</v>
      </c>
    </row>
    <row r="1170" spans="1:37" x14ac:dyDescent="0.25">
      <c r="A1170" t="s">
        <v>43</v>
      </c>
      <c r="B1170">
        <v>1169</v>
      </c>
      <c r="C1170" t="s">
        <v>1488</v>
      </c>
      <c r="D1170" t="s">
        <v>1489</v>
      </c>
      <c r="E1170" t="s">
        <v>1490</v>
      </c>
      <c r="F1170" t="s">
        <v>1491</v>
      </c>
      <c r="G1170" t="s">
        <v>1492</v>
      </c>
      <c r="H1170" t="s">
        <v>1493</v>
      </c>
      <c r="I1170" t="s">
        <v>1494</v>
      </c>
      <c r="O1170" t="s">
        <v>1657</v>
      </c>
      <c r="AJ1170" t="s">
        <v>44</v>
      </c>
      <c r="AK1170" t="s">
        <v>190</v>
      </c>
    </row>
    <row r="1171" spans="1:37" x14ac:dyDescent="0.25">
      <c r="A1171" t="s">
        <v>43</v>
      </c>
      <c r="B1171">
        <v>1170</v>
      </c>
      <c r="C1171" t="s">
        <v>1488</v>
      </c>
      <c r="D1171" t="s">
        <v>1495</v>
      </c>
      <c r="E1171" t="s">
        <v>1490</v>
      </c>
      <c r="F1171" t="s">
        <v>1496</v>
      </c>
      <c r="G1171" t="s">
        <v>1497</v>
      </c>
      <c r="H1171" t="s">
        <v>1493</v>
      </c>
      <c r="I1171" t="s">
        <v>1498</v>
      </c>
      <c r="O1171" t="s">
        <v>1657</v>
      </c>
      <c r="AJ1171" t="s">
        <v>44</v>
      </c>
      <c r="AK1171" t="s">
        <v>190</v>
      </c>
    </row>
    <row r="1172" spans="1:37" x14ac:dyDescent="0.25">
      <c r="A1172" t="s">
        <v>43</v>
      </c>
      <c r="B1172">
        <v>1171</v>
      </c>
      <c r="C1172" t="s">
        <v>1488</v>
      </c>
      <c r="D1172" t="s">
        <v>1499</v>
      </c>
      <c r="E1172" t="s">
        <v>1490</v>
      </c>
      <c r="F1172" t="s">
        <v>1491</v>
      </c>
      <c r="G1172" t="s">
        <v>1492</v>
      </c>
      <c r="H1172" t="s">
        <v>1493</v>
      </c>
      <c r="I1172" t="s">
        <v>1500</v>
      </c>
      <c r="O1172" t="s">
        <v>1657</v>
      </c>
      <c r="AJ1172" t="s">
        <v>44</v>
      </c>
      <c r="AK1172" t="s">
        <v>190</v>
      </c>
    </row>
    <row r="1173" spans="1:37" x14ac:dyDescent="0.25">
      <c r="A1173" t="s">
        <v>43</v>
      </c>
      <c r="B1173">
        <v>1172</v>
      </c>
      <c r="C1173" t="s">
        <v>1488</v>
      </c>
      <c r="D1173" t="s">
        <v>1501</v>
      </c>
      <c r="E1173" t="s">
        <v>1490</v>
      </c>
      <c r="F1173" t="s">
        <v>1502</v>
      </c>
      <c r="G1173" t="s">
        <v>1497</v>
      </c>
      <c r="H1173" t="s">
        <v>1493</v>
      </c>
      <c r="I1173" t="s">
        <v>1503</v>
      </c>
      <c r="O1173" t="s">
        <v>1657</v>
      </c>
      <c r="AJ1173" t="s">
        <v>44</v>
      </c>
      <c r="AK1173" t="s">
        <v>190</v>
      </c>
    </row>
    <row r="1174" spans="1:37" x14ac:dyDescent="0.25">
      <c r="A1174" t="s">
        <v>43</v>
      </c>
      <c r="B1174">
        <v>1173</v>
      </c>
      <c r="C1174" t="s">
        <v>1488</v>
      </c>
      <c r="D1174" t="s">
        <v>1504</v>
      </c>
      <c r="E1174" t="s">
        <v>1490</v>
      </c>
      <c r="F1174" t="s">
        <v>1505</v>
      </c>
      <c r="G1174" t="s">
        <v>1497</v>
      </c>
      <c r="H1174" t="s">
        <v>1493</v>
      </c>
      <c r="I1174" t="s">
        <v>1506</v>
      </c>
      <c r="O1174" t="s">
        <v>1657</v>
      </c>
      <c r="AJ1174" t="s">
        <v>44</v>
      </c>
      <c r="AK1174" t="s">
        <v>190</v>
      </c>
    </row>
    <row r="1175" spans="1:37" x14ac:dyDescent="0.25">
      <c r="A1175" t="s">
        <v>43</v>
      </c>
      <c r="B1175">
        <v>1174</v>
      </c>
      <c r="C1175" t="s">
        <v>1488</v>
      </c>
      <c r="D1175" t="s">
        <v>1507</v>
      </c>
      <c r="E1175" t="s">
        <v>1490</v>
      </c>
      <c r="F1175" t="s">
        <v>1502</v>
      </c>
      <c r="G1175" t="s">
        <v>1497</v>
      </c>
      <c r="H1175" t="s">
        <v>1493</v>
      </c>
      <c r="I1175" t="s">
        <v>1508</v>
      </c>
      <c r="O1175" t="s">
        <v>1657</v>
      </c>
      <c r="AJ1175" t="s">
        <v>44</v>
      </c>
      <c r="AK1175" t="s">
        <v>190</v>
      </c>
    </row>
    <row r="1176" spans="1:37" x14ac:dyDescent="0.25">
      <c r="A1176" t="s">
        <v>43</v>
      </c>
      <c r="B1176">
        <v>1175</v>
      </c>
      <c r="C1176" t="s">
        <v>1488</v>
      </c>
      <c r="D1176" t="s">
        <v>1509</v>
      </c>
      <c r="E1176" t="s">
        <v>1490</v>
      </c>
      <c r="F1176" t="s">
        <v>1510</v>
      </c>
      <c r="G1176" t="s">
        <v>1497</v>
      </c>
      <c r="H1176" t="s">
        <v>1493</v>
      </c>
      <c r="I1176" t="s">
        <v>1511</v>
      </c>
      <c r="O1176" t="s">
        <v>1657</v>
      </c>
      <c r="AJ1176" t="s">
        <v>44</v>
      </c>
      <c r="AK1176" t="s">
        <v>190</v>
      </c>
    </row>
    <row r="1177" spans="1:37" x14ac:dyDescent="0.25">
      <c r="A1177" t="s">
        <v>43</v>
      </c>
      <c r="B1177">
        <v>1176</v>
      </c>
      <c r="C1177" t="s">
        <v>1488</v>
      </c>
      <c r="D1177" t="s">
        <v>1512</v>
      </c>
      <c r="E1177" t="s">
        <v>1490</v>
      </c>
      <c r="F1177" t="s">
        <v>1496</v>
      </c>
      <c r="G1177" t="s">
        <v>1497</v>
      </c>
      <c r="H1177" t="s">
        <v>1493</v>
      </c>
      <c r="I1177" t="s">
        <v>1513</v>
      </c>
      <c r="O1177" t="s">
        <v>1657</v>
      </c>
      <c r="AJ1177" t="s">
        <v>44</v>
      </c>
      <c r="AK1177" t="s">
        <v>190</v>
      </c>
    </row>
    <row r="1178" spans="1:37" x14ac:dyDescent="0.25">
      <c r="A1178" t="s">
        <v>43</v>
      </c>
      <c r="B1178">
        <v>1177</v>
      </c>
      <c r="C1178" t="s">
        <v>1488</v>
      </c>
      <c r="D1178" t="s">
        <v>1514</v>
      </c>
      <c r="E1178" t="s">
        <v>1490</v>
      </c>
      <c r="F1178" t="s">
        <v>1515</v>
      </c>
      <c r="G1178" t="s">
        <v>1497</v>
      </c>
      <c r="H1178" t="s">
        <v>1493</v>
      </c>
      <c r="I1178" t="s">
        <v>1516</v>
      </c>
      <c r="O1178" t="s">
        <v>1657</v>
      </c>
      <c r="AJ1178" t="s">
        <v>44</v>
      </c>
      <c r="AK1178" t="s">
        <v>190</v>
      </c>
    </row>
    <row r="1179" spans="1:37" x14ac:dyDescent="0.25">
      <c r="A1179" t="s">
        <v>43</v>
      </c>
      <c r="B1179">
        <v>1178</v>
      </c>
      <c r="C1179" t="s">
        <v>1488</v>
      </c>
      <c r="D1179" t="s">
        <v>1517</v>
      </c>
      <c r="E1179" t="s">
        <v>1490</v>
      </c>
      <c r="F1179" t="s">
        <v>1505</v>
      </c>
      <c r="G1179" t="s">
        <v>1497</v>
      </c>
      <c r="H1179" t="s">
        <v>1493</v>
      </c>
      <c r="I1179" t="s">
        <v>1518</v>
      </c>
      <c r="O1179" t="s">
        <v>1657</v>
      </c>
      <c r="AJ1179" t="s">
        <v>44</v>
      </c>
      <c r="AK1179" t="s">
        <v>190</v>
      </c>
    </row>
    <row r="1180" spans="1:37" x14ac:dyDescent="0.25">
      <c r="A1180" t="s">
        <v>43</v>
      </c>
      <c r="B1180">
        <v>1179</v>
      </c>
      <c r="C1180" t="s">
        <v>1488</v>
      </c>
      <c r="D1180" t="s">
        <v>1519</v>
      </c>
      <c r="E1180" t="s">
        <v>1490</v>
      </c>
      <c r="F1180" t="s">
        <v>1520</v>
      </c>
      <c r="G1180" t="s">
        <v>1497</v>
      </c>
      <c r="H1180" t="s">
        <v>1493</v>
      </c>
      <c r="I1180" t="s">
        <v>1521</v>
      </c>
      <c r="O1180" t="s">
        <v>1657</v>
      </c>
      <c r="AJ1180" t="s">
        <v>44</v>
      </c>
      <c r="AK1180" t="s">
        <v>190</v>
      </c>
    </row>
    <row r="1181" spans="1:37" x14ac:dyDescent="0.25">
      <c r="A1181" t="s">
        <v>43</v>
      </c>
      <c r="B1181">
        <v>1180</v>
      </c>
      <c r="C1181" t="s">
        <v>1488</v>
      </c>
      <c r="D1181" t="s">
        <v>1522</v>
      </c>
      <c r="E1181" t="s">
        <v>1490</v>
      </c>
      <c r="F1181" t="s">
        <v>1523</v>
      </c>
      <c r="G1181" t="s">
        <v>1497</v>
      </c>
      <c r="H1181" t="s">
        <v>1493</v>
      </c>
      <c r="I1181" t="s">
        <v>1524</v>
      </c>
      <c r="O1181" t="s">
        <v>1657</v>
      </c>
      <c r="AJ1181" t="s">
        <v>44</v>
      </c>
      <c r="AK1181" t="s">
        <v>190</v>
      </c>
    </row>
    <row r="1182" spans="1:37" x14ac:dyDescent="0.25">
      <c r="A1182" t="s">
        <v>43</v>
      </c>
      <c r="B1182">
        <v>1181</v>
      </c>
      <c r="C1182" t="s">
        <v>1488</v>
      </c>
      <c r="D1182" t="s">
        <v>1525</v>
      </c>
      <c r="E1182" t="s">
        <v>1490</v>
      </c>
      <c r="F1182" t="s">
        <v>1526</v>
      </c>
      <c r="G1182" t="s">
        <v>1497</v>
      </c>
      <c r="H1182" t="s">
        <v>1493</v>
      </c>
      <c r="I1182" t="s">
        <v>1527</v>
      </c>
      <c r="O1182" t="s">
        <v>1657</v>
      </c>
      <c r="AJ1182" t="s">
        <v>44</v>
      </c>
      <c r="AK1182" t="s">
        <v>190</v>
      </c>
    </row>
    <row r="1183" spans="1:37" x14ac:dyDescent="0.25">
      <c r="A1183" t="s">
        <v>43</v>
      </c>
      <c r="B1183">
        <v>1182</v>
      </c>
      <c r="C1183" t="s">
        <v>1488</v>
      </c>
      <c r="D1183" t="s">
        <v>1528</v>
      </c>
      <c r="E1183" t="s">
        <v>1490</v>
      </c>
      <c r="F1183" t="s">
        <v>1529</v>
      </c>
      <c r="G1183" t="s">
        <v>1492</v>
      </c>
      <c r="H1183" t="s">
        <v>1493</v>
      </c>
      <c r="I1183" t="s">
        <v>1530</v>
      </c>
      <c r="O1183" t="s">
        <v>1657</v>
      </c>
      <c r="AJ1183" t="s">
        <v>44</v>
      </c>
      <c r="AK1183" t="s">
        <v>190</v>
      </c>
    </row>
    <row r="1184" spans="1:37" x14ac:dyDescent="0.25">
      <c r="A1184" t="s">
        <v>43</v>
      </c>
      <c r="B1184">
        <v>1183</v>
      </c>
      <c r="C1184" t="s">
        <v>1488</v>
      </c>
      <c r="D1184" t="s">
        <v>1531</v>
      </c>
      <c r="E1184" t="s">
        <v>1490</v>
      </c>
      <c r="F1184" t="s">
        <v>1532</v>
      </c>
      <c r="G1184" t="s">
        <v>1492</v>
      </c>
      <c r="H1184" t="s">
        <v>1493</v>
      </c>
      <c r="I1184" t="s">
        <v>1533</v>
      </c>
      <c r="O1184" t="s">
        <v>1657</v>
      </c>
      <c r="AJ1184" t="s">
        <v>44</v>
      </c>
      <c r="AK1184" t="s">
        <v>190</v>
      </c>
    </row>
    <row r="1185" spans="1:43" x14ac:dyDescent="0.25">
      <c r="A1185" t="s">
        <v>43</v>
      </c>
      <c r="B1185">
        <v>1184</v>
      </c>
      <c r="C1185" t="s">
        <v>1488</v>
      </c>
      <c r="D1185" t="s">
        <v>1534</v>
      </c>
      <c r="E1185" t="s">
        <v>1490</v>
      </c>
      <c r="F1185" t="s">
        <v>1535</v>
      </c>
      <c r="G1185" t="s">
        <v>1492</v>
      </c>
      <c r="H1185" t="s">
        <v>1493</v>
      </c>
      <c r="I1185" t="s">
        <v>1536</v>
      </c>
      <c r="O1185" t="s">
        <v>1657</v>
      </c>
      <c r="AJ1185" t="s">
        <v>44</v>
      </c>
      <c r="AK1185" t="s">
        <v>190</v>
      </c>
    </row>
    <row r="1186" spans="1:43" x14ac:dyDescent="0.25">
      <c r="A1186" t="s">
        <v>43</v>
      </c>
      <c r="B1186">
        <v>1185</v>
      </c>
      <c r="C1186" t="s">
        <v>1488</v>
      </c>
      <c r="D1186" t="s">
        <v>1537</v>
      </c>
      <c r="E1186" t="s">
        <v>1490</v>
      </c>
      <c r="F1186" t="s">
        <v>1538</v>
      </c>
      <c r="G1186" t="s">
        <v>1492</v>
      </c>
      <c r="H1186" t="s">
        <v>1539</v>
      </c>
      <c r="I1186" t="s">
        <v>1540</v>
      </c>
      <c r="O1186" t="s">
        <v>1657</v>
      </c>
      <c r="AJ1186" t="s">
        <v>44</v>
      </c>
      <c r="AK1186" t="s">
        <v>190</v>
      </c>
    </row>
    <row r="1187" spans="1:43" x14ac:dyDescent="0.25">
      <c r="A1187" t="s">
        <v>43</v>
      </c>
      <c r="B1187">
        <v>1186</v>
      </c>
      <c r="C1187" t="s">
        <v>1488</v>
      </c>
      <c r="D1187" t="s">
        <v>1541</v>
      </c>
      <c r="E1187" t="s">
        <v>1490</v>
      </c>
      <c r="F1187" t="s">
        <v>1542</v>
      </c>
      <c r="G1187" t="s">
        <v>1492</v>
      </c>
      <c r="H1187" t="s">
        <v>1539</v>
      </c>
      <c r="I1187" t="s">
        <v>1543</v>
      </c>
      <c r="O1187" t="s">
        <v>1657</v>
      </c>
      <c r="AJ1187" t="s">
        <v>44</v>
      </c>
      <c r="AK1187" t="s">
        <v>190</v>
      </c>
    </row>
    <row r="1188" spans="1:43" x14ac:dyDescent="0.25">
      <c r="A1188" t="s">
        <v>43</v>
      </c>
      <c r="B1188">
        <v>1187</v>
      </c>
      <c r="C1188">
        <v>3</v>
      </c>
      <c r="D1188" t="s">
        <v>1544</v>
      </c>
      <c r="E1188" t="s">
        <v>1490</v>
      </c>
      <c r="F1188" t="s">
        <v>1545</v>
      </c>
      <c r="G1188" t="s">
        <v>1546</v>
      </c>
      <c r="H1188" t="s">
        <v>1539</v>
      </c>
      <c r="N1188" t="s">
        <v>1547</v>
      </c>
      <c r="AE1188" t="s">
        <v>1548</v>
      </c>
      <c r="AJ1188">
        <v>1</v>
      </c>
      <c r="AK1188" t="s">
        <v>53</v>
      </c>
    </row>
    <row r="1189" spans="1:43" x14ac:dyDescent="0.25">
      <c r="A1189" t="s">
        <v>43</v>
      </c>
      <c r="B1189">
        <v>1188</v>
      </c>
      <c r="C1189">
        <v>3</v>
      </c>
      <c r="D1189" t="s">
        <v>1549</v>
      </c>
      <c r="E1189" t="s">
        <v>1490</v>
      </c>
      <c r="F1189" t="s">
        <v>1545</v>
      </c>
      <c r="G1189" t="s">
        <v>1546</v>
      </c>
      <c r="H1189" t="s">
        <v>1493</v>
      </c>
      <c r="O1189" t="s">
        <v>1550</v>
      </c>
      <c r="AJ1189">
        <v>1</v>
      </c>
      <c r="AK1189" t="s">
        <v>53</v>
      </c>
    </row>
    <row r="1190" spans="1:43" x14ac:dyDescent="0.25">
      <c r="A1190" t="s">
        <v>43</v>
      </c>
      <c r="B1190">
        <v>1189</v>
      </c>
      <c r="C1190">
        <v>3</v>
      </c>
      <c r="D1190" t="s">
        <v>1551</v>
      </c>
      <c r="E1190" t="s">
        <v>1490</v>
      </c>
      <c r="F1190" t="s">
        <v>1545</v>
      </c>
      <c r="G1190" t="s">
        <v>1546</v>
      </c>
      <c r="H1190" t="s">
        <v>1539</v>
      </c>
      <c r="N1190" t="s">
        <v>1658</v>
      </c>
      <c r="X1190" t="s">
        <v>1552</v>
      </c>
      <c r="AJ1190">
        <v>1</v>
      </c>
      <c r="AK1190" t="s">
        <v>49</v>
      </c>
    </row>
    <row r="1191" spans="1:43" x14ac:dyDescent="0.25">
      <c r="A1191" t="s">
        <v>43</v>
      </c>
      <c r="B1191">
        <v>1190</v>
      </c>
      <c r="C1191">
        <v>3</v>
      </c>
      <c r="D1191" t="s">
        <v>1553</v>
      </c>
      <c r="E1191" t="s">
        <v>1490</v>
      </c>
      <c r="F1191" t="s">
        <v>1545</v>
      </c>
      <c r="G1191" t="s">
        <v>1546</v>
      </c>
      <c r="H1191" t="s">
        <v>1539</v>
      </c>
      <c r="N1191" t="s">
        <v>1658</v>
      </c>
      <c r="Y1191" t="s">
        <v>1554</v>
      </c>
      <c r="AJ1191">
        <v>1</v>
      </c>
      <c r="AK1191" t="s">
        <v>49</v>
      </c>
    </row>
    <row r="1192" spans="1:43" x14ac:dyDescent="0.25">
      <c r="A1192" t="s">
        <v>43</v>
      </c>
      <c r="B1192">
        <v>1191</v>
      </c>
      <c r="C1192">
        <v>3</v>
      </c>
      <c r="D1192" t="s">
        <v>1555</v>
      </c>
      <c r="E1192" t="s">
        <v>1490</v>
      </c>
      <c r="F1192" t="s">
        <v>1545</v>
      </c>
      <c r="G1192" t="s">
        <v>1546</v>
      </c>
      <c r="H1192" t="s">
        <v>1539</v>
      </c>
      <c r="N1192" t="s">
        <v>1556</v>
      </c>
      <c r="R1192" t="s">
        <v>1557</v>
      </c>
      <c r="AJ1192">
        <v>1</v>
      </c>
      <c r="AK1192" t="s">
        <v>209</v>
      </c>
    </row>
    <row r="1193" spans="1:43" x14ac:dyDescent="0.25">
      <c r="A1193" t="s">
        <v>43</v>
      </c>
      <c r="B1193">
        <v>1192</v>
      </c>
      <c r="C1193">
        <v>3</v>
      </c>
      <c r="D1193" t="s">
        <v>1558</v>
      </c>
      <c r="E1193" t="s">
        <v>1490</v>
      </c>
      <c r="F1193" t="s">
        <v>1545</v>
      </c>
      <c r="G1193" t="s">
        <v>1546</v>
      </c>
      <c r="H1193" t="s">
        <v>1539</v>
      </c>
      <c r="N1193" t="s">
        <v>1559</v>
      </c>
      <c r="R1193" t="s">
        <v>1557</v>
      </c>
      <c r="U1193" t="s">
        <v>1560</v>
      </c>
      <c r="AJ1193">
        <v>1</v>
      </c>
      <c r="AK1193" t="s">
        <v>209</v>
      </c>
    </row>
    <row r="1194" spans="1:43" x14ac:dyDescent="0.25">
      <c r="A1194" t="s">
        <v>43</v>
      </c>
      <c r="B1194">
        <v>1193</v>
      </c>
      <c r="C1194">
        <v>3</v>
      </c>
      <c r="D1194" t="s">
        <v>1561</v>
      </c>
      <c r="E1194" t="s">
        <v>1490</v>
      </c>
      <c r="F1194" t="s">
        <v>1545</v>
      </c>
      <c r="G1194" t="s">
        <v>1546</v>
      </c>
      <c r="H1194" t="s">
        <v>1539</v>
      </c>
      <c r="N1194" t="s">
        <v>1559</v>
      </c>
      <c r="R1194" t="s">
        <v>1557</v>
      </c>
      <c r="U1194" t="s">
        <v>1562</v>
      </c>
      <c r="AJ1194">
        <v>1</v>
      </c>
      <c r="AK1194" t="s">
        <v>60</v>
      </c>
    </row>
    <row r="1195" spans="1:43" x14ac:dyDescent="0.25">
      <c r="A1195" t="s">
        <v>43</v>
      </c>
      <c r="B1195">
        <v>1194</v>
      </c>
      <c r="C1195">
        <v>3</v>
      </c>
      <c r="D1195" t="s">
        <v>1563</v>
      </c>
      <c r="E1195" t="s">
        <v>1490</v>
      </c>
      <c r="F1195" t="s">
        <v>1545</v>
      </c>
      <c r="G1195" t="s">
        <v>1546</v>
      </c>
      <c r="H1195" t="s">
        <v>1539</v>
      </c>
      <c r="N1195" t="s">
        <v>1564</v>
      </c>
      <c r="AJ1195">
        <v>1</v>
      </c>
      <c r="AK1195" t="s">
        <v>946</v>
      </c>
    </row>
    <row r="1196" spans="1:43" x14ac:dyDescent="0.25">
      <c r="A1196" t="s">
        <v>43</v>
      </c>
      <c r="B1196">
        <v>1195</v>
      </c>
      <c r="C1196">
        <v>3</v>
      </c>
      <c r="D1196" t="s">
        <v>1565</v>
      </c>
      <c r="E1196" t="s">
        <v>1490</v>
      </c>
      <c r="F1196" t="s">
        <v>1545</v>
      </c>
      <c r="G1196" t="s">
        <v>1546</v>
      </c>
      <c r="H1196" t="s">
        <v>1539</v>
      </c>
      <c r="N1196" t="s">
        <v>1566</v>
      </c>
      <c r="R1196" t="s">
        <v>1557</v>
      </c>
      <c r="AJ1196">
        <v>1</v>
      </c>
      <c r="AK1196" t="s">
        <v>60</v>
      </c>
    </row>
    <row r="1197" spans="1:43" x14ac:dyDescent="0.25">
      <c r="A1197" t="s">
        <v>43</v>
      </c>
      <c r="B1197">
        <v>1196</v>
      </c>
      <c r="C1197">
        <v>3</v>
      </c>
      <c r="D1197" t="s">
        <v>1567</v>
      </c>
      <c r="E1197" t="s">
        <v>1490</v>
      </c>
      <c r="F1197" t="s">
        <v>1545</v>
      </c>
      <c r="G1197" t="s">
        <v>1546</v>
      </c>
      <c r="H1197" t="s">
        <v>1539</v>
      </c>
      <c r="O1197" t="s">
        <v>1568</v>
      </c>
      <c r="AJ1197">
        <v>1</v>
      </c>
      <c r="AK1197" t="s">
        <v>1569</v>
      </c>
    </row>
    <row r="1198" spans="1:43" x14ac:dyDescent="0.25">
      <c r="A1198" t="s">
        <v>43</v>
      </c>
      <c r="B1198">
        <v>1197</v>
      </c>
      <c r="C1198">
        <v>3</v>
      </c>
      <c r="D1198" t="s">
        <v>1570</v>
      </c>
      <c r="E1198" t="s">
        <v>1490</v>
      </c>
      <c r="F1198" t="s">
        <v>1545</v>
      </c>
      <c r="G1198" t="s">
        <v>1546</v>
      </c>
      <c r="H1198" t="s">
        <v>1539</v>
      </c>
      <c r="N1198" t="s">
        <v>1571</v>
      </c>
      <c r="P1198" t="s">
        <v>1572</v>
      </c>
      <c r="AJ1198">
        <v>1</v>
      </c>
      <c r="AK1198" t="s">
        <v>1573</v>
      </c>
    </row>
    <row r="1199" spans="1:43" x14ac:dyDescent="0.25">
      <c r="A1199" t="s">
        <v>1574</v>
      </c>
      <c r="B1199" t="s">
        <v>44</v>
      </c>
      <c r="C1199" t="s">
        <v>1575</v>
      </c>
      <c r="D1199" t="s">
        <v>1576</v>
      </c>
      <c r="S1199" t="s">
        <v>1577</v>
      </c>
      <c r="V1199" t="s">
        <v>1578</v>
      </c>
      <c r="AN1199" t="s">
        <v>1579</v>
      </c>
      <c r="AO1199" t="s">
        <v>1580</v>
      </c>
      <c r="AP1199" t="s">
        <v>1581</v>
      </c>
      <c r="AQ1199" t="s">
        <v>1582</v>
      </c>
    </row>
    <row r="1200" spans="1:43" x14ac:dyDescent="0.25">
      <c r="A1200" t="s">
        <v>1574</v>
      </c>
      <c r="B1200">
        <v>2</v>
      </c>
      <c r="C1200" t="s">
        <v>1575</v>
      </c>
      <c r="D1200" t="s">
        <v>1576</v>
      </c>
      <c r="N1200" t="s">
        <v>1583</v>
      </c>
      <c r="O1200" t="s">
        <v>1584</v>
      </c>
      <c r="S1200" t="s">
        <v>1577</v>
      </c>
      <c r="AN1200" t="s">
        <v>1579</v>
      </c>
      <c r="AO1200" t="s">
        <v>1580</v>
      </c>
      <c r="AP1200" t="s">
        <v>1581</v>
      </c>
      <c r="AQ1200" t="s">
        <v>1582</v>
      </c>
    </row>
    <row r="1201" spans="1:43" x14ac:dyDescent="0.25">
      <c r="A1201" t="s">
        <v>1574</v>
      </c>
      <c r="B1201">
        <v>3</v>
      </c>
      <c r="C1201" t="s">
        <v>1585</v>
      </c>
      <c r="D1201" t="s">
        <v>1576</v>
      </c>
      <c r="S1201" t="s">
        <v>1586</v>
      </c>
      <c r="V1201" t="s">
        <v>1578</v>
      </c>
      <c r="W1201" t="s">
        <v>1587</v>
      </c>
      <c r="AK1201" t="s">
        <v>1588</v>
      </c>
      <c r="AN1201" t="s">
        <v>1579</v>
      </c>
      <c r="AO1201" t="s">
        <v>1580</v>
      </c>
      <c r="AP1201" t="s">
        <v>1581</v>
      </c>
      <c r="AQ1201" t="s">
        <v>1589</v>
      </c>
    </row>
    <row r="1202" spans="1:43" x14ac:dyDescent="0.25">
      <c r="A1202" t="s">
        <v>1574</v>
      </c>
      <c r="B1202">
        <v>4</v>
      </c>
      <c r="C1202" t="s">
        <v>1575</v>
      </c>
      <c r="D1202" t="s">
        <v>1590</v>
      </c>
      <c r="O1202" t="s">
        <v>1591</v>
      </c>
      <c r="S1202" t="s">
        <v>1577</v>
      </c>
      <c r="AN1202" t="s">
        <v>1592</v>
      </c>
      <c r="AO1202" t="s">
        <v>1580</v>
      </c>
      <c r="AP1202" t="s">
        <v>1581</v>
      </c>
      <c r="AQ1202" t="s">
        <v>1582</v>
      </c>
    </row>
    <row r="1203" spans="1:43" x14ac:dyDescent="0.25">
      <c r="A1203" t="s">
        <v>1574</v>
      </c>
      <c r="B1203">
        <v>5</v>
      </c>
      <c r="C1203" t="s">
        <v>1575</v>
      </c>
      <c r="D1203" t="s">
        <v>1590</v>
      </c>
      <c r="O1203" t="s">
        <v>1593</v>
      </c>
      <c r="S1203" t="s">
        <v>1577</v>
      </c>
      <c r="AE1203" t="s">
        <v>1594</v>
      </c>
      <c r="AN1203" t="s">
        <v>1592</v>
      </c>
      <c r="AO1203" t="s">
        <v>1580</v>
      </c>
      <c r="AP1203" t="s">
        <v>1581</v>
      </c>
      <c r="AQ1203" t="s">
        <v>1582</v>
      </c>
    </row>
    <row r="1204" spans="1:43" x14ac:dyDescent="0.25">
      <c r="A1204" t="s">
        <v>1574</v>
      </c>
      <c r="B1204">
        <v>6</v>
      </c>
      <c r="C1204" t="s">
        <v>1585</v>
      </c>
      <c r="D1204" t="s">
        <v>1590</v>
      </c>
      <c r="O1204" t="s">
        <v>1595</v>
      </c>
      <c r="S1204" t="s">
        <v>1596</v>
      </c>
      <c r="W1204" t="s">
        <v>1587</v>
      </c>
      <c r="X1204" t="s">
        <v>1552</v>
      </c>
      <c r="AE1204" t="s">
        <v>1597</v>
      </c>
      <c r="AK1204" t="s">
        <v>1598</v>
      </c>
      <c r="AN1204" t="s">
        <v>1592</v>
      </c>
      <c r="AO1204" t="s">
        <v>1580</v>
      </c>
      <c r="AP1204" t="s">
        <v>1581</v>
      </c>
      <c r="AQ1204" t="s">
        <v>1599</v>
      </c>
    </row>
    <row r="1205" spans="1:43" x14ac:dyDescent="0.25">
      <c r="A1205" t="s">
        <v>1574</v>
      </c>
      <c r="B1205">
        <v>7</v>
      </c>
      <c r="C1205" t="s">
        <v>1585</v>
      </c>
      <c r="D1205" t="s">
        <v>1590</v>
      </c>
      <c r="O1205" t="s">
        <v>1595</v>
      </c>
      <c r="S1205" t="s">
        <v>1596</v>
      </c>
      <c r="W1205" t="s">
        <v>1587</v>
      </c>
      <c r="X1205" t="s">
        <v>1600</v>
      </c>
      <c r="Y1205" t="s">
        <v>1601</v>
      </c>
      <c r="AE1205" t="s">
        <v>1597</v>
      </c>
      <c r="AK1205" t="s">
        <v>1598</v>
      </c>
      <c r="AN1205" t="s">
        <v>1592</v>
      </c>
      <c r="AO1205" t="s">
        <v>1580</v>
      </c>
      <c r="AP1205" t="s">
        <v>1581</v>
      </c>
      <c r="AQ1205" t="s">
        <v>1599</v>
      </c>
    </row>
    <row r="1206" spans="1:43" x14ac:dyDescent="0.25">
      <c r="A1206" t="s">
        <v>1574</v>
      </c>
      <c r="B1206">
        <v>8</v>
      </c>
      <c r="C1206" t="s">
        <v>1585</v>
      </c>
      <c r="D1206" t="s">
        <v>1590</v>
      </c>
      <c r="O1206" t="s">
        <v>1595</v>
      </c>
      <c r="S1206" t="s">
        <v>1596</v>
      </c>
      <c r="W1206" t="s">
        <v>1587</v>
      </c>
      <c r="Y1206" t="s">
        <v>1602</v>
      </c>
      <c r="AE1206" t="s">
        <v>1603</v>
      </c>
      <c r="AK1206" t="s">
        <v>1598</v>
      </c>
      <c r="AN1206" t="s">
        <v>1592</v>
      </c>
      <c r="AO1206" t="s">
        <v>1580</v>
      </c>
      <c r="AP1206" t="s">
        <v>1581</v>
      </c>
      <c r="AQ1206" t="s">
        <v>1599</v>
      </c>
    </row>
    <row r="1207" spans="1:43" x14ac:dyDescent="0.25">
      <c r="A1207" t="s">
        <v>1574</v>
      </c>
      <c r="B1207">
        <v>9</v>
      </c>
      <c r="C1207" t="s">
        <v>1585</v>
      </c>
      <c r="D1207" t="s">
        <v>1590</v>
      </c>
      <c r="O1207" t="s">
        <v>1595</v>
      </c>
      <c r="S1207" t="s">
        <v>1604</v>
      </c>
      <c r="X1207" t="s">
        <v>1552</v>
      </c>
      <c r="AD1207" t="s">
        <v>1605</v>
      </c>
      <c r="AE1207" t="s">
        <v>1597</v>
      </c>
      <c r="AK1207" t="s">
        <v>1598</v>
      </c>
      <c r="AN1207" t="s">
        <v>1592</v>
      </c>
      <c r="AO1207" t="s">
        <v>1580</v>
      </c>
      <c r="AP1207" t="s">
        <v>1581</v>
      </c>
      <c r="AQ1207" t="s">
        <v>1599</v>
      </c>
    </row>
    <row r="1208" spans="1:43" x14ac:dyDescent="0.25">
      <c r="A1208" t="s">
        <v>1574</v>
      </c>
      <c r="B1208">
        <v>10</v>
      </c>
      <c r="C1208" t="s">
        <v>1585</v>
      </c>
      <c r="D1208" t="s">
        <v>1590</v>
      </c>
      <c r="O1208" t="s">
        <v>1595</v>
      </c>
      <c r="S1208" t="s">
        <v>1604</v>
      </c>
      <c r="X1208" t="s">
        <v>1600</v>
      </c>
      <c r="Y1208" t="s">
        <v>1601</v>
      </c>
      <c r="AD1208" t="s">
        <v>1605</v>
      </c>
      <c r="AE1208" t="s">
        <v>1597</v>
      </c>
      <c r="AK1208" t="s">
        <v>1598</v>
      </c>
      <c r="AN1208" t="s">
        <v>1592</v>
      </c>
      <c r="AO1208" t="s">
        <v>1580</v>
      </c>
      <c r="AP1208" t="s">
        <v>1581</v>
      </c>
      <c r="AQ1208" t="s">
        <v>1599</v>
      </c>
    </row>
    <row r="1209" spans="1:43" x14ac:dyDescent="0.25">
      <c r="A1209" t="s">
        <v>1574</v>
      </c>
      <c r="B1209">
        <v>11</v>
      </c>
      <c r="C1209" t="s">
        <v>1585</v>
      </c>
      <c r="D1209" t="s">
        <v>1590</v>
      </c>
      <c r="O1209" t="s">
        <v>1595</v>
      </c>
      <c r="S1209" t="s">
        <v>1604</v>
      </c>
      <c r="Y1209" t="s">
        <v>1602</v>
      </c>
      <c r="AD1209" t="s">
        <v>1605</v>
      </c>
      <c r="AE1209" t="s">
        <v>1603</v>
      </c>
      <c r="AK1209" t="s">
        <v>1598</v>
      </c>
      <c r="AN1209" t="s">
        <v>1592</v>
      </c>
      <c r="AO1209" t="s">
        <v>1580</v>
      </c>
      <c r="AP1209" t="s">
        <v>1581</v>
      </c>
      <c r="AQ1209" t="s">
        <v>1599</v>
      </c>
    </row>
    <row r="1210" spans="1:43" x14ac:dyDescent="0.25">
      <c r="A1210" t="s">
        <v>1574</v>
      </c>
      <c r="B1210">
        <v>12</v>
      </c>
      <c r="C1210" t="s">
        <v>1575</v>
      </c>
      <c r="D1210" t="s">
        <v>1606</v>
      </c>
      <c r="R1210" t="s">
        <v>1607</v>
      </c>
      <c r="S1210" t="s">
        <v>1604</v>
      </c>
      <c r="V1210" t="s">
        <v>1608</v>
      </c>
      <c r="Z1210" t="s">
        <v>1609</v>
      </c>
      <c r="AC1210" t="s">
        <v>1610</v>
      </c>
      <c r="AN1210" t="s">
        <v>1611</v>
      </c>
      <c r="AO1210" t="s">
        <v>1580</v>
      </c>
      <c r="AP1210" t="s">
        <v>1581</v>
      </c>
      <c r="AQ1210" t="s">
        <v>1582</v>
      </c>
    </row>
    <row r="1211" spans="1:43" x14ac:dyDescent="0.25">
      <c r="A1211" t="s">
        <v>1574</v>
      </c>
      <c r="B1211">
        <v>13</v>
      </c>
      <c r="C1211" t="s">
        <v>1575</v>
      </c>
      <c r="D1211" t="s">
        <v>1606</v>
      </c>
      <c r="R1211" t="s">
        <v>1607</v>
      </c>
      <c r="S1211" t="s">
        <v>1612</v>
      </c>
      <c r="V1211" t="s">
        <v>1608</v>
      </c>
      <c r="Z1211" t="s">
        <v>1609</v>
      </c>
      <c r="AN1211" t="s">
        <v>1611</v>
      </c>
      <c r="AO1211" t="s">
        <v>1580</v>
      </c>
      <c r="AP1211" t="s">
        <v>1581</v>
      </c>
      <c r="AQ1211" t="s">
        <v>1582</v>
      </c>
    </row>
    <row r="1212" spans="1:43" x14ac:dyDescent="0.25">
      <c r="A1212" t="s">
        <v>1574</v>
      </c>
      <c r="B1212">
        <v>14</v>
      </c>
      <c r="C1212" t="s">
        <v>1585</v>
      </c>
      <c r="D1212" t="s">
        <v>1606</v>
      </c>
      <c r="R1212" t="s">
        <v>1613</v>
      </c>
      <c r="S1212" t="s">
        <v>1604</v>
      </c>
      <c r="V1212" t="s">
        <v>1608</v>
      </c>
      <c r="Z1212" t="s">
        <v>1609</v>
      </c>
      <c r="AC1212" t="s">
        <v>1610</v>
      </c>
      <c r="AN1212" t="s">
        <v>1611</v>
      </c>
      <c r="AO1212" t="s">
        <v>1580</v>
      </c>
      <c r="AP1212" t="s">
        <v>1582</v>
      </c>
    </row>
    <row r="1213" spans="1:43" x14ac:dyDescent="0.25">
      <c r="A1213" t="s">
        <v>1574</v>
      </c>
      <c r="B1213">
        <v>15</v>
      </c>
      <c r="C1213" t="s">
        <v>1585</v>
      </c>
      <c r="D1213" t="s">
        <v>1606</v>
      </c>
      <c r="R1213" t="s">
        <v>1613</v>
      </c>
      <c r="S1213" t="s">
        <v>1612</v>
      </c>
      <c r="V1213" t="s">
        <v>1608</v>
      </c>
      <c r="Z1213" t="s">
        <v>1609</v>
      </c>
      <c r="AN1213" t="s">
        <v>1611</v>
      </c>
      <c r="AO1213" t="s">
        <v>1580</v>
      </c>
      <c r="AP1213" t="s">
        <v>1582</v>
      </c>
    </row>
    <row r="1214" spans="1:43" x14ac:dyDescent="0.25">
      <c r="A1214" t="s">
        <v>1574</v>
      </c>
      <c r="B1214">
        <v>16</v>
      </c>
      <c r="C1214" t="s">
        <v>1585</v>
      </c>
      <c r="D1214" t="s">
        <v>1590</v>
      </c>
      <c r="S1214" t="s">
        <v>1604</v>
      </c>
      <c r="V1214" t="s">
        <v>1595</v>
      </c>
      <c r="X1214" t="s">
        <v>1614</v>
      </c>
      <c r="AD1214" t="s">
        <v>1605</v>
      </c>
      <c r="AE1214" t="s">
        <v>1615</v>
      </c>
      <c r="AK1214" t="s">
        <v>1598</v>
      </c>
      <c r="AM1214" t="s">
        <v>1616</v>
      </c>
    </row>
    <row r="1215" spans="1:43" x14ac:dyDescent="0.25">
      <c r="A1215" t="s">
        <v>1574</v>
      </c>
      <c r="B1215">
        <v>17</v>
      </c>
      <c r="C1215" t="s">
        <v>1585</v>
      </c>
      <c r="D1215" t="s">
        <v>1590</v>
      </c>
      <c r="S1215" t="s">
        <v>1617</v>
      </c>
      <c r="V1215" t="s">
        <v>1595</v>
      </c>
      <c r="X1215" t="s">
        <v>1600</v>
      </c>
      <c r="Y1215" t="s">
        <v>1618</v>
      </c>
      <c r="AK1215" t="s">
        <v>1598</v>
      </c>
      <c r="AM1215" t="s">
        <v>1616</v>
      </c>
    </row>
    <row r="1216" spans="1:43" x14ac:dyDescent="0.25">
      <c r="A1216" t="s">
        <v>1574</v>
      </c>
      <c r="B1216">
        <v>18</v>
      </c>
      <c r="C1216" t="s">
        <v>1585</v>
      </c>
      <c r="D1216" t="s">
        <v>1606</v>
      </c>
      <c r="R1216" t="s">
        <v>1619</v>
      </c>
      <c r="S1216" t="s">
        <v>1604</v>
      </c>
      <c r="V1216" t="s">
        <v>1608</v>
      </c>
      <c r="Z1216" t="s">
        <v>1609</v>
      </c>
      <c r="AA1216" t="s">
        <v>1587</v>
      </c>
      <c r="AB1216" t="s">
        <v>1587</v>
      </c>
      <c r="AC1216" t="s">
        <v>1610</v>
      </c>
      <c r="AF1216" t="s">
        <v>1620</v>
      </c>
      <c r="AG1216" t="s">
        <v>1621</v>
      </c>
      <c r="AN1216" t="s">
        <v>1611</v>
      </c>
      <c r="AO1216" t="s">
        <v>1580</v>
      </c>
      <c r="AP1216" t="s">
        <v>1581</v>
      </c>
      <c r="AQ1216" t="s">
        <v>1622</v>
      </c>
    </row>
    <row r="1217" spans="1:43" x14ac:dyDescent="0.25">
      <c r="A1217" t="s">
        <v>1574</v>
      </c>
      <c r="B1217">
        <v>19</v>
      </c>
      <c r="C1217" t="s">
        <v>1585</v>
      </c>
      <c r="D1217" t="s">
        <v>1606</v>
      </c>
      <c r="R1217" t="s">
        <v>1619</v>
      </c>
      <c r="S1217" t="s">
        <v>1604</v>
      </c>
      <c r="V1217" t="s">
        <v>1608</v>
      </c>
      <c r="Z1217" t="s">
        <v>1609</v>
      </c>
      <c r="AA1217" t="s">
        <v>1587</v>
      </c>
      <c r="AB1217" t="s">
        <v>1587</v>
      </c>
      <c r="AC1217" t="s">
        <v>1610</v>
      </c>
      <c r="AF1217" t="s">
        <v>1623</v>
      </c>
      <c r="AG1217" t="s">
        <v>1621</v>
      </c>
      <c r="AN1217" t="s">
        <v>1611</v>
      </c>
      <c r="AO1217" t="s">
        <v>1580</v>
      </c>
      <c r="AP1217" t="s">
        <v>1581</v>
      </c>
      <c r="AQ1217" t="s">
        <v>1622</v>
      </c>
    </row>
    <row r="1218" spans="1:43" x14ac:dyDescent="0.25">
      <c r="A1218" t="s">
        <v>1574</v>
      </c>
      <c r="B1218">
        <v>20</v>
      </c>
      <c r="C1218" t="s">
        <v>1585</v>
      </c>
      <c r="D1218" t="s">
        <v>1606</v>
      </c>
      <c r="R1218" t="s">
        <v>1624</v>
      </c>
      <c r="S1218" t="s">
        <v>1604</v>
      </c>
      <c r="V1218" t="s">
        <v>1608</v>
      </c>
      <c r="Z1218" t="s">
        <v>1609</v>
      </c>
      <c r="AA1218" t="s">
        <v>1587</v>
      </c>
      <c r="AB1218" t="s">
        <v>1587</v>
      </c>
      <c r="AC1218" t="s">
        <v>1610</v>
      </c>
      <c r="AF1218" t="s">
        <v>1620</v>
      </c>
      <c r="AG1218" t="s">
        <v>1621</v>
      </c>
      <c r="AN1218" t="s">
        <v>1611</v>
      </c>
      <c r="AO1218" t="s">
        <v>1580</v>
      </c>
      <c r="AP1218" t="s">
        <v>1581</v>
      </c>
      <c r="AQ1218" t="s">
        <v>1622</v>
      </c>
    </row>
    <row r="1219" spans="1:43" x14ac:dyDescent="0.25">
      <c r="A1219" t="s">
        <v>1574</v>
      </c>
      <c r="B1219">
        <v>21</v>
      </c>
      <c r="C1219" t="s">
        <v>1585</v>
      </c>
      <c r="D1219" t="s">
        <v>1606</v>
      </c>
      <c r="R1219" t="s">
        <v>1624</v>
      </c>
      <c r="S1219" t="s">
        <v>1604</v>
      </c>
      <c r="V1219" t="s">
        <v>1608</v>
      </c>
      <c r="Z1219" t="s">
        <v>1609</v>
      </c>
      <c r="AA1219" t="s">
        <v>1587</v>
      </c>
      <c r="AB1219" t="s">
        <v>1587</v>
      </c>
      <c r="AC1219" t="s">
        <v>1610</v>
      </c>
      <c r="AF1219" t="s">
        <v>1623</v>
      </c>
      <c r="AG1219" t="s">
        <v>1621</v>
      </c>
      <c r="AN1219" t="s">
        <v>1611</v>
      </c>
      <c r="AO1219" t="s">
        <v>1580</v>
      </c>
      <c r="AP1219" t="s">
        <v>1581</v>
      </c>
      <c r="AQ1219" t="s">
        <v>1622</v>
      </c>
    </row>
    <row r="1220" spans="1:43" x14ac:dyDescent="0.25">
      <c r="A1220" t="s">
        <v>1574</v>
      </c>
      <c r="B1220">
        <v>22</v>
      </c>
      <c r="C1220" t="s">
        <v>1585</v>
      </c>
      <c r="D1220" t="s">
        <v>1606</v>
      </c>
      <c r="S1220" t="s">
        <v>1604</v>
      </c>
      <c r="V1220" t="s">
        <v>1608</v>
      </c>
      <c r="Z1220" t="s">
        <v>1609</v>
      </c>
      <c r="AA1220" t="s">
        <v>1587</v>
      </c>
      <c r="AB1220" t="s">
        <v>1587</v>
      </c>
      <c r="AC1220" t="s">
        <v>1610</v>
      </c>
      <c r="AF1220" t="s">
        <v>1625</v>
      </c>
      <c r="AG1220" t="s">
        <v>1621</v>
      </c>
      <c r="AH1220" t="s">
        <v>1626</v>
      </c>
      <c r="AI1220" t="s">
        <v>1627</v>
      </c>
      <c r="AN1220" t="s">
        <v>1611</v>
      </c>
      <c r="AO1220" t="s">
        <v>1580</v>
      </c>
      <c r="AP1220" t="s">
        <v>1581</v>
      </c>
      <c r="AQ1220" t="s">
        <v>1622</v>
      </c>
    </row>
    <row r="1221" spans="1:43" x14ac:dyDescent="0.25">
      <c r="A1221" t="s">
        <v>1574</v>
      </c>
      <c r="B1221">
        <v>23</v>
      </c>
      <c r="C1221" t="s">
        <v>1585</v>
      </c>
      <c r="D1221" t="s">
        <v>1606</v>
      </c>
      <c r="R1221" t="s">
        <v>1619</v>
      </c>
      <c r="S1221" t="s">
        <v>1596</v>
      </c>
      <c r="V1221" t="s">
        <v>1608</v>
      </c>
      <c r="W1221" t="s">
        <v>1587</v>
      </c>
      <c r="Z1221" t="s">
        <v>1609</v>
      </c>
      <c r="AA1221" t="s">
        <v>1587</v>
      </c>
      <c r="AB1221" t="s">
        <v>1587</v>
      </c>
      <c r="AF1221" t="s">
        <v>1620</v>
      </c>
      <c r="AG1221" t="s">
        <v>1621</v>
      </c>
      <c r="AN1221" t="s">
        <v>1611</v>
      </c>
      <c r="AO1221" t="s">
        <v>1580</v>
      </c>
      <c r="AP1221" t="s">
        <v>1581</v>
      </c>
      <c r="AQ1221" t="s">
        <v>1622</v>
      </c>
    </row>
    <row r="1222" spans="1:43" x14ac:dyDescent="0.25">
      <c r="A1222" t="s">
        <v>1574</v>
      </c>
      <c r="B1222">
        <v>24</v>
      </c>
      <c r="C1222" t="s">
        <v>1585</v>
      </c>
      <c r="D1222" t="s">
        <v>1606</v>
      </c>
      <c r="R1222" t="s">
        <v>1619</v>
      </c>
      <c r="S1222" t="s">
        <v>1596</v>
      </c>
      <c r="V1222" t="s">
        <v>1608</v>
      </c>
      <c r="W1222" t="s">
        <v>1587</v>
      </c>
      <c r="Z1222" t="s">
        <v>1609</v>
      </c>
      <c r="AA1222" t="s">
        <v>1587</v>
      </c>
      <c r="AB1222" t="s">
        <v>1587</v>
      </c>
      <c r="AF1222" t="s">
        <v>1623</v>
      </c>
      <c r="AG1222" t="s">
        <v>1621</v>
      </c>
      <c r="AN1222" t="s">
        <v>1611</v>
      </c>
      <c r="AO1222" t="s">
        <v>1580</v>
      </c>
      <c r="AP1222" t="s">
        <v>1581</v>
      </c>
      <c r="AQ1222" t="s">
        <v>1622</v>
      </c>
    </row>
    <row r="1223" spans="1:43" x14ac:dyDescent="0.25">
      <c r="A1223" t="s">
        <v>1574</v>
      </c>
      <c r="B1223">
        <v>25</v>
      </c>
      <c r="C1223" t="s">
        <v>1585</v>
      </c>
      <c r="D1223" t="s">
        <v>1606</v>
      </c>
      <c r="R1223" t="s">
        <v>1624</v>
      </c>
      <c r="S1223" t="s">
        <v>1596</v>
      </c>
      <c r="V1223" t="s">
        <v>1608</v>
      </c>
      <c r="W1223" t="s">
        <v>1587</v>
      </c>
      <c r="Z1223" t="s">
        <v>1609</v>
      </c>
      <c r="AA1223" t="s">
        <v>1587</v>
      </c>
      <c r="AB1223" t="s">
        <v>1587</v>
      </c>
      <c r="AF1223" t="s">
        <v>1620</v>
      </c>
      <c r="AG1223" t="s">
        <v>1621</v>
      </c>
      <c r="AN1223" t="s">
        <v>1611</v>
      </c>
      <c r="AO1223" t="s">
        <v>1580</v>
      </c>
      <c r="AP1223" t="s">
        <v>1581</v>
      </c>
      <c r="AQ1223" t="s">
        <v>1622</v>
      </c>
    </row>
    <row r="1224" spans="1:43" x14ac:dyDescent="0.25">
      <c r="A1224" t="s">
        <v>1574</v>
      </c>
      <c r="B1224">
        <v>26</v>
      </c>
      <c r="C1224" t="s">
        <v>1585</v>
      </c>
      <c r="D1224" t="s">
        <v>1606</v>
      </c>
      <c r="R1224" t="s">
        <v>1624</v>
      </c>
      <c r="S1224" t="s">
        <v>1596</v>
      </c>
      <c r="V1224" t="s">
        <v>1608</v>
      </c>
      <c r="W1224" t="s">
        <v>1587</v>
      </c>
      <c r="Z1224" t="s">
        <v>1609</v>
      </c>
      <c r="AA1224" t="s">
        <v>1587</v>
      </c>
      <c r="AB1224" t="s">
        <v>1587</v>
      </c>
      <c r="AF1224" t="s">
        <v>1623</v>
      </c>
      <c r="AG1224" t="s">
        <v>1621</v>
      </c>
      <c r="AN1224" t="s">
        <v>1611</v>
      </c>
      <c r="AO1224" t="s">
        <v>1580</v>
      </c>
      <c r="AP1224" t="s">
        <v>1581</v>
      </c>
      <c r="AQ1224" t="s">
        <v>1622</v>
      </c>
    </row>
    <row r="1225" spans="1:43" x14ac:dyDescent="0.25">
      <c r="A1225" t="s">
        <v>1574</v>
      </c>
      <c r="B1225">
        <v>27</v>
      </c>
      <c r="C1225" t="s">
        <v>1575</v>
      </c>
      <c r="D1225" t="s">
        <v>1628</v>
      </c>
      <c r="S1225" t="s">
        <v>1629</v>
      </c>
      <c r="AK1225" t="s">
        <v>1630</v>
      </c>
      <c r="AN1225" t="s">
        <v>1631</v>
      </c>
      <c r="AO1225" t="s">
        <v>1580</v>
      </c>
      <c r="AP1225" t="s">
        <v>1581</v>
      </c>
      <c r="AQ1225" t="s">
        <v>1582</v>
      </c>
    </row>
    <row r="1226" spans="1:43" x14ac:dyDescent="0.25">
      <c r="A1226" t="s">
        <v>1574</v>
      </c>
      <c r="B1226">
        <v>28</v>
      </c>
      <c r="C1226" t="s">
        <v>1585</v>
      </c>
      <c r="D1226" t="s">
        <v>1628</v>
      </c>
      <c r="AK1226" t="s">
        <v>1632</v>
      </c>
      <c r="AM1226" t="s">
        <v>1631</v>
      </c>
    </row>
    <row r="1227" spans="1:43" x14ac:dyDescent="0.25">
      <c r="A1227" t="s">
        <v>1574</v>
      </c>
      <c r="B1227">
        <v>29</v>
      </c>
      <c r="C1227" t="s">
        <v>1585</v>
      </c>
      <c r="D1227" t="s">
        <v>1628</v>
      </c>
      <c r="AK1227" t="s">
        <v>1633</v>
      </c>
      <c r="AM1227" t="s">
        <v>1631</v>
      </c>
    </row>
    <row r="1228" spans="1:43" x14ac:dyDescent="0.25">
      <c r="A1228" t="s">
        <v>1574</v>
      </c>
      <c r="B1228">
        <v>30</v>
      </c>
      <c r="C1228" t="s">
        <v>1585</v>
      </c>
      <c r="D1228" t="s">
        <v>1628</v>
      </c>
      <c r="S1228" t="s">
        <v>1629</v>
      </c>
      <c r="AK1228" t="s">
        <v>1634</v>
      </c>
      <c r="AN1228" t="s">
        <v>1631</v>
      </c>
      <c r="AO1228" t="s">
        <v>1580</v>
      </c>
      <c r="AP1228" t="s">
        <v>1582</v>
      </c>
    </row>
    <row r="1229" spans="1:43" x14ac:dyDescent="0.25">
      <c r="A1229" t="s">
        <v>1574</v>
      </c>
      <c r="B1229">
        <v>31</v>
      </c>
      <c r="C1229" t="s">
        <v>1575</v>
      </c>
      <c r="D1229" t="s">
        <v>1628</v>
      </c>
      <c r="S1229" t="s">
        <v>1629</v>
      </c>
      <c r="T1229" t="s">
        <v>44</v>
      </c>
      <c r="AK1229" t="s">
        <v>1635</v>
      </c>
      <c r="AN1229" t="s">
        <v>1631</v>
      </c>
      <c r="AO1229" t="s">
        <v>1580</v>
      </c>
      <c r="AP1229" t="s">
        <v>1581</v>
      </c>
      <c r="AQ1229" t="s">
        <v>1582</v>
      </c>
    </row>
    <row r="1230" spans="1:43" x14ac:dyDescent="0.25">
      <c r="A1230" t="s">
        <v>1574</v>
      </c>
      <c r="B1230">
        <v>32</v>
      </c>
      <c r="C1230" t="s">
        <v>1585</v>
      </c>
      <c r="D1230" t="s">
        <v>1628</v>
      </c>
      <c r="S1230" t="s">
        <v>1596</v>
      </c>
      <c r="W1230" t="s">
        <v>1587</v>
      </c>
      <c r="AK1230" t="s">
        <v>1636</v>
      </c>
      <c r="AN1230" t="s">
        <v>1631</v>
      </c>
      <c r="AO1230" t="s">
        <v>1580</v>
      </c>
      <c r="AP1230" t="s">
        <v>1581</v>
      </c>
      <c r="AQ1230" t="s">
        <v>1622</v>
      </c>
    </row>
    <row r="1231" spans="1:43" x14ac:dyDescent="0.25">
      <c r="A1231" t="s">
        <v>1574</v>
      </c>
      <c r="B1231">
        <v>33</v>
      </c>
      <c r="C1231" t="s">
        <v>1637</v>
      </c>
      <c r="D1231" t="s">
        <v>1638</v>
      </c>
    </row>
    <row r="1232" spans="1:43" x14ac:dyDescent="0.25">
      <c r="A1232" t="s">
        <v>1574</v>
      </c>
      <c r="B1232">
        <v>34</v>
      </c>
      <c r="C1232" t="s">
        <v>1585</v>
      </c>
      <c r="D1232" t="s">
        <v>1606</v>
      </c>
      <c r="R1232" t="s">
        <v>1619</v>
      </c>
      <c r="S1232" t="s">
        <v>1604</v>
      </c>
      <c r="V1232" t="s">
        <v>1608</v>
      </c>
      <c r="Z1232" t="s">
        <v>1609</v>
      </c>
      <c r="AA1232" t="s">
        <v>44</v>
      </c>
      <c r="AC1232" t="s">
        <v>1610</v>
      </c>
      <c r="AM1232" t="s">
        <v>1611</v>
      </c>
    </row>
    <row r="1233" spans="1:39" x14ac:dyDescent="0.25">
      <c r="A1233" t="s">
        <v>1574</v>
      </c>
      <c r="B1233">
        <v>35</v>
      </c>
      <c r="C1233" t="s">
        <v>1585</v>
      </c>
      <c r="D1233" t="s">
        <v>1606</v>
      </c>
      <c r="R1233" t="s">
        <v>1624</v>
      </c>
      <c r="S1233" t="s">
        <v>1604</v>
      </c>
      <c r="V1233" t="s">
        <v>1608</v>
      </c>
      <c r="Z1233" t="s">
        <v>1609</v>
      </c>
      <c r="AA1233" t="s">
        <v>44</v>
      </c>
      <c r="AC1233" t="s">
        <v>1610</v>
      </c>
      <c r="AM1233" t="s">
        <v>1611</v>
      </c>
    </row>
    <row r="1234" spans="1:39" x14ac:dyDescent="0.25">
      <c r="A1234" t="s">
        <v>1574</v>
      </c>
      <c r="B1234">
        <v>36</v>
      </c>
      <c r="C1234" t="s">
        <v>1585</v>
      </c>
      <c r="D1234" t="s">
        <v>1606</v>
      </c>
      <c r="R1234" t="s">
        <v>1619</v>
      </c>
      <c r="S1234" t="s">
        <v>1612</v>
      </c>
      <c r="V1234" t="s">
        <v>1608</v>
      </c>
      <c r="Z1234" t="s">
        <v>1609</v>
      </c>
      <c r="AA1234" t="s">
        <v>44</v>
      </c>
      <c r="AM1234" t="s">
        <v>1611</v>
      </c>
    </row>
    <row r="1235" spans="1:39" x14ac:dyDescent="0.25">
      <c r="A1235" t="s">
        <v>1574</v>
      </c>
      <c r="B1235">
        <v>37</v>
      </c>
      <c r="C1235" t="s">
        <v>1585</v>
      </c>
      <c r="D1235" t="s">
        <v>1606</v>
      </c>
      <c r="R1235" t="s">
        <v>1624</v>
      </c>
      <c r="S1235" t="s">
        <v>1612</v>
      </c>
      <c r="V1235" t="s">
        <v>1608</v>
      </c>
      <c r="Z1235" t="s">
        <v>1609</v>
      </c>
      <c r="AA1235" t="s">
        <v>44</v>
      </c>
      <c r="AM1235" t="s">
        <v>1611</v>
      </c>
    </row>
    <row r="1236" spans="1:39" x14ac:dyDescent="0.25">
      <c r="A1236" t="s">
        <v>1574</v>
      </c>
      <c r="B1236">
        <v>38</v>
      </c>
      <c r="C1236" t="s">
        <v>1585</v>
      </c>
      <c r="D1236" t="s">
        <v>1606</v>
      </c>
      <c r="R1236" t="s">
        <v>1619</v>
      </c>
      <c r="S1236" t="s">
        <v>1604</v>
      </c>
      <c r="V1236" t="s">
        <v>1608</v>
      </c>
      <c r="Z1236" t="s">
        <v>1609</v>
      </c>
      <c r="AB1236" t="s">
        <v>44</v>
      </c>
      <c r="AC1236" t="s">
        <v>1610</v>
      </c>
      <c r="AM1236" t="s">
        <v>1611</v>
      </c>
    </row>
    <row r="1237" spans="1:39" x14ac:dyDescent="0.25">
      <c r="A1237" t="s">
        <v>1574</v>
      </c>
      <c r="B1237">
        <v>39</v>
      </c>
      <c r="C1237" t="s">
        <v>1585</v>
      </c>
      <c r="D1237" t="s">
        <v>1606</v>
      </c>
      <c r="R1237" t="s">
        <v>1624</v>
      </c>
      <c r="S1237" t="s">
        <v>1604</v>
      </c>
      <c r="V1237" t="s">
        <v>1608</v>
      </c>
      <c r="Z1237" t="s">
        <v>1609</v>
      </c>
      <c r="AB1237" t="s">
        <v>44</v>
      </c>
      <c r="AC1237" t="s">
        <v>1610</v>
      </c>
      <c r="AM1237" t="s">
        <v>1611</v>
      </c>
    </row>
    <row r="1238" spans="1:39" x14ac:dyDescent="0.25">
      <c r="A1238" t="s">
        <v>1574</v>
      </c>
      <c r="B1238">
        <v>40</v>
      </c>
      <c r="C1238" t="s">
        <v>1585</v>
      </c>
      <c r="D1238" t="s">
        <v>1606</v>
      </c>
      <c r="R1238" t="s">
        <v>1619</v>
      </c>
      <c r="S1238" t="s">
        <v>1612</v>
      </c>
      <c r="V1238" t="s">
        <v>1608</v>
      </c>
      <c r="Z1238" t="s">
        <v>1609</v>
      </c>
      <c r="AB1238" t="s">
        <v>44</v>
      </c>
      <c r="AM1238" t="s">
        <v>1611</v>
      </c>
    </row>
    <row r="1239" spans="1:39" x14ac:dyDescent="0.25">
      <c r="A1239" t="s">
        <v>1574</v>
      </c>
      <c r="B1239">
        <v>41</v>
      </c>
      <c r="C1239" t="s">
        <v>1585</v>
      </c>
      <c r="D1239" t="s">
        <v>1606</v>
      </c>
      <c r="R1239" t="s">
        <v>1624</v>
      </c>
      <c r="S1239" t="s">
        <v>1612</v>
      </c>
      <c r="V1239" t="s">
        <v>1608</v>
      </c>
      <c r="Z1239" t="s">
        <v>1609</v>
      </c>
      <c r="AB1239" t="s">
        <v>44</v>
      </c>
      <c r="AM1239" t="s">
        <v>1611</v>
      </c>
    </row>
    <row r="1240" spans="1:39" x14ac:dyDescent="0.25">
      <c r="A1240" t="s">
        <v>1574</v>
      </c>
      <c r="B1240">
        <v>42</v>
      </c>
      <c r="C1240" t="s">
        <v>1585</v>
      </c>
      <c r="D1240" t="s">
        <v>1606</v>
      </c>
      <c r="R1240" t="s">
        <v>1619</v>
      </c>
      <c r="S1240" t="s">
        <v>1604</v>
      </c>
      <c r="V1240" t="s">
        <v>1608</v>
      </c>
      <c r="Z1240" t="s">
        <v>1609</v>
      </c>
      <c r="AA1240" t="s">
        <v>1587</v>
      </c>
      <c r="AB1240" t="s">
        <v>1587</v>
      </c>
      <c r="AC1240" t="s">
        <v>1610</v>
      </c>
      <c r="AG1240" t="s">
        <v>1639</v>
      </c>
      <c r="AM1240" t="s">
        <v>1611</v>
      </c>
    </row>
    <row r="1241" spans="1:39" x14ac:dyDescent="0.25">
      <c r="A1241" t="s">
        <v>1574</v>
      </c>
      <c r="B1241">
        <v>43</v>
      </c>
      <c r="C1241" t="s">
        <v>1585</v>
      </c>
      <c r="D1241" t="s">
        <v>1606</v>
      </c>
      <c r="R1241" t="s">
        <v>1624</v>
      </c>
      <c r="S1241" t="s">
        <v>1604</v>
      </c>
      <c r="V1241" t="s">
        <v>1608</v>
      </c>
      <c r="Z1241" t="s">
        <v>1609</v>
      </c>
      <c r="AA1241" t="s">
        <v>1587</v>
      </c>
      <c r="AB1241" t="s">
        <v>1587</v>
      </c>
      <c r="AC1241" t="s">
        <v>1610</v>
      </c>
      <c r="AG1241" t="s">
        <v>1639</v>
      </c>
      <c r="AM1241" t="s">
        <v>1611</v>
      </c>
    </row>
    <row r="1242" spans="1:39" x14ac:dyDescent="0.25">
      <c r="A1242" t="s">
        <v>1574</v>
      </c>
      <c r="B1242">
        <v>44</v>
      </c>
      <c r="C1242" t="s">
        <v>1585</v>
      </c>
      <c r="D1242" t="s">
        <v>1606</v>
      </c>
      <c r="R1242" t="s">
        <v>1619</v>
      </c>
      <c r="S1242" t="s">
        <v>1612</v>
      </c>
      <c r="V1242" t="s">
        <v>1608</v>
      </c>
      <c r="Z1242" t="s">
        <v>1609</v>
      </c>
      <c r="AA1242" t="s">
        <v>1587</v>
      </c>
      <c r="AB1242" t="s">
        <v>1587</v>
      </c>
      <c r="AG1242" t="s">
        <v>1639</v>
      </c>
      <c r="AM1242" t="s">
        <v>1611</v>
      </c>
    </row>
    <row r="1243" spans="1:39" x14ac:dyDescent="0.25">
      <c r="A1243" t="s">
        <v>1574</v>
      </c>
      <c r="B1243">
        <v>45</v>
      </c>
      <c r="C1243" t="s">
        <v>1585</v>
      </c>
      <c r="D1243" t="s">
        <v>1606</v>
      </c>
      <c r="R1243" t="s">
        <v>1624</v>
      </c>
      <c r="S1243" t="s">
        <v>1612</v>
      </c>
      <c r="V1243" t="s">
        <v>1608</v>
      </c>
      <c r="Z1243" t="s">
        <v>1609</v>
      </c>
      <c r="AA1243" t="s">
        <v>1587</v>
      </c>
      <c r="AB1243" t="s">
        <v>1587</v>
      </c>
      <c r="AG1243" t="s">
        <v>1639</v>
      </c>
      <c r="AM1243" t="s">
        <v>1611</v>
      </c>
    </row>
    <row r="1244" spans="1:39" x14ac:dyDescent="0.25">
      <c r="A1244" t="s">
        <v>1574</v>
      </c>
      <c r="B1244">
        <v>46</v>
      </c>
      <c r="C1244" t="s">
        <v>1585</v>
      </c>
      <c r="D1244" t="s">
        <v>1606</v>
      </c>
      <c r="R1244" t="s">
        <v>1640</v>
      </c>
      <c r="S1244" t="s">
        <v>1604</v>
      </c>
      <c r="V1244" t="s">
        <v>1608</v>
      </c>
      <c r="Z1244" t="s">
        <v>1609</v>
      </c>
      <c r="AA1244" t="s">
        <v>1587</v>
      </c>
      <c r="AB1244" t="s">
        <v>1587</v>
      </c>
      <c r="AC1244" t="s">
        <v>1610</v>
      </c>
      <c r="AF1244" t="s">
        <v>1625</v>
      </c>
      <c r="AG1244" t="s">
        <v>1621</v>
      </c>
      <c r="AH1244" t="s">
        <v>1641</v>
      </c>
      <c r="AM1244" t="s">
        <v>1611</v>
      </c>
    </row>
    <row r="1245" spans="1:39" x14ac:dyDescent="0.25">
      <c r="A1245" t="s">
        <v>1574</v>
      </c>
      <c r="B1245">
        <v>47</v>
      </c>
      <c r="C1245" t="s">
        <v>1585</v>
      </c>
      <c r="D1245" t="s">
        <v>1606</v>
      </c>
      <c r="R1245" t="s">
        <v>1640</v>
      </c>
      <c r="S1245" t="s">
        <v>1612</v>
      </c>
      <c r="V1245" t="s">
        <v>1608</v>
      </c>
      <c r="Z1245" t="s">
        <v>1609</v>
      </c>
      <c r="AA1245" t="s">
        <v>1587</v>
      </c>
      <c r="AB1245" t="s">
        <v>1587</v>
      </c>
      <c r="AF1245" t="s">
        <v>1625</v>
      </c>
      <c r="AG1245" t="s">
        <v>1621</v>
      </c>
      <c r="AH1245" t="s">
        <v>1641</v>
      </c>
      <c r="AM1245" t="s">
        <v>1611</v>
      </c>
    </row>
    <row r="1246" spans="1:39" x14ac:dyDescent="0.25">
      <c r="A1246" t="s">
        <v>1574</v>
      </c>
      <c r="B1246">
        <v>48</v>
      </c>
      <c r="C1246" t="s">
        <v>1585</v>
      </c>
      <c r="D1246" t="s">
        <v>1642</v>
      </c>
      <c r="S1246" t="s">
        <v>1604</v>
      </c>
      <c r="V1246" t="s">
        <v>1595</v>
      </c>
      <c r="AD1246" t="s">
        <v>1643</v>
      </c>
      <c r="AK1246" t="s">
        <v>1598</v>
      </c>
      <c r="AM1246" t="s">
        <v>1616</v>
      </c>
    </row>
    <row r="1247" spans="1:39" x14ac:dyDescent="0.25">
      <c r="A1247" t="s">
        <v>1574</v>
      </c>
      <c r="B1247">
        <v>49</v>
      </c>
      <c r="C1247" t="s">
        <v>1585</v>
      </c>
      <c r="D1247" t="s">
        <v>1642</v>
      </c>
      <c r="S1247" t="s">
        <v>1596</v>
      </c>
      <c r="V1247" t="s">
        <v>1595</v>
      </c>
      <c r="W1247" t="s">
        <v>44</v>
      </c>
      <c r="X1247" t="s">
        <v>1552</v>
      </c>
      <c r="AK1247" t="s">
        <v>1598</v>
      </c>
      <c r="AM1247" t="s">
        <v>1616</v>
      </c>
    </row>
    <row r="1248" spans="1:39" x14ac:dyDescent="0.25">
      <c r="A1248" t="s">
        <v>1574</v>
      </c>
      <c r="B1248">
        <v>50</v>
      </c>
      <c r="C1248" t="s">
        <v>1585</v>
      </c>
      <c r="D1248" t="s">
        <v>1642</v>
      </c>
      <c r="S1248" t="s">
        <v>1596</v>
      </c>
      <c r="V1248" t="s">
        <v>1595</v>
      </c>
      <c r="W1248" t="s">
        <v>1587</v>
      </c>
      <c r="X1248" t="s">
        <v>1552</v>
      </c>
      <c r="AE1248" t="s">
        <v>1644</v>
      </c>
      <c r="AK1248" t="s">
        <v>1598</v>
      </c>
      <c r="AM1248" t="s">
        <v>1616</v>
      </c>
    </row>
    <row r="1249" spans="1:39" x14ac:dyDescent="0.25">
      <c r="A1249" t="s">
        <v>1574</v>
      </c>
      <c r="B1249">
        <v>51</v>
      </c>
      <c r="C1249" t="s">
        <v>1585</v>
      </c>
      <c r="D1249" t="s">
        <v>1642</v>
      </c>
      <c r="S1249" t="s">
        <v>1596</v>
      </c>
      <c r="V1249" t="s">
        <v>1595</v>
      </c>
      <c r="W1249" t="s">
        <v>44</v>
      </c>
      <c r="X1249" t="s">
        <v>1600</v>
      </c>
      <c r="Y1249" t="s">
        <v>1601</v>
      </c>
      <c r="AK1249" t="s">
        <v>1598</v>
      </c>
      <c r="AM1249" t="s">
        <v>1616</v>
      </c>
    </row>
    <row r="1250" spans="1:39" x14ac:dyDescent="0.25">
      <c r="A1250" t="s">
        <v>1574</v>
      </c>
      <c r="B1250">
        <v>52</v>
      </c>
      <c r="C1250" t="s">
        <v>1585</v>
      </c>
      <c r="D1250" t="s">
        <v>1642</v>
      </c>
      <c r="S1250" t="s">
        <v>1596</v>
      </c>
      <c r="V1250" t="s">
        <v>1595</v>
      </c>
      <c r="X1250" t="s">
        <v>1600</v>
      </c>
      <c r="Y1250" t="s">
        <v>1618</v>
      </c>
      <c r="AE1250" t="s">
        <v>1645</v>
      </c>
      <c r="AK1250" t="s">
        <v>1598</v>
      </c>
      <c r="AM1250" t="s">
        <v>1616</v>
      </c>
    </row>
    <row r="1251" spans="1:39" x14ac:dyDescent="0.25">
      <c r="A1251" t="s">
        <v>1574</v>
      </c>
      <c r="B1251">
        <v>53</v>
      </c>
      <c r="C1251" t="s">
        <v>1585</v>
      </c>
      <c r="D1251" t="s">
        <v>1642</v>
      </c>
      <c r="S1251" t="s">
        <v>1596</v>
      </c>
      <c r="V1251" t="s">
        <v>1595</v>
      </c>
      <c r="AE1251" t="s">
        <v>1615</v>
      </c>
      <c r="AK1251" t="s">
        <v>1598</v>
      </c>
      <c r="AM1251" t="s">
        <v>1616</v>
      </c>
    </row>
    <row r="1252" spans="1:39" x14ac:dyDescent="0.25">
      <c r="A1252" t="s">
        <v>1574</v>
      </c>
      <c r="B1252">
        <v>54</v>
      </c>
      <c r="C1252" t="s">
        <v>1585</v>
      </c>
      <c r="D1252" t="s">
        <v>1642</v>
      </c>
      <c r="S1252" t="s">
        <v>1646</v>
      </c>
      <c r="V1252" t="s">
        <v>1595</v>
      </c>
      <c r="AK1252" t="s">
        <v>1598</v>
      </c>
      <c r="AM1252" t="s">
        <v>1616</v>
      </c>
    </row>
    <row r="1253" spans="1:39" x14ac:dyDescent="0.25">
      <c r="A1253" t="s">
        <v>1574</v>
      </c>
      <c r="B1253">
        <v>55</v>
      </c>
      <c r="C1253" t="s">
        <v>1585</v>
      </c>
      <c r="D1253" t="s">
        <v>1576</v>
      </c>
      <c r="S1253" t="s">
        <v>1596</v>
      </c>
      <c r="V1253" t="s">
        <v>1578</v>
      </c>
      <c r="W1253" t="s">
        <v>44</v>
      </c>
      <c r="AK1253" t="s">
        <v>1588</v>
      </c>
      <c r="AM1253" t="s">
        <v>1579</v>
      </c>
    </row>
    <row r="1254" spans="1:39" x14ac:dyDescent="0.25">
      <c r="A1254" t="s">
        <v>1574</v>
      </c>
      <c r="B1254">
        <v>56</v>
      </c>
      <c r="C1254" t="s">
        <v>1585</v>
      </c>
      <c r="D1254" t="s">
        <v>1576</v>
      </c>
      <c r="S1254" t="s">
        <v>1647</v>
      </c>
      <c r="V1254" t="s">
        <v>1578</v>
      </c>
      <c r="AK1254" t="s">
        <v>1588</v>
      </c>
      <c r="AM1254" t="s">
        <v>1579</v>
      </c>
    </row>
    <row r="1255" spans="1:39" x14ac:dyDescent="0.25">
      <c r="A1255" t="s">
        <v>1574</v>
      </c>
      <c r="B1255">
        <v>57</v>
      </c>
      <c r="C1255" t="s">
        <v>1585</v>
      </c>
      <c r="D1255" t="s">
        <v>1576</v>
      </c>
      <c r="N1255" t="s">
        <v>1583</v>
      </c>
      <c r="O1255" t="s">
        <v>1584</v>
      </c>
      <c r="AK1255" t="s">
        <v>1648</v>
      </c>
      <c r="AM1255" t="s">
        <v>1579</v>
      </c>
    </row>
    <row r="1256" spans="1:39" x14ac:dyDescent="0.25">
      <c r="A1256" t="s">
        <v>1574</v>
      </c>
      <c r="B1256">
        <v>58</v>
      </c>
      <c r="C1256" t="s">
        <v>1585</v>
      </c>
      <c r="D1256" t="s">
        <v>1576</v>
      </c>
      <c r="N1256" t="s">
        <v>1583</v>
      </c>
      <c r="O1256" t="s">
        <v>1584</v>
      </c>
      <c r="W1256" t="s">
        <v>44</v>
      </c>
      <c r="AK1256" t="s">
        <v>1588</v>
      </c>
      <c r="AM1256" t="s">
        <v>1579</v>
      </c>
    </row>
    <row r="1257" spans="1:39" x14ac:dyDescent="0.25">
      <c r="A1257" t="s">
        <v>1574</v>
      </c>
      <c r="B1257">
        <v>59</v>
      </c>
      <c r="C1257" t="s">
        <v>1585</v>
      </c>
      <c r="D1257" t="s">
        <v>1628</v>
      </c>
      <c r="AK1257" t="s">
        <v>1649</v>
      </c>
      <c r="AM1257" t="s">
        <v>1631</v>
      </c>
    </row>
    <row r="1258" spans="1:39" x14ac:dyDescent="0.25">
      <c r="A1258" t="s">
        <v>1574</v>
      </c>
      <c r="B1258">
        <v>60</v>
      </c>
      <c r="C1258" t="s">
        <v>1585</v>
      </c>
      <c r="D1258" t="s">
        <v>1628</v>
      </c>
      <c r="AK1258" t="s">
        <v>1650</v>
      </c>
      <c r="AM1258" t="s">
        <v>1631</v>
      </c>
    </row>
    <row r="1259" spans="1:39" x14ac:dyDescent="0.25">
      <c r="A1259" t="s">
        <v>1574</v>
      </c>
      <c r="B1259">
        <v>61</v>
      </c>
      <c r="C1259" t="s">
        <v>1585</v>
      </c>
      <c r="D1259" t="s">
        <v>1628</v>
      </c>
      <c r="W1259" t="s">
        <v>44</v>
      </c>
      <c r="AK1259" t="s">
        <v>1636</v>
      </c>
      <c r="AM1259" t="s">
        <v>1631</v>
      </c>
    </row>
    <row r="1260" spans="1:39" x14ac:dyDescent="0.25">
      <c r="A1260" t="s">
        <v>1574</v>
      </c>
      <c r="B1260">
        <v>62</v>
      </c>
      <c r="C1260" t="s">
        <v>1585</v>
      </c>
      <c r="D1260" t="s">
        <v>1628</v>
      </c>
      <c r="AK1260" t="s">
        <v>1651</v>
      </c>
      <c r="AM1260" t="s">
        <v>1631</v>
      </c>
    </row>
    <row r="1261" spans="1:39" x14ac:dyDescent="0.25">
      <c r="A1261" t="s">
        <v>1574</v>
      </c>
      <c r="B1261">
        <v>63</v>
      </c>
      <c r="C1261" t="s">
        <v>1585</v>
      </c>
      <c r="D1261" t="s">
        <v>1628</v>
      </c>
      <c r="T1261" t="s">
        <v>44</v>
      </c>
      <c r="AM1261" t="s">
        <v>1631</v>
      </c>
    </row>
    <row r="1262" spans="1:39" x14ac:dyDescent="0.25">
      <c r="A1262" t="s">
        <v>1574</v>
      </c>
      <c r="B1262">
        <v>64</v>
      </c>
      <c r="C1262" t="s">
        <v>1585</v>
      </c>
      <c r="D1262" t="s">
        <v>1628</v>
      </c>
      <c r="Z1262" t="s">
        <v>1652</v>
      </c>
      <c r="AK1262" t="s">
        <v>1653</v>
      </c>
      <c r="AM1262" t="s">
        <v>1631</v>
      </c>
    </row>
    <row r="1263" spans="1:39" x14ac:dyDescent="0.25">
      <c r="A1263" t="s">
        <v>1574</v>
      </c>
      <c r="B1263">
        <v>65</v>
      </c>
      <c r="C1263" t="s">
        <v>1585</v>
      </c>
      <c r="D1263" t="s">
        <v>1628</v>
      </c>
      <c r="S1263" t="s">
        <v>1604</v>
      </c>
      <c r="Z1263" t="s">
        <v>1654</v>
      </c>
      <c r="AC1263" t="s">
        <v>1655</v>
      </c>
      <c r="AK1263" t="s">
        <v>1653</v>
      </c>
      <c r="AM1263" t="s">
        <v>1631</v>
      </c>
    </row>
    <row r="1264" spans="1:39" x14ac:dyDescent="0.25">
      <c r="A1264" t="s">
        <v>1574</v>
      </c>
      <c r="B1264">
        <v>66</v>
      </c>
      <c r="C1264" t="s">
        <v>1585</v>
      </c>
      <c r="D1264" t="s">
        <v>1628</v>
      </c>
      <c r="AK1264" t="s">
        <v>1598</v>
      </c>
      <c r="AM1264" t="s">
        <v>1631</v>
      </c>
    </row>
    <row r="1265" spans="1:39" x14ac:dyDescent="0.25">
      <c r="A1265" t="s">
        <v>1574</v>
      </c>
      <c r="B1265">
        <v>67</v>
      </c>
      <c r="C1265" t="s">
        <v>1585</v>
      </c>
      <c r="D1265" t="s">
        <v>1628</v>
      </c>
      <c r="AK1265" t="s">
        <v>209</v>
      </c>
      <c r="AM1265" t="s">
        <v>1631</v>
      </c>
    </row>
    <row r="1266" spans="1:39" x14ac:dyDescent="0.25">
      <c r="A1266" t="s">
        <v>1574</v>
      </c>
      <c r="B1266">
        <v>68</v>
      </c>
      <c r="C1266" t="s">
        <v>1585</v>
      </c>
      <c r="D1266" t="s">
        <v>1628</v>
      </c>
      <c r="R1266" t="s">
        <v>1656</v>
      </c>
      <c r="AK1266" t="s">
        <v>1653</v>
      </c>
      <c r="AM1266" t="s">
        <v>1631</v>
      </c>
    </row>
  </sheetData>
  <autoFilter ref="A1:AQ126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E4" sqref="E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71"/>
  <sheetViews>
    <sheetView showGridLines="0" topLeftCell="F1" workbookViewId="0">
      <selection activeCell="L3" sqref="L3"/>
    </sheetView>
  </sheetViews>
  <sheetFormatPr defaultColWidth="0" defaultRowHeight="15" zeroHeight="1" x14ac:dyDescent="0.25"/>
  <cols>
    <col min="1" max="1" width="3.7109375" customWidth="1"/>
    <col min="2" max="2" width="11.85546875" bestFit="1" customWidth="1"/>
    <col min="3" max="3" width="14.28515625" bestFit="1" customWidth="1"/>
    <col min="4" max="4" width="16.42578125" bestFit="1" customWidth="1"/>
    <col min="5" max="5" width="19" bestFit="1" customWidth="1"/>
    <col min="6" max="6" width="18.140625" bestFit="1" customWidth="1"/>
    <col min="7" max="7" width="36.42578125" bestFit="1" customWidth="1"/>
    <col min="8" max="8" width="14.85546875" bestFit="1" customWidth="1"/>
    <col min="9" max="9" width="20.28515625" bestFit="1" customWidth="1"/>
    <col min="10" max="10" width="29.28515625" bestFit="1" customWidth="1"/>
    <col min="11" max="11" width="31.85546875" bestFit="1" customWidth="1"/>
    <col min="12" max="12" width="107" bestFit="1" customWidth="1"/>
    <col min="13" max="13" width="112" bestFit="1" customWidth="1"/>
    <col min="14" max="14" width="3.7109375" customWidth="1"/>
    <col min="15" max="35" width="0" hidden="1" customWidth="1"/>
    <col min="36" max="16384" width="9.140625" hidden="1"/>
  </cols>
  <sheetData>
    <row r="1" spans="2:13" x14ac:dyDescent="0.25"/>
    <row r="2" spans="2:13" x14ac:dyDescent="0.25">
      <c r="B2" s="4" t="s">
        <v>9</v>
      </c>
      <c r="C2" s="4" t="s">
        <v>1661</v>
      </c>
      <c r="D2" s="4" t="s">
        <v>1662</v>
      </c>
      <c r="E2" s="4" t="s">
        <v>1663</v>
      </c>
      <c r="F2" s="4" t="s">
        <v>35</v>
      </c>
      <c r="G2" s="4" t="s">
        <v>36</v>
      </c>
      <c r="H2" s="3" t="s">
        <v>1664</v>
      </c>
      <c r="I2" s="3" t="s">
        <v>1665</v>
      </c>
      <c r="J2" s="3" t="s">
        <v>1666</v>
      </c>
      <c r="K2" s="3" t="s">
        <v>1667</v>
      </c>
      <c r="L2" s="2" t="s">
        <v>1668</v>
      </c>
      <c r="M2" s="2" t="s">
        <v>1669</v>
      </c>
    </row>
    <row r="3" spans="2:13" x14ac:dyDescent="0.25">
      <c r="B3" s="1" t="s">
        <v>45</v>
      </c>
      <c r="C3" s="1" t="s">
        <v>46</v>
      </c>
      <c r="D3" s="1" t="s">
        <v>47</v>
      </c>
      <c r="E3" s="1" t="s">
        <v>48</v>
      </c>
      <c r="F3" s="1">
        <v>1</v>
      </c>
      <c r="G3" s="1" t="s">
        <v>49</v>
      </c>
      <c r="H3" s="1" t="str">
        <f>+IF(LEN(TRIM(B3))&gt;0,UPPER($B$2)&amp;"='"&amp;TRIM(B3)&amp;"' ","")</f>
        <v xml:space="preserve">CEMPRESA='31' </v>
      </c>
      <c r="I3" s="1" t="str">
        <f>+IF(LEN(TRIM(C3))&gt;0,UPPER($C$2)&amp;"='"&amp;TRIM(C3)&amp;"' ","")</f>
        <v xml:space="preserve">AND CBALCAO='0003' </v>
      </c>
      <c r="J3" s="1" t="str">
        <f>+IF(LEN(TRIM(D3))&gt;0,UPPER($D$2)&amp;"='"&amp;TRIM(D3)&amp;"' ","")</f>
        <v xml:space="preserve">AND CNUMECTA='20446109096' </v>
      </c>
      <c r="K3" s="1" t="str">
        <f>+IF(LEN(TRIM(E3))&gt;0,UPPER($E$2)&amp;"='"&amp;TRIM(E3)&amp;"' ","")</f>
        <v xml:space="preserve">AND ZDEPOSIT='000000000000000' </v>
      </c>
      <c r="L3" s="1" t="str">
        <f>+"WHEN "&amp;H3&amp;I3&amp;J3&amp;K3&amp;"THEN "&amp;F3</f>
        <v>WHEN CEMPRESA='31' AND CBALCAO='0003' AND CNUMECTA='20446109096' AND ZDEPOSIT='000000000000000' THEN 1</v>
      </c>
      <c r="M3" s="1" t="str">
        <f>+"WHEN "&amp;H3&amp;I3&amp;J3&amp;K3&amp;"THEN "&amp;G3</f>
        <v>WHEN CEMPRESA='31' AND CBALCAO='0003' AND CNUMECTA='20446109096' AND ZDEPOSIT='000000000000000' THEN 'A.2.3.'</v>
      </c>
    </row>
    <row r="4" spans="2:13" x14ac:dyDescent="0.25">
      <c r="B4" s="1" t="s">
        <v>45</v>
      </c>
      <c r="C4" s="1" t="s">
        <v>46</v>
      </c>
      <c r="D4" s="1" t="s">
        <v>50</v>
      </c>
      <c r="E4" s="1" t="s">
        <v>48</v>
      </c>
      <c r="F4" s="1">
        <v>1</v>
      </c>
      <c r="G4" s="1" t="s">
        <v>51</v>
      </c>
      <c r="H4" s="1" t="str">
        <f t="shared" ref="H4:H67" si="0">+IF(LEN(TRIM(B4))&gt;0,UPPER($B$2)&amp;"='"&amp;TRIM(B4)&amp;"' ","")</f>
        <v xml:space="preserve">CEMPRESA='31' </v>
      </c>
      <c r="I4" s="1" t="str">
        <f t="shared" ref="I4:I67" si="1">+IF(LEN(TRIM(C4))&gt;0,UPPER($C$2)&amp;"='"&amp;TRIM(C4)&amp;"' ","")</f>
        <v xml:space="preserve">AND CBALCAO='0003' </v>
      </c>
      <c r="J4" s="1" t="str">
        <f t="shared" ref="J4:J67" si="2">+IF(LEN(TRIM(D4))&gt;0,UPPER($D$2)&amp;"='"&amp;TRIM(D4)&amp;"' ","")</f>
        <v xml:space="preserve">AND CNUMECTA='20602396096' </v>
      </c>
      <c r="K4" s="1" t="str">
        <f t="shared" ref="K4:K67" si="3">+IF(LEN(TRIM(E4))&gt;0,UPPER($E$2)&amp;"='"&amp;TRIM(E4)&amp;"' ","")</f>
        <v xml:space="preserve">AND ZDEPOSIT='000000000000000' </v>
      </c>
      <c r="L4" s="1" t="str">
        <f t="shared" ref="L4:L67" si="4">+"WHEN "&amp;H4&amp;I4&amp;J4&amp;K4&amp;"THEN "&amp;F4</f>
        <v>WHEN CEMPRESA='31' AND CBALCAO='0003' AND CNUMECTA='20602396096' AND ZDEPOSIT='000000000000000' THEN 1</v>
      </c>
      <c r="M4" s="1" t="str">
        <f t="shared" ref="M4:M67" si="5">+"WHEN "&amp;H4&amp;I4&amp;J4&amp;K4&amp;"THEN "&amp;G4</f>
        <v>WHEN CEMPRESA='31' AND CBALCAO='0003' AND CNUMECTA='20602396096' AND ZDEPOSIT='000000000000000' THEN 'B.1.'</v>
      </c>
    </row>
    <row r="5" spans="2:13" x14ac:dyDescent="0.25">
      <c r="B5" s="1" t="s">
        <v>45</v>
      </c>
      <c r="C5" s="1" t="s">
        <v>46</v>
      </c>
      <c r="D5" s="1" t="s">
        <v>52</v>
      </c>
      <c r="E5" s="1" t="s">
        <v>48</v>
      </c>
      <c r="F5" s="1">
        <v>1</v>
      </c>
      <c r="G5" s="1" t="s">
        <v>53</v>
      </c>
      <c r="H5" s="1" t="str">
        <f t="shared" si="0"/>
        <v xml:space="preserve">CEMPRESA='31' </v>
      </c>
      <c r="I5" s="1" t="str">
        <f t="shared" si="1"/>
        <v xml:space="preserve">AND CBALCAO='0003' </v>
      </c>
      <c r="J5" s="1" t="str">
        <f t="shared" si="2"/>
        <v xml:space="preserve">AND CNUMECTA='20675830096' </v>
      </c>
      <c r="K5" s="1" t="str">
        <f t="shared" si="3"/>
        <v xml:space="preserve">AND ZDEPOSIT='000000000000000' </v>
      </c>
      <c r="L5" s="1" t="str">
        <f t="shared" si="4"/>
        <v>WHEN CEMPRESA='31' AND CBALCAO='0003' AND CNUMECTA='20675830096' AND ZDEPOSIT='000000000000000' THEN 1</v>
      </c>
      <c r="M5" s="1" t="str">
        <f t="shared" si="5"/>
        <v>WHEN CEMPRESA='31' AND CBALCAO='0003' AND CNUMECTA='20675830096' AND ZDEPOSIT='000000000000000' THEN 'A.1.1.'</v>
      </c>
    </row>
    <row r="6" spans="2:13" x14ac:dyDescent="0.25">
      <c r="B6" s="1" t="s">
        <v>54</v>
      </c>
      <c r="C6" s="1" t="s">
        <v>55</v>
      </c>
      <c r="D6" s="1" t="s">
        <v>56</v>
      </c>
      <c r="E6" s="1" t="s">
        <v>57</v>
      </c>
      <c r="F6" s="1">
        <v>1</v>
      </c>
      <c r="G6" s="1" t="s">
        <v>58</v>
      </c>
      <c r="H6" s="1" t="str">
        <f t="shared" si="0"/>
        <v xml:space="preserve">CEMPRESA='89' </v>
      </c>
      <c r="I6" s="1" t="str">
        <f t="shared" si="1"/>
        <v xml:space="preserve">AND CBALCAO='0000' </v>
      </c>
      <c r="J6" s="1" t="str">
        <f t="shared" si="2"/>
        <v xml:space="preserve">AND CNUMECTA='00008046586' </v>
      </c>
      <c r="K6" s="1" t="str">
        <f t="shared" si="3"/>
        <v xml:space="preserve">AND ZDEPOSIT='000530000778212' </v>
      </c>
      <c r="L6" s="1" t="str">
        <f t="shared" si="4"/>
        <v>WHEN CEMPRESA='89' AND CBALCAO='0000' AND CNUMECTA='00008046586' AND ZDEPOSIT='000530000778212' THEN 1</v>
      </c>
      <c r="M6" s="1" t="str">
        <f t="shared" si="5"/>
        <v>WHEN CEMPRESA='89' AND CBALCAO='0000' AND CNUMECTA='00008046586' AND ZDEPOSIT='000530000778212' THEN 'A.2.5.'</v>
      </c>
    </row>
    <row r="7" spans="2:13" x14ac:dyDescent="0.25">
      <c r="B7" s="1" t="s">
        <v>45</v>
      </c>
      <c r="C7" s="1" t="s">
        <v>46</v>
      </c>
      <c r="D7" s="1" t="s">
        <v>59</v>
      </c>
      <c r="E7" s="1" t="s">
        <v>48</v>
      </c>
      <c r="F7" s="1">
        <v>1</v>
      </c>
      <c r="G7" s="1" t="s">
        <v>60</v>
      </c>
      <c r="H7" s="1" t="str">
        <f t="shared" si="0"/>
        <v xml:space="preserve">CEMPRESA='31' </v>
      </c>
      <c r="I7" s="1" t="str">
        <f t="shared" si="1"/>
        <v xml:space="preserve">AND CBALCAO='0003' </v>
      </c>
      <c r="J7" s="1" t="str">
        <f t="shared" si="2"/>
        <v xml:space="preserve">AND CNUMECTA='20470315096' </v>
      </c>
      <c r="K7" s="1" t="str">
        <f t="shared" si="3"/>
        <v xml:space="preserve">AND ZDEPOSIT='000000000000000' </v>
      </c>
      <c r="L7" s="1" t="str">
        <f t="shared" si="4"/>
        <v>WHEN CEMPRESA='31' AND CBALCAO='0003' AND CNUMECTA='20470315096' AND ZDEPOSIT='000000000000000' THEN 1</v>
      </c>
      <c r="M7" s="1" t="str">
        <f t="shared" si="5"/>
        <v>WHEN CEMPRESA='31' AND CBALCAO='0003' AND CNUMECTA='20470315096' AND ZDEPOSIT='000000000000000' THEN 'A.3.7.'</v>
      </c>
    </row>
    <row r="8" spans="2:13" x14ac:dyDescent="0.25">
      <c r="B8" s="1" t="s">
        <v>45</v>
      </c>
      <c r="C8" s="1" t="s">
        <v>46</v>
      </c>
      <c r="D8" s="1" t="s">
        <v>61</v>
      </c>
      <c r="E8" s="1" t="s">
        <v>48</v>
      </c>
      <c r="F8" s="1">
        <v>1</v>
      </c>
      <c r="G8" s="1" t="s">
        <v>60</v>
      </c>
      <c r="H8" s="1" t="str">
        <f t="shared" si="0"/>
        <v xml:space="preserve">CEMPRESA='31' </v>
      </c>
      <c r="I8" s="1" t="str">
        <f t="shared" si="1"/>
        <v xml:space="preserve">AND CBALCAO='0003' </v>
      </c>
      <c r="J8" s="1" t="str">
        <f t="shared" si="2"/>
        <v xml:space="preserve">AND CNUMECTA='20510516096' </v>
      </c>
      <c r="K8" s="1" t="str">
        <f t="shared" si="3"/>
        <v xml:space="preserve">AND ZDEPOSIT='000000000000000' </v>
      </c>
      <c r="L8" s="1" t="str">
        <f t="shared" si="4"/>
        <v>WHEN CEMPRESA='31' AND CBALCAO='0003' AND CNUMECTA='20510516096' AND ZDEPOSIT='000000000000000' THEN 1</v>
      </c>
      <c r="M8" s="1" t="str">
        <f t="shared" si="5"/>
        <v>WHEN CEMPRESA='31' AND CBALCAO='0003' AND CNUMECTA='20510516096' AND ZDEPOSIT='000000000000000' THEN 'A.3.7.'</v>
      </c>
    </row>
    <row r="9" spans="2:13" x14ac:dyDescent="0.25">
      <c r="B9" s="1" t="s">
        <v>45</v>
      </c>
      <c r="C9" s="1" t="s">
        <v>46</v>
      </c>
      <c r="D9" s="1" t="s">
        <v>62</v>
      </c>
      <c r="E9" s="1" t="s">
        <v>48</v>
      </c>
      <c r="F9" s="1">
        <v>1</v>
      </c>
      <c r="G9" s="1" t="s">
        <v>60</v>
      </c>
      <c r="H9" s="1" t="str">
        <f t="shared" si="0"/>
        <v xml:space="preserve">CEMPRESA='31' </v>
      </c>
      <c r="I9" s="1" t="str">
        <f t="shared" si="1"/>
        <v xml:space="preserve">AND CBALCAO='0003' </v>
      </c>
      <c r="J9" s="1" t="str">
        <f t="shared" si="2"/>
        <v xml:space="preserve">AND CNUMECTA='20690870096' </v>
      </c>
      <c r="K9" s="1" t="str">
        <f t="shared" si="3"/>
        <v xml:space="preserve">AND ZDEPOSIT='000000000000000' </v>
      </c>
      <c r="L9" s="1" t="str">
        <f t="shared" si="4"/>
        <v>WHEN CEMPRESA='31' AND CBALCAO='0003' AND CNUMECTA='20690870096' AND ZDEPOSIT='000000000000000' THEN 1</v>
      </c>
      <c r="M9" s="1" t="str">
        <f t="shared" si="5"/>
        <v>WHEN CEMPRESA='31' AND CBALCAO='0003' AND CNUMECTA='20690870096' AND ZDEPOSIT='000000000000000' THEN 'A.3.7.'</v>
      </c>
    </row>
    <row r="10" spans="2:13" x14ac:dyDescent="0.25">
      <c r="B10" s="1" t="s">
        <v>45</v>
      </c>
      <c r="C10" s="1" t="s">
        <v>46</v>
      </c>
      <c r="D10" s="1" t="s">
        <v>63</v>
      </c>
      <c r="E10" s="1" t="s">
        <v>48</v>
      </c>
      <c r="F10" s="1">
        <v>1</v>
      </c>
      <c r="G10" s="1" t="s">
        <v>60</v>
      </c>
      <c r="H10" s="1" t="str">
        <f t="shared" si="0"/>
        <v xml:space="preserve">CEMPRESA='31' </v>
      </c>
      <c r="I10" s="1" t="str">
        <f t="shared" si="1"/>
        <v xml:space="preserve">AND CBALCAO='0003' </v>
      </c>
      <c r="J10" s="1" t="str">
        <f t="shared" si="2"/>
        <v xml:space="preserve">AND CNUMECTA='20650866096' </v>
      </c>
      <c r="K10" s="1" t="str">
        <f t="shared" si="3"/>
        <v xml:space="preserve">AND ZDEPOSIT='000000000000000' </v>
      </c>
      <c r="L10" s="1" t="str">
        <f t="shared" si="4"/>
        <v>WHEN CEMPRESA='31' AND CBALCAO='0003' AND CNUMECTA='20650866096' AND ZDEPOSIT='000000000000000' THEN 1</v>
      </c>
      <c r="M10" s="1" t="str">
        <f t="shared" si="5"/>
        <v>WHEN CEMPRESA='31' AND CBALCAO='0003' AND CNUMECTA='20650866096' AND ZDEPOSIT='000000000000000' THEN 'A.3.7.'</v>
      </c>
    </row>
    <row r="11" spans="2:13" x14ac:dyDescent="0.25">
      <c r="B11" s="1" t="s">
        <v>45</v>
      </c>
      <c r="C11" s="1" t="s">
        <v>46</v>
      </c>
      <c r="D11" s="1" t="s">
        <v>64</v>
      </c>
      <c r="E11" s="1" t="s">
        <v>48</v>
      </c>
      <c r="F11" s="1">
        <v>1</v>
      </c>
      <c r="G11" s="1" t="s">
        <v>51</v>
      </c>
      <c r="H11" s="1" t="str">
        <f t="shared" si="0"/>
        <v xml:space="preserve">CEMPRESA='31' </v>
      </c>
      <c r="I11" s="1" t="str">
        <f t="shared" si="1"/>
        <v xml:space="preserve">AND CBALCAO='0003' </v>
      </c>
      <c r="J11" s="1" t="str">
        <f t="shared" si="2"/>
        <v xml:space="preserve">AND CNUMECTA='20703947096' </v>
      </c>
      <c r="K11" s="1" t="str">
        <f t="shared" si="3"/>
        <v xml:space="preserve">AND ZDEPOSIT='000000000000000' </v>
      </c>
      <c r="L11" s="1" t="str">
        <f t="shared" si="4"/>
        <v>WHEN CEMPRESA='31' AND CBALCAO='0003' AND CNUMECTA='20703947096' AND ZDEPOSIT='000000000000000' THEN 1</v>
      </c>
      <c r="M11" s="1" t="str">
        <f t="shared" si="5"/>
        <v>WHEN CEMPRESA='31' AND CBALCAO='0003' AND CNUMECTA='20703947096' AND ZDEPOSIT='000000000000000' THEN 'B.1.'</v>
      </c>
    </row>
    <row r="12" spans="2:13" x14ac:dyDescent="0.25">
      <c r="B12" s="1" t="s">
        <v>45</v>
      </c>
      <c r="C12" s="1" t="s">
        <v>46</v>
      </c>
      <c r="D12" s="1" t="s">
        <v>65</v>
      </c>
      <c r="E12" s="1" t="s">
        <v>48</v>
      </c>
      <c r="F12" s="1">
        <v>1</v>
      </c>
      <c r="G12" s="1" t="s">
        <v>51</v>
      </c>
      <c r="H12" s="1" t="str">
        <f t="shared" si="0"/>
        <v xml:space="preserve">CEMPRESA='31' </v>
      </c>
      <c r="I12" s="1" t="str">
        <f t="shared" si="1"/>
        <v xml:space="preserve">AND CBALCAO='0003' </v>
      </c>
      <c r="J12" s="1" t="str">
        <f t="shared" si="2"/>
        <v xml:space="preserve">AND CNUMECTA='20440417096' </v>
      </c>
      <c r="K12" s="1" t="str">
        <f t="shared" si="3"/>
        <v xml:space="preserve">AND ZDEPOSIT='000000000000000' </v>
      </c>
      <c r="L12" s="1" t="str">
        <f t="shared" si="4"/>
        <v>WHEN CEMPRESA='31' AND CBALCAO='0003' AND CNUMECTA='20440417096' AND ZDEPOSIT='000000000000000' THEN 1</v>
      </c>
      <c r="M12" s="1" t="str">
        <f t="shared" si="5"/>
        <v>WHEN CEMPRESA='31' AND CBALCAO='0003' AND CNUMECTA='20440417096' AND ZDEPOSIT='000000000000000' THEN 'B.1.'</v>
      </c>
    </row>
    <row r="13" spans="2:13" x14ac:dyDescent="0.25">
      <c r="B13" s="1" t="s">
        <v>45</v>
      </c>
      <c r="C13" s="1" t="s">
        <v>46</v>
      </c>
      <c r="D13" s="1" t="s">
        <v>66</v>
      </c>
      <c r="E13" s="1" t="s">
        <v>48</v>
      </c>
      <c r="F13" s="1">
        <v>1</v>
      </c>
      <c r="G13" s="1" t="s">
        <v>49</v>
      </c>
      <c r="H13" s="1" t="str">
        <f t="shared" si="0"/>
        <v xml:space="preserve">CEMPRESA='31' </v>
      </c>
      <c r="I13" s="1" t="str">
        <f t="shared" si="1"/>
        <v xml:space="preserve">AND CBALCAO='0003' </v>
      </c>
      <c r="J13" s="1" t="str">
        <f t="shared" si="2"/>
        <v xml:space="preserve">AND CNUMECTA='20421433096' </v>
      </c>
      <c r="K13" s="1" t="str">
        <f t="shared" si="3"/>
        <v xml:space="preserve">AND ZDEPOSIT='000000000000000' </v>
      </c>
      <c r="L13" s="1" t="str">
        <f t="shared" si="4"/>
        <v>WHEN CEMPRESA='31' AND CBALCAO='0003' AND CNUMECTA='20421433096' AND ZDEPOSIT='000000000000000' THEN 1</v>
      </c>
      <c r="M13" s="1" t="str">
        <f t="shared" si="5"/>
        <v>WHEN CEMPRESA='31' AND CBALCAO='0003' AND CNUMECTA='20421433096' AND ZDEPOSIT='000000000000000' THEN 'A.2.3.'</v>
      </c>
    </row>
    <row r="14" spans="2:13" x14ac:dyDescent="0.25">
      <c r="B14" s="1" t="s">
        <v>45</v>
      </c>
      <c r="C14" s="1" t="s">
        <v>46</v>
      </c>
      <c r="D14" s="1" t="s">
        <v>67</v>
      </c>
      <c r="E14" s="1" t="s">
        <v>48</v>
      </c>
      <c r="F14" s="1">
        <v>1</v>
      </c>
      <c r="G14" s="1" t="s">
        <v>60</v>
      </c>
      <c r="H14" s="1" t="str">
        <f t="shared" si="0"/>
        <v xml:space="preserve">CEMPRESA='31' </v>
      </c>
      <c r="I14" s="1" t="str">
        <f t="shared" si="1"/>
        <v xml:space="preserve">AND CBALCAO='0003' </v>
      </c>
      <c r="J14" s="1" t="str">
        <f t="shared" si="2"/>
        <v xml:space="preserve">AND CNUMECTA='20524657096' </v>
      </c>
      <c r="K14" s="1" t="str">
        <f t="shared" si="3"/>
        <v xml:space="preserve">AND ZDEPOSIT='000000000000000' </v>
      </c>
      <c r="L14" s="1" t="str">
        <f t="shared" si="4"/>
        <v>WHEN CEMPRESA='31' AND CBALCAO='0003' AND CNUMECTA='20524657096' AND ZDEPOSIT='000000000000000' THEN 1</v>
      </c>
      <c r="M14" s="1" t="str">
        <f t="shared" si="5"/>
        <v>WHEN CEMPRESA='31' AND CBALCAO='0003' AND CNUMECTA='20524657096' AND ZDEPOSIT='000000000000000' THEN 'A.3.7.'</v>
      </c>
    </row>
    <row r="15" spans="2:13" x14ac:dyDescent="0.25">
      <c r="B15" s="1" t="s">
        <v>45</v>
      </c>
      <c r="C15" s="1" t="s">
        <v>46</v>
      </c>
      <c r="D15" s="1" t="s">
        <v>68</v>
      </c>
      <c r="E15" s="1" t="s">
        <v>48</v>
      </c>
      <c r="F15" s="1">
        <v>1</v>
      </c>
      <c r="G15" s="1" t="s">
        <v>60</v>
      </c>
      <c r="H15" s="1" t="str">
        <f t="shared" si="0"/>
        <v xml:space="preserve">CEMPRESA='31' </v>
      </c>
      <c r="I15" s="1" t="str">
        <f t="shared" si="1"/>
        <v xml:space="preserve">AND CBALCAO='0003' </v>
      </c>
      <c r="J15" s="1" t="str">
        <f t="shared" si="2"/>
        <v xml:space="preserve">AND CNUMECTA='20498993096' </v>
      </c>
      <c r="K15" s="1" t="str">
        <f t="shared" si="3"/>
        <v xml:space="preserve">AND ZDEPOSIT='000000000000000' </v>
      </c>
      <c r="L15" s="1" t="str">
        <f t="shared" si="4"/>
        <v>WHEN CEMPRESA='31' AND CBALCAO='0003' AND CNUMECTA='20498993096' AND ZDEPOSIT='000000000000000' THEN 1</v>
      </c>
      <c r="M15" s="1" t="str">
        <f t="shared" si="5"/>
        <v>WHEN CEMPRESA='31' AND CBALCAO='0003' AND CNUMECTA='20498993096' AND ZDEPOSIT='000000000000000' THEN 'A.3.7.'</v>
      </c>
    </row>
    <row r="16" spans="2:13" x14ac:dyDescent="0.25">
      <c r="B16" s="1" t="s">
        <v>45</v>
      </c>
      <c r="C16" s="1" t="s">
        <v>46</v>
      </c>
      <c r="D16" s="1" t="s">
        <v>69</v>
      </c>
      <c r="E16" s="1" t="s">
        <v>48</v>
      </c>
      <c r="F16" s="1">
        <v>1</v>
      </c>
      <c r="G16" s="1" t="s">
        <v>60</v>
      </c>
      <c r="H16" s="1" t="str">
        <f t="shared" si="0"/>
        <v xml:space="preserve">CEMPRESA='31' </v>
      </c>
      <c r="I16" s="1" t="str">
        <f t="shared" si="1"/>
        <v xml:space="preserve">AND CBALCAO='0003' </v>
      </c>
      <c r="J16" s="1" t="str">
        <f t="shared" si="2"/>
        <v xml:space="preserve">AND CNUMECTA='20440268096' </v>
      </c>
      <c r="K16" s="1" t="str">
        <f t="shared" si="3"/>
        <v xml:space="preserve">AND ZDEPOSIT='000000000000000' </v>
      </c>
      <c r="L16" s="1" t="str">
        <f t="shared" si="4"/>
        <v>WHEN CEMPRESA='31' AND CBALCAO='0003' AND CNUMECTA='20440268096' AND ZDEPOSIT='000000000000000' THEN 1</v>
      </c>
      <c r="M16" s="1" t="str">
        <f t="shared" si="5"/>
        <v>WHEN CEMPRESA='31' AND CBALCAO='0003' AND CNUMECTA='20440268096' AND ZDEPOSIT='000000000000000' THEN 'A.3.7.'</v>
      </c>
    </row>
    <row r="17" spans="2:13" x14ac:dyDescent="0.25">
      <c r="B17" s="1" t="s">
        <v>45</v>
      </c>
      <c r="C17" s="1" t="s">
        <v>46</v>
      </c>
      <c r="D17" s="1" t="s">
        <v>70</v>
      </c>
      <c r="E17" s="1" t="s">
        <v>48</v>
      </c>
      <c r="F17" s="1">
        <v>1</v>
      </c>
      <c r="G17" s="1" t="s">
        <v>60</v>
      </c>
      <c r="H17" s="1" t="str">
        <f t="shared" si="0"/>
        <v xml:space="preserve">CEMPRESA='31' </v>
      </c>
      <c r="I17" s="1" t="str">
        <f t="shared" si="1"/>
        <v xml:space="preserve">AND CBALCAO='0003' </v>
      </c>
      <c r="J17" s="1" t="str">
        <f t="shared" si="2"/>
        <v xml:space="preserve">AND CNUMECTA='20520606096' </v>
      </c>
      <c r="K17" s="1" t="str">
        <f t="shared" si="3"/>
        <v xml:space="preserve">AND ZDEPOSIT='000000000000000' </v>
      </c>
      <c r="L17" s="1" t="str">
        <f t="shared" si="4"/>
        <v>WHEN CEMPRESA='31' AND CBALCAO='0003' AND CNUMECTA='20520606096' AND ZDEPOSIT='000000000000000' THEN 1</v>
      </c>
      <c r="M17" s="1" t="str">
        <f t="shared" si="5"/>
        <v>WHEN CEMPRESA='31' AND CBALCAO='0003' AND CNUMECTA='20520606096' AND ZDEPOSIT='000000000000000' THEN 'A.3.7.'</v>
      </c>
    </row>
    <row r="18" spans="2:13" x14ac:dyDescent="0.25">
      <c r="B18" s="1" t="s">
        <v>54</v>
      </c>
      <c r="C18" s="1" t="s">
        <v>55</v>
      </c>
      <c r="D18" s="1" t="s">
        <v>71</v>
      </c>
      <c r="E18" s="1" t="s">
        <v>72</v>
      </c>
      <c r="F18" s="1">
        <v>1</v>
      </c>
      <c r="G18" s="1" t="s">
        <v>58</v>
      </c>
      <c r="H18" s="1" t="str">
        <f t="shared" si="0"/>
        <v xml:space="preserve">CEMPRESA='89' </v>
      </c>
      <c r="I18" s="1" t="str">
        <f t="shared" si="1"/>
        <v xml:space="preserve">AND CBALCAO='0000' </v>
      </c>
      <c r="J18" s="1" t="str">
        <f t="shared" si="2"/>
        <v xml:space="preserve">AND CNUMECTA='00008046532' </v>
      </c>
      <c r="K18" s="1" t="str">
        <f t="shared" si="3"/>
        <v xml:space="preserve">AND ZDEPOSIT='000530000759112' </v>
      </c>
      <c r="L18" s="1" t="str">
        <f t="shared" si="4"/>
        <v>WHEN CEMPRESA='89' AND CBALCAO='0000' AND CNUMECTA='00008046532' AND ZDEPOSIT='000530000759112' THEN 1</v>
      </c>
      <c r="M18" s="1" t="str">
        <f t="shared" si="5"/>
        <v>WHEN CEMPRESA='89' AND CBALCAO='0000' AND CNUMECTA='00008046532' AND ZDEPOSIT='000530000759112' THEN 'A.2.5.'</v>
      </c>
    </row>
    <row r="19" spans="2:13" x14ac:dyDescent="0.25">
      <c r="B19" s="1" t="s">
        <v>54</v>
      </c>
      <c r="C19" s="1" t="s">
        <v>55</v>
      </c>
      <c r="D19" s="1" t="s">
        <v>73</v>
      </c>
      <c r="E19" s="1" t="s">
        <v>74</v>
      </c>
      <c r="F19" s="1">
        <v>1</v>
      </c>
      <c r="G19" s="1" t="s">
        <v>58</v>
      </c>
      <c r="H19" s="1" t="str">
        <f t="shared" si="0"/>
        <v xml:space="preserve">CEMPRESA='89' </v>
      </c>
      <c r="I19" s="1" t="str">
        <f t="shared" si="1"/>
        <v xml:space="preserve">AND CBALCAO='0000' </v>
      </c>
      <c r="J19" s="1" t="str">
        <f t="shared" si="2"/>
        <v xml:space="preserve">AND CNUMECTA='00008046602' </v>
      </c>
      <c r="K19" s="1" t="str">
        <f t="shared" si="3"/>
        <v xml:space="preserve">AND ZDEPOSIT='000530000477905' </v>
      </c>
      <c r="L19" s="1" t="str">
        <f t="shared" si="4"/>
        <v>WHEN CEMPRESA='89' AND CBALCAO='0000' AND CNUMECTA='00008046602' AND ZDEPOSIT='000530000477905' THEN 1</v>
      </c>
      <c r="M19" s="1" t="str">
        <f t="shared" si="5"/>
        <v>WHEN CEMPRESA='89' AND CBALCAO='0000' AND CNUMECTA='00008046602' AND ZDEPOSIT='000530000477905' THEN 'A.2.5.'</v>
      </c>
    </row>
    <row r="20" spans="2:13" x14ac:dyDescent="0.25">
      <c r="B20" s="1" t="s">
        <v>45</v>
      </c>
      <c r="C20" s="1" t="s">
        <v>46</v>
      </c>
      <c r="D20" s="1" t="s">
        <v>75</v>
      </c>
      <c r="E20" s="1" t="s">
        <v>48</v>
      </c>
      <c r="F20" s="1">
        <v>1</v>
      </c>
      <c r="G20" s="1" t="s">
        <v>76</v>
      </c>
      <c r="H20" s="1" t="str">
        <f t="shared" si="0"/>
        <v xml:space="preserve">CEMPRESA='31' </v>
      </c>
      <c r="I20" s="1" t="str">
        <f t="shared" si="1"/>
        <v xml:space="preserve">AND CBALCAO='0003' </v>
      </c>
      <c r="J20" s="1" t="str">
        <f t="shared" si="2"/>
        <v xml:space="preserve">AND CNUMECTA='18614519097' </v>
      </c>
      <c r="K20" s="1" t="str">
        <f t="shared" si="3"/>
        <v xml:space="preserve">AND ZDEPOSIT='000000000000000' </v>
      </c>
      <c r="L20" s="1" t="str">
        <f t="shared" si="4"/>
        <v>WHEN CEMPRESA='31' AND CBALCAO='0003' AND CNUMECTA='18614519097' AND ZDEPOSIT='000000000000000' THEN 1</v>
      </c>
      <c r="M20" s="1" t="str">
        <f t="shared" si="5"/>
        <v>WHEN CEMPRESA='31' AND CBALCAO='0003' AND CNUMECTA='18614519097' AND ZDEPOSIT='000000000000000' THEN 'A.7.7.'</v>
      </c>
    </row>
    <row r="21" spans="2:13" x14ac:dyDescent="0.25">
      <c r="B21" s="1" t="s">
        <v>54</v>
      </c>
      <c r="C21" s="1" t="s">
        <v>55</v>
      </c>
      <c r="D21" s="1" t="s">
        <v>77</v>
      </c>
      <c r="E21" s="1" t="s">
        <v>78</v>
      </c>
      <c r="F21" s="1">
        <v>1</v>
      </c>
      <c r="G21" s="1" t="s">
        <v>58</v>
      </c>
      <c r="H21" s="1" t="str">
        <f t="shared" si="0"/>
        <v xml:space="preserve">CEMPRESA='89' </v>
      </c>
      <c r="I21" s="1" t="str">
        <f t="shared" si="1"/>
        <v xml:space="preserve">AND CBALCAO='0000' </v>
      </c>
      <c r="J21" s="1" t="str">
        <f t="shared" si="2"/>
        <v xml:space="preserve">AND CNUMECTA='00000250308' </v>
      </c>
      <c r="K21" s="1" t="str">
        <f t="shared" si="3"/>
        <v xml:space="preserve">AND ZDEPOSIT='000450000777941' </v>
      </c>
      <c r="L21" s="1" t="str">
        <f t="shared" si="4"/>
        <v>WHEN CEMPRESA='89' AND CBALCAO='0000' AND CNUMECTA='00000250308' AND ZDEPOSIT='000450000777941' THEN 1</v>
      </c>
      <c r="M21" s="1" t="str">
        <f t="shared" si="5"/>
        <v>WHEN CEMPRESA='89' AND CBALCAO='0000' AND CNUMECTA='00000250308' AND ZDEPOSIT='000450000777941' THEN 'A.2.5.'</v>
      </c>
    </row>
    <row r="22" spans="2:13" x14ac:dyDescent="0.25">
      <c r="B22" s="1" t="s">
        <v>45</v>
      </c>
      <c r="C22" s="1" t="s">
        <v>46</v>
      </c>
      <c r="D22" s="1" t="s">
        <v>79</v>
      </c>
      <c r="E22" s="1" t="s">
        <v>48</v>
      </c>
      <c r="F22" s="1">
        <v>1</v>
      </c>
      <c r="G22" s="1" t="s">
        <v>60</v>
      </c>
      <c r="H22" s="1" t="str">
        <f t="shared" si="0"/>
        <v xml:space="preserve">CEMPRESA='31' </v>
      </c>
      <c r="I22" s="1" t="str">
        <f t="shared" si="1"/>
        <v xml:space="preserve">AND CBALCAO='0003' </v>
      </c>
      <c r="J22" s="1" t="str">
        <f t="shared" si="2"/>
        <v xml:space="preserve">AND CNUMECTA='20705397096' </v>
      </c>
      <c r="K22" s="1" t="str">
        <f t="shared" si="3"/>
        <v xml:space="preserve">AND ZDEPOSIT='000000000000000' </v>
      </c>
      <c r="L22" s="1" t="str">
        <f t="shared" si="4"/>
        <v>WHEN CEMPRESA='31' AND CBALCAO='0003' AND CNUMECTA='20705397096' AND ZDEPOSIT='000000000000000' THEN 1</v>
      </c>
      <c r="M22" s="1" t="str">
        <f t="shared" si="5"/>
        <v>WHEN CEMPRESA='31' AND CBALCAO='0003' AND CNUMECTA='20705397096' AND ZDEPOSIT='000000000000000' THEN 'A.3.7.'</v>
      </c>
    </row>
    <row r="23" spans="2:13" x14ac:dyDescent="0.25">
      <c r="B23" s="1" t="s">
        <v>45</v>
      </c>
      <c r="C23" s="1" t="s">
        <v>46</v>
      </c>
      <c r="D23" s="1" t="s">
        <v>80</v>
      </c>
      <c r="E23" s="1" t="s">
        <v>48</v>
      </c>
      <c r="F23" s="1">
        <v>1</v>
      </c>
      <c r="G23" s="1" t="s">
        <v>60</v>
      </c>
      <c r="H23" s="1" t="str">
        <f t="shared" si="0"/>
        <v xml:space="preserve">CEMPRESA='31' </v>
      </c>
      <c r="I23" s="1" t="str">
        <f t="shared" si="1"/>
        <v xml:space="preserve">AND CBALCAO='0003' </v>
      </c>
      <c r="J23" s="1" t="str">
        <f t="shared" si="2"/>
        <v xml:space="preserve">AND CNUMECTA='20409727096' </v>
      </c>
      <c r="K23" s="1" t="str">
        <f t="shared" si="3"/>
        <v xml:space="preserve">AND ZDEPOSIT='000000000000000' </v>
      </c>
      <c r="L23" s="1" t="str">
        <f t="shared" si="4"/>
        <v>WHEN CEMPRESA='31' AND CBALCAO='0003' AND CNUMECTA='20409727096' AND ZDEPOSIT='000000000000000' THEN 1</v>
      </c>
      <c r="M23" s="1" t="str">
        <f t="shared" si="5"/>
        <v>WHEN CEMPRESA='31' AND CBALCAO='0003' AND CNUMECTA='20409727096' AND ZDEPOSIT='000000000000000' THEN 'A.3.7.'</v>
      </c>
    </row>
    <row r="24" spans="2:13" x14ac:dyDescent="0.25">
      <c r="B24" s="1" t="s">
        <v>45</v>
      </c>
      <c r="C24" s="1" t="s">
        <v>46</v>
      </c>
      <c r="D24" s="1" t="s">
        <v>81</v>
      </c>
      <c r="E24" s="1" t="s">
        <v>48</v>
      </c>
      <c r="F24" s="1">
        <v>1</v>
      </c>
      <c r="G24" s="1" t="s">
        <v>60</v>
      </c>
      <c r="H24" s="1" t="str">
        <f t="shared" si="0"/>
        <v xml:space="preserve">CEMPRESA='31' </v>
      </c>
      <c r="I24" s="1" t="str">
        <f t="shared" si="1"/>
        <v xml:space="preserve">AND CBALCAO='0003' </v>
      </c>
      <c r="J24" s="1" t="str">
        <f t="shared" si="2"/>
        <v xml:space="preserve">AND CNUMECTA='20684840096' </v>
      </c>
      <c r="K24" s="1" t="str">
        <f t="shared" si="3"/>
        <v xml:space="preserve">AND ZDEPOSIT='000000000000000' </v>
      </c>
      <c r="L24" s="1" t="str">
        <f t="shared" si="4"/>
        <v>WHEN CEMPRESA='31' AND CBALCAO='0003' AND CNUMECTA='20684840096' AND ZDEPOSIT='000000000000000' THEN 1</v>
      </c>
      <c r="M24" s="1" t="str">
        <f t="shared" si="5"/>
        <v>WHEN CEMPRESA='31' AND CBALCAO='0003' AND CNUMECTA='20684840096' AND ZDEPOSIT='000000000000000' THEN 'A.3.7.'</v>
      </c>
    </row>
    <row r="25" spans="2:13" x14ac:dyDescent="0.25">
      <c r="B25" s="1" t="s">
        <v>45</v>
      </c>
      <c r="C25" s="1" t="s">
        <v>46</v>
      </c>
      <c r="D25" s="1" t="s">
        <v>82</v>
      </c>
      <c r="E25" s="1" t="s">
        <v>48</v>
      </c>
      <c r="F25" s="1">
        <v>1</v>
      </c>
      <c r="G25" s="1" t="s">
        <v>60</v>
      </c>
      <c r="H25" s="1" t="str">
        <f t="shared" si="0"/>
        <v xml:space="preserve">CEMPRESA='31' </v>
      </c>
      <c r="I25" s="1" t="str">
        <f t="shared" si="1"/>
        <v xml:space="preserve">AND CBALCAO='0003' </v>
      </c>
      <c r="J25" s="1" t="str">
        <f t="shared" si="2"/>
        <v xml:space="preserve">AND CNUMECTA='20503461096' </v>
      </c>
      <c r="K25" s="1" t="str">
        <f t="shared" si="3"/>
        <v xml:space="preserve">AND ZDEPOSIT='000000000000000' </v>
      </c>
      <c r="L25" s="1" t="str">
        <f t="shared" si="4"/>
        <v>WHEN CEMPRESA='31' AND CBALCAO='0003' AND CNUMECTA='20503461096' AND ZDEPOSIT='000000000000000' THEN 1</v>
      </c>
      <c r="M25" s="1" t="str">
        <f t="shared" si="5"/>
        <v>WHEN CEMPRESA='31' AND CBALCAO='0003' AND CNUMECTA='20503461096' AND ZDEPOSIT='000000000000000' THEN 'A.3.7.'</v>
      </c>
    </row>
    <row r="26" spans="2:13" x14ac:dyDescent="0.25">
      <c r="B26" s="1" t="s">
        <v>45</v>
      </c>
      <c r="C26" s="1" t="s">
        <v>46</v>
      </c>
      <c r="D26" s="1" t="s">
        <v>83</v>
      </c>
      <c r="E26" s="1" t="s">
        <v>48</v>
      </c>
      <c r="F26" s="1">
        <v>1</v>
      </c>
      <c r="G26" s="1" t="s">
        <v>60</v>
      </c>
      <c r="H26" s="1" t="str">
        <f t="shared" si="0"/>
        <v xml:space="preserve">CEMPRESA='31' </v>
      </c>
      <c r="I26" s="1" t="str">
        <f t="shared" si="1"/>
        <v xml:space="preserve">AND CBALCAO='0003' </v>
      </c>
      <c r="J26" s="1" t="str">
        <f t="shared" si="2"/>
        <v xml:space="preserve">AND CNUMECTA='20595061096' </v>
      </c>
      <c r="K26" s="1" t="str">
        <f t="shared" si="3"/>
        <v xml:space="preserve">AND ZDEPOSIT='000000000000000' </v>
      </c>
      <c r="L26" s="1" t="str">
        <f t="shared" si="4"/>
        <v>WHEN CEMPRESA='31' AND CBALCAO='0003' AND CNUMECTA='20595061096' AND ZDEPOSIT='000000000000000' THEN 1</v>
      </c>
      <c r="M26" s="1" t="str">
        <f t="shared" si="5"/>
        <v>WHEN CEMPRESA='31' AND CBALCAO='0003' AND CNUMECTA='20595061096' AND ZDEPOSIT='000000000000000' THEN 'A.3.7.'</v>
      </c>
    </row>
    <row r="27" spans="2:13" x14ac:dyDescent="0.25">
      <c r="B27" s="1" t="s">
        <v>45</v>
      </c>
      <c r="C27" s="1" t="s">
        <v>46</v>
      </c>
      <c r="D27" s="1" t="s">
        <v>84</v>
      </c>
      <c r="E27" s="1" t="s">
        <v>48</v>
      </c>
      <c r="F27" s="1">
        <v>1</v>
      </c>
      <c r="G27" s="1" t="s">
        <v>60</v>
      </c>
      <c r="H27" s="1" t="str">
        <f t="shared" si="0"/>
        <v xml:space="preserve">CEMPRESA='31' </v>
      </c>
      <c r="I27" s="1" t="str">
        <f t="shared" si="1"/>
        <v xml:space="preserve">AND CBALCAO='0003' </v>
      </c>
      <c r="J27" s="1" t="str">
        <f t="shared" si="2"/>
        <v xml:space="preserve">AND CNUMECTA='20648746096' </v>
      </c>
      <c r="K27" s="1" t="str">
        <f t="shared" si="3"/>
        <v xml:space="preserve">AND ZDEPOSIT='000000000000000' </v>
      </c>
      <c r="L27" s="1" t="str">
        <f t="shared" si="4"/>
        <v>WHEN CEMPRESA='31' AND CBALCAO='0003' AND CNUMECTA='20648746096' AND ZDEPOSIT='000000000000000' THEN 1</v>
      </c>
      <c r="M27" s="1" t="str">
        <f t="shared" si="5"/>
        <v>WHEN CEMPRESA='31' AND CBALCAO='0003' AND CNUMECTA='20648746096' AND ZDEPOSIT='000000000000000' THEN 'A.3.7.'</v>
      </c>
    </row>
    <row r="28" spans="2:13" x14ac:dyDescent="0.25">
      <c r="B28" s="1" t="s">
        <v>45</v>
      </c>
      <c r="C28" s="1" t="s">
        <v>46</v>
      </c>
      <c r="D28" s="1" t="s">
        <v>85</v>
      </c>
      <c r="E28" s="1" t="s">
        <v>48</v>
      </c>
      <c r="F28" s="1">
        <v>1</v>
      </c>
      <c r="G28" s="1" t="s">
        <v>53</v>
      </c>
      <c r="H28" s="1" t="str">
        <f t="shared" si="0"/>
        <v xml:space="preserve">CEMPRESA='31' </v>
      </c>
      <c r="I28" s="1" t="str">
        <f t="shared" si="1"/>
        <v xml:space="preserve">AND CBALCAO='0003' </v>
      </c>
      <c r="J28" s="1" t="str">
        <f t="shared" si="2"/>
        <v xml:space="preserve">AND CNUMECTA='20678271096' </v>
      </c>
      <c r="K28" s="1" t="str">
        <f t="shared" si="3"/>
        <v xml:space="preserve">AND ZDEPOSIT='000000000000000' </v>
      </c>
      <c r="L28" s="1" t="str">
        <f t="shared" si="4"/>
        <v>WHEN CEMPRESA='31' AND CBALCAO='0003' AND CNUMECTA='20678271096' AND ZDEPOSIT='000000000000000' THEN 1</v>
      </c>
      <c r="M28" s="1" t="str">
        <f t="shared" si="5"/>
        <v>WHEN CEMPRESA='31' AND CBALCAO='0003' AND CNUMECTA='20678271096' AND ZDEPOSIT='000000000000000' THEN 'A.1.1.'</v>
      </c>
    </row>
    <row r="29" spans="2:13" x14ac:dyDescent="0.25">
      <c r="B29" s="1" t="s">
        <v>54</v>
      </c>
      <c r="C29" s="1" t="s">
        <v>55</v>
      </c>
      <c r="D29" s="1" t="s">
        <v>86</v>
      </c>
      <c r="E29" s="1" t="s">
        <v>87</v>
      </c>
      <c r="F29" s="1">
        <v>1</v>
      </c>
      <c r="G29" s="1" t="s">
        <v>58</v>
      </c>
      <c r="H29" s="1" t="str">
        <f t="shared" si="0"/>
        <v xml:space="preserve">CEMPRESA='89' </v>
      </c>
      <c r="I29" s="1" t="str">
        <f t="shared" si="1"/>
        <v xml:space="preserve">AND CBALCAO='0000' </v>
      </c>
      <c r="J29" s="1" t="str">
        <f t="shared" si="2"/>
        <v xml:space="preserve">AND CNUMECTA='00008046337' </v>
      </c>
      <c r="K29" s="1" t="str">
        <f t="shared" si="3"/>
        <v xml:space="preserve">AND ZDEPOSIT='000530000777099' </v>
      </c>
      <c r="L29" s="1" t="str">
        <f t="shared" si="4"/>
        <v>WHEN CEMPRESA='89' AND CBALCAO='0000' AND CNUMECTA='00008046337' AND ZDEPOSIT='000530000777099' THEN 1</v>
      </c>
      <c r="M29" s="1" t="str">
        <f t="shared" si="5"/>
        <v>WHEN CEMPRESA='89' AND CBALCAO='0000' AND CNUMECTA='00008046337' AND ZDEPOSIT='000530000777099' THEN 'A.2.5.'</v>
      </c>
    </row>
    <row r="30" spans="2:13" x14ac:dyDescent="0.25">
      <c r="B30" s="1" t="s">
        <v>45</v>
      </c>
      <c r="C30" s="1" t="s">
        <v>46</v>
      </c>
      <c r="D30" s="1" t="s">
        <v>88</v>
      </c>
      <c r="E30" s="1" t="s">
        <v>48</v>
      </c>
      <c r="F30" s="1">
        <v>1</v>
      </c>
      <c r="G30" s="1" t="s">
        <v>53</v>
      </c>
      <c r="H30" s="1" t="str">
        <f t="shared" si="0"/>
        <v xml:space="preserve">CEMPRESA='31' </v>
      </c>
      <c r="I30" s="1" t="str">
        <f t="shared" si="1"/>
        <v xml:space="preserve">AND CBALCAO='0003' </v>
      </c>
      <c r="J30" s="1" t="str">
        <f t="shared" si="2"/>
        <v xml:space="preserve">AND CNUMECTA='20505524096' </v>
      </c>
      <c r="K30" s="1" t="str">
        <f t="shared" si="3"/>
        <v xml:space="preserve">AND ZDEPOSIT='000000000000000' </v>
      </c>
      <c r="L30" s="1" t="str">
        <f t="shared" si="4"/>
        <v>WHEN CEMPRESA='31' AND CBALCAO='0003' AND CNUMECTA='20505524096' AND ZDEPOSIT='000000000000000' THEN 1</v>
      </c>
      <c r="M30" s="1" t="str">
        <f t="shared" si="5"/>
        <v>WHEN CEMPRESA='31' AND CBALCAO='0003' AND CNUMECTA='20505524096' AND ZDEPOSIT='000000000000000' THEN 'A.1.1.'</v>
      </c>
    </row>
    <row r="31" spans="2:13" x14ac:dyDescent="0.25">
      <c r="B31" s="1" t="s">
        <v>54</v>
      </c>
      <c r="C31" s="1" t="s">
        <v>55</v>
      </c>
      <c r="D31" s="1" t="s">
        <v>89</v>
      </c>
      <c r="E31" s="1" t="s">
        <v>90</v>
      </c>
      <c r="F31" s="1">
        <v>1</v>
      </c>
      <c r="G31" s="1" t="s">
        <v>58</v>
      </c>
      <c r="H31" s="1" t="str">
        <f t="shared" si="0"/>
        <v xml:space="preserve">CEMPRESA='89' </v>
      </c>
      <c r="I31" s="1" t="str">
        <f t="shared" si="1"/>
        <v xml:space="preserve">AND CBALCAO='0000' </v>
      </c>
      <c r="J31" s="1" t="str">
        <f t="shared" si="2"/>
        <v xml:space="preserve">AND CNUMECTA='00008046651' </v>
      </c>
      <c r="K31" s="1" t="str">
        <f t="shared" si="3"/>
        <v xml:space="preserve">AND ZDEPOSIT='000530000667540' </v>
      </c>
      <c r="L31" s="1" t="str">
        <f t="shared" si="4"/>
        <v>WHEN CEMPRESA='89' AND CBALCAO='0000' AND CNUMECTA='00008046651' AND ZDEPOSIT='000530000667540' THEN 1</v>
      </c>
      <c r="M31" s="1" t="str">
        <f t="shared" si="5"/>
        <v>WHEN CEMPRESA='89' AND CBALCAO='0000' AND CNUMECTA='00008046651' AND ZDEPOSIT='000530000667540' THEN 'A.2.5.'</v>
      </c>
    </row>
    <row r="32" spans="2:13" x14ac:dyDescent="0.25">
      <c r="B32" s="1" t="s">
        <v>45</v>
      </c>
      <c r="C32" s="1" t="s">
        <v>46</v>
      </c>
      <c r="D32" s="1" t="s">
        <v>91</v>
      </c>
      <c r="E32" s="1" t="s">
        <v>48</v>
      </c>
      <c r="F32" s="1">
        <v>1</v>
      </c>
      <c r="G32" s="1" t="s">
        <v>60</v>
      </c>
      <c r="H32" s="1" t="str">
        <f t="shared" si="0"/>
        <v xml:space="preserve">CEMPRESA='31' </v>
      </c>
      <c r="I32" s="1" t="str">
        <f t="shared" si="1"/>
        <v xml:space="preserve">AND CBALCAO='0003' </v>
      </c>
      <c r="J32" s="1" t="str">
        <f t="shared" si="2"/>
        <v xml:space="preserve">AND CNUMECTA='20504006096' </v>
      </c>
      <c r="K32" s="1" t="str">
        <f t="shared" si="3"/>
        <v xml:space="preserve">AND ZDEPOSIT='000000000000000' </v>
      </c>
      <c r="L32" s="1" t="str">
        <f t="shared" si="4"/>
        <v>WHEN CEMPRESA='31' AND CBALCAO='0003' AND CNUMECTA='20504006096' AND ZDEPOSIT='000000000000000' THEN 1</v>
      </c>
      <c r="M32" s="1" t="str">
        <f t="shared" si="5"/>
        <v>WHEN CEMPRESA='31' AND CBALCAO='0003' AND CNUMECTA='20504006096' AND ZDEPOSIT='000000000000000' THEN 'A.3.7.'</v>
      </c>
    </row>
    <row r="33" spans="2:13" x14ac:dyDescent="0.25">
      <c r="B33" s="1" t="s">
        <v>45</v>
      </c>
      <c r="C33" s="1" t="s">
        <v>46</v>
      </c>
      <c r="D33" s="1" t="s">
        <v>92</v>
      </c>
      <c r="E33" s="1" t="s">
        <v>48</v>
      </c>
      <c r="F33" s="1">
        <v>1</v>
      </c>
      <c r="G33" s="1" t="s">
        <v>51</v>
      </c>
      <c r="H33" s="1" t="str">
        <f t="shared" si="0"/>
        <v xml:space="preserve">CEMPRESA='31' </v>
      </c>
      <c r="I33" s="1" t="str">
        <f t="shared" si="1"/>
        <v xml:space="preserve">AND CBALCAO='0003' </v>
      </c>
      <c r="J33" s="1" t="str">
        <f t="shared" si="2"/>
        <v xml:space="preserve">AND CNUMECTA='20452826096' </v>
      </c>
      <c r="K33" s="1" t="str">
        <f t="shared" si="3"/>
        <v xml:space="preserve">AND ZDEPOSIT='000000000000000' </v>
      </c>
      <c r="L33" s="1" t="str">
        <f t="shared" si="4"/>
        <v>WHEN CEMPRESA='31' AND CBALCAO='0003' AND CNUMECTA='20452826096' AND ZDEPOSIT='000000000000000' THEN 1</v>
      </c>
      <c r="M33" s="1" t="str">
        <f t="shared" si="5"/>
        <v>WHEN CEMPRESA='31' AND CBALCAO='0003' AND CNUMECTA='20452826096' AND ZDEPOSIT='000000000000000' THEN 'B.1.'</v>
      </c>
    </row>
    <row r="34" spans="2:13" x14ac:dyDescent="0.25">
      <c r="B34" s="1" t="s">
        <v>54</v>
      </c>
      <c r="C34" s="1" t="s">
        <v>55</v>
      </c>
      <c r="D34" s="1" t="s">
        <v>93</v>
      </c>
      <c r="E34" s="1" t="s">
        <v>94</v>
      </c>
      <c r="F34" s="1">
        <v>1</v>
      </c>
      <c r="G34" s="1" t="s">
        <v>58</v>
      </c>
      <c r="H34" s="1" t="str">
        <f t="shared" si="0"/>
        <v xml:space="preserve">CEMPRESA='89' </v>
      </c>
      <c r="I34" s="1" t="str">
        <f t="shared" si="1"/>
        <v xml:space="preserve">AND CBALCAO='0000' </v>
      </c>
      <c r="J34" s="1" t="str">
        <f t="shared" si="2"/>
        <v xml:space="preserve">AND CNUMECTA='00008046430' </v>
      </c>
      <c r="K34" s="1" t="str">
        <f t="shared" si="3"/>
        <v xml:space="preserve">AND ZDEPOSIT='000530000509837' </v>
      </c>
      <c r="L34" s="1" t="str">
        <f t="shared" si="4"/>
        <v>WHEN CEMPRESA='89' AND CBALCAO='0000' AND CNUMECTA='00008046430' AND ZDEPOSIT='000530000509837' THEN 1</v>
      </c>
      <c r="M34" s="1" t="str">
        <f t="shared" si="5"/>
        <v>WHEN CEMPRESA='89' AND CBALCAO='0000' AND CNUMECTA='00008046430' AND ZDEPOSIT='000530000509837' THEN 'A.2.5.'</v>
      </c>
    </row>
    <row r="35" spans="2:13" x14ac:dyDescent="0.25">
      <c r="B35" s="1" t="s">
        <v>45</v>
      </c>
      <c r="C35" s="1" t="s">
        <v>46</v>
      </c>
      <c r="D35" s="1" t="s">
        <v>95</v>
      </c>
      <c r="E35" s="1" t="s">
        <v>48</v>
      </c>
      <c r="F35" s="1">
        <v>1</v>
      </c>
      <c r="G35" s="1" t="s">
        <v>60</v>
      </c>
      <c r="H35" s="1" t="str">
        <f t="shared" si="0"/>
        <v xml:space="preserve">CEMPRESA='31' </v>
      </c>
      <c r="I35" s="1" t="str">
        <f t="shared" si="1"/>
        <v xml:space="preserve">AND CBALCAO='0003' </v>
      </c>
      <c r="J35" s="1" t="str">
        <f t="shared" si="2"/>
        <v xml:space="preserve">AND CNUMECTA='20433180096' </v>
      </c>
      <c r="K35" s="1" t="str">
        <f t="shared" si="3"/>
        <v xml:space="preserve">AND ZDEPOSIT='000000000000000' </v>
      </c>
      <c r="L35" s="1" t="str">
        <f t="shared" si="4"/>
        <v>WHEN CEMPRESA='31' AND CBALCAO='0003' AND CNUMECTA='20433180096' AND ZDEPOSIT='000000000000000' THEN 1</v>
      </c>
      <c r="M35" s="1" t="str">
        <f t="shared" si="5"/>
        <v>WHEN CEMPRESA='31' AND CBALCAO='0003' AND CNUMECTA='20433180096' AND ZDEPOSIT='000000000000000' THEN 'A.3.7.'</v>
      </c>
    </row>
    <row r="36" spans="2:13" x14ac:dyDescent="0.25">
      <c r="B36" s="1" t="s">
        <v>45</v>
      </c>
      <c r="C36" s="1" t="s">
        <v>46</v>
      </c>
      <c r="D36" s="1" t="s">
        <v>96</v>
      </c>
      <c r="E36" s="1" t="s">
        <v>48</v>
      </c>
      <c r="F36" s="1">
        <v>1</v>
      </c>
      <c r="G36" s="1" t="s">
        <v>60</v>
      </c>
      <c r="H36" s="1" t="str">
        <f t="shared" si="0"/>
        <v xml:space="preserve">CEMPRESA='31' </v>
      </c>
      <c r="I36" s="1" t="str">
        <f t="shared" si="1"/>
        <v xml:space="preserve">AND CBALCAO='0003' </v>
      </c>
      <c r="J36" s="1" t="str">
        <f t="shared" si="2"/>
        <v xml:space="preserve">AND CNUMECTA='20683446096' </v>
      </c>
      <c r="K36" s="1" t="str">
        <f t="shared" si="3"/>
        <v xml:space="preserve">AND ZDEPOSIT='000000000000000' </v>
      </c>
      <c r="L36" s="1" t="str">
        <f t="shared" si="4"/>
        <v>WHEN CEMPRESA='31' AND CBALCAO='0003' AND CNUMECTA='20683446096' AND ZDEPOSIT='000000000000000' THEN 1</v>
      </c>
      <c r="M36" s="1" t="str">
        <f t="shared" si="5"/>
        <v>WHEN CEMPRESA='31' AND CBALCAO='0003' AND CNUMECTA='20683446096' AND ZDEPOSIT='000000000000000' THEN 'A.3.7.'</v>
      </c>
    </row>
    <row r="37" spans="2:13" x14ac:dyDescent="0.25">
      <c r="B37" s="1" t="s">
        <v>45</v>
      </c>
      <c r="C37" s="1" t="s">
        <v>46</v>
      </c>
      <c r="D37" s="1" t="s">
        <v>97</v>
      </c>
      <c r="E37" s="1" t="s">
        <v>48</v>
      </c>
      <c r="F37" s="1">
        <v>1</v>
      </c>
      <c r="G37" s="1" t="s">
        <v>60</v>
      </c>
      <c r="H37" s="1" t="str">
        <f t="shared" si="0"/>
        <v xml:space="preserve">CEMPRESA='31' </v>
      </c>
      <c r="I37" s="1" t="str">
        <f t="shared" si="1"/>
        <v xml:space="preserve">AND CBALCAO='0003' </v>
      </c>
      <c r="J37" s="1" t="str">
        <f t="shared" si="2"/>
        <v xml:space="preserve">AND CNUMECTA='20655139096' </v>
      </c>
      <c r="K37" s="1" t="str">
        <f t="shared" si="3"/>
        <v xml:space="preserve">AND ZDEPOSIT='000000000000000' </v>
      </c>
      <c r="L37" s="1" t="str">
        <f t="shared" si="4"/>
        <v>WHEN CEMPRESA='31' AND CBALCAO='0003' AND CNUMECTA='20655139096' AND ZDEPOSIT='000000000000000' THEN 1</v>
      </c>
      <c r="M37" s="1" t="str">
        <f t="shared" si="5"/>
        <v>WHEN CEMPRESA='31' AND CBALCAO='0003' AND CNUMECTA='20655139096' AND ZDEPOSIT='000000000000000' THEN 'A.3.7.'</v>
      </c>
    </row>
    <row r="38" spans="2:13" x14ac:dyDescent="0.25">
      <c r="B38" s="1" t="s">
        <v>54</v>
      </c>
      <c r="C38" s="1" t="s">
        <v>55</v>
      </c>
      <c r="D38" s="1" t="s">
        <v>98</v>
      </c>
      <c r="E38" s="1" t="s">
        <v>99</v>
      </c>
      <c r="F38" s="1">
        <v>1</v>
      </c>
      <c r="G38" s="1" t="s">
        <v>58</v>
      </c>
      <c r="H38" s="1" t="str">
        <f t="shared" si="0"/>
        <v xml:space="preserve">CEMPRESA='89' </v>
      </c>
      <c r="I38" s="1" t="str">
        <f t="shared" si="1"/>
        <v xml:space="preserve">AND CBALCAO='0000' </v>
      </c>
      <c r="J38" s="1" t="str">
        <f t="shared" si="2"/>
        <v xml:space="preserve">AND CNUMECTA='00008046682' </v>
      </c>
      <c r="K38" s="1" t="str">
        <f t="shared" si="3"/>
        <v xml:space="preserve">AND ZDEPOSIT='000530000778109' </v>
      </c>
      <c r="L38" s="1" t="str">
        <f t="shared" si="4"/>
        <v>WHEN CEMPRESA='89' AND CBALCAO='0000' AND CNUMECTA='00008046682' AND ZDEPOSIT='000530000778109' THEN 1</v>
      </c>
      <c r="M38" s="1" t="str">
        <f t="shared" si="5"/>
        <v>WHEN CEMPRESA='89' AND CBALCAO='0000' AND CNUMECTA='00008046682' AND ZDEPOSIT='000530000778109' THEN 'A.2.5.'</v>
      </c>
    </row>
    <row r="39" spans="2:13" x14ac:dyDescent="0.25">
      <c r="B39" s="1" t="s">
        <v>45</v>
      </c>
      <c r="C39" s="1" t="s">
        <v>46</v>
      </c>
      <c r="D39" s="1" t="s">
        <v>100</v>
      </c>
      <c r="E39" s="1" t="s">
        <v>48</v>
      </c>
      <c r="F39" s="1">
        <v>1</v>
      </c>
      <c r="G39" s="1" t="s">
        <v>60</v>
      </c>
      <c r="H39" s="1" t="str">
        <f t="shared" si="0"/>
        <v xml:space="preserve">CEMPRESA='31' </v>
      </c>
      <c r="I39" s="1" t="str">
        <f t="shared" si="1"/>
        <v xml:space="preserve">AND CBALCAO='0003' </v>
      </c>
      <c r="J39" s="1" t="str">
        <f t="shared" si="2"/>
        <v xml:space="preserve">AND CNUMECTA='20719729096' </v>
      </c>
      <c r="K39" s="1" t="str">
        <f t="shared" si="3"/>
        <v xml:space="preserve">AND ZDEPOSIT='000000000000000' </v>
      </c>
      <c r="L39" s="1" t="str">
        <f t="shared" si="4"/>
        <v>WHEN CEMPRESA='31' AND CBALCAO='0003' AND CNUMECTA='20719729096' AND ZDEPOSIT='000000000000000' THEN 1</v>
      </c>
      <c r="M39" s="1" t="str">
        <f t="shared" si="5"/>
        <v>WHEN CEMPRESA='31' AND CBALCAO='0003' AND CNUMECTA='20719729096' AND ZDEPOSIT='000000000000000' THEN 'A.3.7.'</v>
      </c>
    </row>
    <row r="40" spans="2:13" x14ac:dyDescent="0.25">
      <c r="B40" s="1" t="s">
        <v>45</v>
      </c>
      <c r="C40" s="1" t="s">
        <v>46</v>
      </c>
      <c r="D40" s="1" t="s">
        <v>101</v>
      </c>
      <c r="E40" s="1" t="s">
        <v>48</v>
      </c>
      <c r="F40" s="1">
        <v>1</v>
      </c>
      <c r="G40" s="1" t="s">
        <v>60</v>
      </c>
      <c r="H40" s="1" t="str">
        <f t="shared" si="0"/>
        <v xml:space="preserve">CEMPRESA='31' </v>
      </c>
      <c r="I40" s="1" t="str">
        <f t="shared" si="1"/>
        <v xml:space="preserve">AND CBALCAO='0003' </v>
      </c>
      <c r="J40" s="1" t="str">
        <f t="shared" si="2"/>
        <v xml:space="preserve">AND CNUMECTA='20729132096' </v>
      </c>
      <c r="K40" s="1" t="str">
        <f t="shared" si="3"/>
        <v xml:space="preserve">AND ZDEPOSIT='000000000000000' </v>
      </c>
      <c r="L40" s="1" t="str">
        <f t="shared" si="4"/>
        <v>WHEN CEMPRESA='31' AND CBALCAO='0003' AND CNUMECTA='20729132096' AND ZDEPOSIT='000000000000000' THEN 1</v>
      </c>
      <c r="M40" s="1" t="str">
        <f t="shared" si="5"/>
        <v>WHEN CEMPRESA='31' AND CBALCAO='0003' AND CNUMECTA='20729132096' AND ZDEPOSIT='000000000000000' THEN 'A.3.7.'</v>
      </c>
    </row>
    <row r="41" spans="2:13" x14ac:dyDescent="0.25">
      <c r="B41" s="1" t="s">
        <v>45</v>
      </c>
      <c r="C41" s="1" t="s">
        <v>46</v>
      </c>
      <c r="D41" s="1" t="s">
        <v>102</v>
      </c>
      <c r="E41" s="1" t="s">
        <v>48</v>
      </c>
      <c r="F41" s="1">
        <v>1</v>
      </c>
      <c r="G41" s="1" t="s">
        <v>60</v>
      </c>
      <c r="H41" s="1" t="str">
        <f t="shared" si="0"/>
        <v xml:space="preserve">CEMPRESA='31' </v>
      </c>
      <c r="I41" s="1" t="str">
        <f t="shared" si="1"/>
        <v xml:space="preserve">AND CBALCAO='0003' </v>
      </c>
      <c r="J41" s="1" t="str">
        <f t="shared" si="2"/>
        <v xml:space="preserve">AND CNUMECTA='20692850096' </v>
      </c>
      <c r="K41" s="1" t="str">
        <f t="shared" si="3"/>
        <v xml:space="preserve">AND ZDEPOSIT='000000000000000' </v>
      </c>
      <c r="L41" s="1" t="str">
        <f t="shared" si="4"/>
        <v>WHEN CEMPRESA='31' AND CBALCAO='0003' AND CNUMECTA='20692850096' AND ZDEPOSIT='000000000000000' THEN 1</v>
      </c>
      <c r="M41" s="1" t="str">
        <f t="shared" si="5"/>
        <v>WHEN CEMPRESA='31' AND CBALCAO='0003' AND CNUMECTA='20692850096' AND ZDEPOSIT='000000000000000' THEN 'A.3.7.'</v>
      </c>
    </row>
    <row r="42" spans="2:13" x14ac:dyDescent="0.25">
      <c r="B42" s="1" t="s">
        <v>54</v>
      </c>
      <c r="C42" s="1" t="s">
        <v>55</v>
      </c>
      <c r="D42" s="1" t="s">
        <v>103</v>
      </c>
      <c r="E42" s="1" t="s">
        <v>104</v>
      </c>
      <c r="F42" s="1">
        <v>1</v>
      </c>
      <c r="G42" s="1" t="s">
        <v>58</v>
      </c>
      <c r="H42" s="1" t="str">
        <f t="shared" si="0"/>
        <v xml:space="preserve">CEMPRESA='89' </v>
      </c>
      <c r="I42" s="1" t="str">
        <f t="shared" si="1"/>
        <v xml:space="preserve">AND CBALCAO='0000' </v>
      </c>
      <c r="J42" s="1" t="str">
        <f t="shared" si="2"/>
        <v xml:space="preserve">AND CNUMECTA='00008046516' </v>
      </c>
      <c r="K42" s="1" t="str">
        <f t="shared" si="3"/>
        <v xml:space="preserve">AND ZDEPOSIT='000530000778022' </v>
      </c>
      <c r="L42" s="1" t="str">
        <f t="shared" si="4"/>
        <v>WHEN CEMPRESA='89' AND CBALCAO='0000' AND CNUMECTA='00008046516' AND ZDEPOSIT='000530000778022' THEN 1</v>
      </c>
      <c r="M42" s="1" t="str">
        <f t="shared" si="5"/>
        <v>WHEN CEMPRESA='89' AND CBALCAO='0000' AND CNUMECTA='00008046516' AND ZDEPOSIT='000530000778022' THEN 'A.2.5.'</v>
      </c>
    </row>
    <row r="43" spans="2:13" x14ac:dyDescent="0.25">
      <c r="B43" s="1" t="s">
        <v>45</v>
      </c>
      <c r="C43" s="1" t="s">
        <v>46</v>
      </c>
      <c r="D43" s="1" t="s">
        <v>105</v>
      </c>
      <c r="E43" s="1" t="s">
        <v>48</v>
      </c>
      <c r="F43" s="1">
        <v>1</v>
      </c>
      <c r="G43" s="1" t="s">
        <v>60</v>
      </c>
      <c r="H43" s="1" t="str">
        <f t="shared" si="0"/>
        <v xml:space="preserve">CEMPRESA='31' </v>
      </c>
      <c r="I43" s="1" t="str">
        <f t="shared" si="1"/>
        <v xml:space="preserve">AND CBALCAO='0003' </v>
      </c>
      <c r="J43" s="1" t="str">
        <f t="shared" si="2"/>
        <v xml:space="preserve">AND CNUMECTA='20729959096' </v>
      </c>
      <c r="K43" s="1" t="str">
        <f t="shared" si="3"/>
        <v xml:space="preserve">AND ZDEPOSIT='000000000000000' </v>
      </c>
      <c r="L43" s="1" t="str">
        <f t="shared" si="4"/>
        <v>WHEN CEMPRESA='31' AND CBALCAO='0003' AND CNUMECTA='20729959096' AND ZDEPOSIT='000000000000000' THEN 1</v>
      </c>
      <c r="M43" s="1" t="str">
        <f t="shared" si="5"/>
        <v>WHEN CEMPRESA='31' AND CBALCAO='0003' AND CNUMECTA='20729959096' AND ZDEPOSIT='000000000000000' THEN 'A.3.7.'</v>
      </c>
    </row>
    <row r="44" spans="2:13" x14ac:dyDescent="0.25">
      <c r="B44" s="1" t="s">
        <v>45</v>
      </c>
      <c r="C44" s="1" t="s">
        <v>46</v>
      </c>
      <c r="D44" s="1" t="s">
        <v>106</v>
      </c>
      <c r="E44" s="1" t="s">
        <v>48</v>
      </c>
      <c r="F44" s="1">
        <v>1</v>
      </c>
      <c r="G44" s="1" t="s">
        <v>60</v>
      </c>
      <c r="H44" s="1" t="str">
        <f t="shared" si="0"/>
        <v xml:space="preserve">CEMPRESA='31' </v>
      </c>
      <c r="I44" s="1" t="str">
        <f t="shared" si="1"/>
        <v xml:space="preserve">AND CBALCAO='0003' </v>
      </c>
      <c r="J44" s="1" t="str">
        <f t="shared" si="2"/>
        <v xml:space="preserve">AND CNUMECTA='20580881096' </v>
      </c>
      <c r="K44" s="1" t="str">
        <f t="shared" si="3"/>
        <v xml:space="preserve">AND ZDEPOSIT='000000000000000' </v>
      </c>
      <c r="L44" s="1" t="str">
        <f t="shared" si="4"/>
        <v>WHEN CEMPRESA='31' AND CBALCAO='0003' AND CNUMECTA='20580881096' AND ZDEPOSIT='000000000000000' THEN 1</v>
      </c>
      <c r="M44" s="1" t="str">
        <f t="shared" si="5"/>
        <v>WHEN CEMPRESA='31' AND CBALCAO='0003' AND CNUMECTA='20580881096' AND ZDEPOSIT='000000000000000' THEN 'A.3.7.'</v>
      </c>
    </row>
    <row r="45" spans="2:13" x14ac:dyDescent="0.25">
      <c r="B45" s="1" t="s">
        <v>45</v>
      </c>
      <c r="C45" s="1" t="s">
        <v>46</v>
      </c>
      <c r="D45" s="1" t="s">
        <v>107</v>
      </c>
      <c r="E45" s="1" t="s">
        <v>48</v>
      </c>
      <c r="F45" s="1">
        <v>1</v>
      </c>
      <c r="G45" s="1" t="s">
        <v>60</v>
      </c>
      <c r="H45" s="1" t="str">
        <f t="shared" si="0"/>
        <v xml:space="preserve">CEMPRESA='31' </v>
      </c>
      <c r="I45" s="1" t="str">
        <f t="shared" si="1"/>
        <v xml:space="preserve">AND CBALCAO='0003' </v>
      </c>
      <c r="J45" s="1" t="str">
        <f t="shared" si="2"/>
        <v xml:space="preserve">AND CNUMECTA='20450044096' </v>
      </c>
      <c r="K45" s="1" t="str">
        <f t="shared" si="3"/>
        <v xml:space="preserve">AND ZDEPOSIT='000000000000000' </v>
      </c>
      <c r="L45" s="1" t="str">
        <f t="shared" si="4"/>
        <v>WHEN CEMPRESA='31' AND CBALCAO='0003' AND CNUMECTA='20450044096' AND ZDEPOSIT='000000000000000' THEN 1</v>
      </c>
      <c r="M45" s="1" t="str">
        <f t="shared" si="5"/>
        <v>WHEN CEMPRESA='31' AND CBALCAO='0003' AND CNUMECTA='20450044096' AND ZDEPOSIT='000000000000000' THEN 'A.3.7.'</v>
      </c>
    </row>
    <row r="46" spans="2:13" x14ac:dyDescent="0.25">
      <c r="B46" s="1" t="s">
        <v>54</v>
      </c>
      <c r="C46" s="1" t="s">
        <v>55</v>
      </c>
      <c r="D46" s="1" t="s">
        <v>108</v>
      </c>
      <c r="E46" s="1" t="s">
        <v>109</v>
      </c>
      <c r="F46" s="1">
        <v>1</v>
      </c>
      <c r="G46" s="1" t="s">
        <v>58</v>
      </c>
      <c r="H46" s="1" t="str">
        <f t="shared" si="0"/>
        <v xml:space="preserve">CEMPRESA='89' </v>
      </c>
      <c r="I46" s="1" t="str">
        <f t="shared" si="1"/>
        <v xml:space="preserve">AND CBALCAO='0000' </v>
      </c>
      <c r="J46" s="1" t="str">
        <f t="shared" si="2"/>
        <v xml:space="preserve">AND CNUMECTA='00008046548' </v>
      </c>
      <c r="K46" s="1" t="str">
        <f t="shared" si="3"/>
        <v xml:space="preserve">AND ZDEPOSIT='000530000778238' </v>
      </c>
      <c r="L46" s="1" t="str">
        <f t="shared" si="4"/>
        <v>WHEN CEMPRESA='89' AND CBALCAO='0000' AND CNUMECTA='00008046548' AND ZDEPOSIT='000530000778238' THEN 1</v>
      </c>
      <c r="M46" s="1" t="str">
        <f t="shared" si="5"/>
        <v>WHEN CEMPRESA='89' AND CBALCAO='0000' AND CNUMECTA='00008046548' AND ZDEPOSIT='000530000778238' THEN 'A.2.5.'</v>
      </c>
    </row>
    <row r="47" spans="2:13" x14ac:dyDescent="0.25">
      <c r="B47" s="1" t="s">
        <v>54</v>
      </c>
      <c r="C47" s="1" t="s">
        <v>55</v>
      </c>
      <c r="D47" s="1" t="s">
        <v>110</v>
      </c>
      <c r="E47" s="1" t="s">
        <v>111</v>
      </c>
      <c r="F47" s="1">
        <v>1</v>
      </c>
      <c r="G47" s="1" t="s">
        <v>58</v>
      </c>
      <c r="H47" s="1" t="str">
        <f t="shared" si="0"/>
        <v xml:space="preserve">CEMPRESA='89' </v>
      </c>
      <c r="I47" s="1" t="str">
        <f t="shared" si="1"/>
        <v xml:space="preserve">AND CBALCAO='0000' </v>
      </c>
      <c r="J47" s="1" t="str">
        <f t="shared" si="2"/>
        <v xml:space="preserve">AND CNUMECTA='00008046517' </v>
      </c>
      <c r="K47" s="1" t="str">
        <f t="shared" si="3"/>
        <v xml:space="preserve">AND ZDEPOSIT='000530000761564' </v>
      </c>
      <c r="L47" s="1" t="str">
        <f t="shared" si="4"/>
        <v>WHEN CEMPRESA='89' AND CBALCAO='0000' AND CNUMECTA='00008046517' AND ZDEPOSIT='000530000761564' THEN 1</v>
      </c>
      <c r="M47" s="1" t="str">
        <f t="shared" si="5"/>
        <v>WHEN CEMPRESA='89' AND CBALCAO='0000' AND CNUMECTA='00008046517' AND ZDEPOSIT='000530000761564' THEN 'A.2.5.'</v>
      </c>
    </row>
    <row r="48" spans="2:13" x14ac:dyDescent="0.25">
      <c r="B48" s="1" t="s">
        <v>54</v>
      </c>
      <c r="C48" s="1" t="s">
        <v>55</v>
      </c>
      <c r="D48" s="1" t="s">
        <v>112</v>
      </c>
      <c r="E48" s="1" t="s">
        <v>113</v>
      </c>
      <c r="F48" s="1">
        <v>1</v>
      </c>
      <c r="G48" s="1" t="s">
        <v>58</v>
      </c>
      <c r="H48" s="1" t="str">
        <f t="shared" si="0"/>
        <v xml:space="preserve">CEMPRESA='89' </v>
      </c>
      <c r="I48" s="1" t="str">
        <f t="shared" si="1"/>
        <v xml:space="preserve">AND CBALCAO='0000' </v>
      </c>
      <c r="J48" s="1" t="str">
        <f t="shared" si="2"/>
        <v xml:space="preserve">AND CNUMECTA='00000250196' </v>
      </c>
      <c r="K48" s="1" t="str">
        <f t="shared" si="3"/>
        <v xml:space="preserve">AND ZDEPOSIT='000450000777717' </v>
      </c>
      <c r="L48" s="1" t="str">
        <f t="shared" si="4"/>
        <v>WHEN CEMPRESA='89' AND CBALCAO='0000' AND CNUMECTA='00000250196' AND ZDEPOSIT='000450000777717' THEN 1</v>
      </c>
      <c r="M48" s="1" t="str">
        <f t="shared" si="5"/>
        <v>WHEN CEMPRESA='89' AND CBALCAO='0000' AND CNUMECTA='00000250196' AND ZDEPOSIT='000450000777717' THEN 'A.2.5.'</v>
      </c>
    </row>
    <row r="49" spans="2:13" x14ac:dyDescent="0.25">
      <c r="B49" s="1" t="s">
        <v>45</v>
      </c>
      <c r="C49" s="1" t="s">
        <v>114</v>
      </c>
      <c r="D49" s="1" t="s">
        <v>115</v>
      </c>
      <c r="E49" s="1" t="s">
        <v>116</v>
      </c>
      <c r="F49" s="1">
        <v>1</v>
      </c>
      <c r="G49" s="1" t="s">
        <v>117</v>
      </c>
      <c r="H49" s="1" t="str">
        <f t="shared" si="0"/>
        <v xml:space="preserve">CEMPRESA='31' </v>
      </c>
      <c r="I49" s="1" t="str">
        <f t="shared" si="1"/>
        <v xml:space="preserve">AND CBALCAO='6416' </v>
      </c>
      <c r="J49" s="1" t="str">
        <f t="shared" si="2"/>
        <v xml:space="preserve">AND CNUMECTA='00000001085' </v>
      </c>
      <c r="K49" s="1" t="str">
        <f t="shared" si="3"/>
        <v xml:space="preserve">AND ZDEPOSIT='PC0649774000000' </v>
      </c>
      <c r="L49" s="1" t="str">
        <f t="shared" si="4"/>
        <v>WHEN CEMPRESA='31' AND CBALCAO='6416' AND CNUMECTA='00000001085' AND ZDEPOSIT='PC0649774000000' THEN 1</v>
      </c>
      <c r="M49" s="1" t="str">
        <f t="shared" si="5"/>
        <v>WHEN CEMPRESA='31' AND CBALCAO='6416' AND CNUMECTA='00000001085' AND ZDEPOSIT='PC0649774000000' THEN 'Sustainability Linked Finance - Default'</v>
      </c>
    </row>
    <row r="50" spans="2:13" x14ac:dyDescent="0.25">
      <c r="B50" s="1" t="s">
        <v>45</v>
      </c>
      <c r="C50" s="1" t="s">
        <v>46</v>
      </c>
      <c r="D50" s="1" t="s">
        <v>118</v>
      </c>
      <c r="E50" s="1" t="s">
        <v>48</v>
      </c>
      <c r="F50" s="1">
        <v>1</v>
      </c>
      <c r="G50" s="1" t="s">
        <v>60</v>
      </c>
      <c r="H50" s="1" t="str">
        <f t="shared" si="0"/>
        <v xml:space="preserve">CEMPRESA='31' </v>
      </c>
      <c r="I50" s="1" t="str">
        <f t="shared" si="1"/>
        <v xml:space="preserve">AND CBALCAO='0003' </v>
      </c>
      <c r="J50" s="1" t="str">
        <f t="shared" si="2"/>
        <v xml:space="preserve">AND CNUMECTA='20481528096' </v>
      </c>
      <c r="K50" s="1" t="str">
        <f t="shared" si="3"/>
        <v xml:space="preserve">AND ZDEPOSIT='000000000000000' </v>
      </c>
      <c r="L50" s="1" t="str">
        <f t="shared" si="4"/>
        <v>WHEN CEMPRESA='31' AND CBALCAO='0003' AND CNUMECTA='20481528096' AND ZDEPOSIT='000000000000000' THEN 1</v>
      </c>
      <c r="M50" s="1" t="str">
        <f t="shared" si="5"/>
        <v>WHEN CEMPRESA='31' AND CBALCAO='0003' AND CNUMECTA='20481528096' AND ZDEPOSIT='000000000000000' THEN 'A.3.7.'</v>
      </c>
    </row>
    <row r="51" spans="2:13" x14ac:dyDescent="0.25">
      <c r="B51" s="1" t="s">
        <v>45</v>
      </c>
      <c r="C51" s="1" t="s">
        <v>114</v>
      </c>
      <c r="D51" s="1" t="s">
        <v>115</v>
      </c>
      <c r="E51" s="1" t="s">
        <v>119</v>
      </c>
      <c r="F51" s="1">
        <v>1</v>
      </c>
      <c r="G51" s="1" t="s">
        <v>117</v>
      </c>
      <c r="H51" s="1" t="str">
        <f t="shared" si="0"/>
        <v xml:space="preserve">CEMPRESA='31' </v>
      </c>
      <c r="I51" s="1" t="str">
        <f t="shared" si="1"/>
        <v xml:space="preserve">AND CBALCAO='6416' </v>
      </c>
      <c r="J51" s="1" t="str">
        <f t="shared" si="2"/>
        <v xml:space="preserve">AND CNUMECTA='00000001085' </v>
      </c>
      <c r="K51" s="1" t="str">
        <f t="shared" si="3"/>
        <v xml:space="preserve">AND ZDEPOSIT='PC0649777000000' </v>
      </c>
      <c r="L51" s="1" t="str">
        <f t="shared" si="4"/>
        <v>WHEN CEMPRESA='31' AND CBALCAO='6416' AND CNUMECTA='00000001085' AND ZDEPOSIT='PC0649777000000' THEN 1</v>
      </c>
      <c r="M51" s="1" t="str">
        <f t="shared" si="5"/>
        <v>WHEN CEMPRESA='31' AND CBALCAO='6416' AND CNUMECTA='00000001085' AND ZDEPOSIT='PC0649777000000' THEN 'Sustainability Linked Finance - Default'</v>
      </c>
    </row>
    <row r="52" spans="2:13" x14ac:dyDescent="0.25">
      <c r="B52" s="1" t="s">
        <v>45</v>
      </c>
      <c r="C52" s="1" t="s">
        <v>46</v>
      </c>
      <c r="D52" s="1" t="s">
        <v>120</v>
      </c>
      <c r="E52" s="1" t="s">
        <v>48</v>
      </c>
      <c r="F52" s="1">
        <v>1</v>
      </c>
      <c r="G52" s="1" t="s">
        <v>60</v>
      </c>
      <c r="H52" s="1" t="str">
        <f t="shared" si="0"/>
        <v xml:space="preserve">CEMPRESA='31' </v>
      </c>
      <c r="I52" s="1" t="str">
        <f t="shared" si="1"/>
        <v xml:space="preserve">AND CBALCAO='0003' </v>
      </c>
      <c r="J52" s="1" t="str">
        <f t="shared" si="2"/>
        <v xml:space="preserve">AND CNUMECTA='20695275096' </v>
      </c>
      <c r="K52" s="1" t="str">
        <f t="shared" si="3"/>
        <v xml:space="preserve">AND ZDEPOSIT='000000000000000' </v>
      </c>
      <c r="L52" s="1" t="str">
        <f t="shared" si="4"/>
        <v>WHEN CEMPRESA='31' AND CBALCAO='0003' AND CNUMECTA='20695275096' AND ZDEPOSIT='000000000000000' THEN 1</v>
      </c>
      <c r="M52" s="1" t="str">
        <f t="shared" si="5"/>
        <v>WHEN CEMPRESA='31' AND CBALCAO='0003' AND CNUMECTA='20695275096' AND ZDEPOSIT='000000000000000' THEN 'A.3.7.'</v>
      </c>
    </row>
    <row r="53" spans="2:13" x14ac:dyDescent="0.25">
      <c r="B53" s="1" t="s">
        <v>54</v>
      </c>
      <c r="C53" s="1" t="s">
        <v>55</v>
      </c>
      <c r="D53" s="1" t="s">
        <v>121</v>
      </c>
      <c r="E53" s="1" t="s">
        <v>122</v>
      </c>
      <c r="F53" s="1">
        <v>1</v>
      </c>
      <c r="G53" s="1" t="s">
        <v>58</v>
      </c>
      <c r="H53" s="1" t="str">
        <f t="shared" si="0"/>
        <v xml:space="preserve">CEMPRESA='89' </v>
      </c>
      <c r="I53" s="1" t="str">
        <f t="shared" si="1"/>
        <v xml:space="preserve">AND CBALCAO='0000' </v>
      </c>
      <c r="J53" s="1" t="str">
        <f t="shared" si="2"/>
        <v xml:space="preserve">AND CNUMECTA='00000250070' </v>
      </c>
      <c r="K53" s="1" t="str">
        <f t="shared" si="3"/>
        <v xml:space="preserve">AND ZDEPOSIT='000450000507008' </v>
      </c>
      <c r="L53" s="1" t="str">
        <f t="shared" si="4"/>
        <v>WHEN CEMPRESA='89' AND CBALCAO='0000' AND CNUMECTA='00000250070' AND ZDEPOSIT='000450000507008' THEN 1</v>
      </c>
      <c r="M53" s="1" t="str">
        <f t="shared" si="5"/>
        <v>WHEN CEMPRESA='89' AND CBALCAO='0000' AND CNUMECTA='00000250070' AND ZDEPOSIT='000450000507008' THEN 'A.2.5.'</v>
      </c>
    </row>
    <row r="54" spans="2:13" x14ac:dyDescent="0.25">
      <c r="B54" s="1" t="s">
        <v>45</v>
      </c>
      <c r="C54" s="1" t="s">
        <v>46</v>
      </c>
      <c r="D54" s="1" t="s">
        <v>123</v>
      </c>
      <c r="E54" s="1" t="s">
        <v>48</v>
      </c>
      <c r="F54" s="1">
        <v>1</v>
      </c>
      <c r="G54" s="1" t="s">
        <v>60</v>
      </c>
      <c r="H54" s="1" t="str">
        <f t="shared" si="0"/>
        <v xml:space="preserve">CEMPRESA='31' </v>
      </c>
      <c r="I54" s="1" t="str">
        <f t="shared" si="1"/>
        <v xml:space="preserve">AND CBALCAO='0003' </v>
      </c>
      <c r="J54" s="1" t="str">
        <f t="shared" si="2"/>
        <v xml:space="preserve">AND CNUMECTA='20543400096' </v>
      </c>
      <c r="K54" s="1" t="str">
        <f t="shared" si="3"/>
        <v xml:space="preserve">AND ZDEPOSIT='000000000000000' </v>
      </c>
      <c r="L54" s="1" t="str">
        <f t="shared" si="4"/>
        <v>WHEN CEMPRESA='31' AND CBALCAO='0003' AND CNUMECTA='20543400096' AND ZDEPOSIT='000000000000000' THEN 1</v>
      </c>
      <c r="M54" s="1" t="str">
        <f t="shared" si="5"/>
        <v>WHEN CEMPRESA='31' AND CBALCAO='0003' AND CNUMECTA='20543400096' AND ZDEPOSIT='000000000000000' THEN 'A.3.7.'</v>
      </c>
    </row>
    <row r="55" spans="2:13" x14ac:dyDescent="0.25">
      <c r="B55" s="1" t="s">
        <v>45</v>
      </c>
      <c r="C55" s="1" t="s">
        <v>46</v>
      </c>
      <c r="D55" s="1" t="s">
        <v>124</v>
      </c>
      <c r="E55" s="1" t="s">
        <v>48</v>
      </c>
      <c r="F55" s="1">
        <v>1</v>
      </c>
      <c r="G55" s="1" t="s">
        <v>60</v>
      </c>
      <c r="H55" s="1" t="str">
        <f t="shared" si="0"/>
        <v xml:space="preserve">CEMPRESA='31' </v>
      </c>
      <c r="I55" s="1" t="str">
        <f t="shared" si="1"/>
        <v xml:space="preserve">AND CBALCAO='0003' </v>
      </c>
      <c r="J55" s="1" t="str">
        <f t="shared" si="2"/>
        <v xml:space="preserve">AND CNUMECTA='20441662096' </v>
      </c>
      <c r="K55" s="1" t="str">
        <f t="shared" si="3"/>
        <v xml:space="preserve">AND ZDEPOSIT='000000000000000' </v>
      </c>
      <c r="L55" s="1" t="str">
        <f t="shared" si="4"/>
        <v>WHEN CEMPRESA='31' AND CBALCAO='0003' AND CNUMECTA='20441662096' AND ZDEPOSIT='000000000000000' THEN 1</v>
      </c>
      <c r="M55" s="1" t="str">
        <f t="shared" si="5"/>
        <v>WHEN CEMPRESA='31' AND CBALCAO='0003' AND CNUMECTA='20441662096' AND ZDEPOSIT='000000000000000' THEN 'A.3.7.'</v>
      </c>
    </row>
    <row r="56" spans="2:13" x14ac:dyDescent="0.25">
      <c r="B56" s="1" t="s">
        <v>45</v>
      </c>
      <c r="C56" s="1" t="s">
        <v>46</v>
      </c>
      <c r="D56" s="1" t="s">
        <v>125</v>
      </c>
      <c r="E56" s="1" t="s">
        <v>48</v>
      </c>
      <c r="F56" s="1">
        <v>1</v>
      </c>
      <c r="G56" s="1" t="s">
        <v>60</v>
      </c>
      <c r="H56" s="1" t="str">
        <f t="shared" si="0"/>
        <v xml:space="preserve">CEMPRESA='31' </v>
      </c>
      <c r="I56" s="1" t="str">
        <f t="shared" si="1"/>
        <v xml:space="preserve">AND CBALCAO='0003' </v>
      </c>
      <c r="J56" s="1" t="str">
        <f t="shared" si="2"/>
        <v xml:space="preserve">AND CNUMECTA='20612312096' </v>
      </c>
      <c r="K56" s="1" t="str">
        <f t="shared" si="3"/>
        <v xml:space="preserve">AND ZDEPOSIT='000000000000000' </v>
      </c>
      <c r="L56" s="1" t="str">
        <f t="shared" si="4"/>
        <v>WHEN CEMPRESA='31' AND CBALCAO='0003' AND CNUMECTA='20612312096' AND ZDEPOSIT='000000000000000' THEN 1</v>
      </c>
      <c r="M56" s="1" t="str">
        <f t="shared" si="5"/>
        <v>WHEN CEMPRESA='31' AND CBALCAO='0003' AND CNUMECTA='20612312096' AND ZDEPOSIT='000000000000000' THEN 'A.3.7.'</v>
      </c>
    </row>
    <row r="57" spans="2:13" x14ac:dyDescent="0.25">
      <c r="B57" s="1" t="s">
        <v>54</v>
      </c>
      <c r="C57" s="1" t="s">
        <v>55</v>
      </c>
      <c r="D57" s="1" t="s">
        <v>126</v>
      </c>
      <c r="E57" s="1" t="s">
        <v>127</v>
      </c>
      <c r="F57" s="1">
        <v>1</v>
      </c>
      <c r="G57" s="1" t="s">
        <v>58</v>
      </c>
      <c r="H57" s="1" t="str">
        <f t="shared" si="0"/>
        <v xml:space="preserve">CEMPRESA='89' </v>
      </c>
      <c r="I57" s="1" t="str">
        <f t="shared" si="1"/>
        <v xml:space="preserve">AND CBALCAO='0000' </v>
      </c>
      <c r="J57" s="1" t="str">
        <f t="shared" si="2"/>
        <v xml:space="preserve">AND CNUMECTA='00000250305' </v>
      </c>
      <c r="K57" s="1" t="str">
        <f t="shared" si="3"/>
        <v xml:space="preserve">AND ZDEPOSIT='000450000708369' </v>
      </c>
      <c r="L57" s="1" t="str">
        <f t="shared" si="4"/>
        <v>WHEN CEMPRESA='89' AND CBALCAO='0000' AND CNUMECTA='00000250305' AND ZDEPOSIT='000450000708369' THEN 1</v>
      </c>
      <c r="M57" s="1" t="str">
        <f t="shared" si="5"/>
        <v>WHEN CEMPRESA='89' AND CBALCAO='0000' AND CNUMECTA='00000250305' AND ZDEPOSIT='000450000708369' THEN 'A.2.5.'</v>
      </c>
    </row>
    <row r="58" spans="2:13" x14ac:dyDescent="0.25">
      <c r="B58" s="1" t="s">
        <v>45</v>
      </c>
      <c r="C58" s="1" t="s">
        <v>46</v>
      </c>
      <c r="D58" s="1" t="s">
        <v>128</v>
      </c>
      <c r="E58" s="1" t="s">
        <v>48</v>
      </c>
      <c r="F58" s="1">
        <v>1</v>
      </c>
      <c r="G58" s="1" t="s">
        <v>60</v>
      </c>
      <c r="H58" s="1" t="str">
        <f t="shared" si="0"/>
        <v xml:space="preserve">CEMPRESA='31' </v>
      </c>
      <c r="I58" s="1" t="str">
        <f t="shared" si="1"/>
        <v xml:space="preserve">AND CBALCAO='0003' </v>
      </c>
      <c r="J58" s="1" t="str">
        <f t="shared" si="2"/>
        <v xml:space="preserve">AND CNUMECTA='20465497096' </v>
      </c>
      <c r="K58" s="1" t="str">
        <f t="shared" si="3"/>
        <v xml:space="preserve">AND ZDEPOSIT='000000000000000' </v>
      </c>
      <c r="L58" s="1" t="str">
        <f t="shared" si="4"/>
        <v>WHEN CEMPRESA='31' AND CBALCAO='0003' AND CNUMECTA='20465497096' AND ZDEPOSIT='000000000000000' THEN 1</v>
      </c>
      <c r="M58" s="1" t="str">
        <f t="shared" si="5"/>
        <v>WHEN CEMPRESA='31' AND CBALCAO='0003' AND CNUMECTA='20465497096' AND ZDEPOSIT='000000000000000' THEN 'A.3.7.'</v>
      </c>
    </row>
    <row r="59" spans="2:13" x14ac:dyDescent="0.25">
      <c r="B59" s="1" t="s">
        <v>45</v>
      </c>
      <c r="C59" s="1" t="s">
        <v>46</v>
      </c>
      <c r="D59" s="1" t="s">
        <v>129</v>
      </c>
      <c r="E59" s="1" t="s">
        <v>48</v>
      </c>
      <c r="F59" s="1">
        <v>1</v>
      </c>
      <c r="G59" s="1" t="s">
        <v>60</v>
      </c>
      <c r="H59" s="1" t="str">
        <f t="shared" si="0"/>
        <v xml:space="preserve">CEMPRESA='31' </v>
      </c>
      <c r="I59" s="1" t="str">
        <f t="shared" si="1"/>
        <v xml:space="preserve">AND CBALCAO='0003' </v>
      </c>
      <c r="J59" s="1" t="str">
        <f t="shared" si="2"/>
        <v xml:space="preserve">AND CNUMECTA='20561840096' </v>
      </c>
      <c r="K59" s="1" t="str">
        <f t="shared" si="3"/>
        <v xml:space="preserve">AND ZDEPOSIT='000000000000000' </v>
      </c>
      <c r="L59" s="1" t="str">
        <f t="shared" si="4"/>
        <v>WHEN CEMPRESA='31' AND CBALCAO='0003' AND CNUMECTA='20561840096' AND ZDEPOSIT='000000000000000' THEN 1</v>
      </c>
      <c r="M59" s="1" t="str">
        <f t="shared" si="5"/>
        <v>WHEN CEMPRESA='31' AND CBALCAO='0003' AND CNUMECTA='20561840096' AND ZDEPOSIT='000000000000000' THEN 'A.3.7.'</v>
      </c>
    </row>
    <row r="60" spans="2:13" x14ac:dyDescent="0.25">
      <c r="B60" s="1" t="s">
        <v>45</v>
      </c>
      <c r="C60" s="1" t="s">
        <v>46</v>
      </c>
      <c r="D60" s="1" t="s">
        <v>130</v>
      </c>
      <c r="E60" s="1" t="s">
        <v>48</v>
      </c>
      <c r="F60" s="1">
        <v>1</v>
      </c>
      <c r="G60" s="1" t="s">
        <v>60</v>
      </c>
      <c r="H60" s="1" t="str">
        <f t="shared" si="0"/>
        <v xml:space="preserve">CEMPRESA='31' </v>
      </c>
      <c r="I60" s="1" t="str">
        <f t="shared" si="1"/>
        <v xml:space="preserve">AND CBALCAO='0003' </v>
      </c>
      <c r="J60" s="1" t="str">
        <f t="shared" si="2"/>
        <v xml:space="preserve">AND CNUMECTA='20524277096' </v>
      </c>
      <c r="K60" s="1" t="str">
        <f t="shared" si="3"/>
        <v xml:space="preserve">AND ZDEPOSIT='000000000000000' </v>
      </c>
      <c r="L60" s="1" t="str">
        <f t="shared" si="4"/>
        <v>WHEN CEMPRESA='31' AND CBALCAO='0003' AND CNUMECTA='20524277096' AND ZDEPOSIT='000000000000000' THEN 1</v>
      </c>
      <c r="M60" s="1" t="str">
        <f t="shared" si="5"/>
        <v>WHEN CEMPRESA='31' AND CBALCAO='0003' AND CNUMECTA='20524277096' AND ZDEPOSIT='000000000000000' THEN 'A.3.7.'</v>
      </c>
    </row>
    <row r="61" spans="2:13" x14ac:dyDescent="0.25">
      <c r="B61" s="1" t="s">
        <v>45</v>
      </c>
      <c r="C61" s="1" t="s">
        <v>46</v>
      </c>
      <c r="D61" s="1" t="s">
        <v>131</v>
      </c>
      <c r="E61" s="1" t="s">
        <v>48</v>
      </c>
      <c r="F61" s="1">
        <v>1</v>
      </c>
      <c r="G61" s="1" t="s">
        <v>60</v>
      </c>
      <c r="H61" s="1" t="str">
        <f t="shared" si="0"/>
        <v xml:space="preserve">CEMPRESA='31' </v>
      </c>
      <c r="I61" s="1" t="str">
        <f t="shared" si="1"/>
        <v xml:space="preserve">AND CBALCAO='0003' </v>
      </c>
      <c r="J61" s="1" t="str">
        <f t="shared" si="2"/>
        <v xml:space="preserve">AND CNUMECTA='20669122096' </v>
      </c>
      <c r="K61" s="1" t="str">
        <f t="shared" si="3"/>
        <v xml:space="preserve">AND ZDEPOSIT='000000000000000' </v>
      </c>
      <c r="L61" s="1" t="str">
        <f t="shared" si="4"/>
        <v>WHEN CEMPRESA='31' AND CBALCAO='0003' AND CNUMECTA='20669122096' AND ZDEPOSIT='000000000000000' THEN 1</v>
      </c>
      <c r="M61" s="1" t="str">
        <f t="shared" si="5"/>
        <v>WHEN CEMPRESA='31' AND CBALCAO='0003' AND CNUMECTA='20669122096' AND ZDEPOSIT='000000000000000' THEN 'A.3.7.'</v>
      </c>
    </row>
    <row r="62" spans="2:13" x14ac:dyDescent="0.25">
      <c r="B62" s="1" t="s">
        <v>54</v>
      </c>
      <c r="C62" s="1" t="s">
        <v>55</v>
      </c>
      <c r="D62" s="1" t="s">
        <v>132</v>
      </c>
      <c r="E62" s="1" t="s">
        <v>133</v>
      </c>
      <c r="F62" s="1">
        <v>1</v>
      </c>
      <c r="G62" s="1" t="s">
        <v>58</v>
      </c>
      <c r="H62" s="1" t="str">
        <f t="shared" si="0"/>
        <v xml:space="preserve">CEMPRESA='89' </v>
      </c>
      <c r="I62" s="1" t="str">
        <f t="shared" si="1"/>
        <v xml:space="preserve">AND CBALCAO='0000' </v>
      </c>
      <c r="J62" s="1" t="str">
        <f t="shared" si="2"/>
        <v xml:space="preserve">AND CNUMECTA='00008046564' </v>
      </c>
      <c r="K62" s="1" t="str">
        <f t="shared" si="3"/>
        <v xml:space="preserve">AND ZDEPOSIT='000530000610062' </v>
      </c>
      <c r="L62" s="1" t="str">
        <f t="shared" si="4"/>
        <v>WHEN CEMPRESA='89' AND CBALCAO='0000' AND CNUMECTA='00008046564' AND ZDEPOSIT='000530000610062' THEN 1</v>
      </c>
      <c r="M62" s="1" t="str">
        <f t="shared" si="5"/>
        <v>WHEN CEMPRESA='89' AND CBALCAO='0000' AND CNUMECTA='00008046564' AND ZDEPOSIT='000530000610062' THEN 'A.2.5.'</v>
      </c>
    </row>
    <row r="63" spans="2:13" x14ac:dyDescent="0.25">
      <c r="B63" s="1" t="s">
        <v>45</v>
      </c>
      <c r="C63" s="1" t="s">
        <v>46</v>
      </c>
      <c r="D63" s="1" t="s">
        <v>134</v>
      </c>
      <c r="E63" s="1" t="s">
        <v>48</v>
      </c>
      <c r="F63" s="1">
        <v>1</v>
      </c>
      <c r="G63" s="1" t="s">
        <v>60</v>
      </c>
      <c r="H63" s="1" t="str">
        <f t="shared" si="0"/>
        <v xml:space="preserve">CEMPRESA='31' </v>
      </c>
      <c r="I63" s="1" t="str">
        <f t="shared" si="1"/>
        <v xml:space="preserve">AND CBALCAO='0003' </v>
      </c>
      <c r="J63" s="1" t="str">
        <f t="shared" si="2"/>
        <v xml:space="preserve">AND CNUMECTA='20415039096' </v>
      </c>
      <c r="K63" s="1" t="str">
        <f t="shared" si="3"/>
        <v xml:space="preserve">AND ZDEPOSIT='000000000000000' </v>
      </c>
      <c r="L63" s="1" t="str">
        <f t="shared" si="4"/>
        <v>WHEN CEMPRESA='31' AND CBALCAO='0003' AND CNUMECTA='20415039096' AND ZDEPOSIT='000000000000000' THEN 1</v>
      </c>
      <c r="M63" s="1" t="str">
        <f t="shared" si="5"/>
        <v>WHEN CEMPRESA='31' AND CBALCAO='0003' AND CNUMECTA='20415039096' AND ZDEPOSIT='000000000000000' THEN 'A.3.7.'</v>
      </c>
    </row>
    <row r="64" spans="2:13" x14ac:dyDescent="0.25">
      <c r="B64" s="1" t="s">
        <v>54</v>
      </c>
      <c r="C64" s="1" t="s">
        <v>55</v>
      </c>
      <c r="D64" s="1" t="s">
        <v>135</v>
      </c>
      <c r="E64" s="1" t="s">
        <v>136</v>
      </c>
      <c r="F64" s="1">
        <v>1</v>
      </c>
      <c r="G64" s="1" t="s">
        <v>58</v>
      </c>
      <c r="H64" s="1" t="str">
        <f t="shared" si="0"/>
        <v xml:space="preserve">CEMPRESA='89' </v>
      </c>
      <c r="I64" s="1" t="str">
        <f t="shared" si="1"/>
        <v xml:space="preserve">AND CBALCAO='0000' </v>
      </c>
      <c r="J64" s="1" t="str">
        <f t="shared" si="2"/>
        <v xml:space="preserve">AND CNUMECTA='00000250155' </v>
      </c>
      <c r="K64" s="1" t="str">
        <f t="shared" si="3"/>
        <v xml:space="preserve">AND ZDEPOSIT='000450000751878' </v>
      </c>
      <c r="L64" s="1" t="str">
        <f t="shared" si="4"/>
        <v>WHEN CEMPRESA='89' AND CBALCAO='0000' AND CNUMECTA='00000250155' AND ZDEPOSIT='000450000751878' THEN 1</v>
      </c>
      <c r="M64" s="1" t="str">
        <f t="shared" si="5"/>
        <v>WHEN CEMPRESA='89' AND CBALCAO='0000' AND CNUMECTA='00000250155' AND ZDEPOSIT='000450000751878' THEN 'A.2.5.'</v>
      </c>
    </row>
    <row r="65" spans="2:13" x14ac:dyDescent="0.25">
      <c r="B65" s="1" t="s">
        <v>45</v>
      </c>
      <c r="C65" s="1" t="s">
        <v>46</v>
      </c>
      <c r="D65" s="1" t="s">
        <v>137</v>
      </c>
      <c r="E65" s="1" t="s">
        <v>48</v>
      </c>
      <c r="F65" s="1">
        <v>1</v>
      </c>
      <c r="G65" s="1" t="s">
        <v>53</v>
      </c>
      <c r="H65" s="1" t="str">
        <f t="shared" si="0"/>
        <v xml:space="preserve">CEMPRESA='31' </v>
      </c>
      <c r="I65" s="1" t="str">
        <f t="shared" si="1"/>
        <v xml:space="preserve">AND CBALCAO='0003' </v>
      </c>
      <c r="J65" s="1" t="str">
        <f t="shared" si="2"/>
        <v xml:space="preserve">AND CNUMECTA='20535117096' </v>
      </c>
      <c r="K65" s="1" t="str">
        <f t="shared" si="3"/>
        <v xml:space="preserve">AND ZDEPOSIT='000000000000000' </v>
      </c>
      <c r="L65" s="1" t="str">
        <f t="shared" si="4"/>
        <v>WHEN CEMPRESA='31' AND CBALCAO='0003' AND CNUMECTA='20535117096' AND ZDEPOSIT='000000000000000' THEN 1</v>
      </c>
      <c r="M65" s="1" t="str">
        <f t="shared" si="5"/>
        <v>WHEN CEMPRESA='31' AND CBALCAO='0003' AND CNUMECTA='20535117096' AND ZDEPOSIT='000000000000000' THEN 'A.1.1.'</v>
      </c>
    </row>
    <row r="66" spans="2:13" x14ac:dyDescent="0.25">
      <c r="B66" s="1" t="s">
        <v>45</v>
      </c>
      <c r="C66" s="1" t="s">
        <v>46</v>
      </c>
      <c r="D66" s="1" t="s">
        <v>138</v>
      </c>
      <c r="E66" s="1" t="s">
        <v>48</v>
      </c>
      <c r="F66" s="1">
        <v>1</v>
      </c>
      <c r="G66" s="1" t="s">
        <v>60</v>
      </c>
      <c r="H66" s="1" t="str">
        <f t="shared" si="0"/>
        <v xml:space="preserve">CEMPRESA='31' </v>
      </c>
      <c r="I66" s="1" t="str">
        <f t="shared" si="1"/>
        <v xml:space="preserve">AND CBALCAO='0003' </v>
      </c>
      <c r="J66" s="1" t="str">
        <f t="shared" si="2"/>
        <v xml:space="preserve">AND CNUMECTA='20711601096' </v>
      </c>
      <c r="K66" s="1" t="str">
        <f t="shared" si="3"/>
        <v xml:space="preserve">AND ZDEPOSIT='000000000000000' </v>
      </c>
      <c r="L66" s="1" t="str">
        <f t="shared" si="4"/>
        <v>WHEN CEMPRESA='31' AND CBALCAO='0003' AND CNUMECTA='20711601096' AND ZDEPOSIT='000000000000000' THEN 1</v>
      </c>
      <c r="M66" s="1" t="str">
        <f t="shared" si="5"/>
        <v>WHEN CEMPRESA='31' AND CBALCAO='0003' AND CNUMECTA='20711601096' AND ZDEPOSIT='000000000000000' THEN 'A.3.7.'</v>
      </c>
    </row>
    <row r="67" spans="2:13" x14ac:dyDescent="0.25">
      <c r="B67" s="1" t="s">
        <v>45</v>
      </c>
      <c r="C67" s="1" t="s">
        <v>46</v>
      </c>
      <c r="D67" s="1" t="s">
        <v>139</v>
      </c>
      <c r="E67" s="1" t="s">
        <v>48</v>
      </c>
      <c r="F67" s="1">
        <v>1</v>
      </c>
      <c r="G67" s="1" t="s">
        <v>60</v>
      </c>
      <c r="H67" s="1" t="str">
        <f t="shared" si="0"/>
        <v xml:space="preserve">CEMPRESA='31' </v>
      </c>
      <c r="I67" s="1" t="str">
        <f t="shared" si="1"/>
        <v xml:space="preserve">AND CBALCAO='0003' </v>
      </c>
      <c r="J67" s="1" t="str">
        <f t="shared" si="2"/>
        <v xml:space="preserve">AND CNUMECTA='20547047096' </v>
      </c>
      <c r="K67" s="1" t="str">
        <f t="shared" si="3"/>
        <v xml:space="preserve">AND ZDEPOSIT='000000000000000' </v>
      </c>
      <c r="L67" s="1" t="str">
        <f t="shared" si="4"/>
        <v>WHEN CEMPRESA='31' AND CBALCAO='0003' AND CNUMECTA='20547047096' AND ZDEPOSIT='000000000000000' THEN 1</v>
      </c>
      <c r="M67" s="1" t="str">
        <f t="shared" si="5"/>
        <v>WHEN CEMPRESA='31' AND CBALCAO='0003' AND CNUMECTA='20547047096' AND ZDEPOSIT='000000000000000' THEN 'A.3.7.'</v>
      </c>
    </row>
    <row r="68" spans="2:13" x14ac:dyDescent="0.25">
      <c r="B68" s="1" t="s">
        <v>45</v>
      </c>
      <c r="C68" s="1" t="s">
        <v>46</v>
      </c>
      <c r="D68" s="1" t="s">
        <v>140</v>
      </c>
      <c r="E68" s="1" t="s">
        <v>48</v>
      </c>
      <c r="F68" s="1">
        <v>1</v>
      </c>
      <c r="G68" s="1" t="s">
        <v>60</v>
      </c>
      <c r="H68" s="1" t="str">
        <f t="shared" ref="H68:H131" si="6">+IF(LEN(TRIM(B68))&gt;0,UPPER($B$2)&amp;"='"&amp;TRIM(B68)&amp;"' ","")</f>
        <v xml:space="preserve">CEMPRESA='31' </v>
      </c>
      <c r="I68" s="1" t="str">
        <f t="shared" ref="I68:I131" si="7">+IF(LEN(TRIM(C68))&gt;0,UPPER($C$2)&amp;"='"&amp;TRIM(C68)&amp;"' ","")</f>
        <v xml:space="preserve">AND CBALCAO='0003' </v>
      </c>
      <c r="J68" s="1" t="str">
        <f t="shared" ref="J68:J131" si="8">+IF(LEN(TRIM(D68))&gt;0,UPPER($D$2)&amp;"='"&amp;TRIM(D68)&amp;"' ","")</f>
        <v xml:space="preserve">AND CNUMECTA='20588157096' </v>
      </c>
      <c r="K68" s="1" t="str">
        <f t="shared" ref="K68:K131" si="9">+IF(LEN(TRIM(E68))&gt;0,UPPER($E$2)&amp;"='"&amp;TRIM(E68)&amp;"' ","")</f>
        <v xml:space="preserve">AND ZDEPOSIT='000000000000000' </v>
      </c>
      <c r="L68" s="1" t="str">
        <f t="shared" ref="L68:L131" si="10">+"WHEN "&amp;H68&amp;I68&amp;J68&amp;K68&amp;"THEN "&amp;F68</f>
        <v>WHEN CEMPRESA='31' AND CBALCAO='0003' AND CNUMECTA='20588157096' AND ZDEPOSIT='000000000000000' THEN 1</v>
      </c>
      <c r="M68" s="1" t="str">
        <f t="shared" ref="M68:M131" si="11">+"WHEN "&amp;H68&amp;I68&amp;J68&amp;K68&amp;"THEN "&amp;G68</f>
        <v>WHEN CEMPRESA='31' AND CBALCAO='0003' AND CNUMECTA='20588157096' AND ZDEPOSIT='000000000000000' THEN 'A.3.7.'</v>
      </c>
    </row>
    <row r="69" spans="2:13" x14ac:dyDescent="0.25">
      <c r="B69" s="1" t="s">
        <v>45</v>
      </c>
      <c r="C69" s="1" t="s">
        <v>46</v>
      </c>
      <c r="D69" s="1" t="s">
        <v>141</v>
      </c>
      <c r="E69" s="1" t="s">
        <v>48</v>
      </c>
      <c r="F69" s="1">
        <v>1</v>
      </c>
      <c r="G69" s="1" t="s">
        <v>51</v>
      </c>
      <c r="H69" s="1" t="str">
        <f t="shared" si="6"/>
        <v xml:space="preserve">CEMPRESA='31' </v>
      </c>
      <c r="I69" s="1" t="str">
        <f t="shared" si="7"/>
        <v xml:space="preserve">AND CBALCAO='0003' </v>
      </c>
      <c r="J69" s="1" t="str">
        <f t="shared" si="8"/>
        <v xml:space="preserve">AND CNUMECTA='20572474096' </v>
      </c>
      <c r="K69" s="1" t="str">
        <f t="shared" si="9"/>
        <v xml:space="preserve">AND ZDEPOSIT='000000000000000' </v>
      </c>
      <c r="L69" s="1" t="str">
        <f t="shared" si="10"/>
        <v>WHEN CEMPRESA='31' AND CBALCAO='0003' AND CNUMECTA='20572474096' AND ZDEPOSIT='000000000000000' THEN 1</v>
      </c>
      <c r="M69" s="1" t="str">
        <f t="shared" si="11"/>
        <v>WHEN CEMPRESA='31' AND CBALCAO='0003' AND CNUMECTA='20572474096' AND ZDEPOSIT='000000000000000' THEN 'B.1.'</v>
      </c>
    </row>
    <row r="70" spans="2:13" x14ac:dyDescent="0.25">
      <c r="B70" s="1" t="s">
        <v>45</v>
      </c>
      <c r="C70" s="1" t="s">
        <v>46</v>
      </c>
      <c r="D70" s="1" t="s">
        <v>142</v>
      </c>
      <c r="E70" s="1" t="s">
        <v>48</v>
      </c>
      <c r="F70" s="1">
        <v>1</v>
      </c>
      <c r="G70" s="1" t="s">
        <v>76</v>
      </c>
      <c r="H70" s="1" t="str">
        <f t="shared" si="6"/>
        <v xml:space="preserve">CEMPRESA='31' </v>
      </c>
      <c r="I70" s="1" t="str">
        <f t="shared" si="7"/>
        <v xml:space="preserve">AND CBALCAO='0003' </v>
      </c>
      <c r="J70" s="1" t="str">
        <f t="shared" si="8"/>
        <v xml:space="preserve">AND CNUMECTA='18606234097' </v>
      </c>
      <c r="K70" s="1" t="str">
        <f t="shared" si="9"/>
        <v xml:space="preserve">AND ZDEPOSIT='000000000000000' </v>
      </c>
      <c r="L70" s="1" t="str">
        <f t="shared" si="10"/>
        <v>WHEN CEMPRESA='31' AND CBALCAO='0003' AND CNUMECTA='18606234097' AND ZDEPOSIT='000000000000000' THEN 1</v>
      </c>
      <c r="M70" s="1" t="str">
        <f t="shared" si="11"/>
        <v>WHEN CEMPRESA='31' AND CBALCAO='0003' AND CNUMECTA='18606234097' AND ZDEPOSIT='000000000000000' THEN 'A.7.7.'</v>
      </c>
    </row>
    <row r="71" spans="2:13" x14ac:dyDescent="0.25">
      <c r="B71" s="1" t="s">
        <v>45</v>
      </c>
      <c r="C71" s="1" t="s">
        <v>46</v>
      </c>
      <c r="D71" s="1" t="s">
        <v>143</v>
      </c>
      <c r="E71" s="1" t="s">
        <v>48</v>
      </c>
      <c r="F71" s="1">
        <v>1</v>
      </c>
      <c r="G71" s="1" t="s">
        <v>60</v>
      </c>
      <c r="H71" s="1" t="str">
        <f t="shared" si="6"/>
        <v xml:space="preserve">CEMPRESA='31' </v>
      </c>
      <c r="I71" s="1" t="str">
        <f t="shared" si="7"/>
        <v xml:space="preserve">AND CBALCAO='0003' </v>
      </c>
      <c r="J71" s="1" t="str">
        <f t="shared" si="8"/>
        <v xml:space="preserve">AND CNUMECTA='20717889096' </v>
      </c>
      <c r="K71" s="1" t="str">
        <f t="shared" si="9"/>
        <v xml:space="preserve">AND ZDEPOSIT='000000000000000' </v>
      </c>
      <c r="L71" s="1" t="str">
        <f t="shared" si="10"/>
        <v>WHEN CEMPRESA='31' AND CBALCAO='0003' AND CNUMECTA='20717889096' AND ZDEPOSIT='000000000000000' THEN 1</v>
      </c>
      <c r="M71" s="1" t="str">
        <f t="shared" si="11"/>
        <v>WHEN CEMPRESA='31' AND CBALCAO='0003' AND CNUMECTA='20717889096' AND ZDEPOSIT='000000000000000' THEN 'A.3.7.'</v>
      </c>
    </row>
    <row r="72" spans="2:13" x14ac:dyDescent="0.25">
      <c r="B72" s="1" t="s">
        <v>54</v>
      </c>
      <c r="C72" s="1" t="s">
        <v>55</v>
      </c>
      <c r="D72" s="1" t="s">
        <v>144</v>
      </c>
      <c r="E72" s="1" t="s">
        <v>145</v>
      </c>
      <c r="F72" s="1">
        <v>1</v>
      </c>
      <c r="G72" s="1" t="s">
        <v>58</v>
      </c>
      <c r="H72" s="1" t="str">
        <f t="shared" si="6"/>
        <v xml:space="preserve">CEMPRESA='89' </v>
      </c>
      <c r="I72" s="1" t="str">
        <f t="shared" si="7"/>
        <v xml:space="preserve">AND CBALCAO='0000' </v>
      </c>
      <c r="J72" s="1" t="str">
        <f t="shared" si="8"/>
        <v xml:space="preserve">AND CNUMECTA='00008046636' </v>
      </c>
      <c r="K72" s="1" t="str">
        <f t="shared" si="9"/>
        <v xml:space="preserve">AND ZDEPOSIT='000530000777692' </v>
      </c>
      <c r="L72" s="1" t="str">
        <f t="shared" si="10"/>
        <v>WHEN CEMPRESA='89' AND CBALCAO='0000' AND CNUMECTA='00008046636' AND ZDEPOSIT='000530000777692' THEN 1</v>
      </c>
      <c r="M72" s="1" t="str">
        <f t="shared" si="11"/>
        <v>WHEN CEMPRESA='89' AND CBALCAO='0000' AND CNUMECTA='00008046636' AND ZDEPOSIT='000530000777692' THEN 'A.2.5.'</v>
      </c>
    </row>
    <row r="73" spans="2:13" x14ac:dyDescent="0.25">
      <c r="B73" s="1" t="s">
        <v>45</v>
      </c>
      <c r="C73" s="1" t="s">
        <v>46</v>
      </c>
      <c r="D73" s="1" t="s">
        <v>146</v>
      </c>
      <c r="E73" s="1" t="s">
        <v>48</v>
      </c>
      <c r="F73" s="1">
        <v>1</v>
      </c>
      <c r="G73" s="1" t="s">
        <v>60</v>
      </c>
      <c r="H73" s="1" t="str">
        <f t="shared" si="6"/>
        <v xml:space="preserve">CEMPRESA='31' </v>
      </c>
      <c r="I73" s="1" t="str">
        <f t="shared" si="7"/>
        <v xml:space="preserve">AND CBALCAO='0003' </v>
      </c>
      <c r="J73" s="1" t="str">
        <f t="shared" si="8"/>
        <v xml:space="preserve">AND CNUMECTA='20673181096' </v>
      </c>
      <c r="K73" s="1" t="str">
        <f t="shared" si="9"/>
        <v xml:space="preserve">AND ZDEPOSIT='000000000000000' </v>
      </c>
      <c r="L73" s="1" t="str">
        <f t="shared" si="10"/>
        <v>WHEN CEMPRESA='31' AND CBALCAO='0003' AND CNUMECTA='20673181096' AND ZDEPOSIT='000000000000000' THEN 1</v>
      </c>
      <c r="M73" s="1" t="str">
        <f t="shared" si="11"/>
        <v>WHEN CEMPRESA='31' AND CBALCAO='0003' AND CNUMECTA='20673181096' AND ZDEPOSIT='000000000000000' THEN 'A.3.7.'</v>
      </c>
    </row>
    <row r="74" spans="2:13" x14ac:dyDescent="0.25">
      <c r="B74" s="1" t="s">
        <v>45</v>
      </c>
      <c r="C74" s="1" t="s">
        <v>46</v>
      </c>
      <c r="D74" s="1" t="s">
        <v>147</v>
      </c>
      <c r="E74" s="1" t="s">
        <v>48</v>
      </c>
      <c r="F74" s="1">
        <v>1</v>
      </c>
      <c r="G74" s="1" t="s">
        <v>60</v>
      </c>
      <c r="H74" s="1" t="str">
        <f t="shared" si="6"/>
        <v xml:space="preserve">CEMPRESA='31' </v>
      </c>
      <c r="I74" s="1" t="str">
        <f t="shared" si="7"/>
        <v xml:space="preserve">AND CBALCAO='0003' </v>
      </c>
      <c r="J74" s="1" t="str">
        <f t="shared" si="8"/>
        <v xml:space="preserve">AND CNUMECTA='20625363096' </v>
      </c>
      <c r="K74" s="1" t="str">
        <f t="shared" si="9"/>
        <v xml:space="preserve">AND ZDEPOSIT='000000000000000' </v>
      </c>
      <c r="L74" s="1" t="str">
        <f t="shared" si="10"/>
        <v>WHEN CEMPRESA='31' AND CBALCAO='0003' AND CNUMECTA='20625363096' AND ZDEPOSIT='000000000000000' THEN 1</v>
      </c>
      <c r="M74" s="1" t="str">
        <f t="shared" si="11"/>
        <v>WHEN CEMPRESA='31' AND CBALCAO='0003' AND CNUMECTA='20625363096' AND ZDEPOSIT='000000000000000' THEN 'A.3.7.'</v>
      </c>
    </row>
    <row r="75" spans="2:13" x14ac:dyDescent="0.25">
      <c r="B75" s="1" t="s">
        <v>45</v>
      </c>
      <c r="C75" s="1" t="s">
        <v>114</v>
      </c>
      <c r="D75" s="1" t="s">
        <v>115</v>
      </c>
      <c r="E75" s="1" t="s">
        <v>148</v>
      </c>
      <c r="F75" s="1">
        <v>1</v>
      </c>
      <c r="G75" s="1" t="s">
        <v>117</v>
      </c>
      <c r="H75" s="1" t="str">
        <f t="shared" si="6"/>
        <v xml:space="preserve">CEMPRESA='31' </v>
      </c>
      <c r="I75" s="1" t="str">
        <f t="shared" si="7"/>
        <v xml:space="preserve">AND CBALCAO='6416' </v>
      </c>
      <c r="J75" s="1" t="str">
        <f t="shared" si="8"/>
        <v xml:space="preserve">AND CNUMECTA='00000001085' </v>
      </c>
      <c r="K75" s="1" t="str">
        <f t="shared" si="9"/>
        <v xml:space="preserve">AND ZDEPOSIT='PC0644306000000' </v>
      </c>
      <c r="L75" s="1" t="str">
        <f t="shared" si="10"/>
        <v>WHEN CEMPRESA='31' AND CBALCAO='6416' AND CNUMECTA='00000001085' AND ZDEPOSIT='PC0644306000000' THEN 1</v>
      </c>
      <c r="M75" s="1" t="str">
        <f t="shared" si="11"/>
        <v>WHEN CEMPRESA='31' AND CBALCAO='6416' AND CNUMECTA='00000001085' AND ZDEPOSIT='PC0644306000000' THEN 'Sustainability Linked Finance - Default'</v>
      </c>
    </row>
    <row r="76" spans="2:13" x14ac:dyDescent="0.25">
      <c r="B76" s="1" t="s">
        <v>54</v>
      </c>
      <c r="C76" s="1" t="s">
        <v>55</v>
      </c>
      <c r="D76" s="1" t="s">
        <v>149</v>
      </c>
      <c r="E76" s="1" t="s">
        <v>150</v>
      </c>
      <c r="F76" s="1">
        <v>1</v>
      </c>
      <c r="G76" s="1" t="s">
        <v>58</v>
      </c>
      <c r="H76" s="1" t="str">
        <f t="shared" si="6"/>
        <v xml:space="preserve">CEMPRESA='89' </v>
      </c>
      <c r="I76" s="1" t="str">
        <f t="shared" si="7"/>
        <v xml:space="preserve">AND CBALCAO='0000' </v>
      </c>
      <c r="J76" s="1" t="str">
        <f t="shared" si="8"/>
        <v xml:space="preserve">AND CNUMECTA='00008046478' </v>
      </c>
      <c r="K76" s="1" t="str">
        <f t="shared" si="9"/>
        <v xml:space="preserve">AND ZDEPOSIT='000530000772334' </v>
      </c>
      <c r="L76" s="1" t="str">
        <f t="shared" si="10"/>
        <v>WHEN CEMPRESA='89' AND CBALCAO='0000' AND CNUMECTA='00008046478' AND ZDEPOSIT='000530000772334' THEN 1</v>
      </c>
      <c r="M76" s="1" t="str">
        <f t="shared" si="11"/>
        <v>WHEN CEMPRESA='89' AND CBALCAO='0000' AND CNUMECTA='00008046478' AND ZDEPOSIT='000530000772334' THEN 'A.2.5.'</v>
      </c>
    </row>
    <row r="77" spans="2:13" x14ac:dyDescent="0.25">
      <c r="B77" s="1" t="s">
        <v>45</v>
      </c>
      <c r="C77" s="1" t="s">
        <v>46</v>
      </c>
      <c r="D77" s="1" t="s">
        <v>151</v>
      </c>
      <c r="E77" s="1" t="s">
        <v>48</v>
      </c>
      <c r="F77" s="1">
        <v>1</v>
      </c>
      <c r="G77" s="1" t="s">
        <v>60</v>
      </c>
      <c r="H77" s="1" t="str">
        <f t="shared" si="6"/>
        <v xml:space="preserve">CEMPRESA='31' </v>
      </c>
      <c r="I77" s="1" t="str">
        <f t="shared" si="7"/>
        <v xml:space="preserve">AND CBALCAO='0003' </v>
      </c>
      <c r="J77" s="1" t="str">
        <f t="shared" si="8"/>
        <v xml:space="preserve">AND CNUMECTA='20646377096' </v>
      </c>
      <c r="K77" s="1" t="str">
        <f t="shared" si="9"/>
        <v xml:space="preserve">AND ZDEPOSIT='000000000000000' </v>
      </c>
      <c r="L77" s="1" t="str">
        <f t="shared" si="10"/>
        <v>WHEN CEMPRESA='31' AND CBALCAO='0003' AND CNUMECTA='20646377096' AND ZDEPOSIT='000000000000000' THEN 1</v>
      </c>
      <c r="M77" s="1" t="str">
        <f t="shared" si="11"/>
        <v>WHEN CEMPRESA='31' AND CBALCAO='0003' AND CNUMECTA='20646377096' AND ZDEPOSIT='000000000000000' THEN 'A.3.7.'</v>
      </c>
    </row>
    <row r="78" spans="2:13" x14ac:dyDescent="0.25">
      <c r="B78" s="1" t="s">
        <v>45</v>
      </c>
      <c r="C78" s="1" t="s">
        <v>46</v>
      </c>
      <c r="D78" s="1" t="s">
        <v>152</v>
      </c>
      <c r="E78" s="1" t="s">
        <v>48</v>
      </c>
      <c r="F78" s="1">
        <v>1</v>
      </c>
      <c r="G78" s="1" t="s">
        <v>60</v>
      </c>
      <c r="H78" s="1" t="str">
        <f t="shared" si="6"/>
        <v xml:space="preserve">CEMPRESA='31' </v>
      </c>
      <c r="I78" s="1" t="str">
        <f t="shared" si="7"/>
        <v xml:space="preserve">AND CBALCAO='0003' </v>
      </c>
      <c r="J78" s="1" t="str">
        <f t="shared" si="8"/>
        <v xml:space="preserve">AND CNUMECTA='20508072096' </v>
      </c>
      <c r="K78" s="1" t="str">
        <f t="shared" si="9"/>
        <v xml:space="preserve">AND ZDEPOSIT='000000000000000' </v>
      </c>
      <c r="L78" s="1" t="str">
        <f t="shared" si="10"/>
        <v>WHEN CEMPRESA='31' AND CBALCAO='0003' AND CNUMECTA='20508072096' AND ZDEPOSIT='000000000000000' THEN 1</v>
      </c>
      <c r="M78" s="1" t="str">
        <f t="shared" si="11"/>
        <v>WHEN CEMPRESA='31' AND CBALCAO='0003' AND CNUMECTA='20508072096' AND ZDEPOSIT='000000000000000' THEN 'A.3.7.'</v>
      </c>
    </row>
    <row r="79" spans="2:13" x14ac:dyDescent="0.25">
      <c r="B79" s="1" t="s">
        <v>45</v>
      </c>
      <c r="C79" s="1" t="s">
        <v>114</v>
      </c>
      <c r="D79" s="1" t="s">
        <v>115</v>
      </c>
      <c r="E79" s="1" t="s">
        <v>153</v>
      </c>
      <c r="F79" s="1">
        <v>1</v>
      </c>
      <c r="G79" s="1" t="s">
        <v>117</v>
      </c>
      <c r="H79" s="1" t="str">
        <f t="shared" si="6"/>
        <v xml:space="preserve">CEMPRESA='31' </v>
      </c>
      <c r="I79" s="1" t="str">
        <f t="shared" si="7"/>
        <v xml:space="preserve">AND CBALCAO='6416' </v>
      </c>
      <c r="J79" s="1" t="str">
        <f t="shared" si="8"/>
        <v xml:space="preserve">AND CNUMECTA='00000001085' </v>
      </c>
      <c r="K79" s="1" t="str">
        <f t="shared" si="9"/>
        <v xml:space="preserve">AND ZDEPOSIT='000008005551652' </v>
      </c>
      <c r="L79" s="1" t="str">
        <f t="shared" si="10"/>
        <v>WHEN CEMPRESA='31' AND CBALCAO='6416' AND CNUMECTA='00000001085' AND ZDEPOSIT='000008005551652' THEN 1</v>
      </c>
      <c r="M79" s="1" t="str">
        <f t="shared" si="11"/>
        <v>WHEN CEMPRESA='31' AND CBALCAO='6416' AND CNUMECTA='00000001085' AND ZDEPOSIT='000008005551652' THEN 'Sustainability Linked Finance - Default'</v>
      </c>
    </row>
    <row r="80" spans="2:13" x14ac:dyDescent="0.25">
      <c r="B80" s="1" t="s">
        <v>54</v>
      </c>
      <c r="C80" s="1" t="s">
        <v>55</v>
      </c>
      <c r="D80" s="1" t="s">
        <v>154</v>
      </c>
      <c r="E80" s="1" t="s">
        <v>155</v>
      </c>
      <c r="F80" s="1">
        <v>1</v>
      </c>
      <c r="G80" s="1" t="s">
        <v>58</v>
      </c>
      <c r="H80" s="1" t="str">
        <f t="shared" si="6"/>
        <v xml:space="preserve">CEMPRESA='89' </v>
      </c>
      <c r="I80" s="1" t="str">
        <f t="shared" si="7"/>
        <v xml:space="preserve">AND CBALCAO='0000' </v>
      </c>
      <c r="J80" s="1" t="str">
        <f t="shared" si="8"/>
        <v xml:space="preserve">AND CNUMECTA='00000250397' </v>
      </c>
      <c r="K80" s="1" t="str">
        <f t="shared" si="9"/>
        <v xml:space="preserve">AND ZDEPOSIT='000450000479263' </v>
      </c>
      <c r="L80" s="1" t="str">
        <f t="shared" si="10"/>
        <v>WHEN CEMPRESA='89' AND CBALCAO='0000' AND CNUMECTA='00000250397' AND ZDEPOSIT='000450000479263' THEN 1</v>
      </c>
      <c r="M80" s="1" t="str">
        <f t="shared" si="11"/>
        <v>WHEN CEMPRESA='89' AND CBALCAO='0000' AND CNUMECTA='00000250397' AND ZDEPOSIT='000450000479263' THEN 'A.2.5.'</v>
      </c>
    </row>
    <row r="81" spans="2:13" x14ac:dyDescent="0.25">
      <c r="B81" s="1" t="s">
        <v>45</v>
      </c>
      <c r="C81" s="1" t="s">
        <v>46</v>
      </c>
      <c r="D81" s="1" t="s">
        <v>156</v>
      </c>
      <c r="E81" s="1" t="s">
        <v>48</v>
      </c>
      <c r="F81" s="1">
        <v>1</v>
      </c>
      <c r="G81" s="1" t="s">
        <v>60</v>
      </c>
      <c r="H81" s="1" t="str">
        <f t="shared" si="6"/>
        <v xml:space="preserve">CEMPRESA='31' </v>
      </c>
      <c r="I81" s="1" t="str">
        <f t="shared" si="7"/>
        <v xml:space="preserve">AND CBALCAO='0003' </v>
      </c>
      <c r="J81" s="1" t="str">
        <f t="shared" si="8"/>
        <v xml:space="preserve">AND CNUMECTA='20653910096' </v>
      </c>
      <c r="K81" s="1" t="str">
        <f t="shared" si="9"/>
        <v xml:space="preserve">AND ZDEPOSIT='000000000000000' </v>
      </c>
      <c r="L81" s="1" t="str">
        <f t="shared" si="10"/>
        <v>WHEN CEMPRESA='31' AND CBALCAO='0003' AND CNUMECTA='20653910096' AND ZDEPOSIT='000000000000000' THEN 1</v>
      </c>
      <c r="M81" s="1" t="str">
        <f t="shared" si="11"/>
        <v>WHEN CEMPRESA='31' AND CBALCAO='0003' AND CNUMECTA='20653910096' AND ZDEPOSIT='000000000000000' THEN 'A.3.7.'</v>
      </c>
    </row>
    <row r="82" spans="2:13" x14ac:dyDescent="0.25">
      <c r="B82" s="1" t="s">
        <v>45</v>
      </c>
      <c r="C82" s="1" t="s">
        <v>46</v>
      </c>
      <c r="D82" s="1" t="s">
        <v>157</v>
      </c>
      <c r="E82" s="1" t="s">
        <v>48</v>
      </c>
      <c r="F82" s="1">
        <v>1</v>
      </c>
      <c r="G82" s="1" t="s">
        <v>60</v>
      </c>
      <c r="H82" s="1" t="str">
        <f t="shared" si="6"/>
        <v xml:space="preserve">CEMPRESA='31' </v>
      </c>
      <c r="I82" s="1" t="str">
        <f t="shared" si="7"/>
        <v xml:space="preserve">AND CBALCAO='0003' </v>
      </c>
      <c r="J82" s="1" t="str">
        <f t="shared" si="8"/>
        <v xml:space="preserve">AND CNUMECTA='20515069096' </v>
      </c>
      <c r="K82" s="1" t="str">
        <f t="shared" si="9"/>
        <v xml:space="preserve">AND ZDEPOSIT='000000000000000' </v>
      </c>
      <c r="L82" s="1" t="str">
        <f t="shared" si="10"/>
        <v>WHEN CEMPRESA='31' AND CBALCAO='0003' AND CNUMECTA='20515069096' AND ZDEPOSIT='000000000000000' THEN 1</v>
      </c>
      <c r="M82" s="1" t="str">
        <f t="shared" si="11"/>
        <v>WHEN CEMPRESA='31' AND CBALCAO='0003' AND CNUMECTA='20515069096' AND ZDEPOSIT='000000000000000' THEN 'A.3.7.'</v>
      </c>
    </row>
    <row r="83" spans="2:13" x14ac:dyDescent="0.25">
      <c r="B83" s="1" t="s">
        <v>45</v>
      </c>
      <c r="C83" s="1" t="s">
        <v>46</v>
      </c>
      <c r="D83" s="1" t="s">
        <v>158</v>
      </c>
      <c r="E83" s="1" t="s">
        <v>48</v>
      </c>
      <c r="F83" s="1">
        <v>1</v>
      </c>
      <c r="G83" s="1" t="s">
        <v>60</v>
      </c>
      <c r="H83" s="1" t="str">
        <f t="shared" si="6"/>
        <v xml:space="preserve">CEMPRESA='31' </v>
      </c>
      <c r="I83" s="1" t="str">
        <f t="shared" si="7"/>
        <v xml:space="preserve">AND CBALCAO='0003' </v>
      </c>
      <c r="J83" s="1" t="str">
        <f t="shared" si="8"/>
        <v xml:space="preserve">AND CNUMECTA='20547187096' </v>
      </c>
      <c r="K83" s="1" t="str">
        <f t="shared" si="9"/>
        <v xml:space="preserve">AND ZDEPOSIT='000000000000000' </v>
      </c>
      <c r="L83" s="1" t="str">
        <f t="shared" si="10"/>
        <v>WHEN CEMPRESA='31' AND CBALCAO='0003' AND CNUMECTA='20547187096' AND ZDEPOSIT='000000000000000' THEN 1</v>
      </c>
      <c r="M83" s="1" t="str">
        <f t="shared" si="11"/>
        <v>WHEN CEMPRESA='31' AND CBALCAO='0003' AND CNUMECTA='20547187096' AND ZDEPOSIT='000000000000000' THEN 'A.3.7.'</v>
      </c>
    </row>
    <row r="84" spans="2:13" x14ac:dyDescent="0.25">
      <c r="B84" s="1" t="s">
        <v>54</v>
      </c>
      <c r="C84" s="1" t="s">
        <v>55</v>
      </c>
      <c r="D84" s="1" t="s">
        <v>159</v>
      </c>
      <c r="E84" s="1" t="s">
        <v>160</v>
      </c>
      <c r="F84" s="1">
        <v>1</v>
      </c>
      <c r="G84" s="1" t="s">
        <v>58</v>
      </c>
      <c r="H84" s="1" t="str">
        <f t="shared" si="6"/>
        <v xml:space="preserve">CEMPRESA='89' </v>
      </c>
      <c r="I84" s="1" t="str">
        <f t="shared" si="7"/>
        <v xml:space="preserve">AND CBALCAO='0000' </v>
      </c>
      <c r="J84" s="1" t="str">
        <f t="shared" si="8"/>
        <v xml:space="preserve">AND CNUMECTA='00000250120' </v>
      </c>
      <c r="K84" s="1" t="str">
        <f t="shared" si="9"/>
        <v xml:space="preserve">AND ZDEPOSIT='000450000777369' </v>
      </c>
      <c r="L84" s="1" t="str">
        <f t="shared" si="10"/>
        <v>WHEN CEMPRESA='89' AND CBALCAO='0000' AND CNUMECTA='00000250120' AND ZDEPOSIT='000450000777369' THEN 1</v>
      </c>
      <c r="M84" s="1" t="str">
        <f t="shared" si="11"/>
        <v>WHEN CEMPRESA='89' AND CBALCAO='0000' AND CNUMECTA='00000250120' AND ZDEPOSIT='000450000777369' THEN 'A.2.5.'</v>
      </c>
    </row>
    <row r="85" spans="2:13" x14ac:dyDescent="0.25">
      <c r="B85" s="1" t="s">
        <v>45</v>
      </c>
      <c r="C85" s="1" t="s">
        <v>46</v>
      </c>
      <c r="D85" s="1" t="s">
        <v>161</v>
      </c>
      <c r="E85" s="1" t="s">
        <v>48</v>
      </c>
      <c r="F85" s="1">
        <v>1</v>
      </c>
      <c r="G85" s="1" t="s">
        <v>51</v>
      </c>
      <c r="H85" s="1" t="str">
        <f t="shared" si="6"/>
        <v xml:space="preserve">CEMPRESA='31' </v>
      </c>
      <c r="I85" s="1" t="str">
        <f t="shared" si="7"/>
        <v xml:space="preserve">AND CBALCAO='0003' </v>
      </c>
      <c r="J85" s="1" t="str">
        <f t="shared" si="8"/>
        <v xml:space="preserve">AND CNUMECTA='20406558096' </v>
      </c>
      <c r="K85" s="1" t="str">
        <f t="shared" si="9"/>
        <v xml:space="preserve">AND ZDEPOSIT='000000000000000' </v>
      </c>
      <c r="L85" s="1" t="str">
        <f t="shared" si="10"/>
        <v>WHEN CEMPRESA='31' AND CBALCAO='0003' AND CNUMECTA='20406558096' AND ZDEPOSIT='000000000000000' THEN 1</v>
      </c>
      <c r="M85" s="1" t="str">
        <f t="shared" si="11"/>
        <v>WHEN CEMPRESA='31' AND CBALCAO='0003' AND CNUMECTA='20406558096' AND ZDEPOSIT='000000000000000' THEN 'B.1.'</v>
      </c>
    </row>
    <row r="86" spans="2:13" x14ac:dyDescent="0.25">
      <c r="B86" s="1" t="s">
        <v>45</v>
      </c>
      <c r="C86" s="1" t="s">
        <v>46</v>
      </c>
      <c r="D86" s="1" t="s">
        <v>162</v>
      </c>
      <c r="E86" s="1" t="s">
        <v>48</v>
      </c>
      <c r="F86" s="1">
        <v>1</v>
      </c>
      <c r="G86" s="1" t="s">
        <v>60</v>
      </c>
      <c r="H86" s="1" t="str">
        <f t="shared" si="6"/>
        <v xml:space="preserve">CEMPRESA='31' </v>
      </c>
      <c r="I86" s="1" t="str">
        <f t="shared" si="7"/>
        <v xml:space="preserve">AND CBALCAO='0003' </v>
      </c>
      <c r="J86" s="1" t="str">
        <f t="shared" si="8"/>
        <v xml:space="preserve">AND CNUMECTA='20416052096' </v>
      </c>
      <c r="K86" s="1" t="str">
        <f t="shared" si="9"/>
        <v xml:space="preserve">AND ZDEPOSIT='000000000000000' </v>
      </c>
      <c r="L86" s="1" t="str">
        <f t="shared" si="10"/>
        <v>WHEN CEMPRESA='31' AND CBALCAO='0003' AND CNUMECTA='20416052096' AND ZDEPOSIT='000000000000000' THEN 1</v>
      </c>
      <c r="M86" s="1" t="str">
        <f t="shared" si="11"/>
        <v>WHEN CEMPRESA='31' AND CBALCAO='0003' AND CNUMECTA='20416052096' AND ZDEPOSIT='000000000000000' THEN 'A.3.7.'</v>
      </c>
    </row>
    <row r="87" spans="2:13" x14ac:dyDescent="0.25">
      <c r="B87" s="1" t="s">
        <v>45</v>
      </c>
      <c r="C87" s="1" t="s">
        <v>46</v>
      </c>
      <c r="D87" s="1" t="s">
        <v>163</v>
      </c>
      <c r="E87" s="1" t="s">
        <v>48</v>
      </c>
      <c r="F87" s="1">
        <v>1</v>
      </c>
      <c r="G87" s="1" t="s">
        <v>60</v>
      </c>
      <c r="H87" s="1" t="str">
        <f t="shared" si="6"/>
        <v xml:space="preserve">CEMPRESA='31' </v>
      </c>
      <c r="I87" s="1" t="str">
        <f t="shared" si="7"/>
        <v xml:space="preserve">AND CBALCAO='0003' </v>
      </c>
      <c r="J87" s="1" t="str">
        <f t="shared" si="8"/>
        <v xml:space="preserve">AND CNUMECTA='20710355096' </v>
      </c>
      <c r="K87" s="1" t="str">
        <f t="shared" si="9"/>
        <v xml:space="preserve">AND ZDEPOSIT='000000000000000' </v>
      </c>
      <c r="L87" s="1" t="str">
        <f t="shared" si="10"/>
        <v>WHEN CEMPRESA='31' AND CBALCAO='0003' AND CNUMECTA='20710355096' AND ZDEPOSIT='000000000000000' THEN 1</v>
      </c>
      <c r="M87" s="1" t="str">
        <f t="shared" si="11"/>
        <v>WHEN CEMPRESA='31' AND CBALCAO='0003' AND CNUMECTA='20710355096' AND ZDEPOSIT='000000000000000' THEN 'A.3.7.'</v>
      </c>
    </row>
    <row r="88" spans="2:13" x14ac:dyDescent="0.25">
      <c r="B88" s="1" t="s">
        <v>45</v>
      </c>
      <c r="C88" s="1" t="s">
        <v>46</v>
      </c>
      <c r="D88" s="1" t="s">
        <v>164</v>
      </c>
      <c r="E88" s="1" t="s">
        <v>48</v>
      </c>
      <c r="F88" s="1">
        <v>1</v>
      </c>
      <c r="G88" s="1" t="s">
        <v>60</v>
      </c>
      <c r="H88" s="1" t="str">
        <f t="shared" si="6"/>
        <v xml:space="preserve">CEMPRESA='31' </v>
      </c>
      <c r="I88" s="1" t="str">
        <f t="shared" si="7"/>
        <v xml:space="preserve">AND CBALCAO='0003' </v>
      </c>
      <c r="J88" s="1" t="str">
        <f t="shared" si="8"/>
        <v xml:space="preserve">AND CNUMECTA='20730510096' </v>
      </c>
      <c r="K88" s="1" t="str">
        <f t="shared" si="9"/>
        <v xml:space="preserve">AND ZDEPOSIT='000000000000000' </v>
      </c>
      <c r="L88" s="1" t="str">
        <f t="shared" si="10"/>
        <v>WHEN CEMPRESA='31' AND CBALCAO='0003' AND CNUMECTA='20730510096' AND ZDEPOSIT='000000000000000' THEN 1</v>
      </c>
      <c r="M88" s="1" t="str">
        <f t="shared" si="11"/>
        <v>WHEN CEMPRESA='31' AND CBALCAO='0003' AND CNUMECTA='20730510096' AND ZDEPOSIT='000000000000000' THEN 'A.3.7.'</v>
      </c>
    </row>
    <row r="89" spans="2:13" x14ac:dyDescent="0.25">
      <c r="B89" s="1" t="s">
        <v>54</v>
      </c>
      <c r="C89" s="1" t="s">
        <v>55</v>
      </c>
      <c r="D89" s="1" t="s">
        <v>165</v>
      </c>
      <c r="E89" s="1" t="s">
        <v>166</v>
      </c>
      <c r="F89" s="1">
        <v>1</v>
      </c>
      <c r="G89" s="1" t="s">
        <v>58</v>
      </c>
      <c r="H89" s="1" t="str">
        <f t="shared" si="6"/>
        <v xml:space="preserve">CEMPRESA='89' </v>
      </c>
      <c r="I89" s="1" t="str">
        <f t="shared" si="7"/>
        <v xml:space="preserve">AND CBALCAO='0000' </v>
      </c>
      <c r="J89" s="1" t="str">
        <f t="shared" si="8"/>
        <v xml:space="preserve">AND CNUMECTA='00000250009' </v>
      </c>
      <c r="K89" s="1" t="str">
        <f t="shared" si="9"/>
        <v xml:space="preserve">AND ZDEPOSIT='000450000697368' </v>
      </c>
      <c r="L89" s="1" t="str">
        <f t="shared" si="10"/>
        <v>WHEN CEMPRESA='89' AND CBALCAO='0000' AND CNUMECTA='00000250009' AND ZDEPOSIT='000450000697368' THEN 1</v>
      </c>
      <c r="M89" s="1" t="str">
        <f t="shared" si="11"/>
        <v>WHEN CEMPRESA='89' AND CBALCAO='0000' AND CNUMECTA='00000250009' AND ZDEPOSIT='000450000697368' THEN 'A.2.5.'</v>
      </c>
    </row>
    <row r="90" spans="2:13" x14ac:dyDescent="0.25">
      <c r="B90" s="1" t="s">
        <v>45</v>
      </c>
      <c r="C90" s="1" t="s">
        <v>46</v>
      </c>
      <c r="D90" s="1" t="s">
        <v>167</v>
      </c>
      <c r="E90" s="1" t="s">
        <v>48</v>
      </c>
      <c r="F90" s="1">
        <v>1</v>
      </c>
      <c r="G90" s="1" t="s">
        <v>60</v>
      </c>
      <c r="H90" s="1" t="str">
        <f t="shared" si="6"/>
        <v xml:space="preserve">CEMPRESA='31' </v>
      </c>
      <c r="I90" s="1" t="str">
        <f t="shared" si="7"/>
        <v xml:space="preserve">AND CBALCAO='0003' </v>
      </c>
      <c r="J90" s="1" t="str">
        <f t="shared" si="8"/>
        <v xml:space="preserve">AND CNUMECTA='20504634096' </v>
      </c>
      <c r="K90" s="1" t="str">
        <f t="shared" si="9"/>
        <v xml:space="preserve">AND ZDEPOSIT='000000000000000' </v>
      </c>
      <c r="L90" s="1" t="str">
        <f t="shared" si="10"/>
        <v>WHEN CEMPRESA='31' AND CBALCAO='0003' AND CNUMECTA='20504634096' AND ZDEPOSIT='000000000000000' THEN 1</v>
      </c>
      <c r="M90" s="1" t="str">
        <f t="shared" si="11"/>
        <v>WHEN CEMPRESA='31' AND CBALCAO='0003' AND CNUMECTA='20504634096' AND ZDEPOSIT='000000000000000' THEN 'A.3.7.'</v>
      </c>
    </row>
    <row r="91" spans="2:13" x14ac:dyDescent="0.25">
      <c r="B91" s="1" t="s">
        <v>54</v>
      </c>
      <c r="C91" s="1" t="s">
        <v>55</v>
      </c>
      <c r="D91" s="1" t="s">
        <v>168</v>
      </c>
      <c r="E91" s="1" t="s">
        <v>169</v>
      </c>
      <c r="F91" s="1">
        <v>1</v>
      </c>
      <c r="G91" s="1" t="s">
        <v>58</v>
      </c>
      <c r="H91" s="1" t="str">
        <f t="shared" si="6"/>
        <v xml:space="preserve">CEMPRESA='89' </v>
      </c>
      <c r="I91" s="1" t="str">
        <f t="shared" si="7"/>
        <v xml:space="preserve">AND CBALCAO='0000' </v>
      </c>
      <c r="J91" s="1" t="str">
        <f t="shared" si="8"/>
        <v xml:space="preserve">AND CNUMECTA='00000249945' </v>
      </c>
      <c r="K91" s="1" t="str">
        <f t="shared" si="9"/>
        <v xml:space="preserve">AND ZDEPOSIT='000450000776779' </v>
      </c>
      <c r="L91" s="1" t="str">
        <f t="shared" si="10"/>
        <v>WHEN CEMPRESA='89' AND CBALCAO='0000' AND CNUMECTA='00000249945' AND ZDEPOSIT='000450000776779' THEN 1</v>
      </c>
      <c r="M91" s="1" t="str">
        <f t="shared" si="11"/>
        <v>WHEN CEMPRESA='89' AND CBALCAO='0000' AND CNUMECTA='00000249945' AND ZDEPOSIT='000450000776779' THEN 'A.2.5.'</v>
      </c>
    </row>
    <row r="92" spans="2:13" x14ac:dyDescent="0.25">
      <c r="B92" s="1" t="s">
        <v>54</v>
      </c>
      <c r="C92" s="1" t="s">
        <v>55</v>
      </c>
      <c r="D92" s="1" t="s">
        <v>170</v>
      </c>
      <c r="E92" s="1" t="s">
        <v>171</v>
      </c>
      <c r="F92" s="1">
        <v>1</v>
      </c>
      <c r="G92" s="1" t="s">
        <v>58</v>
      </c>
      <c r="H92" s="1" t="str">
        <f t="shared" si="6"/>
        <v xml:space="preserve">CEMPRESA='89' </v>
      </c>
      <c r="I92" s="1" t="str">
        <f t="shared" si="7"/>
        <v xml:space="preserve">AND CBALCAO='0000' </v>
      </c>
      <c r="J92" s="1" t="str">
        <f t="shared" si="8"/>
        <v xml:space="preserve">AND CNUMECTA='00000249925' </v>
      </c>
      <c r="K92" s="1" t="str">
        <f t="shared" si="9"/>
        <v xml:space="preserve">AND ZDEPOSIT='000450000730426' </v>
      </c>
      <c r="L92" s="1" t="str">
        <f t="shared" si="10"/>
        <v>WHEN CEMPRESA='89' AND CBALCAO='0000' AND CNUMECTA='00000249925' AND ZDEPOSIT='000450000730426' THEN 1</v>
      </c>
      <c r="M92" s="1" t="str">
        <f t="shared" si="11"/>
        <v>WHEN CEMPRESA='89' AND CBALCAO='0000' AND CNUMECTA='00000249925' AND ZDEPOSIT='000450000730426' THEN 'A.2.5.'</v>
      </c>
    </row>
    <row r="93" spans="2:13" x14ac:dyDescent="0.25">
      <c r="B93" s="1" t="s">
        <v>45</v>
      </c>
      <c r="C93" s="1" t="s">
        <v>46</v>
      </c>
      <c r="D93" s="1" t="s">
        <v>172</v>
      </c>
      <c r="E93" s="1" t="s">
        <v>48</v>
      </c>
      <c r="F93" s="1">
        <v>1</v>
      </c>
      <c r="G93" s="1" t="s">
        <v>60</v>
      </c>
      <c r="H93" s="1" t="str">
        <f t="shared" si="6"/>
        <v xml:space="preserve">CEMPRESA='31' </v>
      </c>
      <c r="I93" s="1" t="str">
        <f t="shared" si="7"/>
        <v xml:space="preserve">AND CBALCAO='0003' </v>
      </c>
      <c r="J93" s="1" t="str">
        <f t="shared" si="8"/>
        <v xml:space="preserve">AND CNUMECTA='20487145096' </v>
      </c>
      <c r="K93" s="1" t="str">
        <f t="shared" si="9"/>
        <v xml:space="preserve">AND ZDEPOSIT='000000000000000' </v>
      </c>
      <c r="L93" s="1" t="str">
        <f t="shared" si="10"/>
        <v>WHEN CEMPRESA='31' AND CBALCAO='0003' AND CNUMECTA='20487145096' AND ZDEPOSIT='000000000000000' THEN 1</v>
      </c>
      <c r="M93" s="1" t="str">
        <f t="shared" si="11"/>
        <v>WHEN CEMPRESA='31' AND CBALCAO='0003' AND CNUMECTA='20487145096' AND ZDEPOSIT='000000000000000' THEN 'A.3.7.'</v>
      </c>
    </row>
    <row r="94" spans="2:13" x14ac:dyDescent="0.25">
      <c r="B94" s="1" t="s">
        <v>45</v>
      </c>
      <c r="C94" s="1" t="s">
        <v>46</v>
      </c>
      <c r="D94" s="1" t="s">
        <v>173</v>
      </c>
      <c r="E94" s="1" t="s">
        <v>48</v>
      </c>
      <c r="F94" s="1">
        <v>1</v>
      </c>
      <c r="G94" s="1" t="s">
        <v>60</v>
      </c>
      <c r="H94" s="1" t="str">
        <f t="shared" si="6"/>
        <v xml:space="preserve">CEMPRESA='31' </v>
      </c>
      <c r="I94" s="1" t="str">
        <f t="shared" si="7"/>
        <v xml:space="preserve">AND CBALCAO='0003' </v>
      </c>
      <c r="J94" s="1" t="str">
        <f t="shared" si="8"/>
        <v xml:space="preserve">AND CNUMECTA='20668488096' </v>
      </c>
      <c r="K94" s="1" t="str">
        <f t="shared" si="9"/>
        <v xml:space="preserve">AND ZDEPOSIT='000000000000000' </v>
      </c>
      <c r="L94" s="1" t="str">
        <f t="shared" si="10"/>
        <v>WHEN CEMPRESA='31' AND CBALCAO='0003' AND CNUMECTA='20668488096' AND ZDEPOSIT='000000000000000' THEN 1</v>
      </c>
      <c r="M94" s="1" t="str">
        <f t="shared" si="11"/>
        <v>WHEN CEMPRESA='31' AND CBALCAO='0003' AND CNUMECTA='20668488096' AND ZDEPOSIT='000000000000000' THEN 'A.3.7.'</v>
      </c>
    </row>
    <row r="95" spans="2:13" x14ac:dyDescent="0.25">
      <c r="B95" s="1" t="s">
        <v>45</v>
      </c>
      <c r="C95" s="1" t="s">
        <v>46</v>
      </c>
      <c r="D95" s="1" t="s">
        <v>174</v>
      </c>
      <c r="E95" s="1" t="s">
        <v>48</v>
      </c>
      <c r="F95" s="1">
        <v>1</v>
      </c>
      <c r="G95" s="1" t="s">
        <v>60</v>
      </c>
      <c r="H95" s="1" t="str">
        <f t="shared" si="6"/>
        <v xml:space="preserve">CEMPRESA='31' </v>
      </c>
      <c r="I95" s="1" t="str">
        <f t="shared" si="7"/>
        <v xml:space="preserve">AND CBALCAO='0003' </v>
      </c>
      <c r="J95" s="1" t="str">
        <f t="shared" si="8"/>
        <v xml:space="preserve">AND CNUMECTA='20451745096' </v>
      </c>
      <c r="K95" s="1" t="str">
        <f t="shared" si="9"/>
        <v xml:space="preserve">AND ZDEPOSIT='000000000000000' </v>
      </c>
      <c r="L95" s="1" t="str">
        <f t="shared" si="10"/>
        <v>WHEN CEMPRESA='31' AND CBALCAO='0003' AND CNUMECTA='20451745096' AND ZDEPOSIT='000000000000000' THEN 1</v>
      </c>
      <c r="M95" s="1" t="str">
        <f t="shared" si="11"/>
        <v>WHEN CEMPRESA='31' AND CBALCAO='0003' AND CNUMECTA='20451745096' AND ZDEPOSIT='000000000000000' THEN 'A.3.7.'</v>
      </c>
    </row>
    <row r="96" spans="2:13" x14ac:dyDescent="0.25">
      <c r="B96" s="1" t="s">
        <v>45</v>
      </c>
      <c r="C96" s="1" t="s">
        <v>46</v>
      </c>
      <c r="D96" s="1" t="s">
        <v>175</v>
      </c>
      <c r="E96" s="1" t="s">
        <v>48</v>
      </c>
      <c r="F96" s="1">
        <v>1</v>
      </c>
      <c r="G96" s="1" t="s">
        <v>60</v>
      </c>
      <c r="H96" s="1" t="str">
        <f t="shared" si="6"/>
        <v xml:space="preserve">CEMPRESA='31' </v>
      </c>
      <c r="I96" s="1" t="str">
        <f t="shared" si="7"/>
        <v xml:space="preserve">AND CBALCAO='0003' </v>
      </c>
      <c r="J96" s="1" t="str">
        <f t="shared" si="8"/>
        <v xml:space="preserve">AND CNUMECTA='20743869096' </v>
      </c>
      <c r="K96" s="1" t="str">
        <f t="shared" si="9"/>
        <v xml:space="preserve">AND ZDEPOSIT='000000000000000' </v>
      </c>
      <c r="L96" s="1" t="str">
        <f t="shared" si="10"/>
        <v>WHEN CEMPRESA='31' AND CBALCAO='0003' AND CNUMECTA='20743869096' AND ZDEPOSIT='000000000000000' THEN 1</v>
      </c>
      <c r="M96" s="1" t="str">
        <f t="shared" si="11"/>
        <v>WHEN CEMPRESA='31' AND CBALCAO='0003' AND CNUMECTA='20743869096' AND ZDEPOSIT='000000000000000' THEN 'A.3.7.'</v>
      </c>
    </row>
    <row r="97" spans="2:13" x14ac:dyDescent="0.25">
      <c r="B97" s="1" t="s">
        <v>54</v>
      </c>
      <c r="C97" s="1" t="s">
        <v>55</v>
      </c>
      <c r="D97" s="1" t="s">
        <v>176</v>
      </c>
      <c r="E97" s="1" t="s">
        <v>177</v>
      </c>
      <c r="F97" s="1">
        <v>1</v>
      </c>
      <c r="G97" s="1" t="s">
        <v>58</v>
      </c>
      <c r="H97" s="1" t="str">
        <f t="shared" si="6"/>
        <v xml:space="preserve">CEMPRESA='89' </v>
      </c>
      <c r="I97" s="1" t="str">
        <f t="shared" si="7"/>
        <v xml:space="preserve">AND CBALCAO='0000' </v>
      </c>
      <c r="J97" s="1" t="str">
        <f t="shared" si="8"/>
        <v xml:space="preserve">AND CNUMECTA='00008046428' </v>
      </c>
      <c r="K97" s="1" t="str">
        <f t="shared" si="9"/>
        <v xml:space="preserve">AND ZDEPOSIT='000530000777397' </v>
      </c>
      <c r="L97" s="1" t="str">
        <f t="shared" si="10"/>
        <v>WHEN CEMPRESA='89' AND CBALCAO='0000' AND CNUMECTA='00008046428' AND ZDEPOSIT='000530000777397' THEN 1</v>
      </c>
      <c r="M97" s="1" t="str">
        <f t="shared" si="11"/>
        <v>WHEN CEMPRESA='89' AND CBALCAO='0000' AND CNUMECTA='00008046428' AND ZDEPOSIT='000530000777397' THEN 'A.2.5.'</v>
      </c>
    </row>
    <row r="98" spans="2:13" x14ac:dyDescent="0.25">
      <c r="B98" s="1" t="s">
        <v>54</v>
      </c>
      <c r="C98" s="1" t="s">
        <v>55</v>
      </c>
      <c r="D98" s="1" t="s">
        <v>178</v>
      </c>
      <c r="E98" s="1" t="s">
        <v>179</v>
      </c>
      <c r="F98" s="1">
        <v>1</v>
      </c>
      <c r="G98" s="1" t="s">
        <v>58</v>
      </c>
      <c r="H98" s="1" t="str">
        <f t="shared" si="6"/>
        <v xml:space="preserve">CEMPRESA='89' </v>
      </c>
      <c r="I98" s="1" t="str">
        <f t="shared" si="7"/>
        <v xml:space="preserve">AND CBALCAO='0000' </v>
      </c>
      <c r="J98" s="1" t="str">
        <f t="shared" si="8"/>
        <v xml:space="preserve">AND CNUMECTA='00000250399' </v>
      </c>
      <c r="K98" s="1" t="str">
        <f t="shared" si="9"/>
        <v xml:space="preserve">AND ZDEPOSIT='000450000703859' </v>
      </c>
      <c r="L98" s="1" t="str">
        <f t="shared" si="10"/>
        <v>WHEN CEMPRESA='89' AND CBALCAO='0000' AND CNUMECTA='00000250399' AND ZDEPOSIT='000450000703859' THEN 1</v>
      </c>
      <c r="M98" s="1" t="str">
        <f t="shared" si="11"/>
        <v>WHEN CEMPRESA='89' AND CBALCAO='0000' AND CNUMECTA='00000250399' AND ZDEPOSIT='000450000703859' THEN 'A.2.5.'</v>
      </c>
    </row>
    <row r="99" spans="2:13" x14ac:dyDescent="0.25">
      <c r="B99" s="1" t="s">
        <v>54</v>
      </c>
      <c r="C99" s="1" t="s">
        <v>55</v>
      </c>
      <c r="D99" s="1" t="s">
        <v>180</v>
      </c>
      <c r="E99" s="1" t="s">
        <v>181</v>
      </c>
      <c r="F99" s="1">
        <v>1</v>
      </c>
      <c r="G99" s="1" t="s">
        <v>58</v>
      </c>
      <c r="H99" s="1" t="str">
        <f t="shared" si="6"/>
        <v xml:space="preserve">CEMPRESA='89' </v>
      </c>
      <c r="I99" s="1" t="str">
        <f t="shared" si="7"/>
        <v xml:space="preserve">AND CBALCAO='0000' </v>
      </c>
      <c r="J99" s="1" t="str">
        <f t="shared" si="8"/>
        <v xml:space="preserve">AND CNUMECTA='00000250344' </v>
      </c>
      <c r="K99" s="1" t="str">
        <f t="shared" si="9"/>
        <v xml:space="preserve">AND ZDEPOSIT='000450000682143' </v>
      </c>
      <c r="L99" s="1" t="str">
        <f t="shared" si="10"/>
        <v>WHEN CEMPRESA='89' AND CBALCAO='0000' AND CNUMECTA='00000250344' AND ZDEPOSIT='000450000682143' THEN 1</v>
      </c>
      <c r="M99" s="1" t="str">
        <f t="shared" si="11"/>
        <v>WHEN CEMPRESA='89' AND CBALCAO='0000' AND CNUMECTA='00000250344' AND ZDEPOSIT='000450000682143' THEN 'A.2.5.'</v>
      </c>
    </row>
    <row r="100" spans="2:13" x14ac:dyDescent="0.25">
      <c r="B100" s="1" t="s">
        <v>54</v>
      </c>
      <c r="C100" s="1" t="s">
        <v>55</v>
      </c>
      <c r="D100" s="1" t="s">
        <v>182</v>
      </c>
      <c r="E100" s="1" t="s">
        <v>183</v>
      </c>
      <c r="F100" s="1">
        <v>1</v>
      </c>
      <c r="G100" s="1" t="s">
        <v>58</v>
      </c>
      <c r="H100" s="1" t="str">
        <f t="shared" si="6"/>
        <v xml:space="preserve">CEMPRESA='89' </v>
      </c>
      <c r="I100" s="1" t="str">
        <f t="shared" si="7"/>
        <v xml:space="preserve">AND CBALCAO='0000' </v>
      </c>
      <c r="J100" s="1" t="str">
        <f t="shared" si="8"/>
        <v xml:space="preserve">AND CNUMECTA='00008046655' </v>
      </c>
      <c r="K100" s="1" t="str">
        <f t="shared" si="9"/>
        <v xml:space="preserve">AND ZDEPOSIT='000530000778900' </v>
      </c>
      <c r="L100" s="1" t="str">
        <f t="shared" si="10"/>
        <v>WHEN CEMPRESA='89' AND CBALCAO='0000' AND CNUMECTA='00008046655' AND ZDEPOSIT='000530000778900' THEN 1</v>
      </c>
      <c r="M100" s="1" t="str">
        <f t="shared" si="11"/>
        <v>WHEN CEMPRESA='89' AND CBALCAO='0000' AND CNUMECTA='00008046655' AND ZDEPOSIT='000530000778900' THEN 'A.2.5.'</v>
      </c>
    </row>
    <row r="101" spans="2:13" x14ac:dyDescent="0.25">
      <c r="B101" s="1" t="s">
        <v>45</v>
      </c>
      <c r="C101" s="1" t="s">
        <v>46</v>
      </c>
      <c r="D101" s="1" t="s">
        <v>184</v>
      </c>
      <c r="E101" s="1" t="s">
        <v>48</v>
      </c>
      <c r="F101" s="1">
        <v>1</v>
      </c>
      <c r="G101" s="1" t="s">
        <v>53</v>
      </c>
      <c r="H101" s="1" t="str">
        <f t="shared" si="6"/>
        <v xml:space="preserve">CEMPRESA='31' </v>
      </c>
      <c r="I101" s="1" t="str">
        <f t="shared" si="7"/>
        <v xml:space="preserve">AND CBALCAO='0003' </v>
      </c>
      <c r="J101" s="1" t="str">
        <f t="shared" si="8"/>
        <v xml:space="preserve">AND CNUMECTA='20477088096' </v>
      </c>
      <c r="K101" s="1" t="str">
        <f t="shared" si="9"/>
        <v xml:space="preserve">AND ZDEPOSIT='000000000000000' </v>
      </c>
      <c r="L101" s="1" t="str">
        <f t="shared" si="10"/>
        <v>WHEN CEMPRESA='31' AND CBALCAO='0003' AND CNUMECTA='20477088096' AND ZDEPOSIT='000000000000000' THEN 1</v>
      </c>
      <c r="M101" s="1" t="str">
        <f t="shared" si="11"/>
        <v>WHEN CEMPRESA='31' AND CBALCAO='0003' AND CNUMECTA='20477088096' AND ZDEPOSIT='000000000000000' THEN 'A.1.1.'</v>
      </c>
    </row>
    <row r="102" spans="2:13" x14ac:dyDescent="0.25">
      <c r="B102" s="1" t="s">
        <v>54</v>
      </c>
      <c r="C102" s="1" t="s">
        <v>55</v>
      </c>
      <c r="D102" s="1" t="s">
        <v>185</v>
      </c>
      <c r="E102" s="1" t="s">
        <v>186</v>
      </c>
      <c r="F102" s="1">
        <v>1</v>
      </c>
      <c r="G102" s="1" t="s">
        <v>58</v>
      </c>
      <c r="H102" s="1" t="str">
        <f t="shared" si="6"/>
        <v xml:space="preserve">CEMPRESA='89' </v>
      </c>
      <c r="I102" s="1" t="str">
        <f t="shared" si="7"/>
        <v xml:space="preserve">AND CBALCAO='0000' </v>
      </c>
      <c r="J102" s="1" t="str">
        <f t="shared" si="8"/>
        <v xml:space="preserve">AND CNUMECTA='00008046639' </v>
      </c>
      <c r="K102" s="1" t="str">
        <f t="shared" si="9"/>
        <v xml:space="preserve">AND ZDEPOSIT='000530000778783' </v>
      </c>
      <c r="L102" s="1" t="str">
        <f t="shared" si="10"/>
        <v>WHEN CEMPRESA='89' AND CBALCAO='0000' AND CNUMECTA='00008046639' AND ZDEPOSIT='000530000778783' THEN 1</v>
      </c>
      <c r="M102" s="1" t="str">
        <f t="shared" si="11"/>
        <v>WHEN CEMPRESA='89' AND CBALCAO='0000' AND CNUMECTA='00008046639' AND ZDEPOSIT='000530000778783' THEN 'A.2.5.'</v>
      </c>
    </row>
    <row r="103" spans="2:13" x14ac:dyDescent="0.25">
      <c r="B103" s="1" t="s">
        <v>45</v>
      </c>
      <c r="C103" s="1" t="s">
        <v>187</v>
      </c>
      <c r="D103" s="1" t="s">
        <v>188</v>
      </c>
      <c r="E103" s="1" t="s">
        <v>189</v>
      </c>
      <c r="F103" s="1">
        <v>1</v>
      </c>
      <c r="G103" s="1" t="s">
        <v>190</v>
      </c>
      <c r="H103" s="1" t="str">
        <f t="shared" si="6"/>
        <v xml:space="preserve">CEMPRESA='31' </v>
      </c>
      <c r="I103" s="1" t="str">
        <f t="shared" si="7"/>
        <v xml:space="preserve">AND CBALCAO='6636' </v>
      </c>
      <c r="J103" s="1" t="str">
        <f t="shared" si="8"/>
        <v xml:space="preserve">AND CNUMECTA='00380009759' </v>
      </c>
      <c r="K103" s="1" t="str">
        <f t="shared" si="9"/>
        <v xml:space="preserve">AND ZDEPOSIT='390103800097599' </v>
      </c>
      <c r="L103" s="1" t="str">
        <f t="shared" si="10"/>
        <v>WHEN CEMPRESA='31' AND CBALCAO='6636' AND CNUMECTA='00380009759' AND ZDEPOSIT='390103800097599' THEN 1</v>
      </c>
      <c r="M103" s="1" t="str">
        <f t="shared" si="11"/>
        <v>WHEN CEMPRESA='31' AND CBALCAO='6636' AND CNUMECTA='00380009759' AND ZDEPOSIT='390103800097599' THEN 'Pure Green counterparty - Default'</v>
      </c>
    </row>
    <row r="104" spans="2:13" x14ac:dyDescent="0.25">
      <c r="B104" s="1" t="s">
        <v>45</v>
      </c>
      <c r="C104" s="1" t="s">
        <v>46</v>
      </c>
      <c r="D104" s="1" t="s">
        <v>191</v>
      </c>
      <c r="E104" s="1" t="s">
        <v>48</v>
      </c>
      <c r="F104" s="1">
        <v>1</v>
      </c>
      <c r="G104" s="1" t="s">
        <v>60</v>
      </c>
      <c r="H104" s="1" t="str">
        <f t="shared" si="6"/>
        <v xml:space="preserve">CEMPRESA='31' </v>
      </c>
      <c r="I104" s="1" t="str">
        <f t="shared" si="7"/>
        <v xml:space="preserve">AND CBALCAO='0003' </v>
      </c>
      <c r="J104" s="1" t="str">
        <f t="shared" si="8"/>
        <v xml:space="preserve">AND CNUMECTA='20464094096' </v>
      </c>
      <c r="K104" s="1" t="str">
        <f t="shared" si="9"/>
        <v xml:space="preserve">AND ZDEPOSIT='000000000000000' </v>
      </c>
      <c r="L104" s="1" t="str">
        <f t="shared" si="10"/>
        <v>WHEN CEMPRESA='31' AND CBALCAO='0003' AND CNUMECTA='20464094096' AND ZDEPOSIT='000000000000000' THEN 1</v>
      </c>
      <c r="M104" s="1" t="str">
        <f t="shared" si="11"/>
        <v>WHEN CEMPRESA='31' AND CBALCAO='0003' AND CNUMECTA='20464094096' AND ZDEPOSIT='000000000000000' THEN 'A.3.7.'</v>
      </c>
    </row>
    <row r="105" spans="2:13" x14ac:dyDescent="0.25">
      <c r="B105" s="1" t="s">
        <v>45</v>
      </c>
      <c r="C105" s="1" t="s">
        <v>46</v>
      </c>
      <c r="D105" s="1" t="s">
        <v>192</v>
      </c>
      <c r="E105" s="1" t="s">
        <v>48</v>
      </c>
      <c r="F105" s="1">
        <v>1</v>
      </c>
      <c r="G105" s="1" t="s">
        <v>60</v>
      </c>
      <c r="H105" s="1" t="str">
        <f t="shared" si="6"/>
        <v xml:space="preserve">CEMPRESA='31' </v>
      </c>
      <c r="I105" s="1" t="str">
        <f t="shared" si="7"/>
        <v xml:space="preserve">AND CBALCAO='0003' </v>
      </c>
      <c r="J105" s="1" t="str">
        <f t="shared" si="8"/>
        <v xml:space="preserve">AND CNUMECTA='20486253096' </v>
      </c>
      <c r="K105" s="1" t="str">
        <f t="shared" si="9"/>
        <v xml:space="preserve">AND ZDEPOSIT='000000000000000' </v>
      </c>
      <c r="L105" s="1" t="str">
        <f t="shared" si="10"/>
        <v>WHEN CEMPRESA='31' AND CBALCAO='0003' AND CNUMECTA='20486253096' AND ZDEPOSIT='000000000000000' THEN 1</v>
      </c>
      <c r="M105" s="1" t="str">
        <f t="shared" si="11"/>
        <v>WHEN CEMPRESA='31' AND CBALCAO='0003' AND CNUMECTA='20486253096' AND ZDEPOSIT='000000000000000' THEN 'A.3.7.'</v>
      </c>
    </row>
    <row r="106" spans="2:13" x14ac:dyDescent="0.25">
      <c r="B106" s="1" t="s">
        <v>45</v>
      </c>
      <c r="C106" s="1" t="s">
        <v>46</v>
      </c>
      <c r="D106" s="1" t="s">
        <v>193</v>
      </c>
      <c r="E106" s="1" t="s">
        <v>48</v>
      </c>
      <c r="F106" s="1">
        <v>1</v>
      </c>
      <c r="G106" s="1" t="s">
        <v>60</v>
      </c>
      <c r="H106" s="1" t="str">
        <f t="shared" si="6"/>
        <v xml:space="preserve">CEMPRESA='31' </v>
      </c>
      <c r="I106" s="1" t="str">
        <f t="shared" si="7"/>
        <v xml:space="preserve">AND CBALCAO='0003' </v>
      </c>
      <c r="J106" s="1" t="str">
        <f t="shared" si="8"/>
        <v xml:space="preserve">AND CNUMECTA='20726666096' </v>
      </c>
      <c r="K106" s="1" t="str">
        <f t="shared" si="9"/>
        <v xml:space="preserve">AND ZDEPOSIT='000000000000000' </v>
      </c>
      <c r="L106" s="1" t="str">
        <f t="shared" si="10"/>
        <v>WHEN CEMPRESA='31' AND CBALCAO='0003' AND CNUMECTA='20726666096' AND ZDEPOSIT='000000000000000' THEN 1</v>
      </c>
      <c r="M106" s="1" t="str">
        <f t="shared" si="11"/>
        <v>WHEN CEMPRESA='31' AND CBALCAO='0003' AND CNUMECTA='20726666096' AND ZDEPOSIT='000000000000000' THEN 'A.3.7.'</v>
      </c>
    </row>
    <row r="107" spans="2:13" x14ac:dyDescent="0.25">
      <c r="B107" s="1" t="s">
        <v>45</v>
      </c>
      <c r="C107" s="1" t="s">
        <v>46</v>
      </c>
      <c r="D107" s="1" t="s">
        <v>194</v>
      </c>
      <c r="E107" s="1" t="s">
        <v>48</v>
      </c>
      <c r="F107" s="1">
        <v>1</v>
      </c>
      <c r="G107" s="1" t="s">
        <v>60</v>
      </c>
      <c r="H107" s="1" t="str">
        <f t="shared" si="6"/>
        <v xml:space="preserve">CEMPRESA='31' </v>
      </c>
      <c r="I107" s="1" t="str">
        <f t="shared" si="7"/>
        <v xml:space="preserve">AND CBALCAO='0003' </v>
      </c>
      <c r="J107" s="1" t="str">
        <f t="shared" si="8"/>
        <v xml:space="preserve">AND CNUMECTA='20630009096' </v>
      </c>
      <c r="K107" s="1" t="str">
        <f t="shared" si="9"/>
        <v xml:space="preserve">AND ZDEPOSIT='000000000000000' </v>
      </c>
      <c r="L107" s="1" t="str">
        <f t="shared" si="10"/>
        <v>WHEN CEMPRESA='31' AND CBALCAO='0003' AND CNUMECTA='20630009096' AND ZDEPOSIT='000000000000000' THEN 1</v>
      </c>
      <c r="M107" s="1" t="str">
        <f t="shared" si="11"/>
        <v>WHEN CEMPRESA='31' AND CBALCAO='0003' AND CNUMECTA='20630009096' AND ZDEPOSIT='000000000000000' THEN 'A.3.7.'</v>
      </c>
    </row>
    <row r="108" spans="2:13" x14ac:dyDescent="0.25">
      <c r="B108" s="1" t="s">
        <v>45</v>
      </c>
      <c r="C108" s="1" t="s">
        <v>46</v>
      </c>
      <c r="D108" s="1" t="s">
        <v>195</v>
      </c>
      <c r="E108" s="1" t="s">
        <v>48</v>
      </c>
      <c r="F108" s="1">
        <v>1</v>
      </c>
      <c r="G108" s="1" t="s">
        <v>60</v>
      </c>
      <c r="H108" s="1" t="str">
        <f t="shared" si="6"/>
        <v xml:space="preserve">CEMPRESA='31' </v>
      </c>
      <c r="I108" s="1" t="str">
        <f t="shared" si="7"/>
        <v xml:space="preserve">AND CBALCAO='0003' </v>
      </c>
      <c r="J108" s="1" t="str">
        <f t="shared" si="8"/>
        <v xml:space="preserve">AND CNUMECTA='20454558096' </v>
      </c>
      <c r="K108" s="1" t="str">
        <f t="shared" si="9"/>
        <v xml:space="preserve">AND ZDEPOSIT='000000000000000' </v>
      </c>
      <c r="L108" s="1" t="str">
        <f t="shared" si="10"/>
        <v>WHEN CEMPRESA='31' AND CBALCAO='0003' AND CNUMECTA='20454558096' AND ZDEPOSIT='000000000000000' THEN 1</v>
      </c>
      <c r="M108" s="1" t="str">
        <f t="shared" si="11"/>
        <v>WHEN CEMPRESA='31' AND CBALCAO='0003' AND CNUMECTA='20454558096' AND ZDEPOSIT='000000000000000' THEN 'A.3.7.'</v>
      </c>
    </row>
    <row r="109" spans="2:13" x14ac:dyDescent="0.25">
      <c r="B109" s="1" t="s">
        <v>45</v>
      </c>
      <c r="C109" s="1" t="s">
        <v>46</v>
      </c>
      <c r="D109" s="1" t="s">
        <v>196</v>
      </c>
      <c r="E109" s="1" t="s">
        <v>48</v>
      </c>
      <c r="F109" s="1">
        <v>1</v>
      </c>
      <c r="G109" s="1" t="s">
        <v>60</v>
      </c>
      <c r="H109" s="1" t="str">
        <f t="shared" si="6"/>
        <v xml:space="preserve">CEMPRESA='31' </v>
      </c>
      <c r="I109" s="1" t="str">
        <f t="shared" si="7"/>
        <v xml:space="preserve">AND CBALCAO='0003' </v>
      </c>
      <c r="J109" s="1" t="str">
        <f t="shared" si="8"/>
        <v xml:space="preserve">AND CNUMECTA='20739636096' </v>
      </c>
      <c r="K109" s="1" t="str">
        <f t="shared" si="9"/>
        <v xml:space="preserve">AND ZDEPOSIT='000000000000000' </v>
      </c>
      <c r="L109" s="1" t="str">
        <f t="shared" si="10"/>
        <v>WHEN CEMPRESA='31' AND CBALCAO='0003' AND CNUMECTA='20739636096' AND ZDEPOSIT='000000000000000' THEN 1</v>
      </c>
      <c r="M109" s="1" t="str">
        <f t="shared" si="11"/>
        <v>WHEN CEMPRESA='31' AND CBALCAO='0003' AND CNUMECTA='20739636096' AND ZDEPOSIT='000000000000000' THEN 'A.3.7.'</v>
      </c>
    </row>
    <row r="110" spans="2:13" x14ac:dyDescent="0.25">
      <c r="B110" s="1" t="s">
        <v>45</v>
      </c>
      <c r="C110" s="1" t="s">
        <v>46</v>
      </c>
      <c r="D110" s="1" t="s">
        <v>197</v>
      </c>
      <c r="E110" s="1" t="s">
        <v>48</v>
      </c>
      <c r="F110" s="1">
        <v>1</v>
      </c>
      <c r="G110" s="1" t="s">
        <v>60</v>
      </c>
      <c r="H110" s="1" t="str">
        <f t="shared" si="6"/>
        <v xml:space="preserve">CEMPRESA='31' </v>
      </c>
      <c r="I110" s="1" t="str">
        <f t="shared" si="7"/>
        <v xml:space="preserve">AND CBALCAO='0003' </v>
      </c>
      <c r="J110" s="1" t="str">
        <f t="shared" si="8"/>
        <v xml:space="preserve">AND CNUMECTA='20411558096' </v>
      </c>
      <c r="K110" s="1" t="str">
        <f t="shared" si="9"/>
        <v xml:space="preserve">AND ZDEPOSIT='000000000000000' </v>
      </c>
      <c r="L110" s="1" t="str">
        <f t="shared" si="10"/>
        <v>WHEN CEMPRESA='31' AND CBALCAO='0003' AND CNUMECTA='20411558096' AND ZDEPOSIT='000000000000000' THEN 1</v>
      </c>
      <c r="M110" s="1" t="str">
        <f t="shared" si="11"/>
        <v>WHEN CEMPRESA='31' AND CBALCAO='0003' AND CNUMECTA='20411558096' AND ZDEPOSIT='000000000000000' THEN 'A.3.7.'</v>
      </c>
    </row>
    <row r="111" spans="2:13" x14ac:dyDescent="0.25">
      <c r="B111" s="1" t="s">
        <v>45</v>
      </c>
      <c r="C111" s="1" t="s">
        <v>46</v>
      </c>
      <c r="D111" s="1" t="s">
        <v>198</v>
      </c>
      <c r="E111" s="1" t="s">
        <v>48</v>
      </c>
      <c r="F111" s="1">
        <v>1</v>
      </c>
      <c r="G111" s="1" t="s">
        <v>60</v>
      </c>
      <c r="H111" s="1" t="str">
        <f t="shared" si="6"/>
        <v xml:space="preserve">CEMPRESA='31' </v>
      </c>
      <c r="I111" s="1" t="str">
        <f t="shared" si="7"/>
        <v xml:space="preserve">AND CBALCAO='0003' </v>
      </c>
      <c r="J111" s="1" t="str">
        <f t="shared" si="8"/>
        <v xml:space="preserve">AND CNUMECTA='20712690096' </v>
      </c>
      <c r="K111" s="1" t="str">
        <f t="shared" si="9"/>
        <v xml:space="preserve">AND ZDEPOSIT='000000000000000' </v>
      </c>
      <c r="L111" s="1" t="str">
        <f t="shared" si="10"/>
        <v>WHEN CEMPRESA='31' AND CBALCAO='0003' AND CNUMECTA='20712690096' AND ZDEPOSIT='000000000000000' THEN 1</v>
      </c>
      <c r="M111" s="1" t="str">
        <f t="shared" si="11"/>
        <v>WHEN CEMPRESA='31' AND CBALCAO='0003' AND CNUMECTA='20712690096' AND ZDEPOSIT='000000000000000' THEN 'A.3.7.'</v>
      </c>
    </row>
    <row r="112" spans="2:13" x14ac:dyDescent="0.25">
      <c r="B112" s="1" t="s">
        <v>45</v>
      </c>
      <c r="C112" s="1" t="s">
        <v>46</v>
      </c>
      <c r="D112" s="1" t="s">
        <v>199</v>
      </c>
      <c r="E112" s="1" t="s">
        <v>48</v>
      </c>
      <c r="F112" s="1">
        <v>1</v>
      </c>
      <c r="G112" s="1" t="s">
        <v>60</v>
      </c>
      <c r="H112" s="1" t="str">
        <f t="shared" si="6"/>
        <v xml:space="preserve">CEMPRESA='31' </v>
      </c>
      <c r="I112" s="1" t="str">
        <f t="shared" si="7"/>
        <v xml:space="preserve">AND CBALCAO='0003' </v>
      </c>
      <c r="J112" s="1" t="str">
        <f t="shared" si="8"/>
        <v xml:space="preserve">AND CNUMECTA='20515317096' </v>
      </c>
      <c r="K112" s="1" t="str">
        <f t="shared" si="9"/>
        <v xml:space="preserve">AND ZDEPOSIT='000000000000000' </v>
      </c>
      <c r="L112" s="1" t="str">
        <f t="shared" si="10"/>
        <v>WHEN CEMPRESA='31' AND CBALCAO='0003' AND CNUMECTA='20515317096' AND ZDEPOSIT='000000000000000' THEN 1</v>
      </c>
      <c r="M112" s="1" t="str">
        <f t="shared" si="11"/>
        <v>WHEN CEMPRESA='31' AND CBALCAO='0003' AND CNUMECTA='20515317096' AND ZDEPOSIT='000000000000000' THEN 'A.3.7.'</v>
      </c>
    </row>
    <row r="113" spans="2:13" x14ac:dyDescent="0.25">
      <c r="B113" s="1" t="s">
        <v>45</v>
      </c>
      <c r="C113" s="1" t="s">
        <v>46</v>
      </c>
      <c r="D113" s="1" t="s">
        <v>200</v>
      </c>
      <c r="E113" s="1" t="s">
        <v>48</v>
      </c>
      <c r="F113" s="1">
        <v>1</v>
      </c>
      <c r="G113" s="1" t="s">
        <v>60</v>
      </c>
      <c r="H113" s="1" t="str">
        <f t="shared" si="6"/>
        <v xml:space="preserve">CEMPRESA='31' </v>
      </c>
      <c r="I113" s="1" t="str">
        <f t="shared" si="7"/>
        <v xml:space="preserve">AND CBALCAO='0003' </v>
      </c>
      <c r="J113" s="1" t="str">
        <f t="shared" si="8"/>
        <v xml:space="preserve">AND CNUMECTA='20692330096' </v>
      </c>
      <c r="K113" s="1" t="str">
        <f t="shared" si="9"/>
        <v xml:space="preserve">AND ZDEPOSIT='000000000000000' </v>
      </c>
      <c r="L113" s="1" t="str">
        <f t="shared" si="10"/>
        <v>WHEN CEMPRESA='31' AND CBALCAO='0003' AND CNUMECTA='20692330096' AND ZDEPOSIT='000000000000000' THEN 1</v>
      </c>
      <c r="M113" s="1" t="str">
        <f t="shared" si="11"/>
        <v>WHEN CEMPRESA='31' AND CBALCAO='0003' AND CNUMECTA='20692330096' AND ZDEPOSIT='000000000000000' THEN 'A.3.7.'</v>
      </c>
    </row>
    <row r="114" spans="2:13" x14ac:dyDescent="0.25">
      <c r="B114" s="1" t="s">
        <v>54</v>
      </c>
      <c r="C114" s="1" t="s">
        <v>55</v>
      </c>
      <c r="D114" s="1" t="s">
        <v>201</v>
      </c>
      <c r="E114" s="1" t="s">
        <v>202</v>
      </c>
      <c r="F114" s="1">
        <v>1</v>
      </c>
      <c r="G114" s="1" t="s">
        <v>58</v>
      </c>
      <c r="H114" s="1" t="str">
        <f t="shared" si="6"/>
        <v xml:space="preserve">CEMPRESA='89' </v>
      </c>
      <c r="I114" s="1" t="str">
        <f t="shared" si="7"/>
        <v xml:space="preserve">AND CBALCAO='0000' </v>
      </c>
      <c r="J114" s="1" t="str">
        <f t="shared" si="8"/>
        <v xml:space="preserve">AND CNUMECTA='00000250445' </v>
      </c>
      <c r="K114" s="1" t="str">
        <f t="shared" si="9"/>
        <v xml:space="preserve">AND ZDEPOSIT='000450000739755' </v>
      </c>
      <c r="L114" s="1" t="str">
        <f t="shared" si="10"/>
        <v>WHEN CEMPRESA='89' AND CBALCAO='0000' AND CNUMECTA='00000250445' AND ZDEPOSIT='000450000739755' THEN 1</v>
      </c>
      <c r="M114" s="1" t="str">
        <f t="shared" si="11"/>
        <v>WHEN CEMPRESA='89' AND CBALCAO='0000' AND CNUMECTA='00000250445' AND ZDEPOSIT='000450000739755' THEN 'A.2.5.'</v>
      </c>
    </row>
    <row r="115" spans="2:13" x14ac:dyDescent="0.25">
      <c r="B115" s="1" t="s">
        <v>45</v>
      </c>
      <c r="C115" s="1" t="s">
        <v>46</v>
      </c>
      <c r="D115" s="1" t="s">
        <v>203</v>
      </c>
      <c r="E115" s="1" t="s">
        <v>48</v>
      </c>
      <c r="F115" s="1">
        <v>1</v>
      </c>
      <c r="G115" s="1" t="s">
        <v>60</v>
      </c>
      <c r="H115" s="1" t="str">
        <f t="shared" si="6"/>
        <v xml:space="preserve">CEMPRESA='31' </v>
      </c>
      <c r="I115" s="1" t="str">
        <f t="shared" si="7"/>
        <v xml:space="preserve">AND CBALCAO='0003' </v>
      </c>
      <c r="J115" s="1" t="str">
        <f t="shared" si="8"/>
        <v xml:space="preserve">AND CNUMECTA='20593777096' </v>
      </c>
      <c r="K115" s="1" t="str">
        <f t="shared" si="9"/>
        <v xml:space="preserve">AND ZDEPOSIT='000000000000000' </v>
      </c>
      <c r="L115" s="1" t="str">
        <f t="shared" si="10"/>
        <v>WHEN CEMPRESA='31' AND CBALCAO='0003' AND CNUMECTA='20593777096' AND ZDEPOSIT='000000000000000' THEN 1</v>
      </c>
      <c r="M115" s="1" t="str">
        <f t="shared" si="11"/>
        <v>WHEN CEMPRESA='31' AND CBALCAO='0003' AND CNUMECTA='20593777096' AND ZDEPOSIT='000000000000000' THEN 'A.3.7.'</v>
      </c>
    </row>
    <row r="116" spans="2:13" x14ac:dyDescent="0.25">
      <c r="B116" s="1" t="s">
        <v>45</v>
      </c>
      <c r="C116" s="1" t="s">
        <v>46</v>
      </c>
      <c r="D116" s="1" t="s">
        <v>204</v>
      </c>
      <c r="E116" s="1" t="s">
        <v>48</v>
      </c>
      <c r="F116" s="1">
        <v>1</v>
      </c>
      <c r="G116" s="1" t="s">
        <v>60</v>
      </c>
      <c r="H116" s="1" t="str">
        <f t="shared" si="6"/>
        <v xml:space="preserve">CEMPRESA='31' </v>
      </c>
      <c r="I116" s="1" t="str">
        <f t="shared" si="7"/>
        <v xml:space="preserve">AND CBALCAO='0003' </v>
      </c>
      <c r="J116" s="1" t="str">
        <f t="shared" si="8"/>
        <v xml:space="preserve">AND CNUMECTA='20531140096' </v>
      </c>
      <c r="K116" s="1" t="str">
        <f t="shared" si="9"/>
        <v xml:space="preserve">AND ZDEPOSIT='000000000000000' </v>
      </c>
      <c r="L116" s="1" t="str">
        <f t="shared" si="10"/>
        <v>WHEN CEMPRESA='31' AND CBALCAO='0003' AND CNUMECTA='20531140096' AND ZDEPOSIT='000000000000000' THEN 1</v>
      </c>
      <c r="M116" s="1" t="str">
        <f t="shared" si="11"/>
        <v>WHEN CEMPRESA='31' AND CBALCAO='0003' AND CNUMECTA='20531140096' AND ZDEPOSIT='000000000000000' THEN 'A.3.7.'</v>
      </c>
    </row>
    <row r="117" spans="2:13" x14ac:dyDescent="0.25">
      <c r="B117" s="1" t="s">
        <v>45</v>
      </c>
      <c r="C117" s="1" t="s">
        <v>46</v>
      </c>
      <c r="D117" s="1" t="s">
        <v>205</v>
      </c>
      <c r="E117" s="1" t="s">
        <v>48</v>
      </c>
      <c r="F117" s="1">
        <v>1</v>
      </c>
      <c r="G117" s="1" t="s">
        <v>60</v>
      </c>
      <c r="H117" s="1" t="str">
        <f t="shared" si="6"/>
        <v xml:space="preserve">CEMPRESA='31' </v>
      </c>
      <c r="I117" s="1" t="str">
        <f t="shared" si="7"/>
        <v xml:space="preserve">AND CBALCAO='0003' </v>
      </c>
      <c r="J117" s="1" t="str">
        <f t="shared" si="8"/>
        <v xml:space="preserve">AND CNUMECTA='20614201096' </v>
      </c>
      <c r="K117" s="1" t="str">
        <f t="shared" si="9"/>
        <v xml:space="preserve">AND ZDEPOSIT='000000000000000' </v>
      </c>
      <c r="L117" s="1" t="str">
        <f t="shared" si="10"/>
        <v>WHEN CEMPRESA='31' AND CBALCAO='0003' AND CNUMECTA='20614201096' AND ZDEPOSIT='000000000000000' THEN 1</v>
      </c>
      <c r="M117" s="1" t="str">
        <f t="shared" si="11"/>
        <v>WHEN CEMPRESA='31' AND CBALCAO='0003' AND CNUMECTA='20614201096' AND ZDEPOSIT='000000000000000' THEN 'A.3.7.'</v>
      </c>
    </row>
    <row r="118" spans="2:13" x14ac:dyDescent="0.25">
      <c r="B118" s="1" t="s">
        <v>45</v>
      </c>
      <c r="C118" s="1" t="s">
        <v>46</v>
      </c>
      <c r="D118" s="1" t="s">
        <v>206</v>
      </c>
      <c r="E118" s="1" t="s">
        <v>48</v>
      </c>
      <c r="F118" s="1">
        <v>1</v>
      </c>
      <c r="G118" s="1" t="s">
        <v>60</v>
      </c>
      <c r="H118" s="1" t="str">
        <f t="shared" si="6"/>
        <v xml:space="preserve">CEMPRESA='31' </v>
      </c>
      <c r="I118" s="1" t="str">
        <f t="shared" si="7"/>
        <v xml:space="preserve">AND CBALCAO='0003' </v>
      </c>
      <c r="J118" s="1" t="str">
        <f t="shared" si="8"/>
        <v xml:space="preserve">AND CNUMECTA='20744479096' </v>
      </c>
      <c r="K118" s="1" t="str">
        <f t="shared" si="9"/>
        <v xml:space="preserve">AND ZDEPOSIT='000000000000000' </v>
      </c>
      <c r="L118" s="1" t="str">
        <f t="shared" si="10"/>
        <v>WHEN CEMPRESA='31' AND CBALCAO='0003' AND CNUMECTA='20744479096' AND ZDEPOSIT='000000000000000' THEN 1</v>
      </c>
      <c r="M118" s="1" t="str">
        <f t="shared" si="11"/>
        <v>WHEN CEMPRESA='31' AND CBALCAO='0003' AND CNUMECTA='20744479096' AND ZDEPOSIT='000000000000000' THEN 'A.3.7.'</v>
      </c>
    </row>
    <row r="119" spans="2:13" x14ac:dyDescent="0.25">
      <c r="B119" s="1" t="s">
        <v>54</v>
      </c>
      <c r="C119" s="1" t="s">
        <v>55</v>
      </c>
      <c r="D119" s="1" t="s">
        <v>207</v>
      </c>
      <c r="E119" s="1" t="s">
        <v>208</v>
      </c>
      <c r="F119" s="1">
        <v>1</v>
      </c>
      <c r="G119" s="1" t="s">
        <v>209</v>
      </c>
      <c r="H119" s="1" t="str">
        <f t="shared" si="6"/>
        <v xml:space="preserve">CEMPRESA='89' </v>
      </c>
      <c r="I119" s="1" t="str">
        <f t="shared" si="7"/>
        <v xml:space="preserve">AND CBALCAO='0000' </v>
      </c>
      <c r="J119" s="1" t="str">
        <f t="shared" si="8"/>
        <v xml:space="preserve">AND CNUMECTA='20240000271' </v>
      </c>
      <c r="K119" s="1" t="str">
        <f t="shared" si="9"/>
        <v xml:space="preserve">AND ZDEPOSIT='0004900C59640I1' </v>
      </c>
      <c r="L119" s="1" t="str">
        <f t="shared" si="10"/>
        <v>WHEN CEMPRESA='89' AND CBALCAO='0000' AND CNUMECTA='20240000271' AND ZDEPOSIT='0004900C59640I1' THEN 1</v>
      </c>
      <c r="M119" s="1" t="str">
        <f t="shared" si="11"/>
        <v>WHEN CEMPRESA='89' AND CBALCAO='0000' AND CNUMECTA='20240000271' AND ZDEPOSIT='0004900C59640I1' THEN 'A.3.1.'</v>
      </c>
    </row>
    <row r="120" spans="2:13" x14ac:dyDescent="0.25">
      <c r="B120" s="1" t="s">
        <v>45</v>
      </c>
      <c r="C120" s="1" t="s">
        <v>46</v>
      </c>
      <c r="D120" s="1" t="s">
        <v>210</v>
      </c>
      <c r="E120" s="1" t="s">
        <v>48</v>
      </c>
      <c r="F120" s="1">
        <v>1</v>
      </c>
      <c r="G120" s="1" t="s">
        <v>60</v>
      </c>
      <c r="H120" s="1" t="str">
        <f t="shared" si="6"/>
        <v xml:space="preserve">CEMPRESA='31' </v>
      </c>
      <c r="I120" s="1" t="str">
        <f t="shared" si="7"/>
        <v xml:space="preserve">AND CBALCAO='0003' </v>
      </c>
      <c r="J120" s="1" t="str">
        <f t="shared" si="8"/>
        <v xml:space="preserve">AND CNUMECTA='20691407096' </v>
      </c>
      <c r="K120" s="1" t="str">
        <f t="shared" si="9"/>
        <v xml:space="preserve">AND ZDEPOSIT='000000000000000' </v>
      </c>
      <c r="L120" s="1" t="str">
        <f t="shared" si="10"/>
        <v>WHEN CEMPRESA='31' AND CBALCAO='0003' AND CNUMECTA='20691407096' AND ZDEPOSIT='000000000000000' THEN 1</v>
      </c>
      <c r="M120" s="1" t="str">
        <f t="shared" si="11"/>
        <v>WHEN CEMPRESA='31' AND CBALCAO='0003' AND CNUMECTA='20691407096' AND ZDEPOSIT='000000000000000' THEN 'A.3.7.'</v>
      </c>
    </row>
    <row r="121" spans="2:13" x14ac:dyDescent="0.25">
      <c r="B121" s="1" t="s">
        <v>45</v>
      </c>
      <c r="C121" s="1" t="s">
        <v>46</v>
      </c>
      <c r="D121" s="1" t="s">
        <v>211</v>
      </c>
      <c r="E121" s="1" t="s">
        <v>48</v>
      </c>
      <c r="F121" s="1">
        <v>1</v>
      </c>
      <c r="G121" s="1" t="s">
        <v>60</v>
      </c>
      <c r="H121" s="1" t="str">
        <f t="shared" si="6"/>
        <v xml:space="preserve">CEMPRESA='31' </v>
      </c>
      <c r="I121" s="1" t="str">
        <f t="shared" si="7"/>
        <v xml:space="preserve">AND CBALCAO='0003' </v>
      </c>
      <c r="J121" s="1" t="str">
        <f t="shared" si="8"/>
        <v xml:space="preserve">AND CNUMECTA='20574637096' </v>
      </c>
      <c r="K121" s="1" t="str">
        <f t="shared" si="9"/>
        <v xml:space="preserve">AND ZDEPOSIT='000000000000000' </v>
      </c>
      <c r="L121" s="1" t="str">
        <f t="shared" si="10"/>
        <v>WHEN CEMPRESA='31' AND CBALCAO='0003' AND CNUMECTA='20574637096' AND ZDEPOSIT='000000000000000' THEN 1</v>
      </c>
      <c r="M121" s="1" t="str">
        <f t="shared" si="11"/>
        <v>WHEN CEMPRESA='31' AND CBALCAO='0003' AND CNUMECTA='20574637096' AND ZDEPOSIT='000000000000000' THEN 'A.3.7.'</v>
      </c>
    </row>
    <row r="122" spans="2:13" x14ac:dyDescent="0.25">
      <c r="B122" s="1" t="s">
        <v>45</v>
      </c>
      <c r="C122" s="1" t="s">
        <v>46</v>
      </c>
      <c r="D122" s="1" t="s">
        <v>212</v>
      </c>
      <c r="E122" s="1" t="s">
        <v>48</v>
      </c>
      <c r="F122" s="1">
        <v>1</v>
      </c>
      <c r="G122" s="1" t="s">
        <v>60</v>
      </c>
      <c r="H122" s="1" t="str">
        <f t="shared" si="6"/>
        <v xml:space="preserve">CEMPRESA='31' </v>
      </c>
      <c r="I122" s="1" t="str">
        <f t="shared" si="7"/>
        <v xml:space="preserve">AND CBALCAO='0003' </v>
      </c>
      <c r="J122" s="1" t="str">
        <f t="shared" si="8"/>
        <v xml:space="preserve">AND CNUMECTA='20548805096' </v>
      </c>
      <c r="K122" s="1" t="str">
        <f t="shared" si="9"/>
        <v xml:space="preserve">AND ZDEPOSIT='000000000000000' </v>
      </c>
      <c r="L122" s="1" t="str">
        <f t="shared" si="10"/>
        <v>WHEN CEMPRESA='31' AND CBALCAO='0003' AND CNUMECTA='20548805096' AND ZDEPOSIT='000000000000000' THEN 1</v>
      </c>
      <c r="M122" s="1" t="str">
        <f t="shared" si="11"/>
        <v>WHEN CEMPRESA='31' AND CBALCAO='0003' AND CNUMECTA='20548805096' AND ZDEPOSIT='000000000000000' THEN 'A.3.7.'</v>
      </c>
    </row>
    <row r="123" spans="2:13" x14ac:dyDescent="0.25">
      <c r="B123" s="1" t="s">
        <v>54</v>
      </c>
      <c r="C123" s="1" t="s">
        <v>55</v>
      </c>
      <c r="D123" s="1" t="s">
        <v>213</v>
      </c>
      <c r="E123" s="1" t="s">
        <v>214</v>
      </c>
      <c r="F123" s="1">
        <v>1</v>
      </c>
      <c r="G123" s="1" t="s">
        <v>58</v>
      </c>
      <c r="H123" s="1" t="str">
        <f t="shared" si="6"/>
        <v xml:space="preserve">CEMPRESA='89' </v>
      </c>
      <c r="I123" s="1" t="str">
        <f t="shared" si="7"/>
        <v xml:space="preserve">AND CBALCAO='0000' </v>
      </c>
      <c r="J123" s="1" t="str">
        <f t="shared" si="8"/>
        <v xml:space="preserve">AND CNUMECTA='00008046510' </v>
      </c>
      <c r="K123" s="1" t="str">
        <f t="shared" si="9"/>
        <v xml:space="preserve">AND ZDEPOSIT='000530000777090' </v>
      </c>
      <c r="L123" s="1" t="str">
        <f t="shared" si="10"/>
        <v>WHEN CEMPRESA='89' AND CBALCAO='0000' AND CNUMECTA='00008046510' AND ZDEPOSIT='000530000777090' THEN 1</v>
      </c>
      <c r="M123" s="1" t="str">
        <f t="shared" si="11"/>
        <v>WHEN CEMPRESA='89' AND CBALCAO='0000' AND CNUMECTA='00008046510' AND ZDEPOSIT='000530000777090' THEN 'A.2.5.'</v>
      </c>
    </row>
    <row r="124" spans="2:13" x14ac:dyDescent="0.25">
      <c r="B124" s="1" t="s">
        <v>54</v>
      </c>
      <c r="C124" s="1" t="s">
        <v>55</v>
      </c>
      <c r="D124" s="1" t="s">
        <v>215</v>
      </c>
      <c r="E124" s="1" t="s">
        <v>216</v>
      </c>
      <c r="F124" s="1">
        <v>1</v>
      </c>
      <c r="G124" s="1" t="s">
        <v>58</v>
      </c>
      <c r="H124" s="1" t="str">
        <f t="shared" si="6"/>
        <v xml:space="preserve">CEMPRESA='89' </v>
      </c>
      <c r="I124" s="1" t="str">
        <f t="shared" si="7"/>
        <v xml:space="preserve">AND CBALCAO='0000' </v>
      </c>
      <c r="J124" s="1" t="str">
        <f t="shared" si="8"/>
        <v xml:space="preserve">AND CNUMECTA='00008046588' </v>
      </c>
      <c r="K124" s="1" t="str">
        <f t="shared" si="9"/>
        <v xml:space="preserve">AND ZDEPOSIT='000530000778621' </v>
      </c>
      <c r="L124" s="1" t="str">
        <f t="shared" si="10"/>
        <v>WHEN CEMPRESA='89' AND CBALCAO='0000' AND CNUMECTA='00008046588' AND ZDEPOSIT='000530000778621' THEN 1</v>
      </c>
      <c r="M124" s="1" t="str">
        <f t="shared" si="11"/>
        <v>WHEN CEMPRESA='89' AND CBALCAO='0000' AND CNUMECTA='00008046588' AND ZDEPOSIT='000530000778621' THEN 'A.2.5.'</v>
      </c>
    </row>
    <row r="125" spans="2:13" x14ac:dyDescent="0.25">
      <c r="B125" s="1" t="s">
        <v>45</v>
      </c>
      <c r="C125" s="1" t="s">
        <v>46</v>
      </c>
      <c r="D125" s="1" t="s">
        <v>217</v>
      </c>
      <c r="E125" s="1" t="s">
        <v>48</v>
      </c>
      <c r="F125" s="1">
        <v>1</v>
      </c>
      <c r="G125" s="1" t="s">
        <v>60</v>
      </c>
      <c r="H125" s="1" t="str">
        <f t="shared" si="6"/>
        <v xml:space="preserve">CEMPRESA='31' </v>
      </c>
      <c r="I125" s="1" t="str">
        <f t="shared" si="7"/>
        <v xml:space="preserve">AND CBALCAO='0003' </v>
      </c>
      <c r="J125" s="1" t="str">
        <f t="shared" si="8"/>
        <v xml:space="preserve">AND CNUMECTA='20534433096' </v>
      </c>
      <c r="K125" s="1" t="str">
        <f t="shared" si="9"/>
        <v xml:space="preserve">AND ZDEPOSIT='000000000000000' </v>
      </c>
      <c r="L125" s="1" t="str">
        <f t="shared" si="10"/>
        <v>WHEN CEMPRESA='31' AND CBALCAO='0003' AND CNUMECTA='20534433096' AND ZDEPOSIT='000000000000000' THEN 1</v>
      </c>
      <c r="M125" s="1" t="str">
        <f t="shared" si="11"/>
        <v>WHEN CEMPRESA='31' AND CBALCAO='0003' AND CNUMECTA='20534433096' AND ZDEPOSIT='000000000000000' THEN 'A.3.7.'</v>
      </c>
    </row>
    <row r="126" spans="2:13" x14ac:dyDescent="0.25">
      <c r="B126" s="1" t="s">
        <v>45</v>
      </c>
      <c r="C126" s="1" t="s">
        <v>46</v>
      </c>
      <c r="D126" s="1" t="s">
        <v>218</v>
      </c>
      <c r="E126" s="1" t="s">
        <v>48</v>
      </c>
      <c r="F126" s="1">
        <v>1</v>
      </c>
      <c r="G126" s="1" t="s">
        <v>60</v>
      </c>
      <c r="H126" s="1" t="str">
        <f t="shared" si="6"/>
        <v xml:space="preserve">CEMPRESA='31' </v>
      </c>
      <c r="I126" s="1" t="str">
        <f t="shared" si="7"/>
        <v xml:space="preserve">AND CBALCAO='0003' </v>
      </c>
      <c r="J126" s="1" t="str">
        <f t="shared" si="8"/>
        <v xml:space="preserve">AND CNUMECTA='20562327096' </v>
      </c>
      <c r="K126" s="1" t="str">
        <f t="shared" si="9"/>
        <v xml:space="preserve">AND ZDEPOSIT='000000000000000' </v>
      </c>
      <c r="L126" s="1" t="str">
        <f t="shared" si="10"/>
        <v>WHEN CEMPRESA='31' AND CBALCAO='0003' AND CNUMECTA='20562327096' AND ZDEPOSIT='000000000000000' THEN 1</v>
      </c>
      <c r="M126" s="1" t="str">
        <f t="shared" si="11"/>
        <v>WHEN CEMPRESA='31' AND CBALCAO='0003' AND CNUMECTA='20562327096' AND ZDEPOSIT='000000000000000' THEN 'A.3.7.'</v>
      </c>
    </row>
    <row r="127" spans="2:13" x14ac:dyDescent="0.25">
      <c r="B127" s="1" t="s">
        <v>45</v>
      </c>
      <c r="C127" s="1" t="s">
        <v>46</v>
      </c>
      <c r="D127" s="1" t="s">
        <v>219</v>
      </c>
      <c r="E127" s="1" t="s">
        <v>48</v>
      </c>
      <c r="F127" s="1">
        <v>1</v>
      </c>
      <c r="G127" s="1" t="s">
        <v>60</v>
      </c>
      <c r="H127" s="1" t="str">
        <f t="shared" si="6"/>
        <v xml:space="preserve">CEMPRESA='31' </v>
      </c>
      <c r="I127" s="1" t="str">
        <f t="shared" si="7"/>
        <v xml:space="preserve">AND CBALCAO='0003' </v>
      </c>
      <c r="J127" s="1" t="str">
        <f t="shared" si="8"/>
        <v xml:space="preserve">AND CNUMECTA='20718705096' </v>
      </c>
      <c r="K127" s="1" t="str">
        <f t="shared" si="9"/>
        <v xml:space="preserve">AND ZDEPOSIT='000000000000000' </v>
      </c>
      <c r="L127" s="1" t="str">
        <f t="shared" si="10"/>
        <v>WHEN CEMPRESA='31' AND CBALCAO='0003' AND CNUMECTA='20718705096' AND ZDEPOSIT='000000000000000' THEN 1</v>
      </c>
      <c r="M127" s="1" t="str">
        <f t="shared" si="11"/>
        <v>WHEN CEMPRESA='31' AND CBALCAO='0003' AND CNUMECTA='20718705096' AND ZDEPOSIT='000000000000000' THEN 'A.3.7.'</v>
      </c>
    </row>
    <row r="128" spans="2:13" x14ac:dyDescent="0.25">
      <c r="B128" s="1" t="s">
        <v>45</v>
      </c>
      <c r="C128" s="1" t="s">
        <v>46</v>
      </c>
      <c r="D128" s="1" t="s">
        <v>220</v>
      </c>
      <c r="E128" s="1" t="s">
        <v>48</v>
      </c>
      <c r="F128" s="1">
        <v>1</v>
      </c>
      <c r="G128" s="1" t="s">
        <v>60</v>
      </c>
      <c r="H128" s="1" t="str">
        <f t="shared" si="6"/>
        <v xml:space="preserve">CEMPRESA='31' </v>
      </c>
      <c r="I128" s="1" t="str">
        <f t="shared" si="7"/>
        <v xml:space="preserve">AND CBALCAO='0003' </v>
      </c>
      <c r="J128" s="1" t="str">
        <f t="shared" si="8"/>
        <v xml:space="preserve">AND CNUMECTA='20612932096' </v>
      </c>
      <c r="K128" s="1" t="str">
        <f t="shared" si="9"/>
        <v xml:space="preserve">AND ZDEPOSIT='000000000000000' </v>
      </c>
      <c r="L128" s="1" t="str">
        <f t="shared" si="10"/>
        <v>WHEN CEMPRESA='31' AND CBALCAO='0003' AND CNUMECTA='20612932096' AND ZDEPOSIT='000000000000000' THEN 1</v>
      </c>
      <c r="M128" s="1" t="str">
        <f t="shared" si="11"/>
        <v>WHEN CEMPRESA='31' AND CBALCAO='0003' AND CNUMECTA='20612932096' AND ZDEPOSIT='000000000000000' THEN 'A.3.7.'</v>
      </c>
    </row>
    <row r="129" spans="2:13" x14ac:dyDescent="0.25">
      <c r="B129" s="1" t="s">
        <v>45</v>
      </c>
      <c r="C129" s="1" t="s">
        <v>46</v>
      </c>
      <c r="D129" s="1" t="s">
        <v>221</v>
      </c>
      <c r="E129" s="1" t="s">
        <v>48</v>
      </c>
      <c r="F129" s="1">
        <v>1</v>
      </c>
      <c r="G129" s="1" t="s">
        <v>76</v>
      </c>
      <c r="H129" s="1" t="str">
        <f t="shared" si="6"/>
        <v xml:space="preserve">CEMPRESA='31' </v>
      </c>
      <c r="I129" s="1" t="str">
        <f t="shared" si="7"/>
        <v xml:space="preserve">AND CBALCAO='0003' </v>
      </c>
      <c r="J129" s="1" t="str">
        <f t="shared" si="8"/>
        <v xml:space="preserve">AND CNUMECTA='18605822097' </v>
      </c>
      <c r="K129" s="1" t="str">
        <f t="shared" si="9"/>
        <v xml:space="preserve">AND ZDEPOSIT='000000000000000' </v>
      </c>
      <c r="L129" s="1" t="str">
        <f t="shared" si="10"/>
        <v>WHEN CEMPRESA='31' AND CBALCAO='0003' AND CNUMECTA='18605822097' AND ZDEPOSIT='000000000000000' THEN 1</v>
      </c>
      <c r="M129" s="1" t="str">
        <f t="shared" si="11"/>
        <v>WHEN CEMPRESA='31' AND CBALCAO='0003' AND CNUMECTA='18605822097' AND ZDEPOSIT='000000000000000' THEN 'A.7.7.'</v>
      </c>
    </row>
    <row r="130" spans="2:13" x14ac:dyDescent="0.25">
      <c r="B130" s="1" t="s">
        <v>54</v>
      </c>
      <c r="C130" s="1" t="s">
        <v>55</v>
      </c>
      <c r="D130" s="1" t="s">
        <v>222</v>
      </c>
      <c r="E130" s="1" t="s">
        <v>223</v>
      </c>
      <c r="F130" s="1">
        <v>1</v>
      </c>
      <c r="G130" s="1" t="s">
        <v>58</v>
      </c>
      <c r="H130" s="1" t="str">
        <f t="shared" si="6"/>
        <v xml:space="preserve">CEMPRESA='89' </v>
      </c>
      <c r="I130" s="1" t="str">
        <f t="shared" si="7"/>
        <v xml:space="preserve">AND CBALCAO='0000' </v>
      </c>
      <c r="J130" s="1" t="str">
        <f t="shared" si="8"/>
        <v xml:space="preserve">AND CNUMECTA='00000249622' </v>
      </c>
      <c r="K130" s="1" t="str">
        <f t="shared" si="9"/>
        <v xml:space="preserve">AND ZDEPOSIT='000450000577476' </v>
      </c>
      <c r="L130" s="1" t="str">
        <f t="shared" si="10"/>
        <v>WHEN CEMPRESA='89' AND CBALCAO='0000' AND CNUMECTA='00000249622' AND ZDEPOSIT='000450000577476' THEN 1</v>
      </c>
      <c r="M130" s="1" t="str">
        <f t="shared" si="11"/>
        <v>WHEN CEMPRESA='89' AND CBALCAO='0000' AND CNUMECTA='00000249622' AND ZDEPOSIT='000450000577476' THEN 'A.2.5.'</v>
      </c>
    </row>
    <row r="131" spans="2:13" x14ac:dyDescent="0.25">
      <c r="B131" s="1" t="s">
        <v>45</v>
      </c>
      <c r="C131" s="1" t="s">
        <v>46</v>
      </c>
      <c r="D131" s="1" t="s">
        <v>224</v>
      </c>
      <c r="E131" s="1" t="s">
        <v>48</v>
      </c>
      <c r="F131" s="1">
        <v>1</v>
      </c>
      <c r="G131" s="1" t="s">
        <v>60</v>
      </c>
      <c r="H131" s="1" t="str">
        <f t="shared" si="6"/>
        <v xml:space="preserve">CEMPRESA='31' </v>
      </c>
      <c r="I131" s="1" t="str">
        <f t="shared" si="7"/>
        <v xml:space="preserve">AND CBALCAO='0003' </v>
      </c>
      <c r="J131" s="1" t="str">
        <f t="shared" si="8"/>
        <v xml:space="preserve">AND CNUMECTA='20518345096' </v>
      </c>
      <c r="K131" s="1" t="str">
        <f t="shared" si="9"/>
        <v xml:space="preserve">AND ZDEPOSIT='000000000000000' </v>
      </c>
      <c r="L131" s="1" t="str">
        <f t="shared" si="10"/>
        <v>WHEN CEMPRESA='31' AND CBALCAO='0003' AND CNUMECTA='20518345096' AND ZDEPOSIT='000000000000000' THEN 1</v>
      </c>
      <c r="M131" s="1" t="str">
        <f t="shared" si="11"/>
        <v>WHEN CEMPRESA='31' AND CBALCAO='0003' AND CNUMECTA='20518345096' AND ZDEPOSIT='000000000000000' THEN 'A.3.7.'</v>
      </c>
    </row>
    <row r="132" spans="2:13" x14ac:dyDescent="0.25">
      <c r="B132" s="1" t="s">
        <v>54</v>
      </c>
      <c r="C132" s="1" t="s">
        <v>55</v>
      </c>
      <c r="D132" s="1" t="s">
        <v>225</v>
      </c>
      <c r="E132" s="1" t="s">
        <v>226</v>
      </c>
      <c r="F132" s="1">
        <v>1</v>
      </c>
      <c r="G132" s="1" t="s">
        <v>58</v>
      </c>
      <c r="H132" s="1" t="str">
        <f t="shared" ref="H132:H195" si="12">+IF(LEN(TRIM(B132))&gt;0,UPPER($B$2)&amp;"='"&amp;TRIM(B132)&amp;"' ","")</f>
        <v xml:space="preserve">CEMPRESA='89' </v>
      </c>
      <c r="I132" s="1" t="str">
        <f t="shared" ref="I132:I195" si="13">+IF(LEN(TRIM(C132))&gt;0,UPPER($C$2)&amp;"='"&amp;TRIM(C132)&amp;"' ","")</f>
        <v xml:space="preserve">AND CBALCAO='0000' </v>
      </c>
      <c r="J132" s="1" t="str">
        <f t="shared" ref="J132:J195" si="14">+IF(LEN(TRIM(D132))&gt;0,UPPER($D$2)&amp;"='"&amp;TRIM(D132)&amp;"' ","")</f>
        <v xml:space="preserve">AND CNUMECTA='00000250307' </v>
      </c>
      <c r="K132" s="1" t="str">
        <f t="shared" ref="K132:K195" si="15">+IF(LEN(TRIM(E132))&gt;0,UPPER($E$2)&amp;"='"&amp;TRIM(E132)&amp;"' ","")</f>
        <v xml:space="preserve">AND ZDEPOSIT='000450000690334' </v>
      </c>
      <c r="L132" s="1" t="str">
        <f t="shared" ref="L132:L195" si="16">+"WHEN "&amp;H132&amp;I132&amp;J132&amp;K132&amp;"THEN "&amp;F132</f>
        <v>WHEN CEMPRESA='89' AND CBALCAO='0000' AND CNUMECTA='00000250307' AND ZDEPOSIT='000450000690334' THEN 1</v>
      </c>
      <c r="M132" s="1" t="str">
        <f t="shared" ref="M132:M195" si="17">+"WHEN "&amp;H132&amp;I132&amp;J132&amp;K132&amp;"THEN "&amp;G132</f>
        <v>WHEN CEMPRESA='89' AND CBALCAO='0000' AND CNUMECTA='00000250307' AND ZDEPOSIT='000450000690334' THEN 'A.2.5.'</v>
      </c>
    </row>
    <row r="133" spans="2:13" x14ac:dyDescent="0.25">
      <c r="B133" s="1" t="s">
        <v>54</v>
      </c>
      <c r="C133" s="1" t="s">
        <v>55</v>
      </c>
      <c r="D133" s="1" t="s">
        <v>227</v>
      </c>
      <c r="E133" s="1" t="s">
        <v>228</v>
      </c>
      <c r="F133" s="1">
        <v>1</v>
      </c>
      <c r="G133" s="1" t="s">
        <v>58</v>
      </c>
      <c r="H133" s="1" t="str">
        <f t="shared" si="12"/>
        <v xml:space="preserve">CEMPRESA='89' </v>
      </c>
      <c r="I133" s="1" t="str">
        <f t="shared" si="13"/>
        <v xml:space="preserve">AND CBALCAO='0000' </v>
      </c>
      <c r="J133" s="1" t="str">
        <f t="shared" si="14"/>
        <v xml:space="preserve">AND CNUMECTA='00000250026' </v>
      </c>
      <c r="K133" s="1" t="str">
        <f t="shared" si="15"/>
        <v xml:space="preserve">AND ZDEPOSIT='000450000619047' </v>
      </c>
      <c r="L133" s="1" t="str">
        <f t="shared" si="16"/>
        <v>WHEN CEMPRESA='89' AND CBALCAO='0000' AND CNUMECTA='00000250026' AND ZDEPOSIT='000450000619047' THEN 1</v>
      </c>
      <c r="M133" s="1" t="str">
        <f t="shared" si="17"/>
        <v>WHEN CEMPRESA='89' AND CBALCAO='0000' AND CNUMECTA='00000250026' AND ZDEPOSIT='000450000619047' THEN 'A.2.5.'</v>
      </c>
    </row>
    <row r="134" spans="2:13" x14ac:dyDescent="0.25">
      <c r="B134" s="1" t="s">
        <v>54</v>
      </c>
      <c r="C134" s="1" t="s">
        <v>55</v>
      </c>
      <c r="D134" s="1" t="s">
        <v>229</v>
      </c>
      <c r="E134" s="1" t="s">
        <v>230</v>
      </c>
      <c r="F134" s="1">
        <v>1</v>
      </c>
      <c r="G134" s="1" t="s">
        <v>58</v>
      </c>
      <c r="H134" s="1" t="str">
        <f t="shared" si="12"/>
        <v xml:space="preserve">CEMPRESA='89' </v>
      </c>
      <c r="I134" s="1" t="str">
        <f t="shared" si="13"/>
        <v xml:space="preserve">AND CBALCAO='0000' </v>
      </c>
      <c r="J134" s="1" t="str">
        <f t="shared" si="14"/>
        <v xml:space="preserve">AND CNUMECTA='00000250383' </v>
      </c>
      <c r="K134" s="1" t="str">
        <f t="shared" si="15"/>
        <v xml:space="preserve">AND ZDEPOSIT='000450000464914' </v>
      </c>
      <c r="L134" s="1" t="str">
        <f t="shared" si="16"/>
        <v>WHEN CEMPRESA='89' AND CBALCAO='0000' AND CNUMECTA='00000250383' AND ZDEPOSIT='000450000464914' THEN 1</v>
      </c>
      <c r="M134" s="1" t="str">
        <f t="shared" si="17"/>
        <v>WHEN CEMPRESA='89' AND CBALCAO='0000' AND CNUMECTA='00000250383' AND ZDEPOSIT='000450000464914' THEN 'A.2.5.'</v>
      </c>
    </row>
    <row r="135" spans="2:13" x14ac:dyDescent="0.25">
      <c r="B135" s="1" t="s">
        <v>45</v>
      </c>
      <c r="C135" s="1" t="s">
        <v>46</v>
      </c>
      <c r="D135" s="1" t="s">
        <v>231</v>
      </c>
      <c r="E135" s="1" t="s">
        <v>48</v>
      </c>
      <c r="F135" s="1">
        <v>1</v>
      </c>
      <c r="G135" s="1" t="s">
        <v>60</v>
      </c>
      <c r="H135" s="1" t="str">
        <f t="shared" si="12"/>
        <v xml:space="preserve">CEMPRESA='31' </v>
      </c>
      <c r="I135" s="1" t="str">
        <f t="shared" si="13"/>
        <v xml:space="preserve">AND CBALCAO='0003' </v>
      </c>
      <c r="J135" s="1" t="str">
        <f t="shared" si="14"/>
        <v xml:space="preserve">AND CNUMECTA='20502307096' </v>
      </c>
      <c r="K135" s="1" t="str">
        <f t="shared" si="15"/>
        <v xml:space="preserve">AND ZDEPOSIT='000000000000000' </v>
      </c>
      <c r="L135" s="1" t="str">
        <f t="shared" si="16"/>
        <v>WHEN CEMPRESA='31' AND CBALCAO='0003' AND CNUMECTA='20502307096' AND ZDEPOSIT='000000000000000' THEN 1</v>
      </c>
      <c r="M135" s="1" t="str">
        <f t="shared" si="17"/>
        <v>WHEN CEMPRESA='31' AND CBALCAO='0003' AND CNUMECTA='20502307096' AND ZDEPOSIT='000000000000000' THEN 'A.3.7.'</v>
      </c>
    </row>
    <row r="136" spans="2:13" x14ac:dyDescent="0.25">
      <c r="B136" s="1" t="s">
        <v>45</v>
      </c>
      <c r="C136" s="1" t="s">
        <v>46</v>
      </c>
      <c r="D136" s="1" t="s">
        <v>232</v>
      </c>
      <c r="E136" s="1" t="s">
        <v>48</v>
      </c>
      <c r="F136" s="1">
        <v>1</v>
      </c>
      <c r="G136" s="1" t="s">
        <v>60</v>
      </c>
      <c r="H136" s="1" t="str">
        <f t="shared" si="12"/>
        <v xml:space="preserve">CEMPRESA='31' </v>
      </c>
      <c r="I136" s="1" t="str">
        <f t="shared" si="13"/>
        <v xml:space="preserve">AND CBALCAO='0003' </v>
      </c>
      <c r="J136" s="1" t="str">
        <f t="shared" si="14"/>
        <v xml:space="preserve">AND CNUMECTA='20691696096' </v>
      </c>
      <c r="K136" s="1" t="str">
        <f t="shared" si="15"/>
        <v xml:space="preserve">AND ZDEPOSIT='000000000000000' </v>
      </c>
      <c r="L136" s="1" t="str">
        <f t="shared" si="16"/>
        <v>WHEN CEMPRESA='31' AND CBALCAO='0003' AND CNUMECTA='20691696096' AND ZDEPOSIT='000000000000000' THEN 1</v>
      </c>
      <c r="M136" s="1" t="str">
        <f t="shared" si="17"/>
        <v>WHEN CEMPRESA='31' AND CBALCAO='0003' AND CNUMECTA='20691696096' AND ZDEPOSIT='000000000000000' THEN 'A.3.7.'</v>
      </c>
    </row>
    <row r="137" spans="2:13" x14ac:dyDescent="0.25">
      <c r="B137" s="1" t="s">
        <v>54</v>
      </c>
      <c r="C137" s="1" t="s">
        <v>55</v>
      </c>
      <c r="D137" s="1" t="s">
        <v>233</v>
      </c>
      <c r="E137" s="1" t="s">
        <v>234</v>
      </c>
      <c r="F137" s="1">
        <v>1</v>
      </c>
      <c r="G137" s="1" t="s">
        <v>209</v>
      </c>
      <c r="H137" s="1" t="str">
        <f t="shared" si="12"/>
        <v xml:space="preserve">CEMPRESA='89' </v>
      </c>
      <c r="I137" s="1" t="str">
        <f t="shared" si="13"/>
        <v xml:space="preserve">AND CBALCAO='0000' </v>
      </c>
      <c r="J137" s="1" t="str">
        <f t="shared" si="14"/>
        <v xml:space="preserve">AND CNUMECTA='20240000303' </v>
      </c>
      <c r="K137" s="1" t="str">
        <f t="shared" si="15"/>
        <v xml:space="preserve">AND ZDEPOSIT='001520240387054' </v>
      </c>
      <c r="L137" s="1" t="str">
        <f t="shared" si="16"/>
        <v>WHEN CEMPRESA='89' AND CBALCAO='0000' AND CNUMECTA='20240000303' AND ZDEPOSIT='001520240387054' THEN 1</v>
      </c>
      <c r="M137" s="1" t="str">
        <f t="shared" si="17"/>
        <v>WHEN CEMPRESA='89' AND CBALCAO='0000' AND CNUMECTA='20240000303' AND ZDEPOSIT='001520240387054' THEN 'A.3.1.'</v>
      </c>
    </row>
    <row r="138" spans="2:13" x14ac:dyDescent="0.25">
      <c r="B138" s="1" t="s">
        <v>54</v>
      </c>
      <c r="C138" s="1" t="s">
        <v>55</v>
      </c>
      <c r="D138" s="1" t="s">
        <v>235</v>
      </c>
      <c r="E138" s="1" t="s">
        <v>236</v>
      </c>
      <c r="F138" s="1">
        <v>1</v>
      </c>
      <c r="G138" s="1" t="s">
        <v>58</v>
      </c>
      <c r="H138" s="1" t="str">
        <f t="shared" si="12"/>
        <v xml:space="preserve">CEMPRESA='89' </v>
      </c>
      <c r="I138" s="1" t="str">
        <f t="shared" si="13"/>
        <v xml:space="preserve">AND CBALCAO='0000' </v>
      </c>
      <c r="J138" s="1" t="str">
        <f t="shared" si="14"/>
        <v xml:space="preserve">AND CNUMECTA='00008046374' </v>
      </c>
      <c r="K138" s="1" t="str">
        <f t="shared" si="15"/>
        <v xml:space="preserve">AND ZDEPOSIT='000530000734019' </v>
      </c>
      <c r="L138" s="1" t="str">
        <f t="shared" si="16"/>
        <v>WHEN CEMPRESA='89' AND CBALCAO='0000' AND CNUMECTA='00008046374' AND ZDEPOSIT='000530000734019' THEN 1</v>
      </c>
      <c r="M138" s="1" t="str">
        <f t="shared" si="17"/>
        <v>WHEN CEMPRESA='89' AND CBALCAO='0000' AND CNUMECTA='00008046374' AND ZDEPOSIT='000530000734019' THEN 'A.2.5.'</v>
      </c>
    </row>
    <row r="139" spans="2:13" x14ac:dyDescent="0.25">
      <c r="B139" s="1" t="s">
        <v>45</v>
      </c>
      <c r="C139" s="1" t="s">
        <v>46</v>
      </c>
      <c r="D139" s="1" t="s">
        <v>237</v>
      </c>
      <c r="E139" s="1" t="s">
        <v>48</v>
      </c>
      <c r="F139" s="1">
        <v>1</v>
      </c>
      <c r="G139" s="1" t="s">
        <v>60</v>
      </c>
      <c r="H139" s="1" t="str">
        <f t="shared" si="12"/>
        <v xml:space="preserve">CEMPRESA='31' </v>
      </c>
      <c r="I139" s="1" t="str">
        <f t="shared" si="13"/>
        <v xml:space="preserve">AND CBALCAO='0003' </v>
      </c>
      <c r="J139" s="1" t="str">
        <f t="shared" si="14"/>
        <v xml:space="preserve">AND CNUMECTA='20450143096' </v>
      </c>
      <c r="K139" s="1" t="str">
        <f t="shared" si="15"/>
        <v xml:space="preserve">AND ZDEPOSIT='000000000000000' </v>
      </c>
      <c r="L139" s="1" t="str">
        <f t="shared" si="16"/>
        <v>WHEN CEMPRESA='31' AND CBALCAO='0003' AND CNUMECTA='20450143096' AND ZDEPOSIT='000000000000000' THEN 1</v>
      </c>
      <c r="M139" s="1" t="str">
        <f t="shared" si="17"/>
        <v>WHEN CEMPRESA='31' AND CBALCAO='0003' AND CNUMECTA='20450143096' AND ZDEPOSIT='000000000000000' THEN 'A.3.7.'</v>
      </c>
    </row>
    <row r="140" spans="2:13" x14ac:dyDescent="0.25">
      <c r="B140" s="1" t="s">
        <v>45</v>
      </c>
      <c r="C140" s="1" t="s">
        <v>46</v>
      </c>
      <c r="D140" s="1" t="s">
        <v>238</v>
      </c>
      <c r="E140" s="1" t="s">
        <v>48</v>
      </c>
      <c r="F140" s="1">
        <v>1</v>
      </c>
      <c r="G140" s="1" t="s">
        <v>76</v>
      </c>
      <c r="H140" s="1" t="str">
        <f t="shared" si="12"/>
        <v xml:space="preserve">CEMPRESA='31' </v>
      </c>
      <c r="I140" s="1" t="str">
        <f t="shared" si="13"/>
        <v xml:space="preserve">AND CBALCAO='0003' </v>
      </c>
      <c r="J140" s="1" t="str">
        <f t="shared" si="14"/>
        <v xml:space="preserve">AND CNUMECTA='18606242097' </v>
      </c>
      <c r="K140" s="1" t="str">
        <f t="shared" si="15"/>
        <v xml:space="preserve">AND ZDEPOSIT='000000000000000' </v>
      </c>
      <c r="L140" s="1" t="str">
        <f t="shared" si="16"/>
        <v>WHEN CEMPRESA='31' AND CBALCAO='0003' AND CNUMECTA='18606242097' AND ZDEPOSIT='000000000000000' THEN 1</v>
      </c>
      <c r="M140" s="1" t="str">
        <f t="shared" si="17"/>
        <v>WHEN CEMPRESA='31' AND CBALCAO='0003' AND CNUMECTA='18606242097' AND ZDEPOSIT='000000000000000' THEN 'A.7.7.'</v>
      </c>
    </row>
    <row r="141" spans="2:13" x14ac:dyDescent="0.25">
      <c r="B141" s="1" t="s">
        <v>45</v>
      </c>
      <c r="C141" s="1" t="s">
        <v>46</v>
      </c>
      <c r="D141" s="1" t="s">
        <v>239</v>
      </c>
      <c r="E141" s="1" t="s">
        <v>48</v>
      </c>
      <c r="F141" s="1">
        <v>1</v>
      </c>
      <c r="G141" s="1" t="s">
        <v>209</v>
      </c>
      <c r="H141" s="1" t="str">
        <f t="shared" si="12"/>
        <v xml:space="preserve">CEMPRESA='31' </v>
      </c>
      <c r="I141" s="1" t="str">
        <f t="shared" si="13"/>
        <v xml:space="preserve">AND CBALCAO='0003' </v>
      </c>
      <c r="J141" s="1" t="str">
        <f t="shared" si="14"/>
        <v xml:space="preserve">AND CNUMECTA='20711254096' </v>
      </c>
      <c r="K141" s="1" t="str">
        <f t="shared" si="15"/>
        <v xml:space="preserve">AND ZDEPOSIT='000000000000000' </v>
      </c>
      <c r="L141" s="1" t="str">
        <f t="shared" si="16"/>
        <v>WHEN CEMPRESA='31' AND CBALCAO='0003' AND CNUMECTA='20711254096' AND ZDEPOSIT='000000000000000' THEN 1</v>
      </c>
      <c r="M141" s="1" t="str">
        <f t="shared" si="17"/>
        <v>WHEN CEMPRESA='31' AND CBALCAO='0003' AND CNUMECTA='20711254096' AND ZDEPOSIT='000000000000000' THEN 'A.3.1.'</v>
      </c>
    </row>
    <row r="142" spans="2:13" x14ac:dyDescent="0.25">
      <c r="B142" s="1" t="s">
        <v>45</v>
      </c>
      <c r="C142" s="1" t="s">
        <v>46</v>
      </c>
      <c r="D142" s="1" t="s">
        <v>240</v>
      </c>
      <c r="E142" s="1" t="s">
        <v>48</v>
      </c>
      <c r="F142" s="1">
        <v>1</v>
      </c>
      <c r="G142" s="1" t="s">
        <v>60</v>
      </c>
      <c r="H142" s="1" t="str">
        <f t="shared" si="12"/>
        <v xml:space="preserve">CEMPRESA='31' </v>
      </c>
      <c r="I142" s="1" t="str">
        <f t="shared" si="13"/>
        <v xml:space="preserve">AND CBALCAO='0003' </v>
      </c>
      <c r="J142" s="1" t="str">
        <f t="shared" si="14"/>
        <v xml:space="preserve">AND CNUMECTA='20636188096' </v>
      </c>
      <c r="K142" s="1" t="str">
        <f t="shared" si="15"/>
        <v xml:space="preserve">AND ZDEPOSIT='000000000000000' </v>
      </c>
      <c r="L142" s="1" t="str">
        <f t="shared" si="16"/>
        <v>WHEN CEMPRESA='31' AND CBALCAO='0003' AND CNUMECTA='20636188096' AND ZDEPOSIT='000000000000000' THEN 1</v>
      </c>
      <c r="M142" s="1" t="str">
        <f t="shared" si="17"/>
        <v>WHEN CEMPRESA='31' AND CBALCAO='0003' AND CNUMECTA='20636188096' AND ZDEPOSIT='000000000000000' THEN 'A.3.7.'</v>
      </c>
    </row>
    <row r="143" spans="2:13" x14ac:dyDescent="0.25">
      <c r="B143" s="1" t="s">
        <v>45</v>
      </c>
      <c r="C143" s="1" t="s">
        <v>46</v>
      </c>
      <c r="D143" s="1" t="s">
        <v>241</v>
      </c>
      <c r="E143" s="1" t="s">
        <v>48</v>
      </c>
      <c r="F143" s="1">
        <v>1</v>
      </c>
      <c r="G143" s="1" t="s">
        <v>60</v>
      </c>
      <c r="H143" s="1" t="str">
        <f t="shared" si="12"/>
        <v xml:space="preserve">CEMPRESA='31' </v>
      </c>
      <c r="I143" s="1" t="str">
        <f t="shared" si="13"/>
        <v xml:space="preserve">AND CBALCAO='0003' </v>
      </c>
      <c r="J143" s="1" t="str">
        <f t="shared" si="14"/>
        <v xml:space="preserve">AND CNUMECTA='20575287096' </v>
      </c>
      <c r="K143" s="1" t="str">
        <f t="shared" si="15"/>
        <v xml:space="preserve">AND ZDEPOSIT='000000000000000' </v>
      </c>
      <c r="L143" s="1" t="str">
        <f t="shared" si="16"/>
        <v>WHEN CEMPRESA='31' AND CBALCAO='0003' AND CNUMECTA='20575287096' AND ZDEPOSIT='000000000000000' THEN 1</v>
      </c>
      <c r="M143" s="1" t="str">
        <f t="shared" si="17"/>
        <v>WHEN CEMPRESA='31' AND CBALCAO='0003' AND CNUMECTA='20575287096' AND ZDEPOSIT='000000000000000' THEN 'A.3.7.'</v>
      </c>
    </row>
    <row r="144" spans="2:13" x14ac:dyDescent="0.25">
      <c r="B144" s="1" t="s">
        <v>45</v>
      </c>
      <c r="C144" s="1" t="s">
        <v>114</v>
      </c>
      <c r="D144" s="1" t="s">
        <v>115</v>
      </c>
      <c r="E144" s="1" t="s">
        <v>242</v>
      </c>
      <c r="F144" s="1">
        <v>1</v>
      </c>
      <c r="G144" s="1" t="s">
        <v>117</v>
      </c>
      <c r="H144" s="1" t="str">
        <f t="shared" si="12"/>
        <v xml:space="preserve">CEMPRESA='31' </v>
      </c>
      <c r="I144" s="1" t="str">
        <f t="shared" si="13"/>
        <v xml:space="preserve">AND CBALCAO='6416' </v>
      </c>
      <c r="J144" s="1" t="str">
        <f t="shared" si="14"/>
        <v xml:space="preserve">AND CNUMECTA='00000001085' </v>
      </c>
      <c r="K144" s="1" t="str">
        <f t="shared" si="15"/>
        <v xml:space="preserve">AND ZDEPOSIT='PC0652829000000' </v>
      </c>
      <c r="L144" s="1" t="str">
        <f t="shared" si="16"/>
        <v>WHEN CEMPRESA='31' AND CBALCAO='6416' AND CNUMECTA='00000001085' AND ZDEPOSIT='PC0652829000000' THEN 1</v>
      </c>
      <c r="M144" s="1" t="str">
        <f t="shared" si="17"/>
        <v>WHEN CEMPRESA='31' AND CBALCAO='6416' AND CNUMECTA='00000001085' AND ZDEPOSIT='PC0652829000000' THEN 'Sustainability Linked Finance - Default'</v>
      </c>
    </row>
    <row r="145" spans="2:13" x14ac:dyDescent="0.25">
      <c r="B145" s="1" t="s">
        <v>45</v>
      </c>
      <c r="C145" s="1" t="s">
        <v>46</v>
      </c>
      <c r="D145" s="1" t="s">
        <v>243</v>
      </c>
      <c r="E145" s="1" t="s">
        <v>48</v>
      </c>
      <c r="F145" s="1">
        <v>1</v>
      </c>
      <c r="G145" s="1" t="s">
        <v>60</v>
      </c>
      <c r="H145" s="1" t="str">
        <f t="shared" si="12"/>
        <v xml:space="preserve">CEMPRESA='31' </v>
      </c>
      <c r="I145" s="1" t="str">
        <f t="shared" si="13"/>
        <v xml:space="preserve">AND CBALCAO='0003' </v>
      </c>
      <c r="J145" s="1" t="str">
        <f t="shared" si="14"/>
        <v xml:space="preserve">AND CNUMECTA='20456934096' </v>
      </c>
      <c r="K145" s="1" t="str">
        <f t="shared" si="15"/>
        <v xml:space="preserve">AND ZDEPOSIT='000000000000000' </v>
      </c>
      <c r="L145" s="1" t="str">
        <f t="shared" si="16"/>
        <v>WHEN CEMPRESA='31' AND CBALCAO='0003' AND CNUMECTA='20456934096' AND ZDEPOSIT='000000000000000' THEN 1</v>
      </c>
      <c r="M145" s="1" t="str">
        <f t="shared" si="17"/>
        <v>WHEN CEMPRESA='31' AND CBALCAO='0003' AND CNUMECTA='20456934096' AND ZDEPOSIT='000000000000000' THEN 'A.3.7.'</v>
      </c>
    </row>
    <row r="146" spans="2:13" x14ac:dyDescent="0.25">
      <c r="B146" s="1" t="s">
        <v>54</v>
      </c>
      <c r="C146" s="1" t="s">
        <v>55</v>
      </c>
      <c r="D146" s="1" t="s">
        <v>244</v>
      </c>
      <c r="E146" s="1" t="s">
        <v>155</v>
      </c>
      <c r="F146" s="1">
        <v>1</v>
      </c>
      <c r="G146" s="1" t="s">
        <v>58</v>
      </c>
      <c r="H146" s="1" t="str">
        <f t="shared" si="12"/>
        <v xml:space="preserve">CEMPRESA='89' </v>
      </c>
      <c r="I146" s="1" t="str">
        <f t="shared" si="13"/>
        <v xml:space="preserve">AND CBALCAO='0000' </v>
      </c>
      <c r="J146" s="1" t="str">
        <f t="shared" si="14"/>
        <v xml:space="preserve">AND CNUMECTA='00000250393' </v>
      </c>
      <c r="K146" s="1" t="str">
        <f t="shared" si="15"/>
        <v xml:space="preserve">AND ZDEPOSIT='000450000479263' </v>
      </c>
      <c r="L146" s="1" t="str">
        <f t="shared" si="16"/>
        <v>WHEN CEMPRESA='89' AND CBALCAO='0000' AND CNUMECTA='00000250393' AND ZDEPOSIT='000450000479263' THEN 1</v>
      </c>
      <c r="M146" s="1" t="str">
        <f t="shared" si="17"/>
        <v>WHEN CEMPRESA='89' AND CBALCAO='0000' AND CNUMECTA='00000250393' AND ZDEPOSIT='000450000479263' THEN 'A.2.5.'</v>
      </c>
    </row>
    <row r="147" spans="2:13" x14ac:dyDescent="0.25">
      <c r="B147" s="1" t="s">
        <v>45</v>
      </c>
      <c r="C147" s="1" t="s">
        <v>46</v>
      </c>
      <c r="D147" s="1" t="s">
        <v>245</v>
      </c>
      <c r="E147" s="1" t="s">
        <v>48</v>
      </c>
      <c r="F147" s="1">
        <v>1</v>
      </c>
      <c r="G147" s="1" t="s">
        <v>60</v>
      </c>
      <c r="H147" s="1" t="str">
        <f t="shared" si="12"/>
        <v xml:space="preserve">CEMPRESA='31' </v>
      </c>
      <c r="I147" s="1" t="str">
        <f t="shared" si="13"/>
        <v xml:space="preserve">AND CBALCAO='0003' </v>
      </c>
      <c r="J147" s="1" t="str">
        <f t="shared" si="14"/>
        <v xml:space="preserve">AND CNUMECTA='20711841096' </v>
      </c>
      <c r="K147" s="1" t="str">
        <f t="shared" si="15"/>
        <v xml:space="preserve">AND ZDEPOSIT='000000000000000' </v>
      </c>
      <c r="L147" s="1" t="str">
        <f t="shared" si="16"/>
        <v>WHEN CEMPRESA='31' AND CBALCAO='0003' AND CNUMECTA='20711841096' AND ZDEPOSIT='000000000000000' THEN 1</v>
      </c>
      <c r="M147" s="1" t="str">
        <f t="shared" si="17"/>
        <v>WHEN CEMPRESA='31' AND CBALCAO='0003' AND CNUMECTA='20711841096' AND ZDEPOSIT='000000000000000' THEN 'A.3.7.'</v>
      </c>
    </row>
    <row r="148" spans="2:13" x14ac:dyDescent="0.25">
      <c r="B148" s="1" t="s">
        <v>45</v>
      </c>
      <c r="C148" s="1" t="s">
        <v>46</v>
      </c>
      <c r="D148" s="1" t="s">
        <v>246</v>
      </c>
      <c r="E148" s="1" t="s">
        <v>48</v>
      </c>
      <c r="F148" s="1">
        <v>1</v>
      </c>
      <c r="G148" s="1" t="s">
        <v>60</v>
      </c>
      <c r="H148" s="1" t="str">
        <f t="shared" si="12"/>
        <v xml:space="preserve">CEMPRESA='31' </v>
      </c>
      <c r="I148" s="1" t="str">
        <f t="shared" si="13"/>
        <v xml:space="preserve">AND CBALCAO='0003' </v>
      </c>
      <c r="J148" s="1" t="str">
        <f t="shared" si="14"/>
        <v xml:space="preserve">AND CNUMECTA='20542238096' </v>
      </c>
      <c r="K148" s="1" t="str">
        <f t="shared" si="15"/>
        <v xml:space="preserve">AND ZDEPOSIT='000000000000000' </v>
      </c>
      <c r="L148" s="1" t="str">
        <f t="shared" si="16"/>
        <v>WHEN CEMPRESA='31' AND CBALCAO='0003' AND CNUMECTA='20542238096' AND ZDEPOSIT='000000000000000' THEN 1</v>
      </c>
      <c r="M148" s="1" t="str">
        <f t="shared" si="17"/>
        <v>WHEN CEMPRESA='31' AND CBALCAO='0003' AND CNUMECTA='20542238096' AND ZDEPOSIT='000000000000000' THEN 'A.3.7.'</v>
      </c>
    </row>
    <row r="149" spans="2:13" x14ac:dyDescent="0.25">
      <c r="B149" s="1" t="s">
        <v>45</v>
      </c>
      <c r="C149" s="1" t="s">
        <v>46</v>
      </c>
      <c r="D149" s="1" t="s">
        <v>247</v>
      </c>
      <c r="E149" s="1" t="s">
        <v>48</v>
      </c>
      <c r="F149" s="1">
        <v>1</v>
      </c>
      <c r="G149" s="1" t="s">
        <v>60</v>
      </c>
      <c r="H149" s="1" t="str">
        <f t="shared" si="12"/>
        <v xml:space="preserve">CEMPRESA='31' </v>
      </c>
      <c r="I149" s="1" t="str">
        <f t="shared" si="13"/>
        <v xml:space="preserve">AND CBALCAO='0003' </v>
      </c>
      <c r="J149" s="1" t="str">
        <f t="shared" si="14"/>
        <v xml:space="preserve">AND CNUMECTA='20422043096' </v>
      </c>
      <c r="K149" s="1" t="str">
        <f t="shared" si="15"/>
        <v xml:space="preserve">AND ZDEPOSIT='000000000000000' </v>
      </c>
      <c r="L149" s="1" t="str">
        <f t="shared" si="16"/>
        <v>WHEN CEMPRESA='31' AND CBALCAO='0003' AND CNUMECTA='20422043096' AND ZDEPOSIT='000000000000000' THEN 1</v>
      </c>
      <c r="M149" s="1" t="str">
        <f t="shared" si="17"/>
        <v>WHEN CEMPRESA='31' AND CBALCAO='0003' AND CNUMECTA='20422043096' AND ZDEPOSIT='000000000000000' THEN 'A.3.7.'</v>
      </c>
    </row>
    <row r="150" spans="2:13" x14ac:dyDescent="0.25">
      <c r="B150" s="1" t="s">
        <v>45</v>
      </c>
      <c r="C150" s="1" t="s">
        <v>46</v>
      </c>
      <c r="D150" s="1" t="s">
        <v>248</v>
      </c>
      <c r="E150" s="1" t="s">
        <v>48</v>
      </c>
      <c r="F150" s="1">
        <v>1</v>
      </c>
      <c r="G150" s="1" t="s">
        <v>60</v>
      </c>
      <c r="H150" s="1" t="str">
        <f t="shared" si="12"/>
        <v xml:space="preserve">CEMPRESA='31' </v>
      </c>
      <c r="I150" s="1" t="str">
        <f t="shared" si="13"/>
        <v xml:space="preserve">AND CBALCAO='0003' </v>
      </c>
      <c r="J150" s="1" t="str">
        <f t="shared" si="14"/>
        <v xml:space="preserve">AND CNUMECTA='20462999096' </v>
      </c>
      <c r="K150" s="1" t="str">
        <f t="shared" si="15"/>
        <v xml:space="preserve">AND ZDEPOSIT='000000000000000' </v>
      </c>
      <c r="L150" s="1" t="str">
        <f t="shared" si="16"/>
        <v>WHEN CEMPRESA='31' AND CBALCAO='0003' AND CNUMECTA='20462999096' AND ZDEPOSIT='000000000000000' THEN 1</v>
      </c>
      <c r="M150" s="1" t="str">
        <f t="shared" si="17"/>
        <v>WHEN CEMPRESA='31' AND CBALCAO='0003' AND CNUMECTA='20462999096' AND ZDEPOSIT='000000000000000' THEN 'A.3.7.'</v>
      </c>
    </row>
    <row r="151" spans="2:13" x14ac:dyDescent="0.25">
      <c r="B151" s="1" t="s">
        <v>45</v>
      </c>
      <c r="C151" s="1" t="s">
        <v>46</v>
      </c>
      <c r="D151" s="1" t="s">
        <v>249</v>
      </c>
      <c r="E151" s="1" t="s">
        <v>48</v>
      </c>
      <c r="F151" s="1">
        <v>1</v>
      </c>
      <c r="G151" s="1" t="s">
        <v>60</v>
      </c>
      <c r="H151" s="1" t="str">
        <f t="shared" si="12"/>
        <v xml:space="preserve">CEMPRESA='31' </v>
      </c>
      <c r="I151" s="1" t="str">
        <f t="shared" si="13"/>
        <v xml:space="preserve">AND CBALCAO='0003' </v>
      </c>
      <c r="J151" s="1" t="str">
        <f t="shared" si="14"/>
        <v xml:space="preserve">AND CNUMECTA='20681499096' </v>
      </c>
      <c r="K151" s="1" t="str">
        <f t="shared" si="15"/>
        <v xml:space="preserve">AND ZDEPOSIT='000000000000000' </v>
      </c>
      <c r="L151" s="1" t="str">
        <f t="shared" si="16"/>
        <v>WHEN CEMPRESA='31' AND CBALCAO='0003' AND CNUMECTA='20681499096' AND ZDEPOSIT='000000000000000' THEN 1</v>
      </c>
      <c r="M151" s="1" t="str">
        <f t="shared" si="17"/>
        <v>WHEN CEMPRESA='31' AND CBALCAO='0003' AND CNUMECTA='20681499096' AND ZDEPOSIT='000000000000000' THEN 'A.3.7.'</v>
      </c>
    </row>
    <row r="152" spans="2:13" x14ac:dyDescent="0.25">
      <c r="B152" s="1" t="s">
        <v>45</v>
      </c>
      <c r="C152" s="1" t="s">
        <v>46</v>
      </c>
      <c r="D152" s="1" t="s">
        <v>250</v>
      </c>
      <c r="E152" s="1" t="s">
        <v>48</v>
      </c>
      <c r="F152" s="1">
        <v>1</v>
      </c>
      <c r="G152" s="1" t="s">
        <v>60</v>
      </c>
      <c r="H152" s="1" t="str">
        <f t="shared" si="12"/>
        <v xml:space="preserve">CEMPRESA='31' </v>
      </c>
      <c r="I152" s="1" t="str">
        <f t="shared" si="13"/>
        <v xml:space="preserve">AND CBALCAO='0003' </v>
      </c>
      <c r="J152" s="1" t="str">
        <f t="shared" si="14"/>
        <v xml:space="preserve">AND CNUMECTA='20613427096' </v>
      </c>
      <c r="K152" s="1" t="str">
        <f t="shared" si="15"/>
        <v xml:space="preserve">AND ZDEPOSIT='000000000000000' </v>
      </c>
      <c r="L152" s="1" t="str">
        <f t="shared" si="16"/>
        <v>WHEN CEMPRESA='31' AND CBALCAO='0003' AND CNUMECTA='20613427096' AND ZDEPOSIT='000000000000000' THEN 1</v>
      </c>
      <c r="M152" s="1" t="str">
        <f t="shared" si="17"/>
        <v>WHEN CEMPRESA='31' AND CBALCAO='0003' AND CNUMECTA='20613427096' AND ZDEPOSIT='000000000000000' THEN 'A.3.7.'</v>
      </c>
    </row>
    <row r="153" spans="2:13" x14ac:dyDescent="0.25">
      <c r="B153" s="1" t="s">
        <v>45</v>
      </c>
      <c r="C153" s="1" t="s">
        <v>46</v>
      </c>
      <c r="D153" s="1" t="s">
        <v>251</v>
      </c>
      <c r="E153" s="1" t="s">
        <v>48</v>
      </c>
      <c r="F153" s="1">
        <v>1</v>
      </c>
      <c r="G153" s="1" t="s">
        <v>51</v>
      </c>
      <c r="H153" s="1" t="str">
        <f t="shared" si="12"/>
        <v xml:space="preserve">CEMPRESA='31' </v>
      </c>
      <c r="I153" s="1" t="str">
        <f t="shared" si="13"/>
        <v xml:space="preserve">AND CBALCAO='0003' </v>
      </c>
      <c r="J153" s="1" t="str">
        <f t="shared" si="14"/>
        <v xml:space="preserve">AND CNUMECTA='20506811096' </v>
      </c>
      <c r="K153" s="1" t="str">
        <f t="shared" si="15"/>
        <v xml:space="preserve">AND ZDEPOSIT='000000000000000' </v>
      </c>
      <c r="L153" s="1" t="str">
        <f t="shared" si="16"/>
        <v>WHEN CEMPRESA='31' AND CBALCAO='0003' AND CNUMECTA='20506811096' AND ZDEPOSIT='000000000000000' THEN 1</v>
      </c>
      <c r="M153" s="1" t="str">
        <f t="shared" si="17"/>
        <v>WHEN CEMPRESA='31' AND CBALCAO='0003' AND CNUMECTA='20506811096' AND ZDEPOSIT='000000000000000' THEN 'B.1.'</v>
      </c>
    </row>
    <row r="154" spans="2:13" x14ac:dyDescent="0.25">
      <c r="B154" s="1" t="s">
        <v>45</v>
      </c>
      <c r="C154" s="1" t="s">
        <v>114</v>
      </c>
      <c r="D154" s="1" t="s">
        <v>115</v>
      </c>
      <c r="E154" s="1" t="s">
        <v>252</v>
      </c>
      <c r="F154" s="1">
        <v>1</v>
      </c>
      <c r="G154" s="1" t="s">
        <v>117</v>
      </c>
      <c r="H154" s="1" t="str">
        <f t="shared" si="12"/>
        <v xml:space="preserve">CEMPRESA='31' </v>
      </c>
      <c r="I154" s="1" t="str">
        <f t="shared" si="13"/>
        <v xml:space="preserve">AND CBALCAO='6416' </v>
      </c>
      <c r="J154" s="1" t="str">
        <f t="shared" si="14"/>
        <v xml:space="preserve">AND CNUMECTA='00000001085' </v>
      </c>
      <c r="K154" s="1" t="str">
        <f t="shared" si="15"/>
        <v xml:space="preserve">AND ZDEPOSIT='PC0656331000000' </v>
      </c>
      <c r="L154" s="1" t="str">
        <f t="shared" si="16"/>
        <v>WHEN CEMPRESA='31' AND CBALCAO='6416' AND CNUMECTA='00000001085' AND ZDEPOSIT='PC0656331000000' THEN 1</v>
      </c>
      <c r="M154" s="1" t="str">
        <f t="shared" si="17"/>
        <v>WHEN CEMPRESA='31' AND CBALCAO='6416' AND CNUMECTA='00000001085' AND ZDEPOSIT='PC0656331000000' THEN 'Sustainability Linked Finance - Default'</v>
      </c>
    </row>
    <row r="155" spans="2:13" x14ac:dyDescent="0.25">
      <c r="B155" s="1" t="s">
        <v>45</v>
      </c>
      <c r="C155" s="1" t="s">
        <v>46</v>
      </c>
      <c r="D155" s="1" t="s">
        <v>253</v>
      </c>
      <c r="E155" s="1" t="s">
        <v>48</v>
      </c>
      <c r="F155" s="1">
        <v>1</v>
      </c>
      <c r="G155" s="1" t="s">
        <v>60</v>
      </c>
      <c r="H155" s="1" t="str">
        <f t="shared" si="12"/>
        <v xml:space="preserve">CEMPRESA='31' </v>
      </c>
      <c r="I155" s="1" t="str">
        <f t="shared" si="13"/>
        <v xml:space="preserve">AND CBALCAO='0003' </v>
      </c>
      <c r="J155" s="1" t="str">
        <f t="shared" si="14"/>
        <v xml:space="preserve">AND CNUMECTA='20447339096' </v>
      </c>
      <c r="K155" s="1" t="str">
        <f t="shared" si="15"/>
        <v xml:space="preserve">AND ZDEPOSIT='000000000000000' </v>
      </c>
      <c r="L155" s="1" t="str">
        <f t="shared" si="16"/>
        <v>WHEN CEMPRESA='31' AND CBALCAO='0003' AND CNUMECTA='20447339096' AND ZDEPOSIT='000000000000000' THEN 1</v>
      </c>
      <c r="M155" s="1" t="str">
        <f t="shared" si="17"/>
        <v>WHEN CEMPRESA='31' AND CBALCAO='0003' AND CNUMECTA='20447339096' AND ZDEPOSIT='000000000000000' THEN 'A.3.7.'</v>
      </c>
    </row>
    <row r="156" spans="2:13" x14ac:dyDescent="0.25">
      <c r="B156" s="1" t="s">
        <v>45</v>
      </c>
      <c r="C156" s="1" t="s">
        <v>46</v>
      </c>
      <c r="D156" s="1" t="s">
        <v>254</v>
      </c>
      <c r="E156" s="1" t="s">
        <v>48</v>
      </c>
      <c r="F156" s="1">
        <v>1</v>
      </c>
      <c r="G156" s="1" t="s">
        <v>60</v>
      </c>
      <c r="H156" s="1" t="str">
        <f t="shared" si="12"/>
        <v xml:space="preserve">CEMPRESA='31' </v>
      </c>
      <c r="I156" s="1" t="str">
        <f t="shared" si="13"/>
        <v xml:space="preserve">AND CBALCAO='0003' </v>
      </c>
      <c r="J156" s="1" t="str">
        <f t="shared" si="14"/>
        <v xml:space="preserve">AND CNUMECTA='20618947096' </v>
      </c>
      <c r="K156" s="1" t="str">
        <f t="shared" si="15"/>
        <v xml:space="preserve">AND ZDEPOSIT='000000000000000' </v>
      </c>
      <c r="L156" s="1" t="str">
        <f t="shared" si="16"/>
        <v>WHEN CEMPRESA='31' AND CBALCAO='0003' AND CNUMECTA='20618947096' AND ZDEPOSIT='000000000000000' THEN 1</v>
      </c>
      <c r="M156" s="1" t="str">
        <f t="shared" si="17"/>
        <v>WHEN CEMPRESA='31' AND CBALCAO='0003' AND CNUMECTA='20618947096' AND ZDEPOSIT='000000000000000' THEN 'A.3.7.'</v>
      </c>
    </row>
    <row r="157" spans="2:13" x14ac:dyDescent="0.25">
      <c r="B157" s="1" t="s">
        <v>45</v>
      </c>
      <c r="C157" s="1" t="s">
        <v>46</v>
      </c>
      <c r="D157" s="1" t="s">
        <v>255</v>
      </c>
      <c r="E157" s="1" t="s">
        <v>48</v>
      </c>
      <c r="F157" s="1">
        <v>1</v>
      </c>
      <c r="G157" s="1" t="s">
        <v>60</v>
      </c>
      <c r="H157" s="1" t="str">
        <f t="shared" si="12"/>
        <v xml:space="preserve">CEMPRESA='31' </v>
      </c>
      <c r="I157" s="1" t="str">
        <f t="shared" si="13"/>
        <v xml:space="preserve">AND CBALCAO='0003' </v>
      </c>
      <c r="J157" s="1" t="str">
        <f t="shared" si="14"/>
        <v xml:space="preserve">AND CNUMECTA='20709233096' </v>
      </c>
      <c r="K157" s="1" t="str">
        <f t="shared" si="15"/>
        <v xml:space="preserve">AND ZDEPOSIT='000000000000000' </v>
      </c>
      <c r="L157" s="1" t="str">
        <f t="shared" si="16"/>
        <v>WHEN CEMPRESA='31' AND CBALCAO='0003' AND CNUMECTA='20709233096' AND ZDEPOSIT='000000000000000' THEN 1</v>
      </c>
      <c r="M157" s="1" t="str">
        <f t="shared" si="17"/>
        <v>WHEN CEMPRESA='31' AND CBALCAO='0003' AND CNUMECTA='20709233096' AND ZDEPOSIT='000000000000000' THEN 'A.3.7.'</v>
      </c>
    </row>
    <row r="158" spans="2:13" x14ac:dyDescent="0.25">
      <c r="B158" s="1" t="s">
        <v>45</v>
      </c>
      <c r="C158" s="1" t="s">
        <v>114</v>
      </c>
      <c r="D158" s="1" t="s">
        <v>115</v>
      </c>
      <c r="E158" s="1" t="s">
        <v>256</v>
      </c>
      <c r="F158" s="1">
        <v>1</v>
      </c>
      <c r="G158" s="1" t="s">
        <v>117</v>
      </c>
      <c r="H158" s="1" t="str">
        <f t="shared" si="12"/>
        <v xml:space="preserve">CEMPRESA='31' </v>
      </c>
      <c r="I158" s="1" t="str">
        <f t="shared" si="13"/>
        <v xml:space="preserve">AND CBALCAO='6416' </v>
      </c>
      <c r="J158" s="1" t="str">
        <f t="shared" si="14"/>
        <v xml:space="preserve">AND CNUMECTA='00000001085' </v>
      </c>
      <c r="K158" s="1" t="str">
        <f t="shared" si="15"/>
        <v xml:space="preserve">AND ZDEPOSIT='PC0645887000000' </v>
      </c>
      <c r="L158" s="1" t="str">
        <f t="shared" si="16"/>
        <v>WHEN CEMPRESA='31' AND CBALCAO='6416' AND CNUMECTA='00000001085' AND ZDEPOSIT='PC0645887000000' THEN 1</v>
      </c>
      <c r="M158" s="1" t="str">
        <f t="shared" si="17"/>
        <v>WHEN CEMPRESA='31' AND CBALCAO='6416' AND CNUMECTA='00000001085' AND ZDEPOSIT='PC0645887000000' THEN 'Sustainability Linked Finance - Default'</v>
      </c>
    </row>
    <row r="159" spans="2:13" x14ac:dyDescent="0.25">
      <c r="B159" s="1" t="s">
        <v>54</v>
      </c>
      <c r="C159" s="1" t="s">
        <v>55</v>
      </c>
      <c r="D159" s="1" t="s">
        <v>257</v>
      </c>
      <c r="E159" s="1" t="s">
        <v>155</v>
      </c>
      <c r="F159" s="1">
        <v>1</v>
      </c>
      <c r="G159" s="1" t="s">
        <v>58</v>
      </c>
      <c r="H159" s="1" t="str">
        <f t="shared" si="12"/>
        <v xml:space="preserve">CEMPRESA='89' </v>
      </c>
      <c r="I159" s="1" t="str">
        <f t="shared" si="13"/>
        <v xml:space="preserve">AND CBALCAO='0000' </v>
      </c>
      <c r="J159" s="1" t="str">
        <f t="shared" si="14"/>
        <v xml:space="preserve">AND CNUMECTA='00000250501' </v>
      </c>
      <c r="K159" s="1" t="str">
        <f t="shared" si="15"/>
        <v xml:space="preserve">AND ZDEPOSIT='000450000479263' </v>
      </c>
      <c r="L159" s="1" t="str">
        <f t="shared" si="16"/>
        <v>WHEN CEMPRESA='89' AND CBALCAO='0000' AND CNUMECTA='00000250501' AND ZDEPOSIT='000450000479263' THEN 1</v>
      </c>
      <c r="M159" s="1" t="str">
        <f t="shared" si="17"/>
        <v>WHEN CEMPRESA='89' AND CBALCAO='0000' AND CNUMECTA='00000250501' AND ZDEPOSIT='000450000479263' THEN 'A.2.5.'</v>
      </c>
    </row>
    <row r="160" spans="2:13" x14ac:dyDescent="0.25">
      <c r="B160" s="1" t="s">
        <v>45</v>
      </c>
      <c r="C160" s="1" t="s">
        <v>46</v>
      </c>
      <c r="D160" s="1" t="s">
        <v>258</v>
      </c>
      <c r="E160" s="1" t="s">
        <v>48</v>
      </c>
      <c r="F160" s="1">
        <v>1</v>
      </c>
      <c r="G160" s="1" t="s">
        <v>76</v>
      </c>
      <c r="H160" s="1" t="str">
        <f t="shared" si="12"/>
        <v xml:space="preserve">CEMPRESA='31' </v>
      </c>
      <c r="I160" s="1" t="str">
        <f t="shared" si="13"/>
        <v xml:space="preserve">AND CBALCAO='0003' </v>
      </c>
      <c r="J160" s="1" t="str">
        <f t="shared" si="14"/>
        <v xml:space="preserve">AND CNUMECTA='18607380097' </v>
      </c>
      <c r="K160" s="1" t="str">
        <f t="shared" si="15"/>
        <v xml:space="preserve">AND ZDEPOSIT='000000000000000' </v>
      </c>
      <c r="L160" s="1" t="str">
        <f t="shared" si="16"/>
        <v>WHEN CEMPRESA='31' AND CBALCAO='0003' AND CNUMECTA='18607380097' AND ZDEPOSIT='000000000000000' THEN 1</v>
      </c>
      <c r="M160" s="1" t="str">
        <f t="shared" si="17"/>
        <v>WHEN CEMPRESA='31' AND CBALCAO='0003' AND CNUMECTA='18607380097' AND ZDEPOSIT='000000000000000' THEN 'A.7.7.'</v>
      </c>
    </row>
    <row r="161" spans="2:13" x14ac:dyDescent="0.25">
      <c r="B161" s="1" t="s">
        <v>54</v>
      </c>
      <c r="C161" s="1" t="s">
        <v>55</v>
      </c>
      <c r="D161" s="1" t="s">
        <v>259</v>
      </c>
      <c r="E161" s="1" t="s">
        <v>260</v>
      </c>
      <c r="F161" s="1">
        <v>1</v>
      </c>
      <c r="G161" s="1" t="s">
        <v>58</v>
      </c>
      <c r="H161" s="1" t="str">
        <f t="shared" si="12"/>
        <v xml:space="preserve">CEMPRESA='89' </v>
      </c>
      <c r="I161" s="1" t="str">
        <f t="shared" si="13"/>
        <v xml:space="preserve">AND CBALCAO='0000' </v>
      </c>
      <c r="J161" s="1" t="str">
        <f t="shared" si="14"/>
        <v xml:space="preserve">AND CNUMECTA='00000250428' </v>
      </c>
      <c r="K161" s="1" t="str">
        <f t="shared" si="15"/>
        <v xml:space="preserve">AND ZDEPOSIT='000450000656980' </v>
      </c>
      <c r="L161" s="1" t="str">
        <f t="shared" si="16"/>
        <v>WHEN CEMPRESA='89' AND CBALCAO='0000' AND CNUMECTA='00000250428' AND ZDEPOSIT='000450000656980' THEN 1</v>
      </c>
      <c r="M161" s="1" t="str">
        <f t="shared" si="17"/>
        <v>WHEN CEMPRESA='89' AND CBALCAO='0000' AND CNUMECTA='00000250428' AND ZDEPOSIT='000450000656980' THEN 'A.2.5.'</v>
      </c>
    </row>
    <row r="162" spans="2:13" x14ac:dyDescent="0.25">
      <c r="B162" s="1" t="s">
        <v>45</v>
      </c>
      <c r="C162" s="1" t="s">
        <v>46</v>
      </c>
      <c r="D162" s="1" t="s">
        <v>261</v>
      </c>
      <c r="E162" s="1" t="s">
        <v>48</v>
      </c>
      <c r="F162" s="1">
        <v>1</v>
      </c>
      <c r="G162" s="1" t="s">
        <v>51</v>
      </c>
      <c r="H162" s="1" t="str">
        <f t="shared" si="12"/>
        <v xml:space="preserve">CEMPRESA='31' </v>
      </c>
      <c r="I162" s="1" t="str">
        <f t="shared" si="13"/>
        <v xml:space="preserve">AND CBALCAO='0003' </v>
      </c>
      <c r="J162" s="1" t="str">
        <f t="shared" si="14"/>
        <v xml:space="preserve">AND CNUMECTA='20645775096' </v>
      </c>
      <c r="K162" s="1" t="str">
        <f t="shared" si="15"/>
        <v xml:space="preserve">AND ZDEPOSIT='000000000000000' </v>
      </c>
      <c r="L162" s="1" t="str">
        <f t="shared" si="16"/>
        <v>WHEN CEMPRESA='31' AND CBALCAO='0003' AND CNUMECTA='20645775096' AND ZDEPOSIT='000000000000000' THEN 1</v>
      </c>
      <c r="M162" s="1" t="str">
        <f t="shared" si="17"/>
        <v>WHEN CEMPRESA='31' AND CBALCAO='0003' AND CNUMECTA='20645775096' AND ZDEPOSIT='000000000000000' THEN 'B.1.'</v>
      </c>
    </row>
    <row r="163" spans="2:13" x14ac:dyDescent="0.25">
      <c r="B163" s="1" t="s">
        <v>54</v>
      </c>
      <c r="C163" s="1" t="s">
        <v>55</v>
      </c>
      <c r="D163" s="1" t="s">
        <v>262</v>
      </c>
      <c r="E163" s="1" t="s">
        <v>263</v>
      </c>
      <c r="F163" s="1">
        <v>1</v>
      </c>
      <c r="G163" s="1" t="s">
        <v>58</v>
      </c>
      <c r="H163" s="1" t="str">
        <f t="shared" si="12"/>
        <v xml:space="preserve">CEMPRESA='89' </v>
      </c>
      <c r="I163" s="1" t="str">
        <f t="shared" si="13"/>
        <v xml:space="preserve">AND CBALCAO='0000' </v>
      </c>
      <c r="J163" s="1" t="str">
        <f t="shared" si="14"/>
        <v xml:space="preserve">AND CNUMECTA='00000249952' </v>
      </c>
      <c r="K163" s="1" t="str">
        <f t="shared" si="15"/>
        <v xml:space="preserve">AND ZDEPOSIT='000450000763019' </v>
      </c>
      <c r="L163" s="1" t="str">
        <f t="shared" si="16"/>
        <v>WHEN CEMPRESA='89' AND CBALCAO='0000' AND CNUMECTA='00000249952' AND ZDEPOSIT='000450000763019' THEN 1</v>
      </c>
      <c r="M163" s="1" t="str">
        <f t="shared" si="17"/>
        <v>WHEN CEMPRESA='89' AND CBALCAO='0000' AND CNUMECTA='00000249952' AND ZDEPOSIT='000450000763019' THEN 'A.2.5.'</v>
      </c>
    </row>
    <row r="164" spans="2:13" x14ac:dyDescent="0.25">
      <c r="B164" s="1" t="s">
        <v>45</v>
      </c>
      <c r="C164" s="1" t="s">
        <v>46</v>
      </c>
      <c r="D164" s="1" t="s">
        <v>264</v>
      </c>
      <c r="E164" s="1" t="s">
        <v>48</v>
      </c>
      <c r="F164" s="1">
        <v>1</v>
      </c>
      <c r="G164" s="1" t="s">
        <v>60</v>
      </c>
      <c r="H164" s="1" t="str">
        <f t="shared" si="12"/>
        <v xml:space="preserve">CEMPRESA='31' </v>
      </c>
      <c r="I164" s="1" t="str">
        <f t="shared" si="13"/>
        <v xml:space="preserve">AND CBALCAO='0003' </v>
      </c>
      <c r="J164" s="1" t="str">
        <f t="shared" si="14"/>
        <v xml:space="preserve">AND CNUMECTA='20459482096' </v>
      </c>
      <c r="K164" s="1" t="str">
        <f t="shared" si="15"/>
        <v xml:space="preserve">AND ZDEPOSIT='000000000000000' </v>
      </c>
      <c r="L164" s="1" t="str">
        <f t="shared" si="16"/>
        <v>WHEN CEMPRESA='31' AND CBALCAO='0003' AND CNUMECTA='20459482096' AND ZDEPOSIT='000000000000000' THEN 1</v>
      </c>
      <c r="M164" s="1" t="str">
        <f t="shared" si="17"/>
        <v>WHEN CEMPRESA='31' AND CBALCAO='0003' AND CNUMECTA='20459482096' AND ZDEPOSIT='000000000000000' THEN 'A.3.7.'</v>
      </c>
    </row>
    <row r="165" spans="2:13" x14ac:dyDescent="0.25">
      <c r="B165" s="1" t="s">
        <v>45</v>
      </c>
      <c r="C165" s="1" t="s">
        <v>46</v>
      </c>
      <c r="D165" s="1" t="s">
        <v>265</v>
      </c>
      <c r="E165" s="1" t="s">
        <v>48</v>
      </c>
      <c r="F165" s="1">
        <v>1</v>
      </c>
      <c r="G165" s="1" t="s">
        <v>60</v>
      </c>
      <c r="H165" s="1" t="str">
        <f t="shared" si="12"/>
        <v xml:space="preserve">CEMPRESA='31' </v>
      </c>
      <c r="I165" s="1" t="str">
        <f t="shared" si="13"/>
        <v xml:space="preserve">AND CBALCAO='0003' </v>
      </c>
      <c r="J165" s="1" t="str">
        <f t="shared" si="14"/>
        <v xml:space="preserve">AND CNUMECTA='20593447096' </v>
      </c>
      <c r="K165" s="1" t="str">
        <f t="shared" si="15"/>
        <v xml:space="preserve">AND ZDEPOSIT='000000000000000' </v>
      </c>
      <c r="L165" s="1" t="str">
        <f t="shared" si="16"/>
        <v>WHEN CEMPRESA='31' AND CBALCAO='0003' AND CNUMECTA='20593447096' AND ZDEPOSIT='000000000000000' THEN 1</v>
      </c>
      <c r="M165" s="1" t="str">
        <f t="shared" si="17"/>
        <v>WHEN CEMPRESA='31' AND CBALCAO='0003' AND CNUMECTA='20593447096' AND ZDEPOSIT='000000000000000' THEN 'A.3.7.'</v>
      </c>
    </row>
    <row r="166" spans="2:13" x14ac:dyDescent="0.25">
      <c r="B166" s="1" t="s">
        <v>54</v>
      </c>
      <c r="C166" s="1" t="s">
        <v>55</v>
      </c>
      <c r="D166" s="1" t="s">
        <v>266</v>
      </c>
      <c r="E166" s="1" t="s">
        <v>267</v>
      </c>
      <c r="F166" s="1">
        <v>1</v>
      </c>
      <c r="G166" s="1" t="s">
        <v>58</v>
      </c>
      <c r="H166" s="1" t="str">
        <f t="shared" si="12"/>
        <v xml:space="preserve">CEMPRESA='89' </v>
      </c>
      <c r="I166" s="1" t="str">
        <f t="shared" si="13"/>
        <v xml:space="preserve">AND CBALCAO='0000' </v>
      </c>
      <c r="J166" s="1" t="str">
        <f t="shared" si="14"/>
        <v xml:space="preserve">AND CNUMECTA='00000250266' </v>
      </c>
      <c r="K166" s="1" t="str">
        <f t="shared" si="15"/>
        <v xml:space="preserve">AND ZDEPOSIT='000450000777035' </v>
      </c>
      <c r="L166" s="1" t="str">
        <f t="shared" si="16"/>
        <v>WHEN CEMPRESA='89' AND CBALCAO='0000' AND CNUMECTA='00000250266' AND ZDEPOSIT='000450000777035' THEN 1</v>
      </c>
      <c r="M166" s="1" t="str">
        <f t="shared" si="17"/>
        <v>WHEN CEMPRESA='89' AND CBALCAO='0000' AND CNUMECTA='00000250266' AND ZDEPOSIT='000450000777035' THEN 'A.2.5.'</v>
      </c>
    </row>
    <row r="167" spans="2:13" x14ac:dyDescent="0.25">
      <c r="B167" s="1" t="s">
        <v>45</v>
      </c>
      <c r="C167" s="1" t="s">
        <v>46</v>
      </c>
      <c r="D167" s="1" t="s">
        <v>268</v>
      </c>
      <c r="E167" s="1" t="s">
        <v>48</v>
      </c>
      <c r="F167" s="1">
        <v>1</v>
      </c>
      <c r="G167" s="1" t="s">
        <v>209</v>
      </c>
      <c r="H167" s="1" t="str">
        <f t="shared" si="12"/>
        <v xml:space="preserve">CEMPRESA='31' </v>
      </c>
      <c r="I167" s="1" t="str">
        <f t="shared" si="13"/>
        <v xml:space="preserve">AND CBALCAO='0003' </v>
      </c>
      <c r="J167" s="1" t="str">
        <f t="shared" si="14"/>
        <v xml:space="preserve">AND CNUMECTA='20654595096' </v>
      </c>
      <c r="K167" s="1" t="str">
        <f t="shared" si="15"/>
        <v xml:space="preserve">AND ZDEPOSIT='000000000000000' </v>
      </c>
      <c r="L167" s="1" t="str">
        <f t="shared" si="16"/>
        <v>WHEN CEMPRESA='31' AND CBALCAO='0003' AND CNUMECTA='20654595096' AND ZDEPOSIT='000000000000000' THEN 1</v>
      </c>
      <c r="M167" s="1" t="str">
        <f t="shared" si="17"/>
        <v>WHEN CEMPRESA='31' AND CBALCAO='0003' AND CNUMECTA='20654595096' AND ZDEPOSIT='000000000000000' THEN 'A.3.1.'</v>
      </c>
    </row>
    <row r="168" spans="2:13" x14ac:dyDescent="0.25">
      <c r="B168" s="1" t="s">
        <v>45</v>
      </c>
      <c r="C168" s="1" t="s">
        <v>46</v>
      </c>
      <c r="D168" s="1" t="s">
        <v>269</v>
      </c>
      <c r="E168" s="1" t="s">
        <v>48</v>
      </c>
      <c r="F168" s="1">
        <v>1</v>
      </c>
      <c r="G168" s="1" t="s">
        <v>60</v>
      </c>
      <c r="H168" s="1" t="str">
        <f t="shared" si="12"/>
        <v xml:space="preserve">CEMPRESA='31' </v>
      </c>
      <c r="I168" s="1" t="str">
        <f t="shared" si="13"/>
        <v xml:space="preserve">AND CBALCAO='0003' </v>
      </c>
      <c r="J168" s="1" t="str">
        <f t="shared" si="14"/>
        <v xml:space="preserve">AND CNUMECTA='20620448096' </v>
      </c>
      <c r="K168" s="1" t="str">
        <f t="shared" si="15"/>
        <v xml:space="preserve">AND ZDEPOSIT='000000000000000' </v>
      </c>
      <c r="L168" s="1" t="str">
        <f t="shared" si="16"/>
        <v>WHEN CEMPRESA='31' AND CBALCAO='0003' AND CNUMECTA='20620448096' AND ZDEPOSIT='000000000000000' THEN 1</v>
      </c>
      <c r="M168" s="1" t="str">
        <f t="shared" si="17"/>
        <v>WHEN CEMPRESA='31' AND CBALCAO='0003' AND CNUMECTA='20620448096' AND ZDEPOSIT='000000000000000' THEN 'A.3.7.'</v>
      </c>
    </row>
    <row r="169" spans="2:13" x14ac:dyDescent="0.25">
      <c r="B169" s="1" t="s">
        <v>54</v>
      </c>
      <c r="C169" s="1" t="s">
        <v>55</v>
      </c>
      <c r="D169" s="1" t="s">
        <v>270</v>
      </c>
      <c r="E169" s="1" t="s">
        <v>155</v>
      </c>
      <c r="F169" s="1">
        <v>1</v>
      </c>
      <c r="G169" s="1" t="s">
        <v>58</v>
      </c>
      <c r="H169" s="1" t="str">
        <f t="shared" si="12"/>
        <v xml:space="preserve">CEMPRESA='89' </v>
      </c>
      <c r="I169" s="1" t="str">
        <f t="shared" si="13"/>
        <v xml:space="preserve">AND CBALCAO='0000' </v>
      </c>
      <c r="J169" s="1" t="str">
        <f t="shared" si="14"/>
        <v xml:space="preserve">AND CNUMECTA='00000250395' </v>
      </c>
      <c r="K169" s="1" t="str">
        <f t="shared" si="15"/>
        <v xml:space="preserve">AND ZDEPOSIT='000450000479263' </v>
      </c>
      <c r="L169" s="1" t="str">
        <f t="shared" si="16"/>
        <v>WHEN CEMPRESA='89' AND CBALCAO='0000' AND CNUMECTA='00000250395' AND ZDEPOSIT='000450000479263' THEN 1</v>
      </c>
      <c r="M169" s="1" t="str">
        <f t="shared" si="17"/>
        <v>WHEN CEMPRESA='89' AND CBALCAO='0000' AND CNUMECTA='00000250395' AND ZDEPOSIT='000450000479263' THEN 'A.2.5.'</v>
      </c>
    </row>
    <row r="170" spans="2:13" x14ac:dyDescent="0.25">
      <c r="B170" s="1" t="s">
        <v>54</v>
      </c>
      <c r="C170" s="1" t="s">
        <v>55</v>
      </c>
      <c r="D170" s="1" t="s">
        <v>271</v>
      </c>
      <c r="E170" s="1" t="s">
        <v>272</v>
      </c>
      <c r="F170" s="1">
        <v>1</v>
      </c>
      <c r="G170" s="1" t="s">
        <v>58</v>
      </c>
      <c r="H170" s="1" t="str">
        <f t="shared" si="12"/>
        <v xml:space="preserve">CEMPRESA='89' </v>
      </c>
      <c r="I170" s="1" t="str">
        <f t="shared" si="13"/>
        <v xml:space="preserve">AND CBALCAO='0000' </v>
      </c>
      <c r="J170" s="1" t="str">
        <f t="shared" si="14"/>
        <v xml:space="preserve">AND CNUMECTA='00000250552' </v>
      </c>
      <c r="K170" s="1" t="str">
        <f t="shared" si="15"/>
        <v xml:space="preserve">AND ZDEPOSIT='000450000774376' </v>
      </c>
      <c r="L170" s="1" t="str">
        <f t="shared" si="16"/>
        <v>WHEN CEMPRESA='89' AND CBALCAO='0000' AND CNUMECTA='00000250552' AND ZDEPOSIT='000450000774376' THEN 1</v>
      </c>
      <c r="M170" s="1" t="str">
        <f t="shared" si="17"/>
        <v>WHEN CEMPRESA='89' AND CBALCAO='0000' AND CNUMECTA='00000250552' AND ZDEPOSIT='000450000774376' THEN 'A.2.5.'</v>
      </c>
    </row>
    <row r="171" spans="2:13" x14ac:dyDescent="0.25">
      <c r="B171" s="1" t="s">
        <v>45</v>
      </c>
      <c r="C171" s="1" t="s">
        <v>46</v>
      </c>
      <c r="D171" s="1" t="s">
        <v>273</v>
      </c>
      <c r="E171" s="1" t="s">
        <v>48</v>
      </c>
      <c r="F171" s="1">
        <v>1</v>
      </c>
      <c r="G171" s="1" t="s">
        <v>60</v>
      </c>
      <c r="H171" s="1" t="str">
        <f t="shared" si="12"/>
        <v xml:space="preserve">CEMPRESA='31' </v>
      </c>
      <c r="I171" s="1" t="str">
        <f t="shared" si="13"/>
        <v xml:space="preserve">AND CBALCAO='0003' </v>
      </c>
      <c r="J171" s="1" t="str">
        <f t="shared" si="14"/>
        <v xml:space="preserve">AND CNUMECTA='20621073096' </v>
      </c>
      <c r="K171" s="1" t="str">
        <f t="shared" si="15"/>
        <v xml:space="preserve">AND ZDEPOSIT='000000000000000' </v>
      </c>
      <c r="L171" s="1" t="str">
        <f t="shared" si="16"/>
        <v>WHEN CEMPRESA='31' AND CBALCAO='0003' AND CNUMECTA='20621073096' AND ZDEPOSIT='000000000000000' THEN 1</v>
      </c>
      <c r="M171" s="1" t="str">
        <f t="shared" si="17"/>
        <v>WHEN CEMPRESA='31' AND CBALCAO='0003' AND CNUMECTA='20621073096' AND ZDEPOSIT='000000000000000' THEN 'A.3.7.'</v>
      </c>
    </row>
    <row r="172" spans="2:13" x14ac:dyDescent="0.25">
      <c r="B172" s="1" t="s">
        <v>54</v>
      </c>
      <c r="C172" s="1" t="s">
        <v>55</v>
      </c>
      <c r="D172" s="1" t="s">
        <v>274</v>
      </c>
      <c r="E172" s="1" t="s">
        <v>275</v>
      </c>
      <c r="F172" s="1">
        <v>1</v>
      </c>
      <c r="G172" s="1" t="s">
        <v>58</v>
      </c>
      <c r="H172" s="1" t="str">
        <f t="shared" si="12"/>
        <v xml:space="preserve">CEMPRESA='89' </v>
      </c>
      <c r="I172" s="1" t="str">
        <f t="shared" si="13"/>
        <v xml:space="preserve">AND CBALCAO='0000' </v>
      </c>
      <c r="J172" s="1" t="str">
        <f t="shared" si="14"/>
        <v xml:space="preserve">AND CNUMECTA='00008046394' </v>
      </c>
      <c r="K172" s="1" t="str">
        <f t="shared" si="15"/>
        <v xml:space="preserve">AND ZDEPOSIT='000530000591609' </v>
      </c>
      <c r="L172" s="1" t="str">
        <f t="shared" si="16"/>
        <v>WHEN CEMPRESA='89' AND CBALCAO='0000' AND CNUMECTA='00008046394' AND ZDEPOSIT='000530000591609' THEN 1</v>
      </c>
      <c r="M172" s="1" t="str">
        <f t="shared" si="17"/>
        <v>WHEN CEMPRESA='89' AND CBALCAO='0000' AND CNUMECTA='00008046394' AND ZDEPOSIT='000530000591609' THEN 'A.2.5.'</v>
      </c>
    </row>
    <row r="173" spans="2:13" x14ac:dyDescent="0.25">
      <c r="B173" s="1" t="s">
        <v>45</v>
      </c>
      <c r="C173" s="1" t="s">
        <v>46</v>
      </c>
      <c r="D173" s="1" t="s">
        <v>276</v>
      </c>
      <c r="E173" s="1" t="s">
        <v>48</v>
      </c>
      <c r="F173" s="1">
        <v>1</v>
      </c>
      <c r="G173" s="1" t="s">
        <v>60</v>
      </c>
      <c r="H173" s="1" t="str">
        <f t="shared" si="12"/>
        <v xml:space="preserve">CEMPRESA='31' </v>
      </c>
      <c r="I173" s="1" t="str">
        <f t="shared" si="13"/>
        <v xml:space="preserve">AND CBALCAO='0003' </v>
      </c>
      <c r="J173" s="1" t="str">
        <f t="shared" si="14"/>
        <v xml:space="preserve">AND CNUMECTA='20710785096' </v>
      </c>
      <c r="K173" s="1" t="str">
        <f t="shared" si="15"/>
        <v xml:space="preserve">AND ZDEPOSIT='000000000000000' </v>
      </c>
      <c r="L173" s="1" t="str">
        <f t="shared" si="16"/>
        <v>WHEN CEMPRESA='31' AND CBALCAO='0003' AND CNUMECTA='20710785096' AND ZDEPOSIT='000000000000000' THEN 1</v>
      </c>
      <c r="M173" s="1" t="str">
        <f t="shared" si="17"/>
        <v>WHEN CEMPRESA='31' AND CBALCAO='0003' AND CNUMECTA='20710785096' AND ZDEPOSIT='000000000000000' THEN 'A.3.7.'</v>
      </c>
    </row>
    <row r="174" spans="2:13" x14ac:dyDescent="0.25">
      <c r="B174" s="1" t="s">
        <v>45</v>
      </c>
      <c r="C174" s="1" t="s">
        <v>46</v>
      </c>
      <c r="D174" s="1" t="s">
        <v>277</v>
      </c>
      <c r="E174" s="1" t="s">
        <v>48</v>
      </c>
      <c r="F174" s="1">
        <v>1</v>
      </c>
      <c r="G174" s="1" t="s">
        <v>60</v>
      </c>
      <c r="H174" s="1" t="str">
        <f t="shared" si="12"/>
        <v xml:space="preserve">CEMPRESA='31' </v>
      </c>
      <c r="I174" s="1" t="str">
        <f t="shared" si="13"/>
        <v xml:space="preserve">AND CBALCAO='0003' </v>
      </c>
      <c r="J174" s="1" t="str">
        <f t="shared" si="14"/>
        <v xml:space="preserve">AND CNUMECTA='20603063096' </v>
      </c>
      <c r="K174" s="1" t="str">
        <f t="shared" si="15"/>
        <v xml:space="preserve">AND ZDEPOSIT='000000000000000' </v>
      </c>
      <c r="L174" s="1" t="str">
        <f t="shared" si="16"/>
        <v>WHEN CEMPRESA='31' AND CBALCAO='0003' AND CNUMECTA='20603063096' AND ZDEPOSIT='000000000000000' THEN 1</v>
      </c>
      <c r="M174" s="1" t="str">
        <f t="shared" si="17"/>
        <v>WHEN CEMPRESA='31' AND CBALCAO='0003' AND CNUMECTA='20603063096' AND ZDEPOSIT='000000000000000' THEN 'A.3.7.'</v>
      </c>
    </row>
    <row r="175" spans="2:13" x14ac:dyDescent="0.25">
      <c r="B175" s="1" t="s">
        <v>45</v>
      </c>
      <c r="C175" s="1" t="s">
        <v>114</v>
      </c>
      <c r="D175" s="1" t="s">
        <v>115</v>
      </c>
      <c r="E175" s="1" t="s">
        <v>278</v>
      </c>
      <c r="F175" s="1">
        <v>1</v>
      </c>
      <c r="G175" s="1" t="s">
        <v>117</v>
      </c>
      <c r="H175" s="1" t="str">
        <f t="shared" si="12"/>
        <v xml:space="preserve">CEMPRESA='31' </v>
      </c>
      <c r="I175" s="1" t="str">
        <f t="shared" si="13"/>
        <v xml:space="preserve">AND CBALCAO='6416' </v>
      </c>
      <c r="J175" s="1" t="str">
        <f t="shared" si="14"/>
        <v xml:space="preserve">AND CNUMECTA='00000001085' </v>
      </c>
      <c r="K175" s="1" t="str">
        <f t="shared" si="15"/>
        <v xml:space="preserve">AND ZDEPOSIT='PC0651268000000' </v>
      </c>
      <c r="L175" s="1" t="str">
        <f t="shared" si="16"/>
        <v>WHEN CEMPRESA='31' AND CBALCAO='6416' AND CNUMECTA='00000001085' AND ZDEPOSIT='PC0651268000000' THEN 1</v>
      </c>
      <c r="M175" s="1" t="str">
        <f t="shared" si="17"/>
        <v>WHEN CEMPRESA='31' AND CBALCAO='6416' AND CNUMECTA='00000001085' AND ZDEPOSIT='PC0651268000000' THEN 'Sustainability Linked Finance - Default'</v>
      </c>
    </row>
    <row r="176" spans="2:13" x14ac:dyDescent="0.25">
      <c r="B176" s="1" t="s">
        <v>54</v>
      </c>
      <c r="C176" s="1" t="s">
        <v>55</v>
      </c>
      <c r="D176" s="1" t="s">
        <v>279</v>
      </c>
      <c r="E176" s="1" t="s">
        <v>280</v>
      </c>
      <c r="F176" s="1">
        <v>1</v>
      </c>
      <c r="G176" s="1" t="s">
        <v>58</v>
      </c>
      <c r="H176" s="1" t="str">
        <f t="shared" si="12"/>
        <v xml:space="preserve">CEMPRESA='89' </v>
      </c>
      <c r="I176" s="1" t="str">
        <f t="shared" si="13"/>
        <v xml:space="preserve">AND CBALCAO='0000' </v>
      </c>
      <c r="J176" s="1" t="str">
        <f t="shared" si="14"/>
        <v xml:space="preserve">AND CNUMECTA='00008046537' </v>
      </c>
      <c r="K176" s="1" t="str">
        <f t="shared" si="15"/>
        <v xml:space="preserve">AND ZDEPOSIT='000530000742000' </v>
      </c>
      <c r="L176" s="1" t="str">
        <f t="shared" si="16"/>
        <v>WHEN CEMPRESA='89' AND CBALCAO='0000' AND CNUMECTA='00008046537' AND ZDEPOSIT='000530000742000' THEN 1</v>
      </c>
      <c r="M176" s="1" t="str">
        <f t="shared" si="17"/>
        <v>WHEN CEMPRESA='89' AND CBALCAO='0000' AND CNUMECTA='00008046537' AND ZDEPOSIT='000530000742000' THEN 'A.2.5.'</v>
      </c>
    </row>
    <row r="177" spans="2:13" x14ac:dyDescent="0.25">
      <c r="B177" s="1" t="s">
        <v>54</v>
      </c>
      <c r="C177" s="1" t="s">
        <v>55</v>
      </c>
      <c r="D177" s="1" t="s">
        <v>281</v>
      </c>
      <c r="E177" s="1" t="s">
        <v>282</v>
      </c>
      <c r="F177" s="1">
        <v>1</v>
      </c>
      <c r="G177" s="1" t="s">
        <v>58</v>
      </c>
      <c r="H177" s="1" t="str">
        <f t="shared" si="12"/>
        <v xml:space="preserve">CEMPRESA='89' </v>
      </c>
      <c r="I177" s="1" t="str">
        <f t="shared" si="13"/>
        <v xml:space="preserve">AND CBALCAO='0000' </v>
      </c>
      <c r="J177" s="1" t="str">
        <f t="shared" si="14"/>
        <v xml:space="preserve">AND CNUMECTA='00000250309' </v>
      </c>
      <c r="K177" s="1" t="str">
        <f t="shared" si="15"/>
        <v xml:space="preserve">AND ZDEPOSIT='000450000739300' </v>
      </c>
      <c r="L177" s="1" t="str">
        <f t="shared" si="16"/>
        <v>WHEN CEMPRESA='89' AND CBALCAO='0000' AND CNUMECTA='00000250309' AND ZDEPOSIT='000450000739300' THEN 1</v>
      </c>
      <c r="M177" s="1" t="str">
        <f t="shared" si="17"/>
        <v>WHEN CEMPRESA='89' AND CBALCAO='0000' AND CNUMECTA='00000250309' AND ZDEPOSIT='000450000739300' THEN 'A.2.5.'</v>
      </c>
    </row>
    <row r="178" spans="2:13" x14ac:dyDescent="0.25">
      <c r="B178" s="1" t="s">
        <v>45</v>
      </c>
      <c r="C178" s="1" t="s">
        <v>46</v>
      </c>
      <c r="D178" s="1" t="s">
        <v>283</v>
      </c>
      <c r="E178" s="1" t="s">
        <v>48</v>
      </c>
      <c r="F178" s="1">
        <v>1</v>
      </c>
      <c r="G178" s="1" t="s">
        <v>60</v>
      </c>
      <c r="H178" s="1" t="str">
        <f t="shared" si="12"/>
        <v xml:space="preserve">CEMPRESA='31' </v>
      </c>
      <c r="I178" s="1" t="str">
        <f t="shared" si="13"/>
        <v xml:space="preserve">AND CBALCAO='0003' </v>
      </c>
      <c r="J178" s="1" t="str">
        <f t="shared" si="14"/>
        <v xml:space="preserve">AND CNUMECTA='20587894096' </v>
      </c>
      <c r="K178" s="1" t="str">
        <f t="shared" si="15"/>
        <v xml:space="preserve">AND ZDEPOSIT='000000000000000' </v>
      </c>
      <c r="L178" s="1" t="str">
        <f t="shared" si="16"/>
        <v>WHEN CEMPRESA='31' AND CBALCAO='0003' AND CNUMECTA='20587894096' AND ZDEPOSIT='000000000000000' THEN 1</v>
      </c>
      <c r="M178" s="1" t="str">
        <f t="shared" si="17"/>
        <v>WHEN CEMPRESA='31' AND CBALCAO='0003' AND CNUMECTA='20587894096' AND ZDEPOSIT='000000000000000' THEN 'A.3.7.'</v>
      </c>
    </row>
    <row r="179" spans="2:13" x14ac:dyDescent="0.25">
      <c r="B179" s="1" t="s">
        <v>45</v>
      </c>
      <c r="C179" s="1" t="s">
        <v>46</v>
      </c>
      <c r="D179" s="1" t="s">
        <v>284</v>
      </c>
      <c r="E179" s="1" t="s">
        <v>48</v>
      </c>
      <c r="F179" s="1">
        <v>1</v>
      </c>
      <c r="G179" s="1" t="s">
        <v>60</v>
      </c>
      <c r="H179" s="1" t="str">
        <f t="shared" si="12"/>
        <v xml:space="preserve">CEMPRESA='31' </v>
      </c>
      <c r="I179" s="1" t="str">
        <f t="shared" si="13"/>
        <v xml:space="preserve">AND CBALCAO='0003' </v>
      </c>
      <c r="J179" s="1" t="str">
        <f t="shared" si="14"/>
        <v xml:space="preserve">AND CNUMECTA='20737820096' </v>
      </c>
      <c r="K179" s="1" t="str">
        <f t="shared" si="15"/>
        <v xml:space="preserve">AND ZDEPOSIT='000000000000000' </v>
      </c>
      <c r="L179" s="1" t="str">
        <f t="shared" si="16"/>
        <v>WHEN CEMPRESA='31' AND CBALCAO='0003' AND CNUMECTA='20737820096' AND ZDEPOSIT='000000000000000' THEN 1</v>
      </c>
      <c r="M179" s="1" t="str">
        <f t="shared" si="17"/>
        <v>WHEN CEMPRESA='31' AND CBALCAO='0003' AND CNUMECTA='20737820096' AND ZDEPOSIT='000000000000000' THEN 'A.3.7.'</v>
      </c>
    </row>
    <row r="180" spans="2:13" x14ac:dyDescent="0.25">
      <c r="B180" s="1" t="s">
        <v>45</v>
      </c>
      <c r="C180" s="1" t="s">
        <v>46</v>
      </c>
      <c r="D180" s="1" t="s">
        <v>285</v>
      </c>
      <c r="E180" s="1" t="s">
        <v>48</v>
      </c>
      <c r="F180" s="1">
        <v>1</v>
      </c>
      <c r="G180" s="1" t="s">
        <v>60</v>
      </c>
      <c r="H180" s="1" t="str">
        <f t="shared" si="12"/>
        <v xml:space="preserve">CEMPRESA='31' </v>
      </c>
      <c r="I180" s="1" t="str">
        <f t="shared" si="13"/>
        <v xml:space="preserve">AND CBALCAO='0003' </v>
      </c>
      <c r="J180" s="1" t="str">
        <f t="shared" si="14"/>
        <v xml:space="preserve">AND CNUMECTA='20691613096' </v>
      </c>
      <c r="K180" s="1" t="str">
        <f t="shared" si="15"/>
        <v xml:space="preserve">AND ZDEPOSIT='000000000000000' </v>
      </c>
      <c r="L180" s="1" t="str">
        <f t="shared" si="16"/>
        <v>WHEN CEMPRESA='31' AND CBALCAO='0003' AND CNUMECTA='20691613096' AND ZDEPOSIT='000000000000000' THEN 1</v>
      </c>
      <c r="M180" s="1" t="str">
        <f t="shared" si="17"/>
        <v>WHEN CEMPRESA='31' AND CBALCAO='0003' AND CNUMECTA='20691613096' AND ZDEPOSIT='000000000000000' THEN 'A.3.7.'</v>
      </c>
    </row>
    <row r="181" spans="2:13" x14ac:dyDescent="0.25">
      <c r="B181" s="1" t="s">
        <v>45</v>
      </c>
      <c r="C181" s="1" t="s">
        <v>46</v>
      </c>
      <c r="D181" s="1" t="s">
        <v>286</v>
      </c>
      <c r="E181" s="1" t="s">
        <v>48</v>
      </c>
      <c r="F181" s="1">
        <v>1</v>
      </c>
      <c r="G181" s="1" t="s">
        <v>60</v>
      </c>
      <c r="H181" s="1" t="str">
        <f t="shared" si="12"/>
        <v xml:space="preserve">CEMPRESA='31' </v>
      </c>
      <c r="I181" s="1" t="str">
        <f t="shared" si="13"/>
        <v xml:space="preserve">AND CBALCAO='0003' </v>
      </c>
      <c r="J181" s="1" t="str">
        <f t="shared" si="14"/>
        <v xml:space="preserve">AND CNUMECTA='20562350096' </v>
      </c>
      <c r="K181" s="1" t="str">
        <f t="shared" si="15"/>
        <v xml:space="preserve">AND ZDEPOSIT='000000000000000' </v>
      </c>
      <c r="L181" s="1" t="str">
        <f t="shared" si="16"/>
        <v>WHEN CEMPRESA='31' AND CBALCAO='0003' AND CNUMECTA='20562350096' AND ZDEPOSIT='000000000000000' THEN 1</v>
      </c>
      <c r="M181" s="1" t="str">
        <f t="shared" si="17"/>
        <v>WHEN CEMPRESA='31' AND CBALCAO='0003' AND CNUMECTA='20562350096' AND ZDEPOSIT='000000000000000' THEN 'A.3.7.'</v>
      </c>
    </row>
    <row r="182" spans="2:13" x14ac:dyDescent="0.25">
      <c r="B182" s="1" t="s">
        <v>54</v>
      </c>
      <c r="C182" s="1" t="s">
        <v>55</v>
      </c>
      <c r="D182" s="1" t="s">
        <v>287</v>
      </c>
      <c r="E182" s="1" t="s">
        <v>288</v>
      </c>
      <c r="F182" s="1">
        <v>1</v>
      </c>
      <c r="G182" s="1" t="s">
        <v>58</v>
      </c>
      <c r="H182" s="1" t="str">
        <f t="shared" si="12"/>
        <v xml:space="preserve">CEMPRESA='89' </v>
      </c>
      <c r="I182" s="1" t="str">
        <f t="shared" si="13"/>
        <v xml:space="preserve">AND CBALCAO='0000' </v>
      </c>
      <c r="J182" s="1" t="str">
        <f t="shared" si="14"/>
        <v xml:space="preserve">AND CNUMECTA='00000250174' </v>
      </c>
      <c r="K182" s="1" t="str">
        <f t="shared" si="15"/>
        <v xml:space="preserve">AND ZDEPOSIT='000450000777312' </v>
      </c>
      <c r="L182" s="1" t="str">
        <f t="shared" si="16"/>
        <v>WHEN CEMPRESA='89' AND CBALCAO='0000' AND CNUMECTA='00000250174' AND ZDEPOSIT='000450000777312' THEN 1</v>
      </c>
      <c r="M182" s="1" t="str">
        <f t="shared" si="17"/>
        <v>WHEN CEMPRESA='89' AND CBALCAO='0000' AND CNUMECTA='00000250174' AND ZDEPOSIT='000450000777312' THEN 'A.2.5.'</v>
      </c>
    </row>
    <row r="183" spans="2:13" x14ac:dyDescent="0.25">
      <c r="B183" s="1" t="s">
        <v>54</v>
      </c>
      <c r="C183" s="1" t="s">
        <v>55</v>
      </c>
      <c r="D183" s="1" t="s">
        <v>289</v>
      </c>
      <c r="E183" s="1" t="s">
        <v>290</v>
      </c>
      <c r="F183" s="1">
        <v>1</v>
      </c>
      <c r="G183" s="1" t="s">
        <v>58</v>
      </c>
      <c r="H183" s="1" t="str">
        <f t="shared" si="12"/>
        <v xml:space="preserve">CEMPRESA='89' </v>
      </c>
      <c r="I183" s="1" t="str">
        <f t="shared" si="13"/>
        <v xml:space="preserve">AND CBALCAO='0000' </v>
      </c>
      <c r="J183" s="1" t="str">
        <f t="shared" si="14"/>
        <v xml:space="preserve">AND CNUMECTA='00008046650' </v>
      </c>
      <c r="K183" s="1" t="str">
        <f t="shared" si="15"/>
        <v xml:space="preserve">AND ZDEPOSIT='000530000778844' </v>
      </c>
      <c r="L183" s="1" t="str">
        <f t="shared" si="16"/>
        <v>WHEN CEMPRESA='89' AND CBALCAO='0000' AND CNUMECTA='00008046650' AND ZDEPOSIT='000530000778844' THEN 1</v>
      </c>
      <c r="M183" s="1" t="str">
        <f t="shared" si="17"/>
        <v>WHEN CEMPRESA='89' AND CBALCAO='0000' AND CNUMECTA='00008046650' AND ZDEPOSIT='000530000778844' THEN 'A.2.5.'</v>
      </c>
    </row>
    <row r="184" spans="2:13" x14ac:dyDescent="0.25">
      <c r="B184" s="1" t="s">
        <v>45</v>
      </c>
      <c r="C184" s="1" t="s">
        <v>46</v>
      </c>
      <c r="D184" s="1" t="s">
        <v>291</v>
      </c>
      <c r="E184" s="1" t="s">
        <v>48</v>
      </c>
      <c r="F184" s="1">
        <v>1</v>
      </c>
      <c r="G184" s="1" t="s">
        <v>60</v>
      </c>
      <c r="H184" s="1" t="str">
        <f t="shared" si="12"/>
        <v xml:space="preserve">CEMPRESA='31' </v>
      </c>
      <c r="I184" s="1" t="str">
        <f t="shared" si="13"/>
        <v xml:space="preserve">AND CBALCAO='0003' </v>
      </c>
      <c r="J184" s="1" t="str">
        <f t="shared" si="14"/>
        <v xml:space="preserve">AND CNUMECTA='20533674096' </v>
      </c>
      <c r="K184" s="1" t="str">
        <f t="shared" si="15"/>
        <v xml:space="preserve">AND ZDEPOSIT='000000000000000' </v>
      </c>
      <c r="L184" s="1" t="str">
        <f t="shared" si="16"/>
        <v>WHEN CEMPRESA='31' AND CBALCAO='0003' AND CNUMECTA='20533674096' AND ZDEPOSIT='000000000000000' THEN 1</v>
      </c>
      <c r="M184" s="1" t="str">
        <f t="shared" si="17"/>
        <v>WHEN CEMPRESA='31' AND CBALCAO='0003' AND CNUMECTA='20533674096' AND ZDEPOSIT='000000000000000' THEN 'A.3.7.'</v>
      </c>
    </row>
    <row r="185" spans="2:13" x14ac:dyDescent="0.25">
      <c r="B185" s="1" t="s">
        <v>45</v>
      </c>
      <c r="C185" s="1" t="s">
        <v>46</v>
      </c>
      <c r="D185" s="1" t="s">
        <v>292</v>
      </c>
      <c r="E185" s="1" t="s">
        <v>48</v>
      </c>
      <c r="F185" s="1">
        <v>1</v>
      </c>
      <c r="G185" s="1" t="s">
        <v>60</v>
      </c>
      <c r="H185" s="1" t="str">
        <f t="shared" si="12"/>
        <v xml:space="preserve">CEMPRESA='31' </v>
      </c>
      <c r="I185" s="1" t="str">
        <f t="shared" si="13"/>
        <v xml:space="preserve">AND CBALCAO='0003' </v>
      </c>
      <c r="J185" s="1" t="str">
        <f t="shared" si="14"/>
        <v xml:space="preserve">AND CNUMECTA='20491311096' </v>
      </c>
      <c r="K185" s="1" t="str">
        <f t="shared" si="15"/>
        <v xml:space="preserve">AND ZDEPOSIT='000000000000000' </v>
      </c>
      <c r="L185" s="1" t="str">
        <f t="shared" si="16"/>
        <v>WHEN CEMPRESA='31' AND CBALCAO='0003' AND CNUMECTA='20491311096' AND ZDEPOSIT='000000000000000' THEN 1</v>
      </c>
      <c r="M185" s="1" t="str">
        <f t="shared" si="17"/>
        <v>WHEN CEMPRESA='31' AND CBALCAO='0003' AND CNUMECTA='20491311096' AND ZDEPOSIT='000000000000000' THEN 'A.3.7.'</v>
      </c>
    </row>
    <row r="186" spans="2:13" x14ac:dyDescent="0.25">
      <c r="B186" s="1" t="s">
        <v>54</v>
      </c>
      <c r="C186" s="1" t="s">
        <v>55</v>
      </c>
      <c r="D186" s="1" t="s">
        <v>293</v>
      </c>
      <c r="E186" s="1" t="s">
        <v>294</v>
      </c>
      <c r="F186" s="1">
        <v>1</v>
      </c>
      <c r="G186" s="1" t="s">
        <v>58</v>
      </c>
      <c r="H186" s="1" t="str">
        <f t="shared" si="12"/>
        <v xml:space="preserve">CEMPRESA='89' </v>
      </c>
      <c r="I186" s="1" t="str">
        <f t="shared" si="13"/>
        <v xml:space="preserve">AND CBALCAO='0000' </v>
      </c>
      <c r="J186" s="1" t="str">
        <f t="shared" si="14"/>
        <v xml:space="preserve">AND CNUMECTA='00000250144' </v>
      </c>
      <c r="K186" s="1" t="str">
        <f t="shared" si="15"/>
        <v xml:space="preserve">AND ZDEPOSIT='000450000464215' </v>
      </c>
      <c r="L186" s="1" t="str">
        <f t="shared" si="16"/>
        <v>WHEN CEMPRESA='89' AND CBALCAO='0000' AND CNUMECTA='00000250144' AND ZDEPOSIT='000450000464215' THEN 1</v>
      </c>
      <c r="M186" s="1" t="str">
        <f t="shared" si="17"/>
        <v>WHEN CEMPRESA='89' AND CBALCAO='0000' AND CNUMECTA='00000250144' AND ZDEPOSIT='000450000464215' THEN 'A.2.5.'</v>
      </c>
    </row>
    <row r="187" spans="2:13" x14ac:dyDescent="0.25">
      <c r="B187" s="1" t="s">
        <v>54</v>
      </c>
      <c r="C187" s="1" t="s">
        <v>55</v>
      </c>
      <c r="D187" s="1" t="s">
        <v>295</v>
      </c>
      <c r="E187" s="1" t="s">
        <v>296</v>
      </c>
      <c r="F187" s="1">
        <v>1</v>
      </c>
      <c r="G187" s="1" t="s">
        <v>58</v>
      </c>
      <c r="H187" s="1" t="str">
        <f t="shared" si="12"/>
        <v xml:space="preserve">CEMPRESA='89' </v>
      </c>
      <c r="I187" s="1" t="str">
        <f t="shared" si="13"/>
        <v xml:space="preserve">AND CBALCAO='0000' </v>
      </c>
      <c r="J187" s="1" t="str">
        <f t="shared" si="14"/>
        <v xml:space="preserve">AND CNUMECTA='00008046646' </v>
      </c>
      <c r="K187" s="1" t="str">
        <f t="shared" si="15"/>
        <v xml:space="preserve">AND ZDEPOSIT='000530000772405' </v>
      </c>
      <c r="L187" s="1" t="str">
        <f t="shared" si="16"/>
        <v>WHEN CEMPRESA='89' AND CBALCAO='0000' AND CNUMECTA='00008046646' AND ZDEPOSIT='000530000772405' THEN 1</v>
      </c>
      <c r="M187" s="1" t="str">
        <f t="shared" si="17"/>
        <v>WHEN CEMPRESA='89' AND CBALCAO='0000' AND CNUMECTA='00008046646' AND ZDEPOSIT='000530000772405' THEN 'A.2.5.'</v>
      </c>
    </row>
    <row r="188" spans="2:13" x14ac:dyDescent="0.25">
      <c r="B188" s="1" t="s">
        <v>45</v>
      </c>
      <c r="C188" s="1" t="s">
        <v>46</v>
      </c>
      <c r="D188" s="1" t="s">
        <v>297</v>
      </c>
      <c r="E188" s="1" t="s">
        <v>48</v>
      </c>
      <c r="F188" s="1">
        <v>1</v>
      </c>
      <c r="G188" s="1" t="s">
        <v>76</v>
      </c>
      <c r="H188" s="1" t="str">
        <f t="shared" si="12"/>
        <v xml:space="preserve">CEMPRESA='31' </v>
      </c>
      <c r="I188" s="1" t="str">
        <f t="shared" si="13"/>
        <v xml:space="preserve">AND CBALCAO='0003' </v>
      </c>
      <c r="J188" s="1" t="str">
        <f t="shared" si="14"/>
        <v xml:space="preserve">AND CNUMECTA='18613511097' </v>
      </c>
      <c r="K188" s="1" t="str">
        <f t="shared" si="15"/>
        <v xml:space="preserve">AND ZDEPOSIT='000000000000000' </v>
      </c>
      <c r="L188" s="1" t="str">
        <f t="shared" si="16"/>
        <v>WHEN CEMPRESA='31' AND CBALCAO='0003' AND CNUMECTA='18613511097' AND ZDEPOSIT='000000000000000' THEN 1</v>
      </c>
      <c r="M188" s="1" t="str">
        <f t="shared" si="17"/>
        <v>WHEN CEMPRESA='31' AND CBALCAO='0003' AND CNUMECTA='18613511097' AND ZDEPOSIT='000000000000000' THEN 'A.7.7.'</v>
      </c>
    </row>
    <row r="189" spans="2:13" x14ac:dyDescent="0.25">
      <c r="B189" s="1" t="s">
        <v>45</v>
      </c>
      <c r="C189" s="1" t="s">
        <v>46</v>
      </c>
      <c r="D189" s="1" t="s">
        <v>298</v>
      </c>
      <c r="E189" s="1" t="s">
        <v>48</v>
      </c>
      <c r="F189" s="1">
        <v>1</v>
      </c>
      <c r="G189" s="1" t="s">
        <v>60</v>
      </c>
      <c r="H189" s="1" t="str">
        <f t="shared" si="12"/>
        <v xml:space="preserve">CEMPRESA='31' </v>
      </c>
      <c r="I189" s="1" t="str">
        <f t="shared" si="13"/>
        <v xml:space="preserve">AND CBALCAO='0003' </v>
      </c>
      <c r="J189" s="1" t="str">
        <f t="shared" si="14"/>
        <v xml:space="preserve">AND CNUMECTA='20416797096' </v>
      </c>
      <c r="K189" s="1" t="str">
        <f t="shared" si="15"/>
        <v xml:space="preserve">AND ZDEPOSIT='000000000000000' </v>
      </c>
      <c r="L189" s="1" t="str">
        <f t="shared" si="16"/>
        <v>WHEN CEMPRESA='31' AND CBALCAO='0003' AND CNUMECTA='20416797096' AND ZDEPOSIT='000000000000000' THEN 1</v>
      </c>
      <c r="M189" s="1" t="str">
        <f t="shared" si="17"/>
        <v>WHEN CEMPRESA='31' AND CBALCAO='0003' AND CNUMECTA='20416797096' AND ZDEPOSIT='000000000000000' THEN 'A.3.7.'</v>
      </c>
    </row>
    <row r="190" spans="2:13" x14ac:dyDescent="0.25">
      <c r="B190" s="1" t="s">
        <v>45</v>
      </c>
      <c r="C190" s="1" t="s">
        <v>46</v>
      </c>
      <c r="D190" s="1" t="s">
        <v>299</v>
      </c>
      <c r="E190" s="1" t="s">
        <v>48</v>
      </c>
      <c r="F190" s="1">
        <v>1</v>
      </c>
      <c r="G190" s="1" t="s">
        <v>60</v>
      </c>
      <c r="H190" s="1" t="str">
        <f t="shared" si="12"/>
        <v xml:space="preserve">CEMPRESA='31' </v>
      </c>
      <c r="I190" s="1" t="str">
        <f t="shared" si="13"/>
        <v xml:space="preserve">AND CBALCAO='0003' </v>
      </c>
      <c r="J190" s="1" t="str">
        <f t="shared" si="14"/>
        <v xml:space="preserve">AND CNUMECTA='20447032096' </v>
      </c>
      <c r="K190" s="1" t="str">
        <f t="shared" si="15"/>
        <v xml:space="preserve">AND ZDEPOSIT='000000000000000' </v>
      </c>
      <c r="L190" s="1" t="str">
        <f t="shared" si="16"/>
        <v>WHEN CEMPRESA='31' AND CBALCAO='0003' AND CNUMECTA='20447032096' AND ZDEPOSIT='000000000000000' THEN 1</v>
      </c>
      <c r="M190" s="1" t="str">
        <f t="shared" si="17"/>
        <v>WHEN CEMPRESA='31' AND CBALCAO='0003' AND CNUMECTA='20447032096' AND ZDEPOSIT='000000000000000' THEN 'A.3.7.'</v>
      </c>
    </row>
    <row r="191" spans="2:13" x14ac:dyDescent="0.25">
      <c r="B191" s="1" t="s">
        <v>54</v>
      </c>
      <c r="C191" s="1" t="s">
        <v>55</v>
      </c>
      <c r="D191" s="1" t="s">
        <v>300</v>
      </c>
      <c r="E191" s="1" t="s">
        <v>301</v>
      </c>
      <c r="F191" s="1">
        <v>1</v>
      </c>
      <c r="G191" s="1" t="s">
        <v>58</v>
      </c>
      <c r="H191" s="1" t="str">
        <f t="shared" si="12"/>
        <v xml:space="preserve">CEMPRESA='89' </v>
      </c>
      <c r="I191" s="1" t="str">
        <f t="shared" si="13"/>
        <v xml:space="preserve">AND CBALCAO='0000' </v>
      </c>
      <c r="J191" s="1" t="str">
        <f t="shared" si="14"/>
        <v xml:space="preserve">AND CNUMECTA='00000249014' </v>
      </c>
      <c r="K191" s="1" t="str">
        <f t="shared" si="15"/>
        <v xml:space="preserve">AND ZDEPOSIT='000450000771906' </v>
      </c>
      <c r="L191" s="1" t="str">
        <f t="shared" si="16"/>
        <v>WHEN CEMPRESA='89' AND CBALCAO='0000' AND CNUMECTA='00000249014' AND ZDEPOSIT='000450000771906' THEN 1</v>
      </c>
      <c r="M191" s="1" t="str">
        <f t="shared" si="17"/>
        <v>WHEN CEMPRESA='89' AND CBALCAO='0000' AND CNUMECTA='00000249014' AND ZDEPOSIT='000450000771906' THEN 'A.2.5.'</v>
      </c>
    </row>
    <row r="192" spans="2:13" x14ac:dyDescent="0.25">
      <c r="B192" s="1" t="s">
        <v>45</v>
      </c>
      <c r="C192" s="1" t="s">
        <v>46</v>
      </c>
      <c r="D192" s="1" t="s">
        <v>302</v>
      </c>
      <c r="E192" s="1" t="s">
        <v>48</v>
      </c>
      <c r="F192" s="1">
        <v>1</v>
      </c>
      <c r="G192" s="1" t="s">
        <v>60</v>
      </c>
      <c r="H192" s="1" t="str">
        <f t="shared" si="12"/>
        <v xml:space="preserve">CEMPRESA='31' </v>
      </c>
      <c r="I192" s="1" t="str">
        <f t="shared" si="13"/>
        <v xml:space="preserve">AND CBALCAO='0003' </v>
      </c>
      <c r="J192" s="1" t="str">
        <f t="shared" si="14"/>
        <v xml:space="preserve">AND CNUMECTA='20507108096' </v>
      </c>
      <c r="K192" s="1" t="str">
        <f t="shared" si="15"/>
        <v xml:space="preserve">AND ZDEPOSIT='000000000000000' </v>
      </c>
      <c r="L192" s="1" t="str">
        <f t="shared" si="16"/>
        <v>WHEN CEMPRESA='31' AND CBALCAO='0003' AND CNUMECTA='20507108096' AND ZDEPOSIT='000000000000000' THEN 1</v>
      </c>
      <c r="M192" s="1" t="str">
        <f t="shared" si="17"/>
        <v>WHEN CEMPRESA='31' AND CBALCAO='0003' AND CNUMECTA='20507108096' AND ZDEPOSIT='000000000000000' THEN 'A.3.7.'</v>
      </c>
    </row>
    <row r="193" spans="2:13" x14ac:dyDescent="0.25">
      <c r="B193" s="1" t="s">
        <v>54</v>
      </c>
      <c r="C193" s="1" t="s">
        <v>55</v>
      </c>
      <c r="D193" s="1" t="s">
        <v>303</v>
      </c>
      <c r="E193" s="1" t="s">
        <v>304</v>
      </c>
      <c r="F193" s="1">
        <v>1</v>
      </c>
      <c r="G193" s="1" t="s">
        <v>58</v>
      </c>
      <c r="H193" s="1" t="str">
        <f t="shared" si="12"/>
        <v xml:space="preserve">CEMPRESA='89' </v>
      </c>
      <c r="I193" s="1" t="str">
        <f t="shared" si="13"/>
        <v xml:space="preserve">AND CBALCAO='0000' </v>
      </c>
      <c r="J193" s="1" t="str">
        <f t="shared" si="14"/>
        <v xml:space="preserve">AND CNUMECTA='00008046627' </v>
      </c>
      <c r="K193" s="1" t="str">
        <f t="shared" si="15"/>
        <v xml:space="preserve">AND ZDEPOSIT='000530000508723' </v>
      </c>
      <c r="L193" s="1" t="str">
        <f t="shared" si="16"/>
        <v>WHEN CEMPRESA='89' AND CBALCAO='0000' AND CNUMECTA='00008046627' AND ZDEPOSIT='000530000508723' THEN 1</v>
      </c>
      <c r="M193" s="1" t="str">
        <f t="shared" si="17"/>
        <v>WHEN CEMPRESA='89' AND CBALCAO='0000' AND CNUMECTA='00008046627' AND ZDEPOSIT='000530000508723' THEN 'A.2.5.'</v>
      </c>
    </row>
    <row r="194" spans="2:13" x14ac:dyDescent="0.25">
      <c r="B194" s="1" t="s">
        <v>45</v>
      </c>
      <c r="C194" s="1" t="s">
        <v>46</v>
      </c>
      <c r="D194" s="1" t="s">
        <v>305</v>
      </c>
      <c r="E194" s="1" t="s">
        <v>48</v>
      </c>
      <c r="F194" s="1">
        <v>1</v>
      </c>
      <c r="G194" s="1" t="s">
        <v>60</v>
      </c>
      <c r="H194" s="1" t="str">
        <f t="shared" si="12"/>
        <v xml:space="preserve">CEMPRESA='31' </v>
      </c>
      <c r="I194" s="1" t="str">
        <f t="shared" si="13"/>
        <v xml:space="preserve">AND CBALCAO='0003' </v>
      </c>
      <c r="J194" s="1" t="str">
        <f t="shared" si="14"/>
        <v xml:space="preserve">AND CNUMECTA='20717244096' </v>
      </c>
      <c r="K194" s="1" t="str">
        <f t="shared" si="15"/>
        <v xml:space="preserve">AND ZDEPOSIT='000000000000000' </v>
      </c>
      <c r="L194" s="1" t="str">
        <f t="shared" si="16"/>
        <v>WHEN CEMPRESA='31' AND CBALCAO='0003' AND CNUMECTA='20717244096' AND ZDEPOSIT='000000000000000' THEN 1</v>
      </c>
      <c r="M194" s="1" t="str">
        <f t="shared" si="17"/>
        <v>WHEN CEMPRESA='31' AND CBALCAO='0003' AND CNUMECTA='20717244096' AND ZDEPOSIT='000000000000000' THEN 'A.3.7.'</v>
      </c>
    </row>
    <row r="195" spans="2:13" x14ac:dyDescent="0.25">
      <c r="B195" s="1" t="s">
        <v>45</v>
      </c>
      <c r="C195" s="1" t="s">
        <v>187</v>
      </c>
      <c r="D195" s="1" t="s">
        <v>306</v>
      </c>
      <c r="E195" s="1" t="s">
        <v>307</v>
      </c>
      <c r="F195" s="1">
        <v>1</v>
      </c>
      <c r="G195" s="1" t="s">
        <v>58</v>
      </c>
      <c r="H195" s="1" t="str">
        <f t="shared" si="12"/>
        <v xml:space="preserve">CEMPRESA='31' </v>
      </c>
      <c r="I195" s="1" t="str">
        <f t="shared" si="13"/>
        <v xml:space="preserve">AND CBALCAO='6636' </v>
      </c>
      <c r="J195" s="1" t="str">
        <f t="shared" si="14"/>
        <v xml:space="preserve">AND CNUMECTA='00380030643' </v>
      </c>
      <c r="K195" s="1" t="str">
        <f t="shared" si="15"/>
        <v xml:space="preserve">AND ZDEPOSIT='363603800306431' </v>
      </c>
      <c r="L195" s="1" t="str">
        <f t="shared" si="16"/>
        <v>WHEN CEMPRESA='31' AND CBALCAO='6636' AND CNUMECTA='00380030643' AND ZDEPOSIT='363603800306431' THEN 1</v>
      </c>
      <c r="M195" s="1" t="str">
        <f t="shared" si="17"/>
        <v>WHEN CEMPRESA='31' AND CBALCAO='6636' AND CNUMECTA='00380030643' AND ZDEPOSIT='363603800306431' THEN 'A.2.5.'</v>
      </c>
    </row>
    <row r="196" spans="2:13" x14ac:dyDescent="0.25">
      <c r="B196" s="1" t="s">
        <v>54</v>
      </c>
      <c r="C196" s="1" t="s">
        <v>55</v>
      </c>
      <c r="D196" s="1" t="s">
        <v>308</v>
      </c>
      <c r="E196" s="1" t="s">
        <v>309</v>
      </c>
      <c r="F196" s="1">
        <v>1</v>
      </c>
      <c r="G196" s="1" t="s">
        <v>58</v>
      </c>
      <c r="H196" s="1" t="str">
        <f t="shared" ref="H196:H259" si="18">+IF(LEN(TRIM(B196))&gt;0,UPPER($B$2)&amp;"='"&amp;TRIM(B196)&amp;"' ","")</f>
        <v xml:space="preserve">CEMPRESA='89' </v>
      </c>
      <c r="I196" s="1" t="str">
        <f t="shared" ref="I196:I259" si="19">+IF(LEN(TRIM(C196))&gt;0,UPPER($C$2)&amp;"='"&amp;TRIM(C196)&amp;"' ","")</f>
        <v xml:space="preserve">AND CBALCAO='0000' </v>
      </c>
      <c r="J196" s="1" t="str">
        <f t="shared" ref="J196:J259" si="20">+IF(LEN(TRIM(D196))&gt;0,UPPER($D$2)&amp;"='"&amp;TRIM(D196)&amp;"' ","")</f>
        <v xml:space="preserve">AND CNUMECTA='00008046059' </v>
      </c>
      <c r="K196" s="1" t="str">
        <f t="shared" ref="K196:K259" si="21">+IF(LEN(TRIM(E196))&gt;0,UPPER($E$2)&amp;"='"&amp;TRIM(E196)&amp;"' ","")</f>
        <v xml:space="preserve">AND ZDEPOSIT='000530000774133' </v>
      </c>
      <c r="L196" s="1" t="str">
        <f t="shared" ref="L196:L259" si="22">+"WHEN "&amp;H196&amp;I196&amp;J196&amp;K196&amp;"THEN "&amp;F196</f>
        <v>WHEN CEMPRESA='89' AND CBALCAO='0000' AND CNUMECTA='00008046059' AND ZDEPOSIT='000530000774133' THEN 1</v>
      </c>
      <c r="M196" s="1" t="str">
        <f t="shared" ref="M196:M259" si="23">+"WHEN "&amp;H196&amp;I196&amp;J196&amp;K196&amp;"THEN "&amp;G196</f>
        <v>WHEN CEMPRESA='89' AND CBALCAO='0000' AND CNUMECTA='00008046059' AND ZDEPOSIT='000530000774133' THEN 'A.2.5.'</v>
      </c>
    </row>
    <row r="197" spans="2:13" x14ac:dyDescent="0.25">
      <c r="B197" s="1" t="s">
        <v>45</v>
      </c>
      <c r="C197" s="1" t="s">
        <v>46</v>
      </c>
      <c r="D197" s="1" t="s">
        <v>310</v>
      </c>
      <c r="E197" s="1" t="s">
        <v>48</v>
      </c>
      <c r="F197" s="1">
        <v>1</v>
      </c>
      <c r="G197" s="1" t="s">
        <v>60</v>
      </c>
      <c r="H197" s="1" t="str">
        <f t="shared" si="18"/>
        <v xml:space="preserve">CEMPRESA='31' </v>
      </c>
      <c r="I197" s="1" t="str">
        <f t="shared" si="19"/>
        <v xml:space="preserve">AND CBALCAO='0003' </v>
      </c>
      <c r="J197" s="1" t="str">
        <f t="shared" si="20"/>
        <v xml:space="preserve">AND CNUMECTA='20540133096' </v>
      </c>
      <c r="K197" s="1" t="str">
        <f t="shared" si="21"/>
        <v xml:space="preserve">AND ZDEPOSIT='000000000000000' </v>
      </c>
      <c r="L197" s="1" t="str">
        <f t="shared" si="22"/>
        <v>WHEN CEMPRESA='31' AND CBALCAO='0003' AND CNUMECTA='20540133096' AND ZDEPOSIT='000000000000000' THEN 1</v>
      </c>
      <c r="M197" s="1" t="str">
        <f t="shared" si="23"/>
        <v>WHEN CEMPRESA='31' AND CBALCAO='0003' AND CNUMECTA='20540133096' AND ZDEPOSIT='000000000000000' THEN 'A.3.7.'</v>
      </c>
    </row>
    <row r="198" spans="2:13" x14ac:dyDescent="0.25">
      <c r="B198" s="1" t="s">
        <v>45</v>
      </c>
      <c r="C198" s="1" t="s">
        <v>46</v>
      </c>
      <c r="D198" s="1" t="s">
        <v>311</v>
      </c>
      <c r="E198" s="1" t="s">
        <v>48</v>
      </c>
      <c r="F198" s="1">
        <v>1</v>
      </c>
      <c r="G198" s="1" t="s">
        <v>60</v>
      </c>
      <c r="H198" s="1" t="str">
        <f t="shared" si="18"/>
        <v xml:space="preserve">CEMPRESA='31' </v>
      </c>
      <c r="I198" s="1" t="str">
        <f t="shared" si="19"/>
        <v xml:space="preserve">AND CBALCAO='0003' </v>
      </c>
      <c r="J198" s="1" t="str">
        <f t="shared" si="20"/>
        <v xml:space="preserve">AND CNUMECTA='20586052096' </v>
      </c>
      <c r="K198" s="1" t="str">
        <f t="shared" si="21"/>
        <v xml:space="preserve">AND ZDEPOSIT='000000000000000' </v>
      </c>
      <c r="L198" s="1" t="str">
        <f t="shared" si="22"/>
        <v>WHEN CEMPRESA='31' AND CBALCAO='0003' AND CNUMECTA='20586052096' AND ZDEPOSIT='000000000000000' THEN 1</v>
      </c>
      <c r="M198" s="1" t="str">
        <f t="shared" si="23"/>
        <v>WHEN CEMPRESA='31' AND CBALCAO='0003' AND CNUMECTA='20586052096' AND ZDEPOSIT='000000000000000' THEN 'A.3.7.'</v>
      </c>
    </row>
    <row r="199" spans="2:13" x14ac:dyDescent="0.25">
      <c r="B199" s="1" t="s">
        <v>45</v>
      </c>
      <c r="C199" s="1" t="s">
        <v>46</v>
      </c>
      <c r="D199" s="1" t="s">
        <v>312</v>
      </c>
      <c r="E199" s="1" t="s">
        <v>48</v>
      </c>
      <c r="F199" s="1">
        <v>1</v>
      </c>
      <c r="G199" s="1" t="s">
        <v>60</v>
      </c>
      <c r="H199" s="1" t="str">
        <f t="shared" si="18"/>
        <v xml:space="preserve">CEMPRESA='31' </v>
      </c>
      <c r="I199" s="1" t="str">
        <f t="shared" si="19"/>
        <v xml:space="preserve">AND CBALCAO='0003' </v>
      </c>
      <c r="J199" s="1" t="str">
        <f t="shared" si="20"/>
        <v xml:space="preserve">AND CNUMECTA='20582218096' </v>
      </c>
      <c r="K199" s="1" t="str">
        <f t="shared" si="21"/>
        <v xml:space="preserve">AND ZDEPOSIT='000000000000000' </v>
      </c>
      <c r="L199" s="1" t="str">
        <f t="shared" si="22"/>
        <v>WHEN CEMPRESA='31' AND CBALCAO='0003' AND CNUMECTA='20582218096' AND ZDEPOSIT='000000000000000' THEN 1</v>
      </c>
      <c r="M199" s="1" t="str">
        <f t="shared" si="23"/>
        <v>WHEN CEMPRESA='31' AND CBALCAO='0003' AND CNUMECTA='20582218096' AND ZDEPOSIT='000000000000000' THEN 'A.3.7.'</v>
      </c>
    </row>
    <row r="200" spans="2:13" x14ac:dyDescent="0.25">
      <c r="B200" s="1" t="s">
        <v>54</v>
      </c>
      <c r="C200" s="1" t="s">
        <v>55</v>
      </c>
      <c r="D200" s="1" t="s">
        <v>313</v>
      </c>
      <c r="E200" s="1" t="s">
        <v>314</v>
      </c>
      <c r="F200" s="1">
        <v>1</v>
      </c>
      <c r="G200" s="1" t="s">
        <v>209</v>
      </c>
      <c r="H200" s="1" t="str">
        <f t="shared" si="18"/>
        <v xml:space="preserve">CEMPRESA='89' </v>
      </c>
      <c r="I200" s="1" t="str">
        <f t="shared" si="19"/>
        <v xml:space="preserve">AND CBALCAO='0000' </v>
      </c>
      <c r="J200" s="1" t="str">
        <f t="shared" si="20"/>
        <v xml:space="preserve">AND CNUMECTA='20240000326' </v>
      </c>
      <c r="K200" s="1" t="str">
        <f t="shared" si="21"/>
        <v xml:space="preserve">AND ZDEPOSIT='001520240435480' </v>
      </c>
      <c r="L200" s="1" t="str">
        <f t="shared" si="22"/>
        <v>WHEN CEMPRESA='89' AND CBALCAO='0000' AND CNUMECTA='20240000326' AND ZDEPOSIT='001520240435480' THEN 1</v>
      </c>
      <c r="M200" s="1" t="str">
        <f t="shared" si="23"/>
        <v>WHEN CEMPRESA='89' AND CBALCAO='0000' AND CNUMECTA='20240000326' AND ZDEPOSIT='001520240435480' THEN 'A.3.1.'</v>
      </c>
    </row>
    <row r="201" spans="2:13" x14ac:dyDescent="0.25">
      <c r="B201" s="1" t="s">
        <v>45</v>
      </c>
      <c r="C201" s="1" t="s">
        <v>46</v>
      </c>
      <c r="D201" s="1" t="s">
        <v>315</v>
      </c>
      <c r="E201" s="1" t="s">
        <v>48</v>
      </c>
      <c r="F201" s="1">
        <v>1</v>
      </c>
      <c r="G201" s="1" t="s">
        <v>60</v>
      </c>
      <c r="H201" s="1" t="str">
        <f t="shared" si="18"/>
        <v xml:space="preserve">CEMPRESA='31' </v>
      </c>
      <c r="I201" s="1" t="str">
        <f t="shared" si="19"/>
        <v xml:space="preserve">AND CBALCAO='0003' </v>
      </c>
      <c r="J201" s="1" t="str">
        <f t="shared" si="20"/>
        <v xml:space="preserve">AND CNUMECTA='20469861096' </v>
      </c>
      <c r="K201" s="1" t="str">
        <f t="shared" si="21"/>
        <v xml:space="preserve">AND ZDEPOSIT='000000000000000' </v>
      </c>
      <c r="L201" s="1" t="str">
        <f t="shared" si="22"/>
        <v>WHEN CEMPRESA='31' AND CBALCAO='0003' AND CNUMECTA='20469861096' AND ZDEPOSIT='000000000000000' THEN 1</v>
      </c>
      <c r="M201" s="1" t="str">
        <f t="shared" si="23"/>
        <v>WHEN CEMPRESA='31' AND CBALCAO='0003' AND CNUMECTA='20469861096' AND ZDEPOSIT='000000000000000' THEN 'A.3.7.'</v>
      </c>
    </row>
    <row r="202" spans="2:13" x14ac:dyDescent="0.25">
      <c r="B202" s="1" t="s">
        <v>45</v>
      </c>
      <c r="C202" s="1" t="s">
        <v>46</v>
      </c>
      <c r="D202" s="1" t="s">
        <v>316</v>
      </c>
      <c r="E202" s="1" t="s">
        <v>48</v>
      </c>
      <c r="F202" s="1">
        <v>1</v>
      </c>
      <c r="G202" s="1" t="s">
        <v>60</v>
      </c>
      <c r="H202" s="1" t="str">
        <f t="shared" si="18"/>
        <v xml:space="preserve">CEMPRESA='31' </v>
      </c>
      <c r="I202" s="1" t="str">
        <f t="shared" si="19"/>
        <v xml:space="preserve">AND CBALCAO='0003' </v>
      </c>
      <c r="J202" s="1" t="str">
        <f t="shared" si="20"/>
        <v xml:space="preserve">AND CNUMECTA='20656038096' </v>
      </c>
      <c r="K202" s="1" t="str">
        <f t="shared" si="21"/>
        <v xml:space="preserve">AND ZDEPOSIT='000000000000000' </v>
      </c>
      <c r="L202" s="1" t="str">
        <f t="shared" si="22"/>
        <v>WHEN CEMPRESA='31' AND CBALCAO='0003' AND CNUMECTA='20656038096' AND ZDEPOSIT='000000000000000' THEN 1</v>
      </c>
      <c r="M202" s="1" t="str">
        <f t="shared" si="23"/>
        <v>WHEN CEMPRESA='31' AND CBALCAO='0003' AND CNUMECTA='20656038096' AND ZDEPOSIT='000000000000000' THEN 'A.3.7.'</v>
      </c>
    </row>
    <row r="203" spans="2:13" x14ac:dyDescent="0.25">
      <c r="B203" s="1" t="s">
        <v>45</v>
      </c>
      <c r="C203" s="1" t="s">
        <v>46</v>
      </c>
      <c r="D203" s="1" t="s">
        <v>317</v>
      </c>
      <c r="E203" s="1" t="s">
        <v>48</v>
      </c>
      <c r="F203" s="1">
        <v>1</v>
      </c>
      <c r="G203" s="1" t="s">
        <v>60</v>
      </c>
      <c r="H203" s="1" t="str">
        <f t="shared" si="18"/>
        <v xml:space="preserve">CEMPRESA='31' </v>
      </c>
      <c r="I203" s="1" t="str">
        <f t="shared" si="19"/>
        <v xml:space="preserve">AND CBALCAO='0003' </v>
      </c>
      <c r="J203" s="1" t="str">
        <f t="shared" si="20"/>
        <v xml:space="preserve">AND CNUMECTA='20598248096' </v>
      </c>
      <c r="K203" s="1" t="str">
        <f t="shared" si="21"/>
        <v xml:space="preserve">AND ZDEPOSIT='000000000000000' </v>
      </c>
      <c r="L203" s="1" t="str">
        <f t="shared" si="22"/>
        <v>WHEN CEMPRESA='31' AND CBALCAO='0003' AND CNUMECTA='20598248096' AND ZDEPOSIT='000000000000000' THEN 1</v>
      </c>
      <c r="M203" s="1" t="str">
        <f t="shared" si="23"/>
        <v>WHEN CEMPRESA='31' AND CBALCAO='0003' AND CNUMECTA='20598248096' AND ZDEPOSIT='000000000000000' THEN 'A.3.7.'</v>
      </c>
    </row>
    <row r="204" spans="2:13" x14ac:dyDescent="0.25">
      <c r="B204" s="1" t="s">
        <v>45</v>
      </c>
      <c r="C204" s="1" t="s">
        <v>46</v>
      </c>
      <c r="D204" s="1" t="s">
        <v>318</v>
      </c>
      <c r="E204" s="1" t="s">
        <v>48</v>
      </c>
      <c r="F204" s="1">
        <v>1</v>
      </c>
      <c r="G204" s="1" t="s">
        <v>60</v>
      </c>
      <c r="H204" s="1" t="str">
        <f t="shared" si="18"/>
        <v xml:space="preserve">CEMPRESA='31' </v>
      </c>
      <c r="I204" s="1" t="str">
        <f t="shared" si="19"/>
        <v xml:space="preserve">AND CBALCAO='0003' </v>
      </c>
      <c r="J204" s="1" t="str">
        <f t="shared" si="20"/>
        <v xml:space="preserve">AND CNUMECTA='20491600096' </v>
      </c>
      <c r="K204" s="1" t="str">
        <f t="shared" si="21"/>
        <v xml:space="preserve">AND ZDEPOSIT='000000000000000' </v>
      </c>
      <c r="L204" s="1" t="str">
        <f t="shared" si="22"/>
        <v>WHEN CEMPRESA='31' AND CBALCAO='0003' AND CNUMECTA='20491600096' AND ZDEPOSIT='000000000000000' THEN 1</v>
      </c>
      <c r="M204" s="1" t="str">
        <f t="shared" si="23"/>
        <v>WHEN CEMPRESA='31' AND CBALCAO='0003' AND CNUMECTA='20491600096' AND ZDEPOSIT='000000000000000' THEN 'A.3.7.'</v>
      </c>
    </row>
    <row r="205" spans="2:13" x14ac:dyDescent="0.25">
      <c r="B205" s="1" t="s">
        <v>45</v>
      </c>
      <c r="C205" s="1" t="s">
        <v>46</v>
      </c>
      <c r="D205" s="1" t="s">
        <v>319</v>
      </c>
      <c r="E205" s="1" t="s">
        <v>48</v>
      </c>
      <c r="F205" s="1">
        <v>1</v>
      </c>
      <c r="G205" s="1" t="s">
        <v>60</v>
      </c>
      <c r="H205" s="1" t="str">
        <f t="shared" si="18"/>
        <v xml:space="preserve">CEMPRESA='31' </v>
      </c>
      <c r="I205" s="1" t="str">
        <f t="shared" si="19"/>
        <v xml:space="preserve">AND CBALCAO='0003' </v>
      </c>
      <c r="J205" s="1" t="str">
        <f t="shared" si="20"/>
        <v xml:space="preserve">AND CNUMECTA='20482153096' </v>
      </c>
      <c r="K205" s="1" t="str">
        <f t="shared" si="21"/>
        <v xml:space="preserve">AND ZDEPOSIT='000000000000000' </v>
      </c>
      <c r="L205" s="1" t="str">
        <f t="shared" si="22"/>
        <v>WHEN CEMPRESA='31' AND CBALCAO='0003' AND CNUMECTA='20482153096' AND ZDEPOSIT='000000000000000' THEN 1</v>
      </c>
      <c r="M205" s="1" t="str">
        <f t="shared" si="23"/>
        <v>WHEN CEMPRESA='31' AND CBALCAO='0003' AND CNUMECTA='20482153096' AND ZDEPOSIT='000000000000000' THEN 'A.3.7.'</v>
      </c>
    </row>
    <row r="206" spans="2:13" x14ac:dyDescent="0.25">
      <c r="B206" s="1" t="s">
        <v>45</v>
      </c>
      <c r="C206" s="1" t="s">
        <v>46</v>
      </c>
      <c r="D206" s="1" t="s">
        <v>320</v>
      </c>
      <c r="E206" s="1" t="s">
        <v>48</v>
      </c>
      <c r="F206" s="1">
        <v>1</v>
      </c>
      <c r="G206" s="1" t="s">
        <v>60</v>
      </c>
      <c r="H206" s="1" t="str">
        <f t="shared" si="18"/>
        <v xml:space="preserve">CEMPRESA='31' </v>
      </c>
      <c r="I206" s="1" t="str">
        <f t="shared" si="19"/>
        <v xml:space="preserve">AND CBALCAO='0003' </v>
      </c>
      <c r="J206" s="1" t="str">
        <f t="shared" si="20"/>
        <v xml:space="preserve">AND CNUMECTA='20474200096' </v>
      </c>
      <c r="K206" s="1" t="str">
        <f t="shared" si="21"/>
        <v xml:space="preserve">AND ZDEPOSIT='000000000000000' </v>
      </c>
      <c r="L206" s="1" t="str">
        <f t="shared" si="22"/>
        <v>WHEN CEMPRESA='31' AND CBALCAO='0003' AND CNUMECTA='20474200096' AND ZDEPOSIT='000000000000000' THEN 1</v>
      </c>
      <c r="M206" s="1" t="str">
        <f t="shared" si="23"/>
        <v>WHEN CEMPRESA='31' AND CBALCAO='0003' AND CNUMECTA='20474200096' AND ZDEPOSIT='000000000000000' THEN 'A.3.7.'</v>
      </c>
    </row>
    <row r="207" spans="2:13" x14ac:dyDescent="0.25">
      <c r="B207" s="1" t="s">
        <v>45</v>
      </c>
      <c r="C207" s="1" t="s">
        <v>46</v>
      </c>
      <c r="D207" s="1" t="s">
        <v>321</v>
      </c>
      <c r="E207" s="1" t="s">
        <v>48</v>
      </c>
      <c r="F207" s="1">
        <v>1</v>
      </c>
      <c r="G207" s="1" t="s">
        <v>60</v>
      </c>
      <c r="H207" s="1" t="str">
        <f t="shared" si="18"/>
        <v xml:space="preserve">CEMPRESA='31' </v>
      </c>
      <c r="I207" s="1" t="str">
        <f t="shared" si="19"/>
        <v xml:space="preserve">AND CBALCAO='0003' </v>
      </c>
      <c r="J207" s="1" t="str">
        <f t="shared" si="20"/>
        <v xml:space="preserve">AND CNUMECTA='20686191096' </v>
      </c>
      <c r="K207" s="1" t="str">
        <f t="shared" si="21"/>
        <v xml:space="preserve">AND ZDEPOSIT='000000000000000' </v>
      </c>
      <c r="L207" s="1" t="str">
        <f t="shared" si="22"/>
        <v>WHEN CEMPRESA='31' AND CBALCAO='0003' AND CNUMECTA='20686191096' AND ZDEPOSIT='000000000000000' THEN 1</v>
      </c>
      <c r="M207" s="1" t="str">
        <f t="shared" si="23"/>
        <v>WHEN CEMPRESA='31' AND CBALCAO='0003' AND CNUMECTA='20686191096' AND ZDEPOSIT='000000000000000' THEN 'A.3.7.'</v>
      </c>
    </row>
    <row r="208" spans="2:13" x14ac:dyDescent="0.25">
      <c r="B208" s="1" t="s">
        <v>54</v>
      </c>
      <c r="C208" s="1" t="s">
        <v>55</v>
      </c>
      <c r="D208" s="1" t="s">
        <v>322</v>
      </c>
      <c r="E208" s="1" t="s">
        <v>323</v>
      </c>
      <c r="F208" s="1">
        <v>1</v>
      </c>
      <c r="G208" s="1" t="s">
        <v>58</v>
      </c>
      <c r="H208" s="1" t="str">
        <f t="shared" si="18"/>
        <v xml:space="preserve">CEMPRESA='89' </v>
      </c>
      <c r="I208" s="1" t="str">
        <f t="shared" si="19"/>
        <v xml:space="preserve">AND CBALCAO='0000' </v>
      </c>
      <c r="J208" s="1" t="str">
        <f t="shared" si="20"/>
        <v xml:space="preserve">AND CNUMECTA='00008046444' </v>
      </c>
      <c r="K208" s="1" t="str">
        <f t="shared" si="21"/>
        <v xml:space="preserve">AND ZDEPOSIT='000530000671403' </v>
      </c>
      <c r="L208" s="1" t="str">
        <f t="shared" si="22"/>
        <v>WHEN CEMPRESA='89' AND CBALCAO='0000' AND CNUMECTA='00008046444' AND ZDEPOSIT='000530000671403' THEN 1</v>
      </c>
      <c r="M208" s="1" t="str">
        <f t="shared" si="23"/>
        <v>WHEN CEMPRESA='89' AND CBALCAO='0000' AND CNUMECTA='00008046444' AND ZDEPOSIT='000530000671403' THEN 'A.2.5.'</v>
      </c>
    </row>
    <row r="209" spans="2:13" x14ac:dyDescent="0.25">
      <c r="B209" s="1" t="s">
        <v>45</v>
      </c>
      <c r="C209" s="1" t="s">
        <v>114</v>
      </c>
      <c r="D209" s="1" t="s">
        <v>115</v>
      </c>
      <c r="E209" s="1" t="s">
        <v>324</v>
      </c>
      <c r="F209" s="1">
        <v>1</v>
      </c>
      <c r="G209" s="1" t="s">
        <v>117</v>
      </c>
      <c r="H209" s="1" t="str">
        <f t="shared" si="18"/>
        <v xml:space="preserve">CEMPRESA='31' </v>
      </c>
      <c r="I209" s="1" t="str">
        <f t="shared" si="19"/>
        <v xml:space="preserve">AND CBALCAO='6416' </v>
      </c>
      <c r="J209" s="1" t="str">
        <f t="shared" si="20"/>
        <v xml:space="preserve">AND CNUMECTA='00000001085' </v>
      </c>
      <c r="K209" s="1" t="str">
        <f t="shared" si="21"/>
        <v xml:space="preserve">AND ZDEPOSIT='PC0654545000000' </v>
      </c>
      <c r="L209" s="1" t="str">
        <f t="shared" si="22"/>
        <v>WHEN CEMPRESA='31' AND CBALCAO='6416' AND CNUMECTA='00000001085' AND ZDEPOSIT='PC0654545000000' THEN 1</v>
      </c>
      <c r="M209" s="1" t="str">
        <f t="shared" si="23"/>
        <v>WHEN CEMPRESA='31' AND CBALCAO='6416' AND CNUMECTA='00000001085' AND ZDEPOSIT='PC0654545000000' THEN 'Sustainability Linked Finance - Default'</v>
      </c>
    </row>
    <row r="210" spans="2:13" x14ac:dyDescent="0.25">
      <c r="B210" s="1" t="s">
        <v>54</v>
      </c>
      <c r="C210" s="1" t="s">
        <v>55</v>
      </c>
      <c r="D210" s="1" t="s">
        <v>325</v>
      </c>
      <c r="E210" s="1" t="s">
        <v>326</v>
      </c>
      <c r="F210" s="1">
        <v>1</v>
      </c>
      <c r="G210" s="1" t="s">
        <v>58</v>
      </c>
      <c r="H210" s="1" t="str">
        <f t="shared" si="18"/>
        <v xml:space="preserve">CEMPRESA='89' </v>
      </c>
      <c r="I210" s="1" t="str">
        <f t="shared" si="19"/>
        <v xml:space="preserve">AND CBALCAO='0000' </v>
      </c>
      <c r="J210" s="1" t="str">
        <f t="shared" si="20"/>
        <v xml:space="preserve">AND CNUMECTA='00000249918' </v>
      </c>
      <c r="K210" s="1" t="str">
        <f t="shared" si="21"/>
        <v xml:space="preserve">AND ZDEPOSIT='000450000520796' </v>
      </c>
      <c r="L210" s="1" t="str">
        <f t="shared" si="22"/>
        <v>WHEN CEMPRESA='89' AND CBALCAO='0000' AND CNUMECTA='00000249918' AND ZDEPOSIT='000450000520796' THEN 1</v>
      </c>
      <c r="M210" s="1" t="str">
        <f t="shared" si="23"/>
        <v>WHEN CEMPRESA='89' AND CBALCAO='0000' AND CNUMECTA='00000249918' AND ZDEPOSIT='000450000520796' THEN 'A.2.5.'</v>
      </c>
    </row>
    <row r="211" spans="2:13" x14ac:dyDescent="0.25">
      <c r="B211" s="1" t="s">
        <v>45</v>
      </c>
      <c r="C211" s="1" t="s">
        <v>46</v>
      </c>
      <c r="D211" s="1" t="s">
        <v>327</v>
      </c>
      <c r="E211" s="1" t="s">
        <v>48</v>
      </c>
      <c r="F211" s="1">
        <v>1</v>
      </c>
      <c r="G211" s="1" t="s">
        <v>60</v>
      </c>
      <c r="H211" s="1" t="str">
        <f t="shared" si="18"/>
        <v xml:space="preserve">CEMPRESA='31' </v>
      </c>
      <c r="I211" s="1" t="str">
        <f t="shared" si="19"/>
        <v xml:space="preserve">AND CBALCAO='0003' </v>
      </c>
      <c r="J211" s="1" t="str">
        <f t="shared" si="20"/>
        <v xml:space="preserve">AND CNUMECTA='20723796096' </v>
      </c>
      <c r="K211" s="1" t="str">
        <f t="shared" si="21"/>
        <v xml:space="preserve">AND ZDEPOSIT='000000000000000' </v>
      </c>
      <c r="L211" s="1" t="str">
        <f t="shared" si="22"/>
        <v>WHEN CEMPRESA='31' AND CBALCAO='0003' AND CNUMECTA='20723796096' AND ZDEPOSIT='000000000000000' THEN 1</v>
      </c>
      <c r="M211" s="1" t="str">
        <f t="shared" si="23"/>
        <v>WHEN CEMPRESA='31' AND CBALCAO='0003' AND CNUMECTA='20723796096' AND ZDEPOSIT='000000000000000' THEN 'A.3.7.'</v>
      </c>
    </row>
    <row r="212" spans="2:13" x14ac:dyDescent="0.25">
      <c r="B212" s="1" t="s">
        <v>45</v>
      </c>
      <c r="C212" s="1" t="s">
        <v>46</v>
      </c>
      <c r="D212" s="1" t="s">
        <v>328</v>
      </c>
      <c r="E212" s="1" t="s">
        <v>48</v>
      </c>
      <c r="F212" s="1">
        <v>1</v>
      </c>
      <c r="G212" s="1" t="s">
        <v>60</v>
      </c>
      <c r="H212" s="1" t="str">
        <f t="shared" si="18"/>
        <v xml:space="preserve">CEMPRESA='31' </v>
      </c>
      <c r="I212" s="1" t="str">
        <f t="shared" si="19"/>
        <v xml:space="preserve">AND CBALCAO='0003' </v>
      </c>
      <c r="J212" s="1" t="str">
        <f t="shared" si="20"/>
        <v xml:space="preserve">AND CNUMECTA='20696794096' </v>
      </c>
      <c r="K212" s="1" t="str">
        <f t="shared" si="21"/>
        <v xml:space="preserve">AND ZDEPOSIT='000000000000000' </v>
      </c>
      <c r="L212" s="1" t="str">
        <f t="shared" si="22"/>
        <v>WHEN CEMPRESA='31' AND CBALCAO='0003' AND CNUMECTA='20696794096' AND ZDEPOSIT='000000000000000' THEN 1</v>
      </c>
      <c r="M212" s="1" t="str">
        <f t="shared" si="23"/>
        <v>WHEN CEMPRESA='31' AND CBALCAO='0003' AND CNUMECTA='20696794096' AND ZDEPOSIT='000000000000000' THEN 'A.3.7.'</v>
      </c>
    </row>
    <row r="213" spans="2:13" x14ac:dyDescent="0.25">
      <c r="B213" s="1" t="s">
        <v>54</v>
      </c>
      <c r="C213" s="1" t="s">
        <v>55</v>
      </c>
      <c r="D213" s="1" t="s">
        <v>233</v>
      </c>
      <c r="E213" s="1" t="s">
        <v>329</v>
      </c>
      <c r="F213" s="1">
        <v>1</v>
      </c>
      <c r="G213" s="1" t="s">
        <v>209</v>
      </c>
      <c r="H213" s="1" t="str">
        <f t="shared" si="18"/>
        <v xml:space="preserve">CEMPRESA='89' </v>
      </c>
      <c r="I213" s="1" t="str">
        <f t="shared" si="19"/>
        <v xml:space="preserve">AND CBALCAO='0000' </v>
      </c>
      <c r="J213" s="1" t="str">
        <f t="shared" si="20"/>
        <v xml:space="preserve">AND CNUMECTA='20240000303' </v>
      </c>
      <c r="K213" s="1" t="str">
        <f t="shared" si="21"/>
        <v xml:space="preserve">AND ZDEPOSIT='001520240387053' </v>
      </c>
      <c r="L213" s="1" t="str">
        <f t="shared" si="22"/>
        <v>WHEN CEMPRESA='89' AND CBALCAO='0000' AND CNUMECTA='20240000303' AND ZDEPOSIT='001520240387053' THEN 1</v>
      </c>
      <c r="M213" s="1" t="str">
        <f t="shared" si="23"/>
        <v>WHEN CEMPRESA='89' AND CBALCAO='0000' AND CNUMECTA='20240000303' AND ZDEPOSIT='001520240387053' THEN 'A.3.1.'</v>
      </c>
    </row>
    <row r="214" spans="2:13" x14ac:dyDescent="0.25">
      <c r="B214" s="1" t="s">
        <v>54</v>
      </c>
      <c r="C214" s="1" t="s">
        <v>55</v>
      </c>
      <c r="D214" s="1" t="s">
        <v>330</v>
      </c>
      <c r="E214" s="1" t="s">
        <v>331</v>
      </c>
      <c r="F214" s="1">
        <v>1</v>
      </c>
      <c r="G214" s="1" t="s">
        <v>58</v>
      </c>
      <c r="H214" s="1" t="str">
        <f t="shared" si="18"/>
        <v xml:space="preserve">CEMPRESA='89' </v>
      </c>
      <c r="I214" s="1" t="str">
        <f t="shared" si="19"/>
        <v xml:space="preserve">AND CBALCAO='0000' </v>
      </c>
      <c r="J214" s="1" t="str">
        <f t="shared" si="20"/>
        <v xml:space="preserve">AND CNUMECTA='00008046120' </v>
      </c>
      <c r="K214" s="1" t="str">
        <f t="shared" si="21"/>
        <v xml:space="preserve">AND ZDEPOSIT='000530000763835' </v>
      </c>
      <c r="L214" s="1" t="str">
        <f t="shared" si="22"/>
        <v>WHEN CEMPRESA='89' AND CBALCAO='0000' AND CNUMECTA='00008046120' AND ZDEPOSIT='000530000763835' THEN 1</v>
      </c>
      <c r="M214" s="1" t="str">
        <f t="shared" si="23"/>
        <v>WHEN CEMPRESA='89' AND CBALCAO='0000' AND CNUMECTA='00008046120' AND ZDEPOSIT='000530000763835' THEN 'A.2.5.'</v>
      </c>
    </row>
    <row r="215" spans="2:13" x14ac:dyDescent="0.25">
      <c r="B215" s="1" t="s">
        <v>45</v>
      </c>
      <c r="C215" s="1" t="s">
        <v>46</v>
      </c>
      <c r="D215" s="1" t="s">
        <v>332</v>
      </c>
      <c r="E215" s="1" t="s">
        <v>48</v>
      </c>
      <c r="F215" s="1">
        <v>1</v>
      </c>
      <c r="G215" s="1" t="s">
        <v>60</v>
      </c>
      <c r="H215" s="1" t="str">
        <f t="shared" si="18"/>
        <v xml:space="preserve">CEMPRESA='31' </v>
      </c>
      <c r="I215" s="1" t="str">
        <f t="shared" si="19"/>
        <v xml:space="preserve">AND CBALCAO='0003' </v>
      </c>
      <c r="J215" s="1" t="str">
        <f t="shared" si="20"/>
        <v xml:space="preserve">AND CNUMECTA='20722160096' </v>
      </c>
      <c r="K215" s="1" t="str">
        <f t="shared" si="21"/>
        <v xml:space="preserve">AND ZDEPOSIT='000000000000000' </v>
      </c>
      <c r="L215" s="1" t="str">
        <f t="shared" si="22"/>
        <v>WHEN CEMPRESA='31' AND CBALCAO='0003' AND CNUMECTA='20722160096' AND ZDEPOSIT='000000000000000' THEN 1</v>
      </c>
      <c r="M215" s="1" t="str">
        <f t="shared" si="23"/>
        <v>WHEN CEMPRESA='31' AND CBALCAO='0003' AND CNUMECTA='20722160096' AND ZDEPOSIT='000000000000000' THEN 'A.3.7.'</v>
      </c>
    </row>
    <row r="216" spans="2:13" x14ac:dyDescent="0.25">
      <c r="B216" s="1" t="s">
        <v>45</v>
      </c>
      <c r="C216" s="1" t="s">
        <v>46</v>
      </c>
      <c r="D216" s="1" t="s">
        <v>333</v>
      </c>
      <c r="E216" s="1" t="s">
        <v>48</v>
      </c>
      <c r="F216" s="1">
        <v>1</v>
      </c>
      <c r="G216" s="1" t="s">
        <v>60</v>
      </c>
      <c r="H216" s="1" t="str">
        <f t="shared" si="18"/>
        <v xml:space="preserve">CEMPRESA='31' </v>
      </c>
      <c r="I216" s="1" t="str">
        <f t="shared" si="19"/>
        <v xml:space="preserve">AND CBALCAO='0003' </v>
      </c>
      <c r="J216" s="1" t="str">
        <f t="shared" si="20"/>
        <v xml:space="preserve">AND CNUMECTA='20548409096' </v>
      </c>
      <c r="K216" s="1" t="str">
        <f t="shared" si="21"/>
        <v xml:space="preserve">AND ZDEPOSIT='000000000000000' </v>
      </c>
      <c r="L216" s="1" t="str">
        <f t="shared" si="22"/>
        <v>WHEN CEMPRESA='31' AND CBALCAO='0003' AND CNUMECTA='20548409096' AND ZDEPOSIT='000000000000000' THEN 1</v>
      </c>
      <c r="M216" s="1" t="str">
        <f t="shared" si="23"/>
        <v>WHEN CEMPRESA='31' AND CBALCAO='0003' AND CNUMECTA='20548409096' AND ZDEPOSIT='000000000000000' THEN 'A.3.7.'</v>
      </c>
    </row>
    <row r="217" spans="2:13" x14ac:dyDescent="0.25">
      <c r="B217" s="1" t="s">
        <v>54</v>
      </c>
      <c r="C217" s="1" t="s">
        <v>55</v>
      </c>
      <c r="D217" s="1" t="s">
        <v>334</v>
      </c>
      <c r="E217" s="1" t="s">
        <v>335</v>
      </c>
      <c r="F217" s="1">
        <v>1</v>
      </c>
      <c r="G217" s="1" t="s">
        <v>58</v>
      </c>
      <c r="H217" s="1" t="str">
        <f t="shared" si="18"/>
        <v xml:space="preserve">CEMPRESA='89' </v>
      </c>
      <c r="I217" s="1" t="str">
        <f t="shared" si="19"/>
        <v xml:space="preserve">AND CBALCAO='0000' </v>
      </c>
      <c r="J217" s="1" t="str">
        <f t="shared" si="20"/>
        <v xml:space="preserve">AND CNUMECTA='00008046614' </v>
      </c>
      <c r="K217" s="1" t="str">
        <f t="shared" si="21"/>
        <v xml:space="preserve">AND ZDEPOSIT='000530000778700' </v>
      </c>
      <c r="L217" s="1" t="str">
        <f t="shared" si="22"/>
        <v>WHEN CEMPRESA='89' AND CBALCAO='0000' AND CNUMECTA='00008046614' AND ZDEPOSIT='000530000778700' THEN 1</v>
      </c>
      <c r="M217" s="1" t="str">
        <f t="shared" si="23"/>
        <v>WHEN CEMPRESA='89' AND CBALCAO='0000' AND CNUMECTA='00008046614' AND ZDEPOSIT='000530000778700' THEN 'A.2.5.'</v>
      </c>
    </row>
    <row r="218" spans="2:13" x14ac:dyDescent="0.25">
      <c r="B218" s="1" t="s">
        <v>45</v>
      </c>
      <c r="C218" s="1" t="s">
        <v>46</v>
      </c>
      <c r="D218" s="1" t="s">
        <v>336</v>
      </c>
      <c r="E218" s="1" t="s">
        <v>48</v>
      </c>
      <c r="F218" s="1">
        <v>1</v>
      </c>
      <c r="G218" s="1" t="s">
        <v>60</v>
      </c>
      <c r="H218" s="1" t="str">
        <f t="shared" si="18"/>
        <v xml:space="preserve">CEMPRESA='31' </v>
      </c>
      <c r="I218" s="1" t="str">
        <f t="shared" si="19"/>
        <v xml:space="preserve">AND CBALCAO='0003' </v>
      </c>
      <c r="J218" s="1" t="str">
        <f t="shared" si="20"/>
        <v xml:space="preserve">AND CNUMECTA='20546817096' </v>
      </c>
      <c r="K218" s="1" t="str">
        <f t="shared" si="21"/>
        <v xml:space="preserve">AND ZDEPOSIT='000000000000000' </v>
      </c>
      <c r="L218" s="1" t="str">
        <f t="shared" si="22"/>
        <v>WHEN CEMPRESA='31' AND CBALCAO='0003' AND CNUMECTA='20546817096' AND ZDEPOSIT='000000000000000' THEN 1</v>
      </c>
      <c r="M218" s="1" t="str">
        <f t="shared" si="23"/>
        <v>WHEN CEMPRESA='31' AND CBALCAO='0003' AND CNUMECTA='20546817096' AND ZDEPOSIT='000000000000000' THEN 'A.3.7.'</v>
      </c>
    </row>
    <row r="219" spans="2:13" x14ac:dyDescent="0.25">
      <c r="B219" s="1" t="s">
        <v>45</v>
      </c>
      <c r="C219" s="1" t="s">
        <v>46</v>
      </c>
      <c r="D219" s="1" t="s">
        <v>337</v>
      </c>
      <c r="E219" s="1" t="s">
        <v>48</v>
      </c>
      <c r="F219" s="1">
        <v>1</v>
      </c>
      <c r="G219" s="1" t="s">
        <v>60</v>
      </c>
      <c r="H219" s="1" t="str">
        <f t="shared" si="18"/>
        <v xml:space="preserve">CEMPRESA='31' </v>
      </c>
      <c r="I219" s="1" t="str">
        <f t="shared" si="19"/>
        <v xml:space="preserve">AND CBALCAO='0003' </v>
      </c>
      <c r="J219" s="1" t="str">
        <f t="shared" si="20"/>
        <v xml:space="preserve">AND CNUMECTA='20520242096' </v>
      </c>
      <c r="K219" s="1" t="str">
        <f t="shared" si="21"/>
        <v xml:space="preserve">AND ZDEPOSIT='000000000000000' </v>
      </c>
      <c r="L219" s="1" t="str">
        <f t="shared" si="22"/>
        <v>WHEN CEMPRESA='31' AND CBALCAO='0003' AND CNUMECTA='20520242096' AND ZDEPOSIT='000000000000000' THEN 1</v>
      </c>
      <c r="M219" s="1" t="str">
        <f t="shared" si="23"/>
        <v>WHEN CEMPRESA='31' AND CBALCAO='0003' AND CNUMECTA='20520242096' AND ZDEPOSIT='000000000000000' THEN 'A.3.7.'</v>
      </c>
    </row>
    <row r="220" spans="2:13" x14ac:dyDescent="0.25">
      <c r="B220" s="1" t="s">
        <v>45</v>
      </c>
      <c r="C220" s="1" t="s">
        <v>46</v>
      </c>
      <c r="D220" s="1" t="s">
        <v>338</v>
      </c>
      <c r="E220" s="1" t="s">
        <v>48</v>
      </c>
      <c r="F220" s="1">
        <v>1</v>
      </c>
      <c r="G220" s="1" t="s">
        <v>60</v>
      </c>
      <c r="H220" s="1" t="str">
        <f t="shared" si="18"/>
        <v xml:space="preserve">CEMPRESA='31' </v>
      </c>
      <c r="I220" s="1" t="str">
        <f t="shared" si="19"/>
        <v xml:space="preserve">AND CBALCAO='0003' </v>
      </c>
      <c r="J220" s="1" t="str">
        <f t="shared" si="20"/>
        <v xml:space="preserve">AND CNUMECTA='20612379096' </v>
      </c>
      <c r="K220" s="1" t="str">
        <f t="shared" si="21"/>
        <v xml:space="preserve">AND ZDEPOSIT='000000000000000' </v>
      </c>
      <c r="L220" s="1" t="str">
        <f t="shared" si="22"/>
        <v>WHEN CEMPRESA='31' AND CBALCAO='0003' AND CNUMECTA='20612379096' AND ZDEPOSIT='000000000000000' THEN 1</v>
      </c>
      <c r="M220" s="1" t="str">
        <f t="shared" si="23"/>
        <v>WHEN CEMPRESA='31' AND CBALCAO='0003' AND CNUMECTA='20612379096' AND ZDEPOSIT='000000000000000' THEN 'A.3.7.'</v>
      </c>
    </row>
    <row r="221" spans="2:13" x14ac:dyDescent="0.25">
      <c r="B221" s="1" t="s">
        <v>54</v>
      </c>
      <c r="C221" s="1" t="s">
        <v>55</v>
      </c>
      <c r="D221" s="1" t="s">
        <v>339</v>
      </c>
      <c r="E221" s="1" t="s">
        <v>340</v>
      </c>
      <c r="F221" s="1">
        <v>1</v>
      </c>
      <c r="G221" s="1" t="s">
        <v>58</v>
      </c>
      <c r="H221" s="1" t="str">
        <f t="shared" si="18"/>
        <v xml:space="preserve">CEMPRESA='89' </v>
      </c>
      <c r="I221" s="1" t="str">
        <f t="shared" si="19"/>
        <v xml:space="preserve">AND CBALCAO='0000' </v>
      </c>
      <c r="J221" s="1" t="str">
        <f t="shared" si="20"/>
        <v xml:space="preserve">AND CNUMECTA='00008046557' </v>
      </c>
      <c r="K221" s="1" t="str">
        <f t="shared" si="21"/>
        <v xml:space="preserve">AND ZDEPOSIT='000530000772819' </v>
      </c>
      <c r="L221" s="1" t="str">
        <f t="shared" si="22"/>
        <v>WHEN CEMPRESA='89' AND CBALCAO='0000' AND CNUMECTA='00008046557' AND ZDEPOSIT='000530000772819' THEN 1</v>
      </c>
      <c r="M221" s="1" t="str">
        <f t="shared" si="23"/>
        <v>WHEN CEMPRESA='89' AND CBALCAO='0000' AND CNUMECTA='00008046557' AND ZDEPOSIT='000530000772819' THEN 'A.2.5.'</v>
      </c>
    </row>
    <row r="222" spans="2:13" x14ac:dyDescent="0.25">
      <c r="B222" s="1" t="s">
        <v>45</v>
      </c>
      <c r="C222" s="1" t="s">
        <v>46</v>
      </c>
      <c r="D222" s="1" t="s">
        <v>341</v>
      </c>
      <c r="E222" s="1" t="s">
        <v>48</v>
      </c>
      <c r="F222" s="1">
        <v>1</v>
      </c>
      <c r="G222" s="1" t="s">
        <v>60</v>
      </c>
      <c r="H222" s="1" t="str">
        <f t="shared" si="18"/>
        <v xml:space="preserve">CEMPRESA='31' </v>
      </c>
      <c r="I222" s="1" t="str">
        <f t="shared" si="19"/>
        <v xml:space="preserve">AND CBALCAO='0003' </v>
      </c>
      <c r="J222" s="1" t="str">
        <f t="shared" si="20"/>
        <v xml:space="preserve">AND CNUMECTA='20744149096' </v>
      </c>
      <c r="K222" s="1" t="str">
        <f t="shared" si="21"/>
        <v xml:space="preserve">AND ZDEPOSIT='000000000000000' </v>
      </c>
      <c r="L222" s="1" t="str">
        <f t="shared" si="22"/>
        <v>WHEN CEMPRESA='31' AND CBALCAO='0003' AND CNUMECTA='20744149096' AND ZDEPOSIT='000000000000000' THEN 1</v>
      </c>
      <c r="M222" s="1" t="str">
        <f t="shared" si="23"/>
        <v>WHEN CEMPRESA='31' AND CBALCAO='0003' AND CNUMECTA='20744149096' AND ZDEPOSIT='000000000000000' THEN 'A.3.7.'</v>
      </c>
    </row>
    <row r="223" spans="2:13" x14ac:dyDescent="0.25">
      <c r="B223" s="1" t="s">
        <v>45</v>
      </c>
      <c r="C223" s="1" t="s">
        <v>46</v>
      </c>
      <c r="D223" s="1" t="s">
        <v>342</v>
      </c>
      <c r="E223" s="1" t="s">
        <v>48</v>
      </c>
      <c r="F223" s="1">
        <v>1</v>
      </c>
      <c r="G223" s="1" t="s">
        <v>76</v>
      </c>
      <c r="H223" s="1" t="str">
        <f t="shared" si="18"/>
        <v xml:space="preserve">CEMPRESA='31' </v>
      </c>
      <c r="I223" s="1" t="str">
        <f t="shared" si="19"/>
        <v xml:space="preserve">AND CBALCAO='0003' </v>
      </c>
      <c r="J223" s="1" t="str">
        <f t="shared" si="20"/>
        <v xml:space="preserve">AND CNUMECTA='18607950097' </v>
      </c>
      <c r="K223" s="1" t="str">
        <f t="shared" si="21"/>
        <v xml:space="preserve">AND ZDEPOSIT='000000000000000' </v>
      </c>
      <c r="L223" s="1" t="str">
        <f t="shared" si="22"/>
        <v>WHEN CEMPRESA='31' AND CBALCAO='0003' AND CNUMECTA='18607950097' AND ZDEPOSIT='000000000000000' THEN 1</v>
      </c>
      <c r="M223" s="1" t="str">
        <f t="shared" si="23"/>
        <v>WHEN CEMPRESA='31' AND CBALCAO='0003' AND CNUMECTA='18607950097' AND ZDEPOSIT='000000000000000' THEN 'A.7.7.'</v>
      </c>
    </row>
    <row r="224" spans="2:13" x14ac:dyDescent="0.25">
      <c r="B224" s="1" t="s">
        <v>54</v>
      </c>
      <c r="C224" s="1" t="s">
        <v>55</v>
      </c>
      <c r="D224" s="1" t="s">
        <v>343</v>
      </c>
      <c r="E224" s="1" t="s">
        <v>344</v>
      </c>
      <c r="F224" s="1">
        <v>1</v>
      </c>
      <c r="G224" s="1" t="s">
        <v>58</v>
      </c>
      <c r="H224" s="1" t="str">
        <f t="shared" si="18"/>
        <v xml:space="preserve">CEMPRESA='89' </v>
      </c>
      <c r="I224" s="1" t="str">
        <f t="shared" si="19"/>
        <v xml:space="preserve">AND CBALCAO='0000' </v>
      </c>
      <c r="J224" s="1" t="str">
        <f t="shared" si="20"/>
        <v xml:space="preserve">AND CNUMECTA='00000249097' </v>
      </c>
      <c r="K224" s="1" t="str">
        <f t="shared" si="21"/>
        <v xml:space="preserve">AND ZDEPOSIT='000450000640795' </v>
      </c>
      <c r="L224" s="1" t="str">
        <f t="shared" si="22"/>
        <v>WHEN CEMPRESA='89' AND CBALCAO='0000' AND CNUMECTA='00000249097' AND ZDEPOSIT='000450000640795' THEN 1</v>
      </c>
      <c r="M224" s="1" t="str">
        <f t="shared" si="23"/>
        <v>WHEN CEMPRESA='89' AND CBALCAO='0000' AND CNUMECTA='00000249097' AND ZDEPOSIT='000450000640795' THEN 'A.2.5.'</v>
      </c>
    </row>
    <row r="225" spans="2:13" x14ac:dyDescent="0.25">
      <c r="B225" s="1" t="s">
        <v>45</v>
      </c>
      <c r="C225" s="1" t="s">
        <v>46</v>
      </c>
      <c r="D225" s="1" t="s">
        <v>345</v>
      </c>
      <c r="E225" s="1" t="s">
        <v>48</v>
      </c>
      <c r="F225" s="1">
        <v>1</v>
      </c>
      <c r="G225" s="1" t="s">
        <v>60</v>
      </c>
      <c r="H225" s="1" t="str">
        <f t="shared" si="18"/>
        <v xml:space="preserve">CEMPRESA='31' </v>
      </c>
      <c r="I225" s="1" t="str">
        <f t="shared" si="19"/>
        <v xml:space="preserve">AND CBALCAO='0003' </v>
      </c>
      <c r="J225" s="1" t="str">
        <f t="shared" si="20"/>
        <v xml:space="preserve">AND CNUMECTA='20508064096' </v>
      </c>
      <c r="K225" s="1" t="str">
        <f t="shared" si="21"/>
        <v xml:space="preserve">AND ZDEPOSIT='000000000000000' </v>
      </c>
      <c r="L225" s="1" t="str">
        <f t="shared" si="22"/>
        <v>WHEN CEMPRESA='31' AND CBALCAO='0003' AND CNUMECTA='20508064096' AND ZDEPOSIT='000000000000000' THEN 1</v>
      </c>
      <c r="M225" s="1" t="str">
        <f t="shared" si="23"/>
        <v>WHEN CEMPRESA='31' AND CBALCAO='0003' AND CNUMECTA='20508064096' AND ZDEPOSIT='000000000000000' THEN 'A.3.7.'</v>
      </c>
    </row>
    <row r="226" spans="2:13" x14ac:dyDescent="0.25">
      <c r="B226" s="1" t="s">
        <v>54</v>
      </c>
      <c r="C226" s="1" t="s">
        <v>55</v>
      </c>
      <c r="D226" s="1" t="s">
        <v>346</v>
      </c>
      <c r="E226" s="1" t="s">
        <v>347</v>
      </c>
      <c r="F226" s="1">
        <v>1</v>
      </c>
      <c r="G226" s="1" t="s">
        <v>58</v>
      </c>
      <c r="H226" s="1" t="str">
        <f t="shared" si="18"/>
        <v xml:space="preserve">CEMPRESA='89' </v>
      </c>
      <c r="I226" s="1" t="str">
        <f t="shared" si="19"/>
        <v xml:space="preserve">AND CBALCAO='0000' </v>
      </c>
      <c r="J226" s="1" t="str">
        <f t="shared" si="20"/>
        <v xml:space="preserve">AND CNUMECTA='00000250353' </v>
      </c>
      <c r="K226" s="1" t="str">
        <f t="shared" si="21"/>
        <v xml:space="preserve">AND ZDEPOSIT='000450000500392' </v>
      </c>
      <c r="L226" s="1" t="str">
        <f t="shared" si="22"/>
        <v>WHEN CEMPRESA='89' AND CBALCAO='0000' AND CNUMECTA='00000250353' AND ZDEPOSIT='000450000500392' THEN 1</v>
      </c>
      <c r="M226" s="1" t="str">
        <f t="shared" si="23"/>
        <v>WHEN CEMPRESA='89' AND CBALCAO='0000' AND CNUMECTA='00000250353' AND ZDEPOSIT='000450000500392' THEN 'A.2.5.'</v>
      </c>
    </row>
    <row r="227" spans="2:13" x14ac:dyDescent="0.25">
      <c r="B227" s="1" t="s">
        <v>45</v>
      </c>
      <c r="C227" s="1" t="s">
        <v>46</v>
      </c>
      <c r="D227" s="1" t="s">
        <v>348</v>
      </c>
      <c r="E227" s="1" t="s">
        <v>48</v>
      </c>
      <c r="F227" s="1">
        <v>1</v>
      </c>
      <c r="G227" s="1" t="s">
        <v>51</v>
      </c>
      <c r="H227" s="1" t="str">
        <f t="shared" si="18"/>
        <v xml:space="preserve">CEMPRESA='31' </v>
      </c>
      <c r="I227" s="1" t="str">
        <f t="shared" si="19"/>
        <v xml:space="preserve">AND CBALCAO='0003' </v>
      </c>
      <c r="J227" s="1" t="str">
        <f t="shared" si="20"/>
        <v xml:space="preserve">AND CNUMECTA='20509930096' </v>
      </c>
      <c r="K227" s="1" t="str">
        <f t="shared" si="21"/>
        <v xml:space="preserve">AND ZDEPOSIT='000000000000000' </v>
      </c>
      <c r="L227" s="1" t="str">
        <f t="shared" si="22"/>
        <v>WHEN CEMPRESA='31' AND CBALCAO='0003' AND CNUMECTA='20509930096' AND ZDEPOSIT='000000000000000' THEN 1</v>
      </c>
      <c r="M227" s="1" t="str">
        <f t="shared" si="23"/>
        <v>WHEN CEMPRESA='31' AND CBALCAO='0003' AND CNUMECTA='20509930096' AND ZDEPOSIT='000000000000000' THEN 'B.1.'</v>
      </c>
    </row>
    <row r="228" spans="2:13" x14ac:dyDescent="0.25">
      <c r="B228" s="1" t="s">
        <v>45</v>
      </c>
      <c r="C228" s="1" t="s">
        <v>46</v>
      </c>
      <c r="D228" s="1" t="s">
        <v>349</v>
      </c>
      <c r="E228" s="1" t="s">
        <v>48</v>
      </c>
      <c r="F228" s="1">
        <v>1</v>
      </c>
      <c r="G228" s="1" t="s">
        <v>60</v>
      </c>
      <c r="H228" s="1" t="str">
        <f t="shared" si="18"/>
        <v xml:space="preserve">CEMPRESA='31' </v>
      </c>
      <c r="I228" s="1" t="str">
        <f t="shared" si="19"/>
        <v xml:space="preserve">AND CBALCAO='0003' </v>
      </c>
      <c r="J228" s="1" t="str">
        <f t="shared" si="20"/>
        <v xml:space="preserve">AND CNUMECTA='20467352096' </v>
      </c>
      <c r="K228" s="1" t="str">
        <f t="shared" si="21"/>
        <v xml:space="preserve">AND ZDEPOSIT='000000000000000' </v>
      </c>
      <c r="L228" s="1" t="str">
        <f t="shared" si="22"/>
        <v>WHEN CEMPRESA='31' AND CBALCAO='0003' AND CNUMECTA='20467352096' AND ZDEPOSIT='000000000000000' THEN 1</v>
      </c>
      <c r="M228" s="1" t="str">
        <f t="shared" si="23"/>
        <v>WHEN CEMPRESA='31' AND CBALCAO='0003' AND CNUMECTA='20467352096' AND ZDEPOSIT='000000000000000' THEN 'A.3.7.'</v>
      </c>
    </row>
    <row r="229" spans="2:13" x14ac:dyDescent="0.25">
      <c r="B229" s="1" t="s">
        <v>54</v>
      </c>
      <c r="C229" s="1" t="s">
        <v>55</v>
      </c>
      <c r="D229" s="1" t="s">
        <v>350</v>
      </c>
      <c r="E229" s="1" t="s">
        <v>351</v>
      </c>
      <c r="F229" s="1">
        <v>1</v>
      </c>
      <c r="G229" s="1" t="s">
        <v>58</v>
      </c>
      <c r="H229" s="1" t="str">
        <f t="shared" si="18"/>
        <v xml:space="preserve">CEMPRESA='89' </v>
      </c>
      <c r="I229" s="1" t="str">
        <f t="shared" si="19"/>
        <v xml:space="preserve">AND CBALCAO='0000' </v>
      </c>
      <c r="J229" s="1" t="str">
        <f t="shared" si="20"/>
        <v xml:space="preserve">AND CNUMECTA='00005118090' </v>
      </c>
      <c r="K229" s="1" t="str">
        <f t="shared" si="21"/>
        <v xml:space="preserve">AND ZDEPOSIT='000510000778442' </v>
      </c>
      <c r="L229" s="1" t="str">
        <f t="shared" si="22"/>
        <v>WHEN CEMPRESA='89' AND CBALCAO='0000' AND CNUMECTA='00005118090' AND ZDEPOSIT='000510000778442' THEN 1</v>
      </c>
      <c r="M229" s="1" t="str">
        <f t="shared" si="23"/>
        <v>WHEN CEMPRESA='89' AND CBALCAO='0000' AND CNUMECTA='00005118090' AND ZDEPOSIT='000510000778442' THEN 'A.2.5.'</v>
      </c>
    </row>
    <row r="230" spans="2:13" x14ac:dyDescent="0.25">
      <c r="B230" s="1" t="s">
        <v>54</v>
      </c>
      <c r="C230" s="1" t="s">
        <v>55</v>
      </c>
      <c r="D230" s="1" t="s">
        <v>352</v>
      </c>
      <c r="E230" s="1" t="s">
        <v>353</v>
      </c>
      <c r="F230" s="1">
        <v>1</v>
      </c>
      <c r="G230" s="1" t="s">
        <v>58</v>
      </c>
      <c r="H230" s="1" t="str">
        <f t="shared" si="18"/>
        <v xml:space="preserve">CEMPRESA='89' </v>
      </c>
      <c r="I230" s="1" t="str">
        <f t="shared" si="19"/>
        <v xml:space="preserve">AND CBALCAO='0000' </v>
      </c>
      <c r="J230" s="1" t="str">
        <f t="shared" si="20"/>
        <v xml:space="preserve">AND CNUMECTA='00008046460' </v>
      </c>
      <c r="K230" s="1" t="str">
        <f t="shared" si="21"/>
        <v xml:space="preserve">AND ZDEPOSIT='000530000734782' </v>
      </c>
      <c r="L230" s="1" t="str">
        <f t="shared" si="22"/>
        <v>WHEN CEMPRESA='89' AND CBALCAO='0000' AND CNUMECTA='00008046460' AND ZDEPOSIT='000530000734782' THEN 1</v>
      </c>
      <c r="M230" s="1" t="str">
        <f t="shared" si="23"/>
        <v>WHEN CEMPRESA='89' AND CBALCAO='0000' AND CNUMECTA='00008046460' AND ZDEPOSIT='000530000734782' THEN 'A.2.5.'</v>
      </c>
    </row>
    <row r="231" spans="2:13" x14ac:dyDescent="0.25">
      <c r="B231" s="1" t="s">
        <v>45</v>
      </c>
      <c r="C231" s="1" t="s">
        <v>46</v>
      </c>
      <c r="D231" s="1" t="s">
        <v>354</v>
      </c>
      <c r="E231" s="1" t="s">
        <v>48</v>
      </c>
      <c r="F231" s="1">
        <v>1</v>
      </c>
      <c r="G231" s="1" t="s">
        <v>60</v>
      </c>
      <c r="H231" s="1" t="str">
        <f t="shared" si="18"/>
        <v xml:space="preserve">CEMPRESA='31' </v>
      </c>
      <c r="I231" s="1" t="str">
        <f t="shared" si="19"/>
        <v xml:space="preserve">AND CBALCAO='0003' </v>
      </c>
      <c r="J231" s="1" t="str">
        <f t="shared" si="20"/>
        <v xml:space="preserve">AND CNUMECTA='20532940096' </v>
      </c>
      <c r="K231" s="1" t="str">
        <f t="shared" si="21"/>
        <v xml:space="preserve">AND ZDEPOSIT='000000000000000' </v>
      </c>
      <c r="L231" s="1" t="str">
        <f t="shared" si="22"/>
        <v>WHEN CEMPRESA='31' AND CBALCAO='0003' AND CNUMECTA='20532940096' AND ZDEPOSIT='000000000000000' THEN 1</v>
      </c>
      <c r="M231" s="1" t="str">
        <f t="shared" si="23"/>
        <v>WHEN CEMPRESA='31' AND CBALCAO='0003' AND CNUMECTA='20532940096' AND ZDEPOSIT='000000000000000' THEN 'A.3.7.'</v>
      </c>
    </row>
    <row r="232" spans="2:13" x14ac:dyDescent="0.25">
      <c r="B232" s="1" t="s">
        <v>45</v>
      </c>
      <c r="C232" s="1" t="s">
        <v>46</v>
      </c>
      <c r="D232" s="1" t="s">
        <v>355</v>
      </c>
      <c r="E232" s="1" t="s">
        <v>48</v>
      </c>
      <c r="F232" s="1">
        <v>1</v>
      </c>
      <c r="G232" s="1" t="s">
        <v>60</v>
      </c>
      <c r="H232" s="1" t="str">
        <f t="shared" si="18"/>
        <v xml:space="preserve">CEMPRESA='31' </v>
      </c>
      <c r="I232" s="1" t="str">
        <f t="shared" si="19"/>
        <v xml:space="preserve">AND CBALCAO='0003' </v>
      </c>
      <c r="J232" s="1" t="str">
        <f t="shared" si="20"/>
        <v xml:space="preserve">AND CNUMECTA='20445713096' </v>
      </c>
      <c r="K232" s="1" t="str">
        <f t="shared" si="21"/>
        <v xml:space="preserve">AND ZDEPOSIT='000000000000000' </v>
      </c>
      <c r="L232" s="1" t="str">
        <f t="shared" si="22"/>
        <v>WHEN CEMPRESA='31' AND CBALCAO='0003' AND CNUMECTA='20445713096' AND ZDEPOSIT='000000000000000' THEN 1</v>
      </c>
      <c r="M232" s="1" t="str">
        <f t="shared" si="23"/>
        <v>WHEN CEMPRESA='31' AND CBALCAO='0003' AND CNUMECTA='20445713096' AND ZDEPOSIT='000000000000000' THEN 'A.3.7.'</v>
      </c>
    </row>
    <row r="233" spans="2:13" x14ac:dyDescent="0.25">
      <c r="B233" s="1" t="s">
        <v>45</v>
      </c>
      <c r="C233" s="1" t="s">
        <v>46</v>
      </c>
      <c r="D233" s="1" t="s">
        <v>356</v>
      </c>
      <c r="E233" s="1" t="s">
        <v>48</v>
      </c>
      <c r="F233" s="1">
        <v>1</v>
      </c>
      <c r="G233" s="1" t="s">
        <v>76</v>
      </c>
      <c r="H233" s="1" t="str">
        <f t="shared" si="18"/>
        <v xml:space="preserve">CEMPRESA='31' </v>
      </c>
      <c r="I233" s="1" t="str">
        <f t="shared" si="19"/>
        <v xml:space="preserve">AND CBALCAO='0003' </v>
      </c>
      <c r="J233" s="1" t="str">
        <f t="shared" si="20"/>
        <v xml:space="preserve">AND CNUMECTA='18611143097' </v>
      </c>
      <c r="K233" s="1" t="str">
        <f t="shared" si="21"/>
        <v xml:space="preserve">AND ZDEPOSIT='000000000000000' </v>
      </c>
      <c r="L233" s="1" t="str">
        <f t="shared" si="22"/>
        <v>WHEN CEMPRESA='31' AND CBALCAO='0003' AND CNUMECTA='18611143097' AND ZDEPOSIT='000000000000000' THEN 1</v>
      </c>
      <c r="M233" s="1" t="str">
        <f t="shared" si="23"/>
        <v>WHEN CEMPRESA='31' AND CBALCAO='0003' AND CNUMECTA='18611143097' AND ZDEPOSIT='000000000000000' THEN 'A.7.7.'</v>
      </c>
    </row>
    <row r="234" spans="2:13" x14ac:dyDescent="0.25">
      <c r="B234" s="1" t="s">
        <v>45</v>
      </c>
      <c r="C234" s="1" t="s">
        <v>46</v>
      </c>
      <c r="D234" s="1" t="s">
        <v>357</v>
      </c>
      <c r="E234" s="1" t="s">
        <v>48</v>
      </c>
      <c r="F234" s="1">
        <v>1</v>
      </c>
      <c r="G234" s="1" t="s">
        <v>60</v>
      </c>
      <c r="H234" s="1" t="str">
        <f t="shared" si="18"/>
        <v xml:space="preserve">CEMPRESA='31' </v>
      </c>
      <c r="I234" s="1" t="str">
        <f t="shared" si="19"/>
        <v xml:space="preserve">AND CBALCAO='0003' </v>
      </c>
      <c r="J234" s="1" t="str">
        <f t="shared" si="20"/>
        <v xml:space="preserve">AND CNUMECTA='20464243096' </v>
      </c>
      <c r="K234" s="1" t="str">
        <f t="shared" si="21"/>
        <v xml:space="preserve">AND ZDEPOSIT='000000000000000' </v>
      </c>
      <c r="L234" s="1" t="str">
        <f t="shared" si="22"/>
        <v>WHEN CEMPRESA='31' AND CBALCAO='0003' AND CNUMECTA='20464243096' AND ZDEPOSIT='000000000000000' THEN 1</v>
      </c>
      <c r="M234" s="1" t="str">
        <f t="shared" si="23"/>
        <v>WHEN CEMPRESA='31' AND CBALCAO='0003' AND CNUMECTA='20464243096' AND ZDEPOSIT='000000000000000' THEN 'A.3.7.'</v>
      </c>
    </row>
    <row r="235" spans="2:13" x14ac:dyDescent="0.25">
      <c r="B235" s="1" t="s">
        <v>45</v>
      </c>
      <c r="C235" s="1" t="s">
        <v>46</v>
      </c>
      <c r="D235" s="1" t="s">
        <v>358</v>
      </c>
      <c r="E235" s="1" t="s">
        <v>48</v>
      </c>
      <c r="F235" s="1">
        <v>1</v>
      </c>
      <c r="G235" s="1" t="s">
        <v>60</v>
      </c>
      <c r="H235" s="1" t="str">
        <f t="shared" si="18"/>
        <v xml:space="preserve">CEMPRESA='31' </v>
      </c>
      <c r="I235" s="1" t="str">
        <f t="shared" si="19"/>
        <v xml:space="preserve">AND CBALCAO='0003' </v>
      </c>
      <c r="J235" s="1" t="str">
        <f t="shared" si="20"/>
        <v xml:space="preserve">AND CNUMECTA='20739834096' </v>
      </c>
      <c r="K235" s="1" t="str">
        <f t="shared" si="21"/>
        <v xml:space="preserve">AND ZDEPOSIT='000000000000000' </v>
      </c>
      <c r="L235" s="1" t="str">
        <f t="shared" si="22"/>
        <v>WHEN CEMPRESA='31' AND CBALCAO='0003' AND CNUMECTA='20739834096' AND ZDEPOSIT='000000000000000' THEN 1</v>
      </c>
      <c r="M235" s="1" t="str">
        <f t="shared" si="23"/>
        <v>WHEN CEMPRESA='31' AND CBALCAO='0003' AND CNUMECTA='20739834096' AND ZDEPOSIT='000000000000000' THEN 'A.3.7.'</v>
      </c>
    </row>
    <row r="236" spans="2:13" x14ac:dyDescent="0.25">
      <c r="B236" s="1" t="s">
        <v>45</v>
      </c>
      <c r="C236" s="1" t="s">
        <v>46</v>
      </c>
      <c r="D236" s="1" t="s">
        <v>359</v>
      </c>
      <c r="E236" s="1" t="s">
        <v>48</v>
      </c>
      <c r="F236" s="1">
        <v>1</v>
      </c>
      <c r="G236" s="1" t="s">
        <v>60</v>
      </c>
      <c r="H236" s="1" t="str">
        <f t="shared" si="18"/>
        <v xml:space="preserve">CEMPRESA='31' </v>
      </c>
      <c r="I236" s="1" t="str">
        <f t="shared" si="19"/>
        <v xml:space="preserve">AND CBALCAO='0003' </v>
      </c>
      <c r="J236" s="1" t="str">
        <f t="shared" si="20"/>
        <v xml:space="preserve">AND CNUMECTA='20729488096' </v>
      </c>
      <c r="K236" s="1" t="str">
        <f t="shared" si="21"/>
        <v xml:space="preserve">AND ZDEPOSIT='000000000000000' </v>
      </c>
      <c r="L236" s="1" t="str">
        <f t="shared" si="22"/>
        <v>WHEN CEMPRESA='31' AND CBALCAO='0003' AND CNUMECTA='20729488096' AND ZDEPOSIT='000000000000000' THEN 1</v>
      </c>
      <c r="M236" s="1" t="str">
        <f t="shared" si="23"/>
        <v>WHEN CEMPRESA='31' AND CBALCAO='0003' AND CNUMECTA='20729488096' AND ZDEPOSIT='000000000000000' THEN 'A.3.7.'</v>
      </c>
    </row>
    <row r="237" spans="2:13" x14ac:dyDescent="0.25">
      <c r="B237" s="1" t="s">
        <v>45</v>
      </c>
      <c r="C237" s="1" t="s">
        <v>46</v>
      </c>
      <c r="D237" s="1" t="s">
        <v>360</v>
      </c>
      <c r="E237" s="1" t="s">
        <v>48</v>
      </c>
      <c r="F237" s="1">
        <v>1</v>
      </c>
      <c r="G237" s="1" t="s">
        <v>209</v>
      </c>
      <c r="H237" s="1" t="str">
        <f t="shared" si="18"/>
        <v xml:space="preserve">CEMPRESA='31' </v>
      </c>
      <c r="I237" s="1" t="str">
        <f t="shared" si="19"/>
        <v xml:space="preserve">AND CBALCAO='0003' </v>
      </c>
      <c r="J237" s="1" t="str">
        <f t="shared" si="20"/>
        <v xml:space="preserve">AND CNUMECTA='20536438096' </v>
      </c>
      <c r="K237" s="1" t="str">
        <f t="shared" si="21"/>
        <v xml:space="preserve">AND ZDEPOSIT='000000000000000' </v>
      </c>
      <c r="L237" s="1" t="str">
        <f t="shared" si="22"/>
        <v>WHEN CEMPRESA='31' AND CBALCAO='0003' AND CNUMECTA='20536438096' AND ZDEPOSIT='000000000000000' THEN 1</v>
      </c>
      <c r="M237" s="1" t="str">
        <f t="shared" si="23"/>
        <v>WHEN CEMPRESA='31' AND CBALCAO='0003' AND CNUMECTA='20536438096' AND ZDEPOSIT='000000000000000' THEN 'A.3.1.'</v>
      </c>
    </row>
    <row r="238" spans="2:13" x14ac:dyDescent="0.25">
      <c r="B238" s="1" t="s">
        <v>45</v>
      </c>
      <c r="C238" s="1" t="s">
        <v>46</v>
      </c>
      <c r="D238" s="1" t="s">
        <v>361</v>
      </c>
      <c r="E238" s="1" t="s">
        <v>48</v>
      </c>
      <c r="F238" s="1">
        <v>1</v>
      </c>
      <c r="G238" s="1" t="s">
        <v>60</v>
      </c>
      <c r="H238" s="1" t="str">
        <f t="shared" si="18"/>
        <v xml:space="preserve">CEMPRESA='31' </v>
      </c>
      <c r="I238" s="1" t="str">
        <f t="shared" si="19"/>
        <v xml:space="preserve">AND CBALCAO='0003' </v>
      </c>
      <c r="J238" s="1" t="str">
        <f t="shared" si="20"/>
        <v xml:space="preserve">AND CNUMECTA='20693098096' </v>
      </c>
      <c r="K238" s="1" t="str">
        <f t="shared" si="21"/>
        <v xml:space="preserve">AND ZDEPOSIT='000000000000000' </v>
      </c>
      <c r="L238" s="1" t="str">
        <f t="shared" si="22"/>
        <v>WHEN CEMPRESA='31' AND CBALCAO='0003' AND CNUMECTA='20693098096' AND ZDEPOSIT='000000000000000' THEN 1</v>
      </c>
      <c r="M238" s="1" t="str">
        <f t="shared" si="23"/>
        <v>WHEN CEMPRESA='31' AND CBALCAO='0003' AND CNUMECTA='20693098096' AND ZDEPOSIT='000000000000000' THEN 'A.3.7.'</v>
      </c>
    </row>
    <row r="239" spans="2:13" x14ac:dyDescent="0.25">
      <c r="B239" s="1" t="s">
        <v>45</v>
      </c>
      <c r="C239" s="1" t="s">
        <v>46</v>
      </c>
      <c r="D239" s="1" t="s">
        <v>362</v>
      </c>
      <c r="E239" s="1" t="s">
        <v>48</v>
      </c>
      <c r="F239" s="1">
        <v>1</v>
      </c>
      <c r="G239" s="1" t="s">
        <v>60</v>
      </c>
      <c r="H239" s="1" t="str">
        <f t="shared" si="18"/>
        <v xml:space="preserve">CEMPRESA='31' </v>
      </c>
      <c r="I239" s="1" t="str">
        <f t="shared" si="19"/>
        <v xml:space="preserve">AND CBALCAO='0003' </v>
      </c>
      <c r="J239" s="1" t="str">
        <f t="shared" si="20"/>
        <v xml:space="preserve">AND CNUMECTA='20687447096' </v>
      </c>
      <c r="K239" s="1" t="str">
        <f t="shared" si="21"/>
        <v xml:space="preserve">AND ZDEPOSIT='000000000000000' </v>
      </c>
      <c r="L239" s="1" t="str">
        <f t="shared" si="22"/>
        <v>WHEN CEMPRESA='31' AND CBALCAO='0003' AND CNUMECTA='20687447096' AND ZDEPOSIT='000000000000000' THEN 1</v>
      </c>
      <c r="M239" s="1" t="str">
        <f t="shared" si="23"/>
        <v>WHEN CEMPRESA='31' AND CBALCAO='0003' AND CNUMECTA='20687447096' AND ZDEPOSIT='000000000000000' THEN 'A.3.7.'</v>
      </c>
    </row>
    <row r="240" spans="2:13" x14ac:dyDescent="0.25">
      <c r="B240" s="1" t="s">
        <v>45</v>
      </c>
      <c r="C240" s="1" t="s">
        <v>46</v>
      </c>
      <c r="D240" s="1" t="s">
        <v>363</v>
      </c>
      <c r="E240" s="1" t="s">
        <v>48</v>
      </c>
      <c r="F240" s="1">
        <v>1</v>
      </c>
      <c r="G240" s="1" t="s">
        <v>60</v>
      </c>
      <c r="H240" s="1" t="str">
        <f t="shared" si="18"/>
        <v xml:space="preserve">CEMPRESA='31' </v>
      </c>
      <c r="I240" s="1" t="str">
        <f t="shared" si="19"/>
        <v xml:space="preserve">AND CBALCAO='0003' </v>
      </c>
      <c r="J240" s="1" t="str">
        <f t="shared" si="20"/>
        <v xml:space="preserve">AND CNUMECTA='20532999096' </v>
      </c>
      <c r="K240" s="1" t="str">
        <f t="shared" si="21"/>
        <v xml:space="preserve">AND ZDEPOSIT='000000000000000' </v>
      </c>
      <c r="L240" s="1" t="str">
        <f t="shared" si="22"/>
        <v>WHEN CEMPRESA='31' AND CBALCAO='0003' AND CNUMECTA='20532999096' AND ZDEPOSIT='000000000000000' THEN 1</v>
      </c>
      <c r="M240" s="1" t="str">
        <f t="shared" si="23"/>
        <v>WHEN CEMPRESA='31' AND CBALCAO='0003' AND CNUMECTA='20532999096' AND ZDEPOSIT='000000000000000' THEN 'A.3.7.'</v>
      </c>
    </row>
    <row r="241" spans="2:13" x14ac:dyDescent="0.25">
      <c r="B241" s="1" t="s">
        <v>54</v>
      </c>
      <c r="C241" s="1" t="s">
        <v>55</v>
      </c>
      <c r="D241" s="1" t="s">
        <v>364</v>
      </c>
      <c r="E241" s="1" t="s">
        <v>365</v>
      </c>
      <c r="F241" s="1">
        <v>1</v>
      </c>
      <c r="G241" s="1" t="s">
        <v>58</v>
      </c>
      <c r="H241" s="1" t="str">
        <f t="shared" si="18"/>
        <v xml:space="preserve">CEMPRESA='89' </v>
      </c>
      <c r="I241" s="1" t="str">
        <f t="shared" si="19"/>
        <v xml:space="preserve">AND CBALCAO='0000' </v>
      </c>
      <c r="J241" s="1" t="str">
        <f t="shared" si="20"/>
        <v xml:space="preserve">AND CNUMECTA='00000249702' </v>
      </c>
      <c r="K241" s="1" t="str">
        <f t="shared" si="21"/>
        <v xml:space="preserve">AND ZDEPOSIT='000450000775719' </v>
      </c>
      <c r="L241" s="1" t="str">
        <f t="shared" si="22"/>
        <v>WHEN CEMPRESA='89' AND CBALCAO='0000' AND CNUMECTA='00000249702' AND ZDEPOSIT='000450000775719' THEN 1</v>
      </c>
      <c r="M241" s="1" t="str">
        <f t="shared" si="23"/>
        <v>WHEN CEMPRESA='89' AND CBALCAO='0000' AND CNUMECTA='00000249702' AND ZDEPOSIT='000450000775719' THEN 'A.2.5.'</v>
      </c>
    </row>
    <row r="242" spans="2:13" x14ac:dyDescent="0.25">
      <c r="B242" s="1" t="s">
        <v>45</v>
      </c>
      <c r="C242" s="1" t="s">
        <v>46</v>
      </c>
      <c r="D242" s="1" t="s">
        <v>366</v>
      </c>
      <c r="E242" s="1" t="s">
        <v>48</v>
      </c>
      <c r="F242" s="1">
        <v>1</v>
      </c>
      <c r="G242" s="1" t="s">
        <v>51</v>
      </c>
      <c r="H242" s="1" t="str">
        <f t="shared" si="18"/>
        <v xml:space="preserve">CEMPRESA='31' </v>
      </c>
      <c r="I242" s="1" t="str">
        <f t="shared" si="19"/>
        <v xml:space="preserve">AND CBALCAO='0003' </v>
      </c>
      <c r="J242" s="1" t="str">
        <f t="shared" si="20"/>
        <v xml:space="preserve">AND CNUMECTA='20451117096' </v>
      </c>
      <c r="K242" s="1" t="str">
        <f t="shared" si="21"/>
        <v xml:space="preserve">AND ZDEPOSIT='000000000000000' </v>
      </c>
      <c r="L242" s="1" t="str">
        <f t="shared" si="22"/>
        <v>WHEN CEMPRESA='31' AND CBALCAO='0003' AND CNUMECTA='20451117096' AND ZDEPOSIT='000000000000000' THEN 1</v>
      </c>
      <c r="M242" s="1" t="str">
        <f t="shared" si="23"/>
        <v>WHEN CEMPRESA='31' AND CBALCAO='0003' AND CNUMECTA='20451117096' AND ZDEPOSIT='000000000000000' THEN 'B.1.'</v>
      </c>
    </row>
    <row r="243" spans="2:13" x14ac:dyDescent="0.25">
      <c r="B243" s="1" t="s">
        <v>45</v>
      </c>
      <c r="C243" s="1" t="s">
        <v>46</v>
      </c>
      <c r="D243" s="1" t="s">
        <v>367</v>
      </c>
      <c r="E243" s="1" t="s">
        <v>48</v>
      </c>
      <c r="F243" s="1">
        <v>1</v>
      </c>
      <c r="G243" s="1" t="s">
        <v>60</v>
      </c>
      <c r="H243" s="1" t="str">
        <f t="shared" si="18"/>
        <v xml:space="preserve">CEMPRESA='31' </v>
      </c>
      <c r="I243" s="1" t="str">
        <f t="shared" si="19"/>
        <v xml:space="preserve">AND CBALCAO='0003' </v>
      </c>
      <c r="J243" s="1" t="str">
        <f t="shared" si="20"/>
        <v xml:space="preserve">AND CNUMECTA='20679535096' </v>
      </c>
      <c r="K243" s="1" t="str">
        <f t="shared" si="21"/>
        <v xml:space="preserve">AND ZDEPOSIT='000000000000000' </v>
      </c>
      <c r="L243" s="1" t="str">
        <f t="shared" si="22"/>
        <v>WHEN CEMPRESA='31' AND CBALCAO='0003' AND CNUMECTA='20679535096' AND ZDEPOSIT='000000000000000' THEN 1</v>
      </c>
      <c r="M243" s="1" t="str">
        <f t="shared" si="23"/>
        <v>WHEN CEMPRESA='31' AND CBALCAO='0003' AND CNUMECTA='20679535096' AND ZDEPOSIT='000000000000000' THEN 'A.3.7.'</v>
      </c>
    </row>
    <row r="244" spans="2:13" x14ac:dyDescent="0.25">
      <c r="B244" s="1" t="s">
        <v>45</v>
      </c>
      <c r="C244" s="1" t="s">
        <v>46</v>
      </c>
      <c r="D244" s="1" t="s">
        <v>368</v>
      </c>
      <c r="E244" s="1" t="s">
        <v>48</v>
      </c>
      <c r="F244" s="1">
        <v>1</v>
      </c>
      <c r="G244" s="1" t="s">
        <v>60</v>
      </c>
      <c r="H244" s="1" t="str">
        <f t="shared" si="18"/>
        <v xml:space="preserve">CEMPRESA='31' </v>
      </c>
      <c r="I244" s="1" t="str">
        <f t="shared" si="19"/>
        <v xml:space="preserve">AND CBALCAO='0003' </v>
      </c>
      <c r="J244" s="1" t="str">
        <f t="shared" si="20"/>
        <v xml:space="preserve">AND CNUMECTA='20417910096' </v>
      </c>
      <c r="K244" s="1" t="str">
        <f t="shared" si="21"/>
        <v xml:space="preserve">AND ZDEPOSIT='000000000000000' </v>
      </c>
      <c r="L244" s="1" t="str">
        <f t="shared" si="22"/>
        <v>WHEN CEMPRESA='31' AND CBALCAO='0003' AND CNUMECTA='20417910096' AND ZDEPOSIT='000000000000000' THEN 1</v>
      </c>
      <c r="M244" s="1" t="str">
        <f t="shared" si="23"/>
        <v>WHEN CEMPRESA='31' AND CBALCAO='0003' AND CNUMECTA='20417910096' AND ZDEPOSIT='000000000000000' THEN 'A.3.7.'</v>
      </c>
    </row>
    <row r="245" spans="2:13" x14ac:dyDescent="0.25">
      <c r="B245" s="1" t="s">
        <v>54</v>
      </c>
      <c r="C245" s="1" t="s">
        <v>55</v>
      </c>
      <c r="D245" s="1" t="s">
        <v>369</v>
      </c>
      <c r="E245" s="1" t="s">
        <v>370</v>
      </c>
      <c r="F245" s="1">
        <v>1</v>
      </c>
      <c r="G245" s="1" t="s">
        <v>209</v>
      </c>
      <c r="H245" s="1" t="str">
        <f t="shared" si="18"/>
        <v xml:space="preserve">CEMPRESA='89' </v>
      </c>
      <c r="I245" s="1" t="str">
        <f t="shared" si="19"/>
        <v xml:space="preserve">AND CBALCAO='0000' </v>
      </c>
      <c r="J245" s="1" t="str">
        <f t="shared" si="20"/>
        <v xml:space="preserve">AND CNUMECTA='20240000369' </v>
      </c>
      <c r="K245" s="1" t="str">
        <f t="shared" si="21"/>
        <v xml:space="preserve">AND ZDEPOSIT='001520240499273' </v>
      </c>
      <c r="L245" s="1" t="str">
        <f t="shared" si="22"/>
        <v>WHEN CEMPRESA='89' AND CBALCAO='0000' AND CNUMECTA='20240000369' AND ZDEPOSIT='001520240499273' THEN 1</v>
      </c>
      <c r="M245" s="1" t="str">
        <f t="shared" si="23"/>
        <v>WHEN CEMPRESA='89' AND CBALCAO='0000' AND CNUMECTA='20240000369' AND ZDEPOSIT='001520240499273' THEN 'A.3.1.'</v>
      </c>
    </row>
    <row r="246" spans="2:13" x14ac:dyDescent="0.25">
      <c r="B246" s="1" t="s">
        <v>45</v>
      </c>
      <c r="C246" s="1" t="s">
        <v>46</v>
      </c>
      <c r="D246" s="1" t="s">
        <v>371</v>
      </c>
      <c r="E246" s="1" t="s">
        <v>48</v>
      </c>
      <c r="F246" s="1">
        <v>1</v>
      </c>
      <c r="G246" s="1" t="s">
        <v>53</v>
      </c>
      <c r="H246" s="1" t="str">
        <f t="shared" si="18"/>
        <v xml:space="preserve">CEMPRESA='31' </v>
      </c>
      <c r="I246" s="1" t="str">
        <f t="shared" si="19"/>
        <v xml:space="preserve">AND CBALCAO='0003' </v>
      </c>
      <c r="J246" s="1" t="str">
        <f t="shared" si="20"/>
        <v xml:space="preserve">AND CNUMECTA='20621693096' </v>
      </c>
      <c r="K246" s="1" t="str">
        <f t="shared" si="21"/>
        <v xml:space="preserve">AND ZDEPOSIT='000000000000000' </v>
      </c>
      <c r="L246" s="1" t="str">
        <f t="shared" si="22"/>
        <v>WHEN CEMPRESA='31' AND CBALCAO='0003' AND CNUMECTA='20621693096' AND ZDEPOSIT='000000000000000' THEN 1</v>
      </c>
      <c r="M246" s="1" t="str">
        <f t="shared" si="23"/>
        <v>WHEN CEMPRESA='31' AND CBALCAO='0003' AND CNUMECTA='20621693096' AND ZDEPOSIT='000000000000000' THEN 'A.1.1.'</v>
      </c>
    </row>
    <row r="247" spans="2:13" x14ac:dyDescent="0.25">
      <c r="B247" s="1" t="s">
        <v>45</v>
      </c>
      <c r="C247" s="1" t="s">
        <v>46</v>
      </c>
      <c r="D247" s="1" t="s">
        <v>372</v>
      </c>
      <c r="E247" s="1" t="s">
        <v>48</v>
      </c>
      <c r="F247" s="1">
        <v>1</v>
      </c>
      <c r="G247" s="1" t="s">
        <v>60</v>
      </c>
      <c r="H247" s="1" t="str">
        <f t="shared" si="18"/>
        <v xml:space="preserve">CEMPRESA='31' </v>
      </c>
      <c r="I247" s="1" t="str">
        <f t="shared" si="19"/>
        <v xml:space="preserve">AND CBALCAO='0003' </v>
      </c>
      <c r="J247" s="1" t="str">
        <f t="shared" si="20"/>
        <v xml:space="preserve">AND CNUMECTA='20562061096' </v>
      </c>
      <c r="K247" s="1" t="str">
        <f t="shared" si="21"/>
        <v xml:space="preserve">AND ZDEPOSIT='000000000000000' </v>
      </c>
      <c r="L247" s="1" t="str">
        <f t="shared" si="22"/>
        <v>WHEN CEMPRESA='31' AND CBALCAO='0003' AND CNUMECTA='20562061096' AND ZDEPOSIT='000000000000000' THEN 1</v>
      </c>
      <c r="M247" s="1" t="str">
        <f t="shared" si="23"/>
        <v>WHEN CEMPRESA='31' AND CBALCAO='0003' AND CNUMECTA='20562061096' AND ZDEPOSIT='000000000000000' THEN 'A.3.7.'</v>
      </c>
    </row>
    <row r="248" spans="2:13" x14ac:dyDescent="0.25">
      <c r="B248" s="1" t="s">
        <v>54</v>
      </c>
      <c r="C248" s="1" t="s">
        <v>55</v>
      </c>
      <c r="D248" s="1" t="s">
        <v>373</v>
      </c>
      <c r="E248" s="1" t="s">
        <v>374</v>
      </c>
      <c r="F248" s="1">
        <v>1</v>
      </c>
      <c r="G248" s="1" t="s">
        <v>58</v>
      </c>
      <c r="H248" s="1" t="str">
        <f t="shared" si="18"/>
        <v xml:space="preserve">CEMPRESA='89' </v>
      </c>
      <c r="I248" s="1" t="str">
        <f t="shared" si="19"/>
        <v xml:space="preserve">AND CBALCAO='0000' </v>
      </c>
      <c r="J248" s="1" t="str">
        <f t="shared" si="20"/>
        <v xml:space="preserve">AND CNUMECTA='00008046391' </v>
      </c>
      <c r="K248" s="1" t="str">
        <f t="shared" si="21"/>
        <v xml:space="preserve">AND ZDEPOSIT='000530000752998' </v>
      </c>
      <c r="L248" s="1" t="str">
        <f t="shared" si="22"/>
        <v>WHEN CEMPRESA='89' AND CBALCAO='0000' AND CNUMECTA='00008046391' AND ZDEPOSIT='000530000752998' THEN 1</v>
      </c>
      <c r="M248" s="1" t="str">
        <f t="shared" si="23"/>
        <v>WHEN CEMPRESA='89' AND CBALCAO='0000' AND CNUMECTA='00008046391' AND ZDEPOSIT='000530000752998' THEN 'A.2.5.'</v>
      </c>
    </row>
    <row r="249" spans="2:13" x14ac:dyDescent="0.25">
      <c r="B249" s="1" t="s">
        <v>54</v>
      </c>
      <c r="C249" s="1" t="s">
        <v>55</v>
      </c>
      <c r="D249" s="1" t="s">
        <v>375</v>
      </c>
      <c r="E249" s="1" t="s">
        <v>376</v>
      </c>
      <c r="F249" s="1">
        <v>1</v>
      </c>
      <c r="G249" s="1" t="s">
        <v>58</v>
      </c>
      <c r="H249" s="1" t="str">
        <f t="shared" si="18"/>
        <v xml:space="preserve">CEMPRESA='89' </v>
      </c>
      <c r="I249" s="1" t="str">
        <f t="shared" si="19"/>
        <v xml:space="preserve">AND CBALCAO='0000' </v>
      </c>
      <c r="J249" s="1" t="str">
        <f t="shared" si="20"/>
        <v xml:space="preserve">AND CNUMECTA='00008046496' </v>
      </c>
      <c r="K249" s="1" t="str">
        <f t="shared" si="21"/>
        <v xml:space="preserve">AND ZDEPOSIT='000530000674444' </v>
      </c>
      <c r="L249" s="1" t="str">
        <f t="shared" si="22"/>
        <v>WHEN CEMPRESA='89' AND CBALCAO='0000' AND CNUMECTA='00008046496' AND ZDEPOSIT='000530000674444' THEN 1</v>
      </c>
      <c r="M249" s="1" t="str">
        <f t="shared" si="23"/>
        <v>WHEN CEMPRESA='89' AND CBALCAO='0000' AND CNUMECTA='00008046496' AND ZDEPOSIT='000530000674444' THEN 'A.2.5.'</v>
      </c>
    </row>
    <row r="250" spans="2:13" x14ac:dyDescent="0.25">
      <c r="B250" s="1" t="s">
        <v>45</v>
      </c>
      <c r="C250" s="1" t="s">
        <v>46</v>
      </c>
      <c r="D250" s="1" t="s">
        <v>377</v>
      </c>
      <c r="E250" s="1" t="s">
        <v>48</v>
      </c>
      <c r="F250" s="1">
        <v>1</v>
      </c>
      <c r="G250" s="1" t="s">
        <v>60</v>
      </c>
      <c r="H250" s="1" t="str">
        <f t="shared" si="18"/>
        <v xml:space="preserve">CEMPRESA='31' </v>
      </c>
      <c r="I250" s="1" t="str">
        <f t="shared" si="19"/>
        <v xml:space="preserve">AND CBALCAO='0003' </v>
      </c>
      <c r="J250" s="1" t="str">
        <f t="shared" si="20"/>
        <v xml:space="preserve">AND CNUMECTA='20685730096' </v>
      </c>
      <c r="K250" s="1" t="str">
        <f t="shared" si="21"/>
        <v xml:space="preserve">AND ZDEPOSIT='000000000000000' </v>
      </c>
      <c r="L250" s="1" t="str">
        <f t="shared" si="22"/>
        <v>WHEN CEMPRESA='31' AND CBALCAO='0003' AND CNUMECTA='20685730096' AND ZDEPOSIT='000000000000000' THEN 1</v>
      </c>
      <c r="M250" s="1" t="str">
        <f t="shared" si="23"/>
        <v>WHEN CEMPRESA='31' AND CBALCAO='0003' AND CNUMECTA='20685730096' AND ZDEPOSIT='000000000000000' THEN 'A.3.7.'</v>
      </c>
    </row>
    <row r="251" spans="2:13" x14ac:dyDescent="0.25">
      <c r="B251" s="1" t="s">
        <v>45</v>
      </c>
      <c r="C251" s="1" t="s">
        <v>46</v>
      </c>
      <c r="D251" s="1" t="s">
        <v>378</v>
      </c>
      <c r="E251" s="1" t="s">
        <v>48</v>
      </c>
      <c r="F251" s="1">
        <v>1</v>
      </c>
      <c r="G251" s="1" t="s">
        <v>60</v>
      </c>
      <c r="H251" s="1" t="str">
        <f t="shared" si="18"/>
        <v xml:space="preserve">CEMPRESA='31' </v>
      </c>
      <c r="I251" s="1" t="str">
        <f t="shared" si="19"/>
        <v xml:space="preserve">AND CBALCAO='0003' </v>
      </c>
      <c r="J251" s="1" t="str">
        <f t="shared" si="20"/>
        <v xml:space="preserve">AND CNUMECTA='20703715096' </v>
      </c>
      <c r="K251" s="1" t="str">
        <f t="shared" si="21"/>
        <v xml:space="preserve">AND ZDEPOSIT='000000000000000' </v>
      </c>
      <c r="L251" s="1" t="str">
        <f t="shared" si="22"/>
        <v>WHEN CEMPRESA='31' AND CBALCAO='0003' AND CNUMECTA='20703715096' AND ZDEPOSIT='000000000000000' THEN 1</v>
      </c>
      <c r="M251" s="1" t="str">
        <f t="shared" si="23"/>
        <v>WHEN CEMPRESA='31' AND CBALCAO='0003' AND CNUMECTA='20703715096' AND ZDEPOSIT='000000000000000' THEN 'A.3.7.'</v>
      </c>
    </row>
    <row r="252" spans="2:13" x14ac:dyDescent="0.25">
      <c r="B252" s="1" t="s">
        <v>45</v>
      </c>
      <c r="C252" s="1" t="s">
        <v>46</v>
      </c>
      <c r="D252" s="1" t="s">
        <v>379</v>
      </c>
      <c r="E252" s="1" t="s">
        <v>48</v>
      </c>
      <c r="F252" s="1">
        <v>1</v>
      </c>
      <c r="G252" s="1" t="s">
        <v>60</v>
      </c>
      <c r="H252" s="1" t="str">
        <f t="shared" si="18"/>
        <v xml:space="preserve">CEMPRESA='31' </v>
      </c>
      <c r="I252" s="1" t="str">
        <f t="shared" si="19"/>
        <v xml:space="preserve">AND CBALCAO='0003' </v>
      </c>
      <c r="J252" s="1" t="str">
        <f t="shared" si="20"/>
        <v xml:space="preserve">AND CNUMECTA='20722111096' </v>
      </c>
      <c r="K252" s="1" t="str">
        <f t="shared" si="21"/>
        <v xml:space="preserve">AND ZDEPOSIT='000000000000000' </v>
      </c>
      <c r="L252" s="1" t="str">
        <f t="shared" si="22"/>
        <v>WHEN CEMPRESA='31' AND CBALCAO='0003' AND CNUMECTA='20722111096' AND ZDEPOSIT='000000000000000' THEN 1</v>
      </c>
      <c r="M252" s="1" t="str">
        <f t="shared" si="23"/>
        <v>WHEN CEMPRESA='31' AND CBALCAO='0003' AND CNUMECTA='20722111096' AND ZDEPOSIT='000000000000000' THEN 'A.3.7.'</v>
      </c>
    </row>
    <row r="253" spans="2:13" x14ac:dyDescent="0.25">
      <c r="B253" s="1" t="s">
        <v>45</v>
      </c>
      <c r="C253" s="1" t="s">
        <v>46</v>
      </c>
      <c r="D253" s="1" t="s">
        <v>380</v>
      </c>
      <c r="E253" s="1" t="s">
        <v>48</v>
      </c>
      <c r="F253" s="1">
        <v>1</v>
      </c>
      <c r="G253" s="1" t="s">
        <v>60</v>
      </c>
      <c r="H253" s="1" t="str">
        <f t="shared" si="18"/>
        <v xml:space="preserve">CEMPRESA='31' </v>
      </c>
      <c r="I253" s="1" t="str">
        <f t="shared" si="19"/>
        <v xml:space="preserve">AND CBALCAO='0003' </v>
      </c>
      <c r="J253" s="1" t="str">
        <f t="shared" si="20"/>
        <v xml:space="preserve">AND CNUMECTA='20715446096' </v>
      </c>
      <c r="K253" s="1" t="str">
        <f t="shared" si="21"/>
        <v xml:space="preserve">AND ZDEPOSIT='000000000000000' </v>
      </c>
      <c r="L253" s="1" t="str">
        <f t="shared" si="22"/>
        <v>WHEN CEMPRESA='31' AND CBALCAO='0003' AND CNUMECTA='20715446096' AND ZDEPOSIT='000000000000000' THEN 1</v>
      </c>
      <c r="M253" s="1" t="str">
        <f t="shared" si="23"/>
        <v>WHEN CEMPRESA='31' AND CBALCAO='0003' AND CNUMECTA='20715446096' AND ZDEPOSIT='000000000000000' THEN 'A.3.7.'</v>
      </c>
    </row>
    <row r="254" spans="2:13" x14ac:dyDescent="0.25">
      <c r="B254" s="1" t="s">
        <v>45</v>
      </c>
      <c r="C254" s="1" t="s">
        <v>46</v>
      </c>
      <c r="D254" s="1" t="s">
        <v>381</v>
      </c>
      <c r="E254" s="1" t="s">
        <v>48</v>
      </c>
      <c r="F254" s="1">
        <v>1</v>
      </c>
      <c r="G254" s="1" t="s">
        <v>60</v>
      </c>
      <c r="H254" s="1" t="str">
        <f t="shared" si="18"/>
        <v xml:space="preserve">CEMPRESA='31' </v>
      </c>
      <c r="I254" s="1" t="str">
        <f t="shared" si="19"/>
        <v xml:space="preserve">AND CBALCAO='0003' </v>
      </c>
      <c r="J254" s="1" t="str">
        <f t="shared" si="20"/>
        <v xml:space="preserve">AND CNUMECTA='20480116096' </v>
      </c>
      <c r="K254" s="1" t="str">
        <f t="shared" si="21"/>
        <v xml:space="preserve">AND ZDEPOSIT='000000000000000' </v>
      </c>
      <c r="L254" s="1" t="str">
        <f t="shared" si="22"/>
        <v>WHEN CEMPRESA='31' AND CBALCAO='0003' AND CNUMECTA='20480116096' AND ZDEPOSIT='000000000000000' THEN 1</v>
      </c>
      <c r="M254" s="1" t="str">
        <f t="shared" si="23"/>
        <v>WHEN CEMPRESA='31' AND CBALCAO='0003' AND CNUMECTA='20480116096' AND ZDEPOSIT='000000000000000' THEN 'A.3.7.'</v>
      </c>
    </row>
    <row r="255" spans="2:13" x14ac:dyDescent="0.25">
      <c r="B255" s="1" t="s">
        <v>45</v>
      </c>
      <c r="C255" s="1" t="s">
        <v>46</v>
      </c>
      <c r="D255" s="1" t="s">
        <v>382</v>
      </c>
      <c r="E255" s="1" t="s">
        <v>48</v>
      </c>
      <c r="F255" s="1">
        <v>1</v>
      </c>
      <c r="G255" s="1" t="s">
        <v>60</v>
      </c>
      <c r="H255" s="1" t="str">
        <f t="shared" si="18"/>
        <v xml:space="preserve">CEMPRESA='31' </v>
      </c>
      <c r="I255" s="1" t="str">
        <f t="shared" si="19"/>
        <v xml:space="preserve">AND CBALCAO='0003' </v>
      </c>
      <c r="J255" s="1" t="str">
        <f t="shared" si="20"/>
        <v xml:space="preserve">AND CNUMECTA='20715198096' </v>
      </c>
      <c r="K255" s="1" t="str">
        <f t="shared" si="21"/>
        <v xml:space="preserve">AND ZDEPOSIT='000000000000000' </v>
      </c>
      <c r="L255" s="1" t="str">
        <f t="shared" si="22"/>
        <v>WHEN CEMPRESA='31' AND CBALCAO='0003' AND CNUMECTA='20715198096' AND ZDEPOSIT='000000000000000' THEN 1</v>
      </c>
      <c r="M255" s="1" t="str">
        <f t="shared" si="23"/>
        <v>WHEN CEMPRESA='31' AND CBALCAO='0003' AND CNUMECTA='20715198096' AND ZDEPOSIT='000000000000000' THEN 'A.3.7.'</v>
      </c>
    </row>
    <row r="256" spans="2:13" x14ac:dyDescent="0.25">
      <c r="B256" s="1" t="s">
        <v>54</v>
      </c>
      <c r="C256" s="1" t="s">
        <v>55</v>
      </c>
      <c r="D256" s="1" t="s">
        <v>383</v>
      </c>
      <c r="E256" s="1" t="s">
        <v>384</v>
      </c>
      <c r="F256" s="1">
        <v>1</v>
      </c>
      <c r="G256" s="1" t="s">
        <v>58</v>
      </c>
      <c r="H256" s="1" t="str">
        <f t="shared" si="18"/>
        <v xml:space="preserve">CEMPRESA='89' </v>
      </c>
      <c r="I256" s="1" t="str">
        <f t="shared" si="19"/>
        <v xml:space="preserve">AND CBALCAO='0000' </v>
      </c>
      <c r="J256" s="1" t="str">
        <f t="shared" si="20"/>
        <v xml:space="preserve">AND CNUMECTA='00000250228' </v>
      </c>
      <c r="K256" s="1" t="str">
        <f t="shared" si="21"/>
        <v xml:space="preserve">AND ZDEPOSIT='000450000777815' </v>
      </c>
      <c r="L256" s="1" t="str">
        <f t="shared" si="22"/>
        <v>WHEN CEMPRESA='89' AND CBALCAO='0000' AND CNUMECTA='00000250228' AND ZDEPOSIT='000450000777815' THEN 1</v>
      </c>
      <c r="M256" s="1" t="str">
        <f t="shared" si="23"/>
        <v>WHEN CEMPRESA='89' AND CBALCAO='0000' AND CNUMECTA='00000250228' AND ZDEPOSIT='000450000777815' THEN 'A.2.5.'</v>
      </c>
    </row>
    <row r="257" spans="2:13" x14ac:dyDescent="0.25">
      <c r="B257" s="1" t="s">
        <v>54</v>
      </c>
      <c r="C257" s="1" t="s">
        <v>55</v>
      </c>
      <c r="D257" s="1" t="s">
        <v>385</v>
      </c>
      <c r="E257" s="1" t="s">
        <v>386</v>
      </c>
      <c r="F257" s="1">
        <v>1</v>
      </c>
      <c r="G257" s="1" t="s">
        <v>58</v>
      </c>
      <c r="H257" s="1" t="str">
        <f t="shared" si="18"/>
        <v xml:space="preserve">CEMPRESA='89' </v>
      </c>
      <c r="I257" s="1" t="str">
        <f t="shared" si="19"/>
        <v xml:space="preserve">AND CBALCAO='0000' </v>
      </c>
      <c r="J257" s="1" t="str">
        <f t="shared" si="20"/>
        <v xml:space="preserve">AND CNUMECTA='00008046393' </v>
      </c>
      <c r="K257" s="1" t="str">
        <f t="shared" si="21"/>
        <v xml:space="preserve">AND ZDEPOSIT='000530000745916' </v>
      </c>
      <c r="L257" s="1" t="str">
        <f t="shared" si="22"/>
        <v>WHEN CEMPRESA='89' AND CBALCAO='0000' AND CNUMECTA='00008046393' AND ZDEPOSIT='000530000745916' THEN 1</v>
      </c>
      <c r="M257" s="1" t="str">
        <f t="shared" si="23"/>
        <v>WHEN CEMPRESA='89' AND CBALCAO='0000' AND CNUMECTA='00008046393' AND ZDEPOSIT='000530000745916' THEN 'A.2.5.'</v>
      </c>
    </row>
    <row r="258" spans="2:13" x14ac:dyDescent="0.25">
      <c r="B258" s="1" t="s">
        <v>45</v>
      </c>
      <c r="C258" s="1" t="s">
        <v>46</v>
      </c>
      <c r="D258" s="1" t="s">
        <v>387</v>
      </c>
      <c r="E258" s="1" t="s">
        <v>48</v>
      </c>
      <c r="F258" s="1">
        <v>1</v>
      </c>
      <c r="G258" s="1" t="s">
        <v>60</v>
      </c>
      <c r="H258" s="1" t="str">
        <f t="shared" si="18"/>
        <v xml:space="preserve">CEMPRESA='31' </v>
      </c>
      <c r="I258" s="1" t="str">
        <f t="shared" si="19"/>
        <v xml:space="preserve">AND CBALCAO='0003' </v>
      </c>
      <c r="J258" s="1" t="str">
        <f t="shared" si="20"/>
        <v xml:space="preserve">AND CNUMECTA='20718903096' </v>
      </c>
      <c r="K258" s="1" t="str">
        <f t="shared" si="21"/>
        <v xml:space="preserve">AND ZDEPOSIT='000000000000000' </v>
      </c>
      <c r="L258" s="1" t="str">
        <f t="shared" si="22"/>
        <v>WHEN CEMPRESA='31' AND CBALCAO='0003' AND CNUMECTA='20718903096' AND ZDEPOSIT='000000000000000' THEN 1</v>
      </c>
      <c r="M258" s="1" t="str">
        <f t="shared" si="23"/>
        <v>WHEN CEMPRESA='31' AND CBALCAO='0003' AND CNUMECTA='20718903096' AND ZDEPOSIT='000000000000000' THEN 'A.3.7.'</v>
      </c>
    </row>
    <row r="259" spans="2:13" x14ac:dyDescent="0.25">
      <c r="B259" s="1" t="s">
        <v>45</v>
      </c>
      <c r="C259" s="1" t="s">
        <v>46</v>
      </c>
      <c r="D259" s="1" t="s">
        <v>388</v>
      </c>
      <c r="E259" s="1" t="s">
        <v>48</v>
      </c>
      <c r="F259" s="1">
        <v>1</v>
      </c>
      <c r="G259" s="1" t="s">
        <v>60</v>
      </c>
      <c r="H259" s="1" t="str">
        <f t="shared" si="18"/>
        <v xml:space="preserve">CEMPRESA='31' </v>
      </c>
      <c r="I259" s="1" t="str">
        <f t="shared" si="19"/>
        <v xml:space="preserve">AND CBALCAO='0003' </v>
      </c>
      <c r="J259" s="1" t="str">
        <f t="shared" si="20"/>
        <v xml:space="preserve">AND CNUMECTA='20666300096' </v>
      </c>
      <c r="K259" s="1" t="str">
        <f t="shared" si="21"/>
        <v xml:space="preserve">AND ZDEPOSIT='000000000000000' </v>
      </c>
      <c r="L259" s="1" t="str">
        <f t="shared" si="22"/>
        <v>WHEN CEMPRESA='31' AND CBALCAO='0003' AND CNUMECTA='20666300096' AND ZDEPOSIT='000000000000000' THEN 1</v>
      </c>
      <c r="M259" s="1" t="str">
        <f t="shared" si="23"/>
        <v>WHEN CEMPRESA='31' AND CBALCAO='0003' AND CNUMECTA='20666300096' AND ZDEPOSIT='000000000000000' THEN 'A.3.7.'</v>
      </c>
    </row>
    <row r="260" spans="2:13" x14ac:dyDescent="0.25">
      <c r="B260" s="1" t="s">
        <v>45</v>
      </c>
      <c r="C260" s="1" t="s">
        <v>46</v>
      </c>
      <c r="D260" s="1" t="s">
        <v>389</v>
      </c>
      <c r="E260" s="1" t="s">
        <v>48</v>
      </c>
      <c r="F260" s="1">
        <v>1</v>
      </c>
      <c r="G260" s="1" t="s">
        <v>60</v>
      </c>
      <c r="H260" s="1" t="str">
        <f t="shared" ref="H260:H323" si="24">+IF(LEN(TRIM(B260))&gt;0,UPPER($B$2)&amp;"='"&amp;TRIM(B260)&amp;"' ","")</f>
        <v xml:space="preserve">CEMPRESA='31' </v>
      </c>
      <c r="I260" s="1" t="str">
        <f t="shared" ref="I260:I323" si="25">+IF(LEN(TRIM(C260))&gt;0,UPPER($C$2)&amp;"='"&amp;TRIM(C260)&amp;"' ","")</f>
        <v xml:space="preserve">AND CBALCAO='0003' </v>
      </c>
      <c r="J260" s="1" t="str">
        <f t="shared" ref="J260:J323" si="26">+IF(LEN(TRIM(D260))&gt;0,UPPER($D$2)&amp;"='"&amp;TRIM(D260)&amp;"' ","")</f>
        <v xml:space="preserve">AND CNUMECTA='20465034096' </v>
      </c>
      <c r="K260" s="1" t="str">
        <f t="shared" ref="K260:K323" si="27">+IF(LEN(TRIM(E260))&gt;0,UPPER($E$2)&amp;"='"&amp;TRIM(E260)&amp;"' ","")</f>
        <v xml:space="preserve">AND ZDEPOSIT='000000000000000' </v>
      </c>
      <c r="L260" s="1" t="str">
        <f t="shared" ref="L260:L323" si="28">+"WHEN "&amp;H260&amp;I260&amp;J260&amp;K260&amp;"THEN "&amp;F260</f>
        <v>WHEN CEMPRESA='31' AND CBALCAO='0003' AND CNUMECTA='20465034096' AND ZDEPOSIT='000000000000000' THEN 1</v>
      </c>
      <c r="M260" s="1" t="str">
        <f t="shared" ref="M260:M323" si="29">+"WHEN "&amp;H260&amp;I260&amp;J260&amp;K260&amp;"THEN "&amp;G260</f>
        <v>WHEN CEMPRESA='31' AND CBALCAO='0003' AND CNUMECTA='20465034096' AND ZDEPOSIT='000000000000000' THEN 'A.3.7.'</v>
      </c>
    </row>
    <row r="261" spans="2:13" x14ac:dyDescent="0.25">
      <c r="B261" s="1" t="s">
        <v>45</v>
      </c>
      <c r="C261" s="1" t="s">
        <v>46</v>
      </c>
      <c r="D261" s="1" t="s">
        <v>390</v>
      </c>
      <c r="E261" s="1" t="s">
        <v>48</v>
      </c>
      <c r="F261" s="1">
        <v>1</v>
      </c>
      <c r="G261" s="1" t="s">
        <v>60</v>
      </c>
      <c r="H261" s="1" t="str">
        <f t="shared" si="24"/>
        <v xml:space="preserve">CEMPRESA='31' </v>
      </c>
      <c r="I261" s="1" t="str">
        <f t="shared" si="25"/>
        <v xml:space="preserve">AND CBALCAO='0003' </v>
      </c>
      <c r="J261" s="1" t="str">
        <f t="shared" si="26"/>
        <v xml:space="preserve">AND CNUMECTA='20700380096' </v>
      </c>
      <c r="K261" s="1" t="str">
        <f t="shared" si="27"/>
        <v xml:space="preserve">AND ZDEPOSIT='000000000000000' </v>
      </c>
      <c r="L261" s="1" t="str">
        <f t="shared" si="28"/>
        <v>WHEN CEMPRESA='31' AND CBALCAO='0003' AND CNUMECTA='20700380096' AND ZDEPOSIT='000000000000000' THEN 1</v>
      </c>
      <c r="M261" s="1" t="str">
        <f t="shared" si="29"/>
        <v>WHEN CEMPRESA='31' AND CBALCAO='0003' AND CNUMECTA='20700380096' AND ZDEPOSIT='000000000000000' THEN 'A.3.7.'</v>
      </c>
    </row>
    <row r="262" spans="2:13" x14ac:dyDescent="0.25">
      <c r="B262" s="1" t="s">
        <v>45</v>
      </c>
      <c r="C262" s="1" t="s">
        <v>46</v>
      </c>
      <c r="D262" s="1" t="s">
        <v>391</v>
      </c>
      <c r="E262" s="1" t="s">
        <v>48</v>
      </c>
      <c r="F262" s="1">
        <v>1</v>
      </c>
      <c r="G262" s="1" t="s">
        <v>60</v>
      </c>
      <c r="H262" s="1" t="str">
        <f t="shared" si="24"/>
        <v xml:space="preserve">CEMPRESA='31' </v>
      </c>
      <c r="I262" s="1" t="str">
        <f t="shared" si="25"/>
        <v xml:space="preserve">AND CBALCAO='0003' </v>
      </c>
      <c r="J262" s="1" t="str">
        <f t="shared" si="26"/>
        <v xml:space="preserve">AND CNUMECTA='20730627096' </v>
      </c>
      <c r="K262" s="1" t="str">
        <f t="shared" si="27"/>
        <v xml:space="preserve">AND ZDEPOSIT='000000000000000' </v>
      </c>
      <c r="L262" s="1" t="str">
        <f t="shared" si="28"/>
        <v>WHEN CEMPRESA='31' AND CBALCAO='0003' AND CNUMECTA='20730627096' AND ZDEPOSIT='000000000000000' THEN 1</v>
      </c>
      <c r="M262" s="1" t="str">
        <f t="shared" si="29"/>
        <v>WHEN CEMPRESA='31' AND CBALCAO='0003' AND CNUMECTA='20730627096' AND ZDEPOSIT='000000000000000' THEN 'A.3.7.'</v>
      </c>
    </row>
    <row r="263" spans="2:13" x14ac:dyDescent="0.25">
      <c r="B263" s="1" t="s">
        <v>45</v>
      </c>
      <c r="C263" s="1" t="s">
        <v>46</v>
      </c>
      <c r="D263" s="1" t="s">
        <v>392</v>
      </c>
      <c r="E263" s="1" t="s">
        <v>48</v>
      </c>
      <c r="F263" s="1">
        <v>1</v>
      </c>
      <c r="G263" s="1" t="s">
        <v>76</v>
      </c>
      <c r="H263" s="1" t="str">
        <f t="shared" si="24"/>
        <v xml:space="preserve">CEMPRESA='31' </v>
      </c>
      <c r="I263" s="1" t="str">
        <f t="shared" si="25"/>
        <v xml:space="preserve">AND CBALCAO='0003' </v>
      </c>
      <c r="J263" s="1" t="str">
        <f t="shared" si="26"/>
        <v xml:space="preserve">AND CNUMECTA='18611119097' </v>
      </c>
      <c r="K263" s="1" t="str">
        <f t="shared" si="27"/>
        <v xml:space="preserve">AND ZDEPOSIT='000000000000000' </v>
      </c>
      <c r="L263" s="1" t="str">
        <f t="shared" si="28"/>
        <v>WHEN CEMPRESA='31' AND CBALCAO='0003' AND CNUMECTA='18611119097' AND ZDEPOSIT='000000000000000' THEN 1</v>
      </c>
      <c r="M263" s="1" t="str">
        <f t="shared" si="29"/>
        <v>WHEN CEMPRESA='31' AND CBALCAO='0003' AND CNUMECTA='18611119097' AND ZDEPOSIT='000000000000000' THEN 'A.7.7.'</v>
      </c>
    </row>
    <row r="264" spans="2:13" x14ac:dyDescent="0.25">
      <c r="B264" s="1" t="s">
        <v>45</v>
      </c>
      <c r="C264" s="1" t="s">
        <v>46</v>
      </c>
      <c r="D264" s="1" t="s">
        <v>393</v>
      </c>
      <c r="E264" s="1" t="s">
        <v>48</v>
      </c>
      <c r="F264" s="1">
        <v>1</v>
      </c>
      <c r="G264" s="1" t="s">
        <v>60</v>
      </c>
      <c r="H264" s="1" t="str">
        <f t="shared" si="24"/>
        <v xml:space="preserve">CEMPRESA='31' </v>
      </c>
      <c r="I264" s="1" t="str">
        <f t="shared" si="25"/>
        <v xml:space="preserve">AND CBALCAO='0003' </v>
      </c>
      <c r="J264" s="1" t="str">
        <f t="shared" si="26"/>
        <v xml:space="preserve">AND CNUMECTA='20450036096' </v>
      </c>
      <c r="K264" s="1" t="str">
        <f t="shared" si="27"/>
        <v xml:space="preserve">AND ZDEPOSIT='000000000000000' </v>
      </c>
      <c r="L264" s="1" t="str">
        <f t="shared" si="28"/>
        <v>WHEN CEMPRESA='31' AND CBALCAO='0003' AND CNUMECTA='20450036096' AND ZDEPOSIT='000000000000000' THEN 1</v>
      </c>
      <c r="M264" s="1" t="str">
        <f t="shared" si="29"/>
        <v>WHEN CEMPRESA='31' AND CBALCAO='0003' AND CNUMECTA='20450036096' AND ZDEPOSIT='000000000000000' THEN 'A.3.7.'</v>
      </c>
    </row>
    <row r="265" spans="2:13" x14ac:dyDescent="0.25">
      <c r="B265" s="1" t="s">
        <v>45</v>
      </c>
      <c r="C265" s="1" t="s">
        <v>46</v>
      </c>
      <c r="D265" s="1" t="s">
        <v>394</v>
      </c>
      <c r="E265" s="1" t="s">
        <v>48</v>
      </c>
      <c r="F265" s="1">
        <v>1</v>
      </c>
      <c r="G265" s="1" t="s">
        <v>53</v>
      </c>
      <c r="H265" s="1" t="str">
        <f t="shared" si="24"/>
        <v xml:space="preserve">CEMPRESA='31' </v>
      </c>
      <c r="I265" s="1" t="str">
        <f t="shared" si="25"/>
        <v xml:space="preserve">AND CBALCAO='0003' </v>
      </c>
      <c r="J265" s="1" t="str">
        <f t="shared" si="26"/>
        <v xml:space="preserve">AND CNUMECTA='20728258096' </v>
      </c>
      <c r="K265" s="1" t="str">
        <f t="shared" si="27"/>
        <v xml:space="preserve">AND ZDEPOSIT='000000000000000' </v>
      </c>
      <c r="L265" s="1" t="str">
        <f t="shared" si="28"/>
        <v>WHEN CEMPRESA='31' AND CBALCAO='0003' AND CNUMECTA='20728258096' AND ZDEPOSIT='000000000000000' THEN 1</v>
      </c>
      <c r="M265" s="1" t="str">
        <f t="shared" si="29"/>
        <v>WHEN CEMPRESA='31' AND CBALCAO='0003' AND CNUMECTA='20728258096' AND ZDEPOSIT='000000000000000' THEN 'A.1.1.'</v>
      </c>
    </row>
    <row r="266" spans="2:13" x14ac:dyDescent="0.25">
      <c r="B266" s="1" t="s">
        <v>45</v>
      </c>
      <c r="C266" s="1" t="s">
        <v>46</v>
      </c>
      <c r="D266" s="1" t="s">
        <v>395</v>
      </c>
      <c r="E266" s="1" t="s">
        <v>48</v>
      </c>
      <c r="F266" s="1">
        <v>1</v>
      </c>
      <c r="G266" s="1" t="s">
        <v>60</v>
      </c>
      <c r="H266" s="1" t="str">
        <f t="shared" si="24"/>
        <v xml:space="preserve">CEMPRESA='31' </v>
      </c>
      <c r="I266" s="1" t="str">
        <f t="shared" si="25"/>
        <v xml:space="preserve">AND CBALCAO='0003' </v>
      </c>
      <c r="J266" s="1" t="str">
        <f t="shared" si="26"/>
        <v xml:space="preserve">AND CNUMECTA='20467501096' </v>
      </c>
      <c r="K266" s="1" t="str">
        <f t="shared" si="27"/>
        <v xml:space="preserve">AND ZDEPOSIT='000000000000000' </v>
      </c>
      <c r="L266" s="1" t="str">
        <f t="shared" si="28"/>
        <v>WHEN CEMPRESA='31' AND CBALCAO='0003' AND CNUMECTA='20467501096' AND ZDEPOSIT='000000000000000' THEN 1</v>
      </c>
      <c r="M266" s="1" t="str">
        <f t="shared" si="29"/>
        <v>WHEN CEMPRESA='31' AND CBALCAO='0003' AND CNUMECTA='20467501096' AND ZDEPOSIT='000000000000000' THEN 'A.3.7.'</v>
      </c>
    </row>
    <row r="267" spans="2:13" x14ac:dyDescent="0.25">
      <c r="B267" s="1" t="s">
        <v>45</v>
      </c>
      <c r="C267" s="1" t="s">
        <v>46</v>
      </c>
      <c r="D267" s="1" t="s">
        <v>396</v>
      </c>
      <c r="E267" s="1" t="s">
        <v>48</v>
      </c>
      <c r="F267" s="1">
        <v>1</v>
      </c>
      <c r="G267" s="1" t="s">
        <v>60</v>
      </c>
      <c r="H267" s="1" t="str">
        <f t="shared" si="24"/>
        <v xml:space="preserve">CEMPRESA='31' </v>
      </c>
      <c r="I267" s="1" t="str">
        <f t="shared" si="25"/>
        <v xml:space="preserve">AND CBALCAO='0003' </v>
      </c>
      <c r="J267" s="1" t="str">
        <f t="shared" si="26"/>
        <v xml:space="preserve">AND CNUMECTA='20430681096' </v>
      </c>
      <c r="K267" s="1" t="str">
        <f t="shared" si="27"/>
        <v xml:space="preserve">AND ZDEPOSIT='000000000000000' </v>
      </c>
      <c r="L267" s="1" t="str">
        <f t="shared" si="28"/>
        <v>WHEN CEMPRESA='31' AND CBALCAO='0003' AND CNUMECTA='20430681096' AND ZDEPOSIT='000000000000000' THEN 1</v>
      </c>
      <c r="M267" s="1" t="str">
        <f t="shared" si="29"/>
        <v>WHEN CEMPRESA='31' AND CBALCAO='0003' AND CNUMECTA='20430681096' AND ZDEPOSIT='000000000000000' THEN 'A.3.7.'</v>
      </c>
    </row>
    <row r="268" spans="2:13" x14ac:dyDescent="0.25">
      <c r="B268" s="1" t="s">
        <v>45</v>
      </c>
      <c r="C268" s="1" t="s">
        <v>46</v>
      </c>
      <c r="D268" s="1" t="s">
        <v>397</v>
      </c>
      <c r="E268" s="1" t="s">
        <v>48</v>
      </c>
      <c r="F268" s="1">
        <v>1</v>
      </c>
      <c r="G268" s="1" t="s">
        <v>60</v>
      </c>
      <c r="H268" s="1" t="str">
        <f t="shared" si="24"/>
        <v xml:space="preserve">CEMPRESA='31' </v>
      </c>
      <c r="I268" s="1" t="str">
        <f t="shared" si="25"/>
        <v xml:space="preserve">AND CBALCAO='0003' </v>
      </c>
      <c r="J268" s="1" t="str">
        <f t="shared" si="26"/>
        <v xml:space="preserve">AND CNUMECTA='20635552096' </v>
      </c>
      <c r="K268" s="1" t="str">
        <f t="shared" si="27"/>
        <v xml:space="preserve">AND ZDEPOSIT='000000000000000' </v>
      </c>
      <c r="L268" s="1" t="str">
        <f t="shared" si="28"/>
        <v>WHEN CEMPRESA='31' AND CBALCAO='0003' AND CNUMECTA='20635552096' AND ZDEPOSIT='000000000000000' THEN 1</v>
      </c>
      <c r="M268" s="1" t="str">
        <f t="shared" si="29"/>
        <v>WHEN CEMPRESA='31' AND CBALCAO='0003' AND CNUMECTA='20635552096' AND ZDEPOSIT='000000000000000' THEN 'A.3.7.'</v>
      </c>
    </row>
    <row r="269" spans="2:13" x14ac:dyDescent="0.25">
      <c r="B269" s="1" t="s">
        <v>45</v>
      </c>
      <c r="C269" s="1" t="s">
        <v>114</v>
      </c>
      <c r="D269" s="1" t="s">
        <v>115</v>
      </c>
      <c r="E269" s="1" t="s">
        <v>398</v>
      </c>
      <c r="F269" s="1">
        <v>1</v>
      </c>
      <c r="G269" s="1" t="s">
        <v>117</v>
      </c>
      <c r="H269" s="1" t="str">
        <f t="shared" si="24"/>
        <v xml:space="preserve">CEMPRESA='31' </v>
      </c>
      <c r="I269" s="1" t="str">
        <f t="shared" si="25"/>
        <v xml:space="preserve">AND CBALCAO='6416' </v>
      </c>
      <c r="J269" s="1" t="str">
        <f t="shared" si="26"/>
        <v xml:space="preserve">AND CNUMECTA='00000001085' </v>
      </c>
      <c r="K269" s="1" t="str">
        <f t="shared" si="27"/>
        <v xml:space="preserve">AND ZDEPOSIT='PC0657604000000' </v>
      </c>
      <c r="L269" s="1" t="str">
        <f t="shared" si="28"/>
        <v>WHEN CEMPRESA='31' AND CBALCAO='6416' AND CNUMECTA='00000001085' AND ZDEPOSIT='PC0657604000000' THEN 1</v>
      </c>
      <c r="M269" s="1" t="str">
        <f t="shared" si="29"/>
        <v>WHEN CEMPRESA='31' AND CBALCAO='6416' AND CNUMECTA='00000001085' AND ZDEPOSIT='PC0657604000000' THEN 'Sustainability Linked Finance - Default'</v>
      </c>
    </row>
    <row r="270" spans="2:13" x14ac:dyDescent="0.25">
      <c r="B270" s="1" t="s">
        <v>45</v>
      </c>
      <c r="C270" s="1" t="s">
        <v>46</v>
      </c>
      <c r="D270" s="1" t="s">
        <v>399</v>
      </c>
      <c r="E270" s="1" t="s">
        <v>48</v>
      </c>
      <c r="F270" s="1">
        <v>1</v>
      </c>
      <c r="G270" s="1" t="s">
        <v>60</v>
      </c>
      <c r="H270" s="1" t="str">
        <f t="shared" si="24"/>
        <v xml:space="preserve">CEMPRESA='31' </v>
      </c>
      <c r="I270" s="1" t="str">
        <f t="shared" si="25"/>
        <v xml:space="preserve">AND CBALCAO='0003' </v>
      </c>
      <c r="J270" s="1" t="str">
        <f t="shared" si="26"/>
        <v xml:space="preserve">AND CNUMECTA='20638655096' </v>
      </c>
      <c r="K270" s="1" t="str">
        <f t="shared" si="27"/>
        <v xml:space="preserve">AND ZDEPOSIT='000000000000000' </v>
      </c>
      <c r="L270" s="1" t="str">
        <f t="shared" si="28"/>
        <v>WHEN CEMPRESA='31' AND CBALCAO='0003' AND CNUMECTA='20638655096' AND ZDEPOSIT='000000000000000' THEN 1</v>
      </c>
      <c r="M270" s="1" t="str">
        <f t="shared" si="29"/>
        <v>WHEN CEMPRESA='31' AND CBALCAO='0003' AND CNUMECTA='20638655096' AND ZDEPOSIT='000000000000000' THEN 'A.3.7.'</v>
      </c>
    </row>
    <row r="271" spans="2:13" x14ac:dyDescent="0.25">
      <c r="B271" s="1" t="s">
        <v>45</v>
      </c>
      <c r="C271" s="1" t="s">
        <v>46</v>
      </c>
      <c r="D271" s="1" t="s">
        <v>400</v>
      </c>
      <c r="E271" s="1" t="s">
        <v>48</v>
      </c>
      <c r="F271" s="1">
        <v>1</v>
      </c>
      <c r="G271" s="1" t="s">
        <v>60</v>
      </c>
      <c r="H271" s="1" t="str">
        <f t="shared" si="24"/>
        <v xml:space="preserve">CEMPRESA='31' </v>
      </c>
      <c r="I271" s="1" t="str">
        <f t="shared" si="25"/>
        <v xml:space="preserve">AND CBALCAO='0003' </v>
      </c>
      <c r="J271" s="1" t="str">
        <f t="shared" si="26"/>
        <v xml:space="preserve">AND CNUMECTA='20673330096' </v>
      </c>
      <c r="K271" s="1" t="str">
        <f t="shared" si="27"/>
        <v xml:space="preserve">AND ZDEPOSIT='000000000000000' </v>
      </c>
      <c r="L271" s="1" t="str">
        <f t="shared" si="28"/>
        <v>WHEN CEMPRESA='31' AND CBALCAO='0003' AND CNUMECTA='20673330096' AND ZDEPOSIT='000000000000000' THEN 1</v>
      </c>
      <c r="M271" s="1" t="str">
        <f t="shared" si="29"/>
        <v>WHEN CEMPRESA='31' AND CBALCAO='0003' AND CNUMECTA='20673330096' AND ZDEPOSIT='000000000000000' THEN 'A.3.7.'</v>
      </c>
    </row>
    <row r="272" spans="2:13" x14ac:dyDescent="0.25">
      <c r="B272" s="1" t="s">
        <v>45</v>
      </c>
      <c r="C272" s="1" t="s">
        <v>46</v>
      </c>
      <c r="D272" s="1" t="s">
        <v>401</v>
      </c>
      <c r="E272" s="1" t="s">
        <v>48</v>
      </c>
      <c r="F272" s="1">
        <v>1</v>
      </c>
      <c r="G272" s="1" t="s">
        <v>60</v>
      </c>
      <c r="H272" s="1" t="str">
        <f t="shared" si="24"/>
        <v xml:space="preserve">CEMPRESA='31' </v>
      </c>
      <c r="I272" s="1" t="str">
        <f t="shared" si="25"/>
        <v xml:space="preserve">AND CBALCAO='0003' </v>
      </c>
      <c r="J272" s="1" t="str">
        <f t="shared" si="26"/>
        <v xml:space="preserve">AND CNUMECTA='20409750096' </v>
      </c>
      <c r="K272" s="1" t="str">
        <f t="shared" si="27"/>
        <v xml:space="preserve">AND ZDEPOSIT='000000000000000' </v>
      </c>
      <c r="L272" s="1" t="str">
        <f t="shared" si="28"/>
        <v>WHEN CEMPRESA='31' AND CBALCAO='0003' AND CNUMECTA='20409750096' AND ZDEPOSIT='000000000000000' THEN 1</v>
      </c>
      <c r="M272" s="1" t="str">
        <f t="shared" si="29"/>
        <v>WHEN CEMPRESA='31' AND CBALCAO='0003' AND CNUMECTA='20409750096' AND ZDEPOSIT='000000000000000' THEN 'A.3.7.'</v>
      </c>
    </row>
    <row r="273" spans="2:13" x14ac:dyDescent="0.25">
      <c r="B273" s="1" t="s">
        <v>45</v>
      </c>
      <c r="C273" s="1" t="s">
        <v>46</v>
      </c>
      <c r="D273" s="1" t="s">
        <v>402</v>
      </c>
      <c r="E273" s="1" t="s">
        <v>48</v>
      </c>
      <c r="F273" s="1">
        <v>1</v>
      </c>
      <c r="G273" s="1" t="s">
        <v>60</v>
      </c>
      <c r="H273" s="1" t="str">
        <f t="shared" si="24"/>
        <v xml:space="preserve">CEMPRESA='31' </v>
      </c>
      <c r="I273" s="1" t="str">
        <f t="shared" si="25"/>
        <v xml:space="preserve">AND CBALCAO='0003' </v>
      </c>
      <c r="J273" s="1" t="str">
        <f t="shared" si="26"/>
        <v xml:space="preserve">AND CNUMECTA='20560107096' </v>
      </c>
      <c r="K273" s="1" t="str">
        <f t="shared" si="27"/>
        <v xml:space="preserve">AND ZDEPOSIT='000000000000000' </v>
      </c>
      <c r="L273" s="1" t="str">
        <f t="shared" si="28"/>
        <v>WHEN CEMPRESA='31' AND CBALCAO='0003' AND CNUMECTA='20560107096' AND ZDEPOSIT='000000000000000' THEN 1</v>
      </c>
      <c r="M273" s="1" t="str">
        <f t="shared" si="29"/>
        <v>WHEN CEMPRESA='31' AND CBALCAO='0003' AND CNUMECTA='20560107096' AND ZDEPOSIT='000000000000000' THEN 'A.3.7.'</v>
      </c>
    </row>
    <row r="274" spans="2:13" x14ac:dyDescent="0.25">
      <c r="B274" s="1" t="s">
        <v>45</v>
      </c>
      <c r="C274" s="1" t="s">
        <v>46</v>
      </c>
      <c r="D274" s="1" t="s">
        <v>403</v>
      </c>
      <c r="E274" s="1" t="s">
        <v>48</v>
      </c>
      <c r="F274" s="1">
        <v>1</v>
      </c>
      <c r="G274" s="1" t="s">
        <v>209</v>
      </c>
      <c r="H274" s="1" t="str">
        <f t="shared" si="24"/>
        <v xml:space="preserve">CEMPRESA='31' </v>
      </c>
      <c r="I274" s="1" t="str">
        <f t="shared" si="25"/>
        <v xml:space="preserve">AND CBALCAO='0003' </v>
      </c>
      <c r="J274" s="1" t="str">
        <f t="shared" si="26"/>
        <v xml:space="preserve">AND CNUMECTA='20459334096' </v>
      </c>
      <c r="K274" s="1" t="str">
        <f t="shared" si="27"/>
        <v xml:space="preserve">AND ZDEPOSIT='000000000000000' </v>
      </c>
      <c r="L274" s="1" t="str">
        <f t="shared" si="28"/>
        <v>WHEN CEMPRESA='31' AND CBALCAO='0003' AND CNUMECTA='20459334096' AND ZDEPOSIT='000000000000000' THEN 1</v>
      </c>
      <c r="M274" s="1" t="str">
        <f t="shared" si="29"/>
        <v>WHEN CEMPRESA='31' AND CBALCAO='0003' AND CNUMECTA='20459334096' AND ZDEPOSIT='000000000000000' THEN 'A.3.1.'</v>
      </c>
    </row>
    <row r="275" spans="2:13" x14ac:dyDescent="0.25">
      <c r="B275" s="1" t="s">
        <v>45</v>
      </c>
      <c r="C275" s="1" t="s">
        <v>46</v>
      </c>
      <c r="D275" s="1" t="s">
        <v>404</v>
      </c>
      <c r="E275" s="1" t="s">
        <v>48</v>
      </c>
      <c r="F275" s="1">
        <v>1</v>
      </c>
      <c r="G275" s="1" t="s">
        <v>60</v>
      </c>
      <c r="H275" s="1" t="str">
        <f t="shared" si="24"/>
        <v xml:space="preserve">CEMPRESA='31' </v>
      </c>
      <c r="I275" s="1" t="str">
        <f t="shared" si="25"/>
        <v xml:space="preserve">AND CBALCAO='0003' </v>
      </c>
      <c r="J275" s="1" t="str">
        <f t="shared" si="26"/>
        <v xml:space="preserve">AND CNUMECTA='20438528096' </v>
      </c>
      <c r="K275" s="1" t="str">
        <f t="shared" si="27"/>
        <v xml:space="preserve">AND ZDEPOSIT='000000000000000' </v>
      </c>
      <c r="L275" s="1" t="str">
        <f t="shared" si="28"/>
        <v>WHEN CEMPRESA='31' AND CBALCAO='0003' AND CNUMECTA='20438528096' AND ZDEPOSIT='000000000000000' THEN 1</v>
      </c>
      <c r="M275" s="1" t="str">
        <f t="shared" si="29"/>
        <v>WHEN CEMPRESA='31' AND CBALCAO='0003' AND CNUMECTA='20438528096' AND ZDEPOSIT='000000000000000' THEN 'A.3.7.'</v>
      </c>
    </row>
    <row r="276" spans="2:13" x14ac:dyDescent="0.25">
      <c r="B276" s="1" t="s">
        <v>54</v>
      </c>
      <c r="C276" s="1" t="s">
        <v>55</v>
      </c>
      <c r="D276" s="1" t="s">
        <v>405</v>
      </c>
      <c r="E276" s="1" t="s">
        <v>406</v>
      </c>
      <c r="F276" s="1">
        <v>1</v>
      </c>
      <c r="G276" s="1" t="s">
        <v>58</v>
      </c>
      <c r="H276" s="1" t="str">
        <f t="shared" si="24"/>
        <v xml:space="preserve">CEMPRESA='89' </v>
      </c>
      <c r="I276" s="1" t="str">
        <f t="shared" si="25"/>
        <v xml:space="preserve">AND CBALCAO='0000' </v>
      </c>
      <c r="J276" s="1" t="str">
        <f t="shared" si="26"/>
        <v xml:space="preserve">AND CNUMECTA='00000250185' </v>
      </c>
      <c r="K276" s="1" t="str">
        <f t="shared" si="27"/>
        <v xml:space="preserve">AND ZDEPOSIT='000450000646541' </v>
      </c>
      <c r="L276" s="1" t="str">
        <f t="shared" si="28"/>
        <v>WHEN CEMPRESA='89' AND CBALCAO='0000' AND CNUMECTA='00000250185' AND ZDEPOSIT='000450000646541' THEN 1</v>
      </c>
      <c r="M276" s="1" t="str">
        <f t="shared" si="29"/>
        <v>WHEN CEMPRESA='89' AND CBALCAO='0000' AND CNUMECTA='00000250185' AND ZDEPOSIT='000450000646541' THEN 'A.2.5.'</v>
      </c>
    </row>
    <row r="277" spans="2:13" x14ac:dyDescent="0.25">
      <c r="B277" s="1" t="s">
        <v>54</v>
      </c>
      <c r="C277" s="1" t="s">
        <v>55</v>
      </c>
      <c r="D277" s="1" t="s">
        <v>407</v>
      </c>
      <c r="E277" s="1" t="s">
        <v>408</v>
      </c>
      <c r="F277" s="1">
        <v>1</v>
      </c>
      <c r="G277" s="1" t="s">
        <v>58</v>
      </c>
      <c r="H277" s="1" t="str">
        <f t="shared" si="24"/>
        <v xml:space="preserve">CEMPRESA='89' </v>
      </c>
      <c r="I277" s="1" t="str">
        <f t="shared" si="25"/>
        <v xml:space="preserve">AND CBALCAO='0000' </v>
      </c>
      <c r="J277" s="1" t="str">
        <f t="shared" si="26"/>
        <v xml:space="preserve">AND CNUMECTA='00008046523' </v>
      </c>
      <c r="K277" s="1" t="str">
        <f t="shared" si="27"/>
        <v xml:space="preserve">AND ZDEPOSIT='000530000746423' </v>
      </c>
      <c r="L277" s="1" t="str">
        <f t="shared" si="28"/>
        <v>WHEN CEMPRESA='89' AND CBALCAO='0000' AND CNUMECTA='00008046523' AND ZDEPOSIT='000530000746423' THEN 1</v>
      </c>
      <c r="M277" s="1" t="str">
        <f t="shared" si="29"/>
        <v>WHEN CEMPRESA='89' AND CBALCAO='0000' AND CNUMECTA='00008046523' AND ZDEPOSIT='000530000746423' THEN 'A.2.5.'</v>
      </c>
    </row>
    <row r="278" spans="2:13" x14ac:dyDescent="0.25">
      <c r="B278" s="1" t="s">
        <v>54</v>
      </c>
      <c r="C278" s="1" t="s">
        <v>55</v>
      </c>
      <c r="D278" s="1" t="s">
        <v>409</v>
      </c>
      <c r="E278" s="1" t="s">
        <v>410</v>
      </c>
      <c r="F278" s="1">
        <v>1</v>
      </c>
      <c r="G278" s="1" t="s">
        <v>58</v>
      </c>
      <c r="H278" s="1" t="str">
        <f t="shared" si="24"/>
        <v xml:space="preserve">CEMPRESA='89' </v>
      </c>
      <c r="I278" s="1" t="str">
        <f t="shared" si="25"/>
        <v xml:space="preserve">AND CBALCAO='0000' </v>
      </c>
      <c r="J278" s="1" t="str">
        <f t="shared" si="26"/>
        <v xml:space="preserve">AND CNUMECTA='00000250249' </v>
      </c>
      <c r="K278" s="1" t="str">
        <f t="shared" si="27"/>
        <v xml:space="preserve">AND ZDEPOSIT='000450000777784' </v>
      </c>
      <c r="L278" s="1" t="str">
        <f t="shared" si="28"/>
        <v>WHEN CEMPRESA='89' AND CBALCAO='0000' AND CNUMECTA='00000250249' AND ZDEPOSIT='000450000777784' THEN 1</v>
      </c>
      <c r="M278" s="1" t="str">
        <f t="shared" si="29"/>
        <v>WHEN CEMPRESA='89' AND CBALCAO='0000' AND CNUMECTA='00000250249' AND ZDEPOSIT='000450000777784' THEN 'A.2.5.'</v>
      </c>
    </row>
    <row r="279" spans="2:13" x14ac:dyDescent="0.25">
      <c r="B279" s="1" t="s">
        <v>54</v>
      </c>
      <c r="C279" s="1" t="s">
        <v>55</v>
      </c>
      <c r="D279" s="1" t="s">
        <v>411</v>
      </c>
      <c r="E279" s="1" t="s">
        <v>412</v>
      </c>
      <c r="F279" s="1">
        <v>1</v>
      </c>
      <c r="G279" s="1" t="s">
        <v>58</v>
      </c>
      <c r="H279" s="1" t="str">
        <f t="shared" si="24"/>
        <v xml:space="preserve">CEMPRESA='89' </v>
      </c>
      <c r="I279" s="1" t="str">
        <f t="shared" si="25"/>
        <v xml:space="preserve">AND CBALCAO='0000' </v>
      </c>
      <c r="J279" s="1" t="str">
        <f t="shared" si="26"/>
        <v xml:space="preserve">AND CNUMECTA='00000250442' </v>
      </c>
      <c r="K279" s="1" t="str">
        <f t="shared" si="27"/>
        <v xml:space="preserve">AND ZDEPOSIT='000450000755687' </v>
      </c>
      <c r="L279" s="1" t="str">
        <f t="shared" si="28"/>
        <v>WHEN CEMPRESA='89' AND CBALCAO='0000' AND CNUMECTA='00000250442' AND ZDEPOSIT='000450000755687' THEN 1</v>
      </c>
      <c r="M279" s="1" t="str">
        <f t="shared" si="29"/>
        <v>WHEN CEMPRESA='89' AND CBALCAO='0000' AND CNUMECTA='00000250442' AND ZDEPOSIT='000450000755687' THEN 'A.2.5.'</v>
      </c>
    </row>
    <row r="280" spans="2:13" x14ac:dyDescent="0.25">
      <c r="B280" s="1" t="s">
        <v>45</v>
      </c>
      <c r="C280" s="1" t="s">
        <v>46</v>
      </c>
      <c r="D280" s="1" t="s">
        <v>413</v>
      </c>
      <c r="E280" s="1" t="s">
        <v>48</v>
      </c>
      <c r="F280" s="1">
        <v>1</v>
      </c>
      <c r="G280" s="1" t="s">
        <v>60</v>
      </c>
      <c r="H280" s="1" t="str">
        <f t="shared" si="24"/>
        <v xml:space="preserve">CEMPRESA='31' </v>
      </c>
      <c r="I280" s="1" t="str">
        <f t="shared" si="25"/>
        <v xml:space="preserve">AND CBALCAO='0003' </v>
      </c>
      <c r="J280" s="1" t="str">
        <f t="shared" si="26"/>
        <v xml:space="preserve">AND CNUMECTA='20655980096' </v>
      </c>
      <c r="K280" s="1" t="str">
        <f t="shared" si="27"/>
        <v xml:space="preserve">AND ZDEPOSIT='000000000000000' </v>
      </c>
      <c r="L280" s="1" t="str">
        <f t="shared" si="28"/>
        <v>WHEN CEMPRESA='31' AND CBALCAO='0003' AND CNUMECTA='20655980096' AND ZDEPOSIT='000000000000000' THEN 1</v>
      </c>
      <c r="M280" s="1" t="str">
        <f t="shared" si="29"/>
        <v>WHEN CEMPRESA='31' AND CBALCAO='0003' AND CNUMECTA='20655980096' AND ZDEPOSIT='000000000000000' THEN 'A.3.7.'</v>
      </c>
    </row>
    <row r="281" spans="2:13" x14ac:dyDescent="0.25">
      <c r="B281" s="1" t="s">
        <v>45</v>
      </c>
      <c r="C281" s="1" t="s">
        <v>46</v>
      </c>
      <c r="D281" s="1" t="s">
        <v>414</v>
      </c>
      <c r="E281" s="1" t="s">
        <v>48</v>
      </c>
      <c r="F281" s="1">
        <v>1</v>
      </c>
      <c r="G281" s="1" t="s">
        <v>60</v>
      </c>
      <c r="H281" s="1" t="str">
        <f t="shared" si="24"/>
        <v xml:space="preserve">CEMPRESA='31' </v>
      </c>
      <c r="I281" s="1" t="str">
        <f t="shared" si="25"/>
        <v xml:space="preserve">AND CBALCAO='0003' </v>
      </c>
      <c r="J281" s="1" t="str">
        <f t="shared" si="26"/>
        <v xml:space="preserve">AND CNUMECTA='20512744096' </v>
      </c>
      <c r="K281" s="1" t="str">
        <f t="shared" si="27"/>
        <v xml:space="preserve">AND ZDEPOSIT='000000000000000' </v>
      </c>
      <c r="L281" s="1" t="str">
        <f t="shared" si="28"/>
        <v>WHEN CEMPRESA='31' AND CBALCAO='0003' AND CNUMECTA='20512744096' AND ZDEPOSIT='000000000000000' THEN 1</v>
      </c>
      <c r="M281" s="1" t="str">
        <f t="shared" si="29"/>
        <v>WHEN CEMPRESA='31' AND CBALCAO='0003' AND CNUMECTA='20512744096' AND ZDEPOSIT='000000000000000' THEN 'A.3.7.'</v>
      </c>
    </row>
    <row r="282" spans="2:13" x14ac:dyDescent="0.25">
      <c r="B282" s="1" t="s">
        <v>45</v>
      </c>
      <c r="C282" s="1" t="s">
        <v>46</v>
      </c>
      <c r="D282" s="1" t="s">
        <v>415</v>
      </c>
      <c r="E282" s="1" t="s">
        <v>48</v>
      </c>
      <c r="F282" s="1">
        <v>1</v>
      </c>
      <c r="G282" s="1" t="s">
        <v>209</v>
      </c>
      <c r="H282" s="1" t="str">
        <f t="shared" si="24"/>
        <v xml:space="preserve">CEMPRESA='31' </v>
      </c>
      <c r="I282" s="1" t="str">
        <f t="shared" si="25"/>
        <v xml:space="preserve">AND CBALCAO='0003' </v>
      </c>
      <c r="J282" s="1" t="str">
        <f t="shared" si="26"/>
        <v xml:space="preserve">AND CNUMECTA='20596150096' </v>
      </c>
      <c r="K282" s="1" t="str">
        <f t="shared" si="27"/>
        <v xml:space="preserve">AND ZDEPOSIT='000000000000000' </v>
      </c>
      <c r="L282" s="1" t="str">
        <f t="shared" si="28"/>
        <v>WHEN CEMPRESA='31' AND CBALCAO='0003' AND CNUMECTA='20596150096' AND ZDEPOSIT='000000000000000' THEN 1</v>
      </c>
      <c r="M282" s="1" t="str">
        <f t="shared" si="29"/>
        <v>WHEN CEMPRESA='31' AND CBALCAO='0003' AND CNUMECTA='20596150096' AND ZDEPOSIT='000000000000000' THEN 'A.3.1.'</v>
      </c>
    </row>
    <row r="283" spans="2:13" x14ac:dyDescent="0.25">
      <c r="B283" s="1" t="s">
        <v>45</v>
      </c>
      <c r="C283" s="1" t="s">
        <v>46</v>
      </c>
      <c r="D283" s="1" t="s">
        <v>416</v>
      </c>
      <c r="E283" s="1" t="s">
        <v>48</v>
      </c>
      <c r="F283" s="1">
        <v>1</v>
      </c>
      <c r="G283" s="1" t="s">
        <v>60</v>
      </c>
      <c r="H283" s="1" t="str">
        <f t="shared" si="24"/>
        <v xml:space="preserve">CEMPRESA='31' </v>
      </c>
      <c r="I283" s="1" t="str">
        <f t="shared" si="25"/>
        <v xml:space="preserve">AND CBALCAO='0003' </v>
      </c>
      <c r="J283" s="1" t="str">
        <f t="shared" si="26"/>
        <v xml:space="preserve">AND CNUMECTA='20700430096' </v>
      </c>
      <c r="K283" s="1" t="str">
        <f t="shared" si="27"/>
        <v xml:space="preserve">AND ZDEPOSIT='000000000000000' </v>
      </c>
      <c r="L283" s="1" t="str">
        <f t="shared" si="28"/>
        <v>WHEN CEMPRESA='31' AND CBALCAO='0003' AND CNUMECTA='20700430096' AND ZDEPOSIT='000000000000000' THEN 1</v>
      </c>
      <c r="M283" s="1" t="str">
        <f t="shared" si="29"/>
        <v>WHEN CEMPRESA='31' AND CBALCAO='0003' AND CNUMECTA='20700430096' AND ZDEPOSIT='000000000000000' THEN 'A.3.7.'</v>
      </c>
    </row>
    <row r="284" spans="2:13" x14ac:dyDescent="0.25">
      <c r="B284" s="1" t="s">
        <v>45</v>
      </c>
      <c r="C284" s="1" t="s">
        <v>46</v>
      </c>
      <c r="D284" s="1" t="s">
        <v>417</v>
      </c>
      <c r="E284" s="1" t="s">
        <v>48</v>
      </c>
      <c r="F284" s="1">
        <v>1</v>
      </c>
      <c r="G284" s="1" t="s">
        <v>60</v>
      </c>
      <c r="H284" s="1" t="str">
        <f t="shared" si="24"/>
        <v xml:space="preserve">CEMPRESA='31' </v>
      </c>
      <c r="I284" s="1" t="str">
        <f t="shared" si="25"/>
        <v xml:space="preserve">AND CBALCAO='0003' </v>
      </c>
      <c r="J284" s="1" t="str">
        <f t="shared" si="26"/>
        <v xml:space="preserve">AND CNUMECTA='20600390096' </v>
      </c>
      <c r="K284" s="1" t="str">
        <f t="shared" si="27"/>
        <v xml:space="preserve">AND ZDEPOSIT='000000000000000' </v>
      </c>
      <c r="L284" s="1" t="str">
        <f t="shared" si="28"/>
        <v>WHEN CEMPRESA='31' AND CBALCAO='0003' AND CNUMECTA='20600390096' AND ZDEPOSIT='000000000000000' THEN 1</v>
      </c>
      <c r="M284" s="1" t="str">
        <f t="shared" si="29"/>
        <v>WHEN CEMPRESA='31' AND CBALCAO='0003' AND CNUMECTA='20600390096' AND ZDEPOSIT='000000000000000' THEN 'A.3.7.'</v>
      </c>
    </row>
    <row r="285" spans="2:13" x14ac:dyDescent="0.25">
      <c r="B285" s="1" t="s">
        <v>54</v>
      </c>
      <c r="C285" s="1" t="s">
        <v>55</v>
      </c>
      <c r="D285" s="1" t="s">
        <v>418</v>
      </c>
      <c r="E285" s="1" t="s">
        <v>419</v>
      </c>
      <c r="F285" s="1">
        <v>1</v>
      </c>
      <c r="G285" s="1" t="s">
        <v>58</v>
      </c>
      <c r="H285" s="1" t="str">
        <f t="shared" si="24"/>
        <v xml:space="preserve">CEMPRESA='89' </v>
      </c>
      <c r="I285" s="1" t="str">
        <f t="shared" si="25"/>
        <v xml:space="preserve">AND CBALCAO='0000' </v>
      </c>
      <c r="J285" s="1" t="str">
        <f t="shared" si="26"/>
        <v xml:space="preserve">AND CNUMECTA='00008046658' </v>
      </c>
      <c r="K285" s="1" t="str">
        <f t="shared" si="27"/>
        <v xml:space="preserve">AND ZDEPOSIT='000530000687784' </v>
      </c>
      <c r="L285" s="1" t="str">
        <f t="shared" si="28"/>
        <v>WHEN CEMPRESA='89' AND CBALCAO='0000' AND CNUMECTA='00008046658' AND ZDEPOSIT='000530000687784' THEN 1</v>
      </c>
      <c r="M285" s="1" t="str">
        <f t="shared" si="29"/>
        <v>WHEN CEMPRESA='89' AND CBALCAO='0000' AND CNUMECTA='00008046658' AND ZDEPOSIT='000530000687784' THEN 'A.2.5.'</v>
      </c>
    </row>
    <row r="286" spans="2:13" x14ac:dyDescent="0.25">
      <c r="B286" s="1" t="s">
        <v>54</v>
      </c>
      <c r="C286" s="1" t="s">
        <v>55</v>
      </c>
      <c r="D286" s="1" t="s">
        <v>420</v>
      </c>
      <c r="E286" s="1" t="s">
        <v>421</v>
      </c>
      <c r="F286" s="1">
        <v>1</v>
      </c>
      <c r="G286" s="1" t="s">
        <v>58</v>
      </c>
      <c r="H286" s="1" t="str">
        <f t="shared" si="24"/>
        <v xml:space="preserve">CEMPRESA='89' </v>
      </c>
      <c r="I286" s="1" t="str">
        <f t="shared" si="25"/>
        <v xml:space="preserve">AND CBALCAO='0000' </v>
      </c>
      <c r="J286" s="1" t="str">
        <f t="shared" si="26"/>
        <v xml:space="preserve">AND CNUMECTA='00000250458' </v>
      </c>
      <c r="K286" s="1" t="str">
        <f t="shared" si="27"/>
        <v xml:space="preserve">AND ZDEPOSIT='000450000765471' </v>
      </c>
      <c r="L286" s="1" t="str">
        <f t="shared" si="28"/>
        <v>WHEN CEMPRESA='89' AND CBALCAO='0000' AND CNUMECTA='00000250458' AND ZDEPOSIT='000450000765471' THEN 1</v>
      </c>
      <c r="M286" s="1" t="str">
        <f t="shared" si="29"/>
        <v>WHEN CEMPRESA='89' AND CBALCAO='0000' AND CNUMECTA='00000250458' AND ZDEPOSIT='000450000765471' THEN 'A.2.5.'</v>
      </c>
    </row>
    <row r="287" spans="2:13" x14ac:dyDescent="0.25">
      <c r="B287" s="1" t="s">
        <v>54</v>
      </c>
      <c r="C287" s="1" t="s">
        <v>55</v>
      </c>
      <c r="D287" s="1" t="s">
        <v>422</v>
      </c>
      <c r="E287" s="1" t="s">
        <v>423</v>
      </c>
      <c r="F287" s="1">
        <v>1</v>
      </c>
      <c r="G287" s="1" t="s">
        <v>58</v>
      </c>
      <c r="H287" s="1" t="str">
        <f t="shared" si="24"/>
        <v xml:space="preserve">CEMPRESA='89' </v>
      </c>
      <c r="I287" s="1" t="str">
        <f t="shared" si="25"/>
        <v xml:space="preserve">AND CBALCAO='0000' </v>
      </c>
      <c r="J287" s="1" t="str">
        <f t="shared" si="26"/>
        <v xml:space="preserve">AND CNUMECTA='00008046592' </v>
      </c>
      <c r="K287" s="1" t="str">
        <f t="shared" si="27"/>
        <v xml:space="preserve">AND ZDEPOSIT='000530000778534' </v>
      </c>
      <c r="L287" s="1" t="str">
        <f t="shared" si="28"/>
        <v>WHEN CEMPRESA='89' AND CBALCAO='0000' AND CNUMECTA='00008046592' AND ZDEPOSIT='000530000778534' THEN 1</v>
      </c>
      <c r="M287" s="1" t="str">
        <f t="shared" si="29"/>
        <v>WHEN CEMPRESA='89' AND CBALCAO='0000' AND CNUMECTA='00008046592' AND ZDEPOSIT='000530000778534' THEN 'A.2.5.'</v>
      </c>
    </row>
    <row r="288" spans="2:13" x14ac:dyDescent="0.25">
      <c r="B288" s="1" t="s">
        <v>45</v>
      </c>
      <c r="C288" s="1" t="s">
        <v>46</v>
      </c>
      <c r="D288" s="1" t="s">
        <v>424</v>
      </c>
      <c r="E288" s="1" t="s">
        <v>48</v>
      </c>
      <c r="F288" s="1">
        <v>1</v>
      </c>
      <c r="G288" s="1" t="s">
        <v>209</v>
      </c>
      <c r="H288" s="1" t="str">
        <f t="shared" si="24"/>
        <v xml:space="preserve">CEMPRESA='31' </v>
      </c>
      <c r="I288" s="1" t="str">
        <f t="shared" si="25"/>
        <v xml:space="preserve">AND CBALCAO='0003' </v>
      </c>
      <c r="J288" s="1" t="str">
        <f t="shared" si="26"/>
        <v xml:space="preserve">AND CNUMECTA='20724109096' </v>
      </c>
      <c r="K288" s="1" t="str">
        <f t="shared" si="27"/>
        <v xml:space="preserve">AND ZDEPOSIT='000000000000000' </v>
      </c>
      <c r="L288" s="1" t="str">
        <f t="shared" si="28"/>
        <v>WHEN CEMPRESA='31' AND CBALCAO='0003' AND CNUMECTA='20724109096' AND ZDEPOSIT='000000000000000' THEN 1</v>
      </c>
      <c r="M288" s="1" t="str">
        <f t="shared" si="29"/>
        <v>WHEN CEMPRESA='31' AND CBALCAO='0003' AND CNUMECTA='20724109096' AND ZDEPOSIT='000000000000000' THEN 'A.3.1.'</v>
      </c>
    </row>
    <row r="289" spans="2:13" x14ac:dyDescent="0.25">
      <c r="B289" s="1" t="s">
        <v>45</v>
      </c>
      <c r="C289" s="1" t="s">
        <v>46</v>
      </c>
      <c r="D289" s="1" t="s">
        <v>425</v>
      </c>
      <c r="E289" s="1" t="s">
        <v>48</v>
      </c>
      <c r="F289" s="1">
        <v>1</v>
      </c>
      <c r="G289" s="1" t="s">
        <v>60</v>
      </c>
      <c r="H289" s="1" t="str">
        <f t="shared" si="24"/>
        <v xml:space="preserve">CEMPRESA='31' </v>
      </c>
      <c r="I289" s="1" t="str">
        <f t="shared" si="25"/>
        <v xml:space="preserve">AND CBALCAO='0003' </v>
      </c>
      <c r="J289" s="1" t="str">
        <f t="shared" si="26"/>
        <v xml:space="preserve">AND CNUMECTA='20727730096' </v>
      </c>
      <c r="K289" s="1" t="str">
        <f t="shared" si="27"/>
        <v xml:space="preserve">AND ZDEPOSIT='000000000000000' </v>
      </c>
      <c r="L289" s="1" t="str">
        <f t="shared" si="28"/>
        <v>WHEN CEMPRESA='31' AND CBALCAO='0003' AND CNUMECTA='20727730096' AND ZDEPOSIT='000000000000000' THEN 1</v>
      </c>
      <c r="M289" s="1" t="str">
        <f t="shared" si="29"/>
        <v>WHEN CEMPRESA='31' AND CBALCAO='0003' AND CNUMECTA='20727730096' AND ZDEPOSIT='000000000000000' THEN 'A.3.7.'</v>
      </c>
    </row>
    <row r="290" spans="2:13" x14ac:dyDescent="0.25">
      <c r="B290" s="1" t="s">
        <v>54</v>
      </c>
      <c r="C290" s="1" t="s">
        <v>55</v>
      </c>
      <c r="D290" s="1" t="s">
        <v>426</v>
      </c>
      <c r="E290" s="1" t="s">
        <v>427</v>
      </c>
      <c r="F290" s="1">
        <v>1</v>
      </c>
      <c r="G290" s="1" t="s">
        <v>58</v>
      </c>
      <c r="H290" s="1" t="str">
        <f t="shared" si="24"/>
        <v xml:space="preserve">CEMPRESA='89' </v>
      </c>
      <c r="I290" s="1" t="str">
        <f t="shared" si="25"/>
        <v xml:space="preserve">AND CBALCAO='0000' </v>
      </c>
      <c r="J290" s="1" t="str">
        <f t="shared" si="26"/>
        <v xml:space="preserve">AND CNUMECTA='00008046468' </v>
      </c>
      <c r="K290" s="1" t="str">
        <f t="shared" si="27"/>
        <v xml:space="preserve">AND ZDEPOSIT='000530000672437' </v>
      </c>
      <c r="L290" s="1" t="str">
        <f t="shared" si="28"/>
        <v>WHEN CEMPRESA='89' AND CBALCAO='0000' AND CNUMECTA='00008046468' AND ZDEPOSIT='000530000672437' THEN 1</v>
      </c>
      <c r="M290" s="1" t="str">
        <f t="shared" si="29"/>
        <v>WHEN CEMPRESA='89' AND CBALCAO='0000' AND CNUMECTA='00008046468' AND ZDEPOSIT='000530000672437' THEN 'A.2.5.'</v>
      </c>
    </row>
    <row r="291" spans="2:13" x14ac:dyDescent="0.25">
      <c r="B291" s="1" t="s">
        <v>45</v>
      </c>
      <c r="C291" s="1" t="s">
        <v>46</v>
      </c>
      <c r="D291" s="1" t="s">
        <v>428</v>
      </c>
      <c r="E291" s="1" t="s">
        <v>48</v>
      </c>
      <c r="F291" s="1">
        <v>1</v>
      </c>
      <c r="G291" s="1" t="s">
        <v>60</v>
      </c>
      <c r="H291" s="1" t="str">
        <f t="shared" si="24"/>
        <v xml:space="preserve">CEMPRESA='31' </v>
      </c>
      <c r="I291" s="1" t="str">
        <f t="shared" si="25"/>
        <v xml:space="preserve">AND CBALCAO='0003' </v>
      </c>
      <c r="J291" s="1" t="str">
        <f t="shared" si="26"/>
        <v xml:space="preserve">AND CNUMECTA='20623947096' </v>
      </c>
      <c r="K291" s="1" t="str">
        <f t="shared" si="27"/>
        <v xml:space="preserve">AND ZDEPOSIT='000000000000000' </v>
      </c>
      <c r="L291" s="1" t="str">
        <f t="shared" si="28"/>
        <v>WHEN CEMPRESA='31' AND CBALCAO='0003' AND CNUMECTA='20623947096' AND ZDEPOSIT='000000000000000' THEN 1</v>
      </c>
      <c r="M291" s="1" t="str">
        <f t="shared" si="29"/>
        <v>WHEN CEMPRESA='31' AND CBALCAO='0003' AND CNUMECTA='20623947096' AND ZDEPOSIT='000000000000000' THEN 'A.3.7.'</v>
      </c>
    </row>
    <row r="292" spans="2:13" x14ac:dyDescent="0.25">
      <c r="B292" s="1" t="s">
        <v>45</v>
      </c>
      <c r="C292" s="1" t="s">
        <v>46</v>
      </c>
      <c r="D292" s="1" t="s">
        <v>429</v>
      </c>
      <c r="E292" s="1" t="s">
        <v>48</v>
      </c>
      <c r="F292" s="1">
        <v>1</v>
      </c>
      <c r="G292" s="1" t="s">
        <v>76</v>
      </c>
      <c r="H292" s="1" t="str">
        <f t="shared" si="24"/>
        <v xml:space="preserve">CEMPRESA='31' </v>
      </c>
      <c r="I292" s="1" t="str">
        <f t="shared" si="25"/>
        <v xml:space="preserve">AND CBALCAO='0003' </v>
      </c>
      <c r="J292" s="1" t="str">
        <f t="shared" si="26"/>
        <v xml:space="preserve">AND CNUMECTA='18607406097' </v>
      </c>
      <c r="K292" s="1" t="str">
        <f t="shared" si="27"/>
        <v xml:space="preserve">AND ZDEPOSIT='000000000000000' </v>
      </c>
      <c r="L292" s="1" t="str">
        <f t="shared" si="28"/>
        <v>WHEN CEMPRESA='31' AND CBALCAO='0003' AND CNUMECTA='18607406097' AND ZDEPOSIT='000000000000000' THEN 1</v>
      </c>
      <c r="M292" s="1" t="str">
        <f t="shared" si="29"/>
        <v>WHEN CEMPRESA='31' AND CBALCAO='0003' AND CNUMECTA='18607406097' AND ZDEPOSIT='000000000000000' THEN 'A.7.7.'</v>
      </c>
    </row>
    <row r="293" spans="2:13" x14ac:dyDescent="0.25">
      <c r="B293" s="1" t="s">
        <v>54</v>
      </c>
      <c r="C293" s="1" t="s">
        <v>55</v>
      </c>
      <c r="D293" s="1" t="s">
        <v>369</v>
      </c>
      <c r="E293" s="1" t="s">
        <v>430</v>
      </c>
      <c r="F293" s="1">
        <v>1</v>
      </c>
      <c r="G293" s="1" t="s">
        <v>209</v>
      </c>
      <c r="H293" s="1" t="str">
        <f t="shared" si="24"/>
        <v xml:space="preserve">CEMPRESA='89' </v>
      </c>
      <c r="I293" s="1" t="str">
        <f t="shared" si="25"/>
        <v xml:space="preserve">AND CBALCAO='0000' </v>
      </c>
      <c r="J293" s="1" t="str">
        <f t="shared" si="26"/>
        <v xml:space="preserve">AND CNUMECTA='20240000369' </v>
      </c>
      <c r="K293" s="1" t="str">
        <f t="shared" si="27"/>
        <v xml:space="preserve">AND ZDEPOSIT='001520240499274' </v>
      </c>
      <c r="L293" s="1" t="str">
        <f t="shared" si="28"/>
        <v>WHEN CEMPRESA='89' AND CBALCAO='0000' AND CNUMECTA='20240000369' AND ZDEPOSIT='001520240499274' THEN 1</v>
      </c>
      <c r="M293" s="1" t="str">
        <f t="shared" si="29"/>
        <v>WHEN CEMPRESA='89' AND CBALCAO='0000' AND CNUMECTA='20240000369' AND ZDEPOSIT='001520240499274' THEN 'A.3.1.'</v>
      </c>
    </row>
    <row r="294" spans="2:13" x14ac:dyDescent="0.25">
      <c r="B294" s="1" t="s">
        <v>54</v>
      </c>
      <c r="C294" s="1" t="s">
        <v>55</v>
      </c>
      <c r="D294" s="1" t="s">
        <v>431</v>
      </c>
      <c r="E294" s="1" t="s">
        <v>155</v>
      </c>
      <c r="F294" s="1">
        <v>1</v>
      </c>
      <c r="G294" s="1" t="s">
        <v>58</v>
      </c>
      <c r="H294" s="1" t="str">
        <f t="shared" si="24"/>
        <v xml:space="preserve">CEMPRESA='89' </v>
      </c>
      <c r="I294" s="1" t="str">
        <f t="shared" si="25"/>
        <v xml:space="preserve">AND CBALCAO='0000' </v>
      </c>
      <c r="J294" s="1" t="str">
        <f t="shared" si="26"/>
        <v xml:space="preserve">AND CNUMECTA='00000250396' </v>
      </c>
      <c r="K294" s="1" t="str">
        <f t="shared" si="27"/>
        <v xml:space="preserve">AND ZDEPOSIT='000450000479263' </v>
      </c>
      <c r="L294" s="1" t="str">
        <f t="shared" si="28"/>
        <v>WHEN CEMPRESA='89' AND CBALCAO='0000' AND CNUMECTA='00000250396' AND ZDEPOSIT='000450000479263' THEN 1</v>
      </c>
      <c r="M294" s="1" t="str">
        <f t="shared" si="29"/>
        <v>WHEN CEMPRESA='89' AND CBALCAO='0000' AND CNUMECTA='00000250396' AND ZDEPOSIT='000450000479263' THEN 'A.2.5.'</v>
      </c>
    </row>
    <row r="295" spans="2:13" x14ac:dyDescent="0.25">
      <c r="B295" s="1" t="s">
        <v>45</v>
      </c>
      <c r="C295" s="1" t="s">
        <v>46</v>
      </c>
      <c r="D295" s="1" t="s">
        <v>432</v>
      </c>
      <c r="E295" s="1" t="s">
        <v>48</v>
      </c>
      <c r="F295" s="1">
        <v>1</v>
      </c>
      <c r="G295" s="1" t="s">
        <v>60</v>
      </c>
      <c r="H295" s="1" t="str">
        <f t="shared" si="24"/>
        <v xml:space="preserve">CEMPRESA='31' </v>
      </c>
      <c r="I295" s="1" t="str">
        <f t="shared" si="25"/>
        <v xml:space="preserve">AND CBALCAO='0003' </v>
      </c>
      <c r="J295" s="1" t="str">
        <f t="shared" si="26"/>
        <v xml:space="preserve">AND CNUMECTA='20542451096' </v>
      </c>
      <c r="K295" s="1" t="str">
        <f t="shared" si="27"/>
        <v xml:space="preserve">AND ZDEPOSIT='000000000000000' </v>
      </c>
      <c r="L295" s="1" t="str">
        <f t="shared" si="28"/>
        <v>WHEN CEMPRESA='31' AND CBALCAO='0003' AND CNUMECTA='20542451096' AND ZDEPOSIT='000000000000000' THEN 1</v>
      </c>
      <c r="M295" s="1" t="str">
        <f t="shared" si="29"/>
        <v>WHEN CEMPRESA='31' AND CBALCAO='0003' AND CNUMECTA='20542451096' AND ZDEPOSIT='000000000000000' THEN 'A.3.7.'</v>
      </c>
    </row>
    <row r="296" spans="2:13" x14ac:dyDescent="0.25">
      <c r="B296" s="1" t="s">
        <v>45</v>
      </c>
      <c r="C296" s="1" t="s">
        <v>46</v>
      </c>
      <c r="D296" s="1" t="s">
        <v>433</v>
      </c>
      <c r="E296" s="1" t="s">
        <v>48</v>
      </c>
      <c r="F296" s="1">
        <v>1</v>
      </c>
      <c r="G296" s="1" t="s">
        <v>60</v>
      </c>
      <c r="H296" s="1" t="str">
        <f t="shared" si="24"/>
        <v xml:space="preserve">CEMPRESA='31' </v>
      </c>
      <c r="I296" s="1" t="str">
        <f t="shared" si="25"/>
        <v xml:space="preserve">AND CBALCAO='0003' </v>
      </c>
      <c r="J296" s="1" t="str">
        <f t="shared" si="26"/>
        <v xml:space="preserve">AND CNUMECTA='20534862096' </v>
      </c>
      <c r="K296" s="1" t="str">
        <f t="shared" si="27"/>
        <v xml:space="preserve">AND ZDEPOSIT='000000000000000' </v>
      </c>
      <c r="L296" s="1" t="str">
        <f t="shared" si="28"/>
        <v>WHEN CEMPRESA='31' AND CBALCAO='0003' AND CNUMECTA='20534862096' AND ZDEPOSIT='000000000000000' THEN 1</v>
      </c>
      <c r="M296" s="1" t="str">
        <f t="shared" si="29"/>
        <v>WHEN CEMPRESA='31' AND CBALCAO='0003' AND CNUMECTA='20534862096' AND ZDEPOSIT='000000000000000' THEN 'A.3.7.'</v>
      </c>
    </row>
    <row r="297" spans="2:13" x14ac:dyDescent="0.25">
      <c r="B297" s="1" t="s">
        <v>45</v>
      </c>
      <c r="C297" s="1" t="s">
        <v>46</v>
      </c>
      <c r="D297" s="1" t="s">
        <v>434</v>
      </c>
      <c r="E297" s="1" t="s">
        <v>48</v>
      </c>
      <c r="F297" s="1">
        <v>1</v>
      </c>
      <c r="G297" s="1" t="s">
        <v>60</v>
      </c>
      <c r="H297" s="1" t="str">
        <f t="shared" si="24"/>
        <v xml:space="preserve">CEMPRESA='31' </v>
      </c>
      <c r="I297" s="1" t="str">
        <f t="shared" si="25"/>
        <v xml:space="preserve">AND CBALCAO='0003' </v>
      </c>
      <c r="J297" s="1" t="str">
        <f t="shared" si="26"/>
        <v xml:space="preserve">AND CNUMECTA='20718069096' </v>
      </c>
      <c r="K297" s="1" t="str">
        <f t="shared" si="27"/>
        <v xml:space="preserve">AND ZDEPOSIT='000000000000000' </v>
      </c>
      <c r="L297" s="1" t="str">
        <f t="shared" si="28"/>
        <v>WHEN CEMPRESA='31' AND CBALCAO='0003' AND CNUMECTA='20718069096' AND ZDEPOSIT='000000000000000' THEN 1</v>
      </c>
      <c r="M297" s="1" t="str">
        <f t="shared" si="29"/>
        <v>WHEN CEMPRESA='31' AND CBALCAO='0003' AND CNUMECTA='20718069096' AND ZDEPOSIT='000000000000000' THEN 'A.3.7.'</v>
      </c>
    </row>
    <row r="298" spans="2:13" x14ac:dyDescent="0.25">
      <c r="B298" s="1" t="s">
        <v>45</v>
      </c>
      <c r="C298" s="1" t="s">
        <v>46</v>
      </c>
      <c r="D298" s="1" t="s">
        <v>435</v>
      </c>
      <c r="E298" s="1" t="s">
        <v>48</v>
      </c>
      <c r="F298" s="1">
        <v>1</v>
      </c>
      <c r="G298" s="1" t="s">
        <v>53</v>
      </c>
      <c r="H298" s="1" t="str">
        <f t="shared" si="24"/>
        <v xml:space="preserve">CEMPRESA='31' </v>
      </c>
      <c r="I298" s="1" t="str">
        <f t="shared" si="25"/>
        <v xml:space="preserve">AND CBALCAO='0003' </v>
      </c>
      <c r="J298" s="1" t="str">
        <f t="shared" si="26"/>
        <v xml:space="preserve">AND CNUMECTA='20690607096' </v>
      </c>
      <c r="K298" s="1" t="str">
        <f t="shared" si="27"/>
        <v xml:space="preserve">AND ZDEPOSIT='000000000000000' </v>
      </c>
      <c r="L298" s="1" t="str">
        <f t="shared" si="28"/>
        <v>WHEN CEMPRESA='31' AND CBALCAO='0003' AND CNUMECTA='20690607096' AND ZDEPOSIT='000000000000000' THEN 1</v>
      </c>
      <c r="M298" s="1" t="str">
        <f t="shared" si="29"/>
        <v>WHEN CEMPRESA='31' AND CBALCAO='0003' AND CNUMECTA='20690607096' AND ZDEPOSIT='000000000000000' THEN 'A.1.1.'</v>
      </c>
    </row>
    <row r="299" spans="2:13" x14ac:dyDescent="0.25">
      <c r="B299" s="1" t="s">
        <v>45</v>
      </c>
      <c r="C299" s="1" t="s">
        <v>46</v>
      </c>
      <c r="D299" s="1" t="s">
        <v>436</v>
      </c>
      <c r="E299" s="1" t="s">
        <v>48</v>
      </c>
      <c r="F299" s="1">
        <v>1</v>
      </c>
      <c r="G299" s="1" t="s">
        <v>60</v>
      </c>
      <c r="H299" s="1" t="str">
        <f t="shared" si="24"/>
        <v xml:space="preserve">CEMPRESA='31' </v>
      </c>
      <c r="I299" s="1" t="str">
        <f t="shared" si="25"/>
        <v xml:space="preserve">AND CBALCAO='0003' </v>
      </c>
      <c r="J299" s="1" t="str">
        <f t="shared" si="26"/>
        <v xml:space="preserve">AND CNUMECTA='20650536096' </v>
      </c>
      <c r="K299" s="1" t="str">
        <f t="shared" si="27"/>
        <v xml:space="preserve">AND ZDEPOSIT='000000000000000' </v>
      </c>
      <c r="L299" s="1" t="str">
        <f t="shared" si="28"/>
        <v>WHEN CEMPRESA='31' AND CBALCAO='0003' AND CNUMECTA='20650536096' AND ZDEPOSIT='000000000000000' THEN 1</v>
      </c>
      <c r="M299" s="1" t="str">
        <f t="shared" si="29"/>
        <v>WHEN CEMPRESA='31' AND CBALCAO='0003' AND CNUMECTA='20650536096' AND ZDEPOSIT='000000000000000' THEN 'A.3.7.'</v>
      </c>
    </row>
    <row r="300" spans="2:13" x14ac:dyDescent="0.25">
      <c r="B300" s="1" t="s">
        <v>54</v>
      </c>
      <c r="C300" s="1" t="s">
        <v>55</v>
      </c>
      <c r="D300" s="1" t="s">
        <v>437</v>
      </c>
      <c r="E300" s="1" t="s">
        <v>438</v>
      </c>
      <c r="F300" s="1">
        <v>1</v>
      </c>
      <c r="G300" s="1" t="s">
        <v>58</v>
      </c>
      <c r="H300" s="1" t="str">
        <f t="shared" si="24"/>
        <v xml:space="preserve">CEMPRESA='89' </v>
      </c>
      <c r="I300" s="1" t="str">
        <f t="shared" si="25"/>
        <v xml:space="preserve">AND CBALCAO='0000' </v>
      </c>
      <c r="J300" s="1" t="str">
        <f t="shared" si="26"/>
        <v xml:space="preserve">AND CNUMECTA='00008046554' </v>
      </c>
      <c r="K300" s="1" t="str">
        <f t="shared" si="27"/>
        <v xml:space="preserve">AND ZDEPOSIT='000530000767409' </v>
      </c>
      <c r="L300" s="1" t="str">
        <f t="shared" si="28"/>
        <v>WHEN CEMPRESA='89' AND CBALCAO='0000' AND CNUMECTA='00008046554' AND ZDEPOSIT='000530000767409' THEN 1</v>
      </c>
      <c r="M300" s="1" t="str">
        <f t="shared" si="29"/>
        <v>WHEN CEMPRESA='89' AND CBALCAO='0000' AND CNUMECTA='00008046554' AND ZDEPOSIT='000530000767409' THEN 'A.2.5.'</v>
      </c>
    </row>
    <row r="301" spans="2:13" x14ac:dyDescent="0.25">
      <c r="B301" s="1" t="s">
        <v>54</v>
      </c>
      <c r="C301" s="1" t="s">
        <v>55</v>
      </c>
      <c r="D301" s="1" t="s">
        <v>439</v>
      </c>
      <c r="E301" s="1" t="s">
        <v>440</v>
      </c>
      <c r="F301" s="1">
        <v>1</v>
      </c>
      <c r="G301" s="1" t="s">
        <v>58</v>
      </c>
      <c r="H301" s="1" t="str">
        <f t="shared" si="24"/>
        <v xml:space="preserve">CEMPRESA='89' </v>
      </c>
      <c r="I301" s="1" t="str">
        <f t="shared" si="25"/>
        <v xml:space="preserve">AND CBALCAO='0000' </v>
      </c>
      <c r="J301" s="1" t="str">
        <f t="shared" si="26"/>
        <v xml:space="preserve">AND CNUMECTA='00008046375' </v>
      </c>
      <c r="K301" s="1" t="str">
        <f t="shared" si="27"/>
        <v xml:space="preserve">AND ZDEPOSIT='000530000777331' </v>
      </c>
      <c r="L301" s="1" t="str">
        <f t="shared" si="28"/>
        <v>WHEN CEMPRESA='89' AND CBALCAO='0000' AND CNUMECTA='00008046375' AND ZDEPOSIT='000530000777331' THEN 1</v>
      </c>
      <c r="M301" s="1" t="str">
        <f t="shared" si="29"/>
        <v>WHEN CEMPRESA='89' AND CBALCAO='0000' AND CNUMECTA='00008046375' AND ZDEPOSIT='000530000777331' THEN 'A.2.5.'</v>
      </c>
    </row>
    <row r="302" spans="2:13" x14ac:dyDescent="0.25">
      <c r="B302" s="1" t="s">
        <v>54</v>
      </c>
      <c r="C302" s="1" t="s">
        <v>55</v>
      </c>
      <c r="D302" s="1" t="s">
        <v>441</v>
      </c>
      <c r="E302" s="1" t="s">
        <v>442</v>
      </c>
      <c r="F302" s="1">
        <v>1</v>
      </c>
      <c r="G302" s="1" t="s">
        <v>58</v>
      </c>
      <c r="H302" s="1" t="str">
        <f t="shared" si="24"/>
        <v xml:space="preserve">CEMPRESA='89' </v>
      </c>
      <c r="I302" s="1" t="str">
        <f t="shared" si="25"/>
        <v xml:space="preserve">AND CBALCAO='0000' </v>
      </c>
      <c r="J302" s="1" t="str">
        <f t="shared" si="26"/>
        <v xml:space="preserve">AND CNUMECTA='00005118088' </v>
      </c>
      <c r="K302" s="1" t="str">
        <f t="shared" si="27"/>
        <v xml:space="preserve">AND ZDEPOSIT='000510000676660' </v>
      </c>
      <c r="L302" s="1" t="str">
        <f t="shared" si="28"/>
        <v>WHEN CEMPRESA='89' AND CBALCAO='0000' AND CNUMECTA='00005118088' AND ZDEPOSIT='000510000676660' THEN 1</v>
      </c>
      <c r="M302" s="1" t="str">
        <f t="shared" si="29"/>
        <v>WHEN CEMPRESA='89' AND CBALCAO='0000' AND CNUMECTA='00005118088' AND ZDEPOSIT='000510000676660' THEN 'A.2.5.'</v>
      </c>
    </row>
    <row r="303" spans="2:13" x14ac:dyDescent="0.25">
      <c r="B303" s="1" t="s">
        <v>54</v>
      </c>
      <c r="C303" s="1" t="s">
        <v>55</v>
      </c>
      <c r="D303" s="1" t="s">
        <v>443</v>
      </c>
      <c r="E303" s="1" t="s">
        <v>444</v>
      </c>
      <c r="F303" s="1">
        <v>1</v>
      </c>
      <c r="G303" s="1" t="s">
        <v>58</v>
      </c>
      <c r="H303" s="1" t="str">
        <f t="shared" si="24"/>
        <v xml:space="preserve">CEMPRESA='89' </v>
      </c>
      <c r="I303" s="1" t="str">
        <f t="shared" si="25"/>
        <v xml:space="preserve">AND CBALCAO='0000' </v>
      </c>
      <c r="J303" s="1" t="str">
        <f t="shared" si="26"/>
        <v xml:space="preserve">AND CNUMECTA='00000250243' </v>
      </c>
      <c r="K303" s="1" t="str">
        <f t="shared" si="27"/>
        <v xml:space="preserve">AND ZDEPOSIT='000450000776076' </v>
      </c>
      <c r="L303" s="1" t="str">
        <f t="shared" si="28"/>
        <v>WHEN CEMPRESA='89' AND CBALCAO='0000' AND CNUMECTA='00000250243' AND ZDEPOSIT='000450000776076' THEN 1</v>
      </c>
      <c r="M303" s="1" t="str">
        <f t="shared" si="29"/>
        <v>WHEN CEMPRESA='89' AND CBALCAO='0000' AND CNUMECTA='00000250243' AND ZDEPOSIT='000450000776076' THEN 'A.2.5.'</v>
      </c>
    </row>
    <row r="304" spans="2:13" x14ac:dyDescent="0.25">
      <c r="B304" s="1" t="s">
        <v>45</v>
      </c>
      <c r="C304" s="1" t="s">
        <v>46</v>
      </c>
      <c r="D304" s="1" t="s">
        <v>445</v>
      </c>
      <c r="E304" s="1" t="s">
        <v>48</v>
      </c>
      <c r="F304" s="1">
        <v>1</v>
      </c>
      <c r="G304" s="1" t="s">
        <v>51</v>
      </c>
      <c r="H304" s="1" t="str">
        <f t="shared" si="24"/>
        <v xml:space="preserve">CEMPRESA='31' </v>
      </c>
      <c r="I304" s="1" t="str">
        <f t="shared" si="25"/>
        <v xml:space="preserve">AND CBALCAO='0003' </v>
      </c>
      <c r="J304" s="1" t="str">
        <f t="shared" si="26"/>
        <v xml:space="preserve">AND CNUMECTA='20678099096' </v>
      </c>
      <c r="K304" s="1" t="str">
        <f t="shared" si="27"/>
        <v xml:space="preserve">AND ZDEPOSIT='000000000000000' </v>
      </c>
      <c r="L304" s="1" t="str">
        <f t="shared" si="28"/>
        <v>WHEN CEMPRESA='31' AND CBALCAO='0003' AND CNUMECTA='20678099096' AND ZDEPOSIT='000000000000000' THEN 1</v>
      </c>
      <c r="M304" s="1" t="str">
        <f t="shared" si="29"/>
        <v>WHEN CEMPRESA='31' AND CBALCAO='0003' AND CNUMECTA='20678099096' AND ZDEPOSIT='000000000000000' THEN 'B.1.'</v>
      </c>
    </row>
    <row r="305" spans="2:13" x14ac:dyDescent="0.25">
      <c r="B305" s="1" t="s">
        <v>45</v>
      </c>
      <c r="C305" s="1" t="s">
        <v>46</v>
      </c>
      <c r="D305" s="1" t="s">
        <v>446</v>
      </c>
      <c r="E305" s="1" t="s">
        <v>48</v>
      </c>
      <c r="F305" s="1">
        <v>1</v>
      </c>
      <c r="G305" s="1" t="s">
        <v>60</v>
      </c>
      <c r="H305" s="1" t="str">
        <f t="shared" si="24"/>
        <v xml:space="preserve">CEMPRESA='31' </v>
      </c>
      <c r="I305" s="1" t="str">
        <f t="shared" si="25"/>
        <v xml:space="preserve">AND CBALCAO='0003' </v>
      </c>
      <c r="J305" s="1" t="str">
        <f t="shared" si="26"/>
        <v xml:space="preserve">AND CNUMECTA='20525225096' </v>
      </c>
      <c r="K305" s="1" t="str">
        <f t="shared" si="27"/>
        <v xml:space="preserve">AND ZDEPOSIT='000000000000000' </v>
      </c>
      <c r="L305" s="1" t="str">
        <f t="shared" si="28"/>
        <v>WHEN CEMPRESA='31' AND CBALCAO='0003' AND CNUMECTA='20525225096' AND ZDEPOSIT='000000000000000' THEN 1</v>
      </c>
      <c r="M305" s="1" t="str">
        <f t="shared" si="29"/>
        <v>WHEN CEMPRESA='31' AND CBALCAO='0003' AND CNUMECTA='20525225096' AND ZDEPOSIT='000000000000000' THEN 'A.3.7.'</v>
      </c>
    </row>
    <row r="306" spans="2:13" x14ac:dyDescent="0.25">
      <c r="B306" s="1" t="s">
        <v>45</v>
      </c>
      <c r="C306" s="1" t="s">
        <v>46</v>
      </c>
      <c r="D306" s="1" t="s">
        <v>447</v>
      </c>
      <c r="E306" s="1" t="s">
        <v>48</v>
      </c>
      <c r="F306" s="1">
        <v>1</v>
      </c>
      <c r="G306" s="1" t="s">
        <v>60</v>
      </c>
      <c r="H306" s="1" t="str">
        <f t="shared" si="24"/>
        <v xml:space="preserve">CEMPRESA='31' </v>
      </c>
      <c r="I306" s="1" t="str">
        <f t="shared" si="25"/>
        <v xml:space="preserve">AND CBALCAO='0003' </v>
      </c>
      <c r="J306" s="1" t="str">
        <f t="shared" si="26"/>
        <v xml:space="preserve">AND CNUMECTA='20435078096' </v>
      </c>
      <c r="K306" s="1" t="str">
        <f t="shared" si="27"/>
        <v xml:space="preserve">AND ZDEPOSIT='000000000000000' </v>
      </c>
      <c r="L306" s="1" t="str">
        <f t="shared" si="28"/>
        <v>WHEN CEMPRESA='31' AND CBALCAO='0003' AND CNUMECTA='20435078096' AND ZDEPOSIT='000000000000000' THEN 1</v>
      </c>
      <c r="M306" s="1" t="str">
        <f t="shared" si="29"/>
        <v>WHEN CEMPRESA='31' AND CBALCAO='0003' AND CNUMECTA='20435078096' AND ZDEPOSIT='000000000000000' THEN 'A.3.7.'</v>
      </c>
    </row>
    <row r="307" spans="2:13" x14ac:dyDescent="0.25">
      <c r="B307" s="1" t="s">
        <v>45</v>
      </c>
      <c r="C307" s="1" t="s">
        <v>46</v>
      </c>
      <c r="D307" s="1" t="s">
        <v>448</v>
      </c>
      <c r="E307" s="1" t="s">
        <v>48</v>
      </c>
      <c r="F307" s="1">
        <v>1</v>
      </c>
      <c r="G307" s="1" t="s">
        <v>60</v>
      </c>
      <c r="H307" s="1" t="str">
        <f t="shared" si="24"/>
        <v xml:space="preserve">CEMPRESA='31' </v>
      </c>
      <c r="I307" s="1" t="str">
        <f t="shared" si="25"/>
        <v xml:space="preserve">AND CBALCAO='0003' </v>
      </c>
      <c r="J307" s="1" t="str">
        <f t="shared" si="26"/>
        <v xml:space="preserve">AND CNUMECTA='20514591096' </v>
      </c>
      <c r="K307" s="1" t="str">
        <f t="shared" si="27"/>
        <v xml:space="preserve">AND ZDEPOSIT='000000000000000' </v>
      </c>
      <c r="L307" s="1" t="str">
        <f t="shared" si="28"/>
        <v>WHEN CEMPRESA='31' AND CBALCAO='0003' AND CNUMECTA='20514591096' AND ZDEPOSIT='000000000000000' THEN 1</v>
      </c>
      <c r="M307" s="1" t="str">
        <f t="shared" si="29"/>
        <v>WHEN CEMPRESA='31' AND CBALCAO='0003' AND CNUMECTA='20514591096' AND ZDEPOSIT='000000000000000' THEN 'A.3.7.'</v>
      </c>
    </row>
    <row r="308" spans="2:13" x14ac:dyDescent="0.25">
      <c r="B308" s="1" t="s">
        <v>45</v>
      </c>
      <c r="C308" s="1" t="s">
        <v>46</v>
      </c>
      <c r="D308" s="1" t="s">
        <v>449</v>
      </c>
      <c r="E308" s="1" t="s">
        <v>48</v>
      </c>
      <c r="F308" s="1">
        <v>1</v>
      </c>
      <c r="G308" s="1" t="s">
        <v>60</v>
      </c>
      <c r="H308" s="1" t="str">
        <f t="shared" si="24"/>
        <v xml:space="preserve">CEMPRESA='31' </v>
      </c>
      <c r="I308" s="1" t="str">
        <f t="shared" si="25"/>
        <v xml:space="preserve">AND CBALCAO='0003' </v>
      </c>
      <c r="J308" s="1" t="str">
        <f t="shared" si="26"/>
        <v xml:space="preserve">AND CNUMECTA='20530183096' </v>
      </c>
      <c r="K308" s="1" t="str">
        <f t="shared" si="27"/>
        <v xml:space="preserve">AND ZDEPOSIT='000000000000000' </v>
      </c>
      <c r="L308" s="1" t="str">
        <f t="shared" si="28"/>
        <v>WHEN CEMPRESA='31' AND CBALCAO='0003' AND CNUMECTA='20530183096' AND ZDEPOSIT='000000000000000' THEN 1</v>
      </c>
      <c r="M308" s="1" t="str">
        <f t="shared" si="29"/>
        <v>WHEN CEMPRESA='31' AND CBALCAO='0003' AND CNUMECTA='20530183096' AND ZDEPOSIT='000000000000000' THEN 'A.3.7.'</v>
      </c>
    </row>
    <row r="309" spans="2:13" x14ac:dyDescent="0.25">
      <c r="B309" s="1" t="s">
        <v>45</v>
      </c>
      <c r="C309" s="1" t="s">
        <v>46</v>
      </c>
      <c r="D309" s="1" t="s">
        <v>450</v>
      </c>
      <c r="E309" s="1" t="s">
        <v>48</v>
      </c>
      <c r="F309" s="1">
        <v>1</v>
      </c>
      <c r="G309" s="1" t="s">
        <v>60</v>
      </c>
      <c r="H309" s="1" t="str">
        <f t="shared" si="24"/>
        <v xml:space="preserve">CEMPRESA='31' </v>
      </c>
      <c r="I309" s="1" t="str">
        <f t="shared" si="25"/>
        <v xml:space="preserve">AND CBALCAO='0003' </v>
      </c>
      <c r="J309" s="1" t="str">
        <f t="shared" si="26"/>
        <v xml:space="preserve">AND CNUMECTA='20739735096' </v>
      </c>
      <c r="K309" s="1" t="str">
        <f t="shared" si="27"/>
        <v xml:space="preserve">AND ZDEPOSIT='000000000000000' </v>
      </c>
      <c r="L309" s="1" t="str">
        <f t="shared" si="28"/>
        <v>WHEN CEMPRESA='31' AND CBALCAO='0003' AND CNUMECTA='20739735096' AND ZDEPOSIT='000000000000000' THEN 1</v>
      </c>
      <c r="M309" s="1" t="str">
        <f t="shared" si="29"/>
        <v>WHEN CEMPRESA='31' AND CBALCAO='0003' AND CNUMECTA='20739735096' AND ZDEPOSIT='000000000000000' THEN 'A.3.7.'</v>
      </c>
    </row>
    <row r="310" spans="2:13" x14ac:dyDescent="0.25">
      <c r="B310" s="1" t="s">
        <v>54</v>
      </c>
      <c r="C310" s="1" t="s">
        <v>55</v>
      </c>
      <c r="D310" s="1" t="s">
        <v>451</v>
      </c>
      <c r="E310" s="1" t="s">
        <v>452</v>
      </c>
      <c r="F310" s="1">
        <v>1</v>
      </c>
      <c r="G310" s="1" t="s">
        <v>58</v>
      </c>
      <c r="H310" s="1" t="str">
        <f t="shared" si="24"/>
        <v xml:space="preserve">CEMPRESA='89' </v>
      </c>
      <c r="I310" s="1" t="str">
        <f t="shared" si="25"/>
        <v xml:space="preserve">AND CBALCAO='0000' </v>
      </c>
      <c r="J310" s="1" t="str">
        <f t="shared" si="26"/>
        <v xml:space="preserve">AND CNUMECTA='00008046593' </v>
      </c>
      <c r="K310" s="1" t="str">
        <f t="shared" si="27"/>
        <v xml:space="preserve">AND ZDEPOSIT='000530000507721' </v>
      </c>
      <c r="L310" s="1" t="str">
        <f t="shared" si="28"/>
        <v>WHEN CEMPRESA='89' AND CBALCAO='0000' AND CNUMECTA='00008046593' AND ZDEPOSIT='000530000507721' THEN 1</v>
      </c>
      <c r="M310" s="1" t="str">
        <f t="shared" si="29"/>
        <v>WHEN CEMPRESA='89' AND CBALCAO='0000' AND CNUMECTA='00008046593' AND ZDEPOSIT='000530000507721' THEN 'A.2.5.'</v>
      </c>
    </row>
    <row r="311" spans="2:13" x14ac:dyDescent="0.25">
      <c r="B311" s="1" t="s">
        <v>54</v>
      </c>
      <c r="C311" s="1" t="s">
        <v>55</v>
      </c>
      <c r="D311" s="1" t="s">
        <v>453</v>
      </c>
      <c r="E311" s="1" t="s">
        <v>454</v>
      </c>
      <c r="F311" s="1">
        <v>1</v>
      </c>
      <c r="G311" s="1" t="s">
        <v>58</v>
      </c>
      <c r="H311" s="1" t="str">
        <f t="shared" si="24"/>
        <v xml:space="preserve">CEMPRESA='89' </v>
      </c>
      <c r="I311" s="1" t="str">
        <f t="shared" si="25"/>
        <v xml:space="preserve">AND CBALCAO='0000' </v>
      </c>
      <c r="J311" s="1" t="str">
        <f t="shared" si="26"/>
        <v xml:space="preserve">AND CNUMECTA='00008046489' </v>
      </c>
      <c r="K311" s="1" t="str">
        <f t="shared" si="27"/>
        <v xml:space="preserve">AND ZDEPOSIT='000530000678935' </v>
      </c>
      <c r="L311" s="1" t="str">
        <f t="shared" si="28"/>
        <v>WHEN CEMPRESA='89' AND CBALCAO='0000' AND CNUMECTA='00008046489' AND ZDEPOSIT='000530000678935' THEN 1</v>
      </c>
      <c r="M311" s="1" t="str">
        <f t="shared" si="29"/>
        <v>WHEN CEMPRESA='89' AND CBALCAO='0000' AND CNUMECTA='00008046489' AND ZDEPOSIT='000530000678935' THEN 'A.2.5.'</v>
      </c>
    </row>
    <row r="312" spans="2:13" x14ac:dyDescent="0.25">
      <c r="B312" s="1" t="s">
        <v>45</v>
      </c>
      <c r="C312" s="1" t="s">
        <v>46</v>
      </c>
      <c r="D312" s="1" t="s">
        <v>455</v>
      </c>
      <c r="E312" s="1" t="s">
        <v>48</v>
      </c>
      <c r="F312" s="1">
        <v>1</v>
      </c>
      <c r="G312" s="1" t="s">
        <v>60</v>
      </c>
      <c r="H312" s="1" t="str">
        <f t="shared" si="24"/>
        <v xml:space="preserve">CEMPRESA='31' </v>
      </c>
      <c r="I312" s="1" t="str">
        <f t="shared" si="25"/>
        <v xml:space="preserve">AND CBALCAO='0003' </v>
      </c>
      <c r="J312" s="1" t="str">
        <f t="shared" si="26"/>
        <v xml:space="preserve">AND CNUMECTA='20644315096' </v>
      </c>
      <c r="K312" s="1" t="str">
        <f t="shared" si="27"/>
        <v xml:space="preserve">AND ZDEPOSIT='000000000000000' </v>
      </c>
      <c r="L312" s="1" t="str">
        <f t="shared" si="28"/>
        <v>WHEN CEMPRESA='31' AND CBALCAO='0003' AND CNUMECTA='20644315096' AND ZDEPOSIT='000000000000000' THEN 1</v>
      </c>
      <c r="M312" s="1" t="str">
        <f t="shared" si="29"/>
        <v>WHEN CEMPRESA='31' AND CBALCAO='0003' AND CNUMECTA='20644315096' AND ZDEPOSIT='000000000000000' THEN 'A.3.7.'</v>
      </c>
    </row>
    <row r="313" spans="2:13" x14ac:dyDescent="0.25">
      <c r="B313" s="1" t="s">
        <v>45</v>
      </c>
      <c r="C313" s="1" t="s">
        <v>46</v>
      </c>
      <c r="D313" s="1" t="s">
        <v>456</v>
      </c>
      <c r="E313" s="1" t="s">
        <v>48</v>
      </c>
      <c r="F313" s="1">
        <v>1</v>
      </c>
      <c r="G313" s="1" t="s">
        <v>60</v>
      </c>
      <c r="H313" s="1" t="str">
        <f t="shared" si="24"/>
        <v xml:space="preserve">CEMPRESA='31' </v>
      </c>
      <c r="I313" s="1" t="str">
        <f t="shared" si="25"/>
        <v xml:space="preserve">AND CBALCAO='0003' </v>
      </c>
      <c r="J313" s="1" t="str">
        <f t="shared" si="26"/>
        <v xml:space="preserve">AND CNUMECTA='20480371096' </v>
      </c>
      <c r="K313" s="1" t="str">
        <f t="shared" si="27"/>
        <v xml:space="preserve">AND ZDEPOSIT='000000000000000' </v>
      </c>
      <c r="L313" s="1" t="str">
        <f t="shared" si="28"/>
        <v>WHEN CEMPRESA='31' AND CBALCAO='0003' AND CNUMECTA='20480371096' AND ZDEPOSIT='000000000000000' THEN 1</v>
      </c>
      <c r="M313" s="1" t="str">
        <f t="shared" si="29"/>
        <v>WHEN CEMPRESA='31' AND CBALCAO='0003' AND CNUMECTA='20480371096' AND ZDEPOSIT='000000000000000' THEN 'A.3.7.'</v>
      </c>
    </row>
    <row r="314" spans="2:13" x14ac:dyDescent="0.25">
      <c r="B314" s="1" t="s">
        <v>54</v>
      </c>
      <c r="C314" s="1" t="s">
        <v>55</v>
      </c>
      <c r="D314" s="1" t="s">
        <v>313</v>
      </c>
      <c r="E314" s="1" t="s">
        <v>457</v>
      </c>
      <c r="F314" s="1">
        <v>1</v>
      </c>
      <c r="G314" s="1" t="s">
        <v>209</v>
      </c>
      <c r="H314" s="1" t="str">
        <f t="shared" si="24"/>
        <v xml:space="preserve">CEMPRESA='89' </v>
      </c>
      <c r="I314" s="1" t="str">
        <f t="shared" si="25"/>
        <v xml:space="preserve">AND CBALCAO='0000' </v>
      </c>
      <c r="J314" s="1" t="str">
        <f t="shared" si="26"/>
        <v xml:space="preserve">AND CNUMECTA='20240000326' </v>
      </c>
      <c r="K314" s="1" t="str">
        <f t="shared" si="27"/>
        <v xml:space="preserve">AND ZDEPOSIT='001520240435479' </v>
      </c>
      <c r="L314" s="1" t="str">
        <f t="shared" si="28"/>
        <v>WHEN CEMPRESA='89' AND CBALCAO='0000' AND CNUMECTA='20240000326' AND ZDEPOSIT='001520240435479' THEN 1</v>
      </c>
      <c r="M314" s="1" t="str">
        <f t="shared" si="29"/>
        <v>WHEN CEMPRESA='89' AND CBALCAO='0000' AND CNUMECTA='20240000326' AND ZDEPOSIT='001520240435479' THEN 'A.3.1.'</v>
      </c>
    </row>
    <row r="315" spans="2:13" x14ac:dyDescent="0.25">
      <c r="B315" s="1" t="s">
        <v>45</v>
      </c>
      <c r="C315" s="1" t="s">
        <v>46</v>
      </c>
      <c r="D315" s="1" t="s">
        <v>458</v>
      </c>
      <c r="E315" s="1" t="s">
        <v>48</v>
      </c>
      <c r="F315" s="1">
        <v>1</v>
      </c>
      <c r="G315" s="1" t="s">
        <v>60</v>
      </c>
      <c r="H315" s="1" t="str">
        <f t="shared" si="24"/>
        <v xml:space="preserve">CEMPRESA='31' </v>
      </c>
      <c r="I315" s="1" t="str">
        <f t="shared" si="25"/>
        <v xml:space="preserve">AND CBALCAO='0003' </v>
      </c>
      <c r="J315" s="1" t="str">
        <f t="shared" si="26"/>
        <v xml:space="preserve">AND CNUMECTA='20598743096' </v>
      </c>
      <c r="K315" s="1" t="str">
        <f t="shared" si="27"/>
        <v xml:space="preserve">AND ZDEPOSIT='000000000000000' </v>
      </c>
      <c r="L315" s="1" t="str">
        <f t="shared" si="28"/>
        <v>WHEN CEMPRESA='31' AND CBALCAO='0003' AND CNUMECTA='20598743096' AND ZDEPOSIT='000000000000000' THEN 1</v>
      </c>
      <c r="M315" s="1" t="str">
        <f t="shared" si="29"/>
        <v>WHEN CEMPRESA='31' AND CBALCAO='0003' AND CNUMECTA='20598743096' AND ZDEPOSIT='000000000000000' THEN 'A.3.7.'</v>
      </c>
    </row>
    <row r="316" spans="2:13" x14ac:dyDescent="0.25">
      <c r="B316" s="1" t="s">
        <v>45</v>
      </c>
      <c r="C316" s="1" t="s">
        <v>46</v>
      </c>
      <c r="D316" s="1" t="s">
        <v>459</v>
      </c>
      <c r="E316" s="1" t="s">
        <v>48</v>
      </c>
      <c r="F316" s="1">
        <v>1</v>
      </c>
      <c r="G316" s="1" t="s">
        <v>60</v>
      </c>
      <c r="H316" s="1" t="str">
        <f t="shared" si="24"/>
        <v xml:space="preserve">CEMPRESA='31' </v>
      </c>
      <c r="I316" s="1" t="str">
        <f t="shared" si="25"/>
        <v xml:space="preserve">AND CBALCAO='0003' </v>
      </c>
      <c r="J316" s="1" t="str">
        <f t="shared" si="26"/>
        <v xml:space="preserve">AND CNUMECTA='20645486096' </v>
      </c>
      <c r="K316" s="1" t="str">
        <f t="shared" si="27"/>
        <v xml:space="preserve">AND ZDEPOSIT='000000000000000' </v>
      </c>
      <c r="L316" s="1" t="str">
        <f t="shared" si="28"/>
        <v>WHEN CEMPRESA='31' AND CBALCAO='0003' AND CNUMECTA='20645486096' AND ZDEPOSIT='000000000000000' THEN 1</v>
      </c>
      <c r="M316" s="1" t="str">
        <f t="shared" si="29"/>
        <v>WHEN CEMPRESA='31' AND CBALCAO='0003' AND CNUMECTA='20645486096' AND ZDEPOSIT='000000000000000' THEN 'A.3.7.'</v>
      </c>
    </row>
    <row r="317" spans="2:13" x14ac:dyDescent="0.25">
      <c r="B317" s="1" t="s">
        <v>45</v>
      </c>
      <c r="C317" s="1" t="s">
        <v>46</v>
      </c>
      <c r="D317" s="1" t="s">
        <v>460</v>
      </c>
      <c r="E317" s="1" t="s">
        <v>48</v>
      </c>
      <c r="F317" s="1">
        <v>1</v>
      </c>
      <c r="G317" s="1" t="s">
        <v>60</v>
      </c>
      <c r="H317" s="1" t="str">
        <f t="shared" si="24"/>
        <v xml:space="preserve">CEMPRESA='31' </v>
      </c>
      <c r="I317" s="1" t="str">
        <f t="shared" si="25"/>
        <v xml:space="preserve">AND CBALCAO='0003' </v>
      </c>
      <c r="J317" s="1" t="str">
        <f t="shared" si="26"/>
        <v xml:space="preserve">AND CNUMECTA='20627161096' </v>
      </c>
      <c r="K317" s="1" t="str">
        <f t="shared" si="27"/>
        <v xml:space="preserve">AND ZDEPOSIT='000000000000000' </v>
      </c>
      <c r="L317" s="1" t="str">
        <f t="shared" si="28"/>
        <v>WHEN CEMPRESA='31' AND CBALCAO='0003' AND CNUMECTA='20627161096' AND ZDEPOSIT='000000000000000' THEN 1</v>
      </c>
      <c r="M317" s="1" t="str">
        <f t="shared" si="29"/>
        <v>WHEN CEMPRESA='31' AND CBALCAO='0003' AND CNUMECTA='20627161096' AND ZDEPOSIT='000000000000000' THEN 'A.3.7.'</v>
      </c>
    </row>
    <row r="318" spans="2:13" x14ac:dyDescent="0.25">
      <c r="B318" s="1" t="s">
        <v>45</v>
      </c>
      <c r="C318" s="1" t="s">
        <v>46</v>
      </c>
      <c r="D318" s="1" t="s">
        <v>461</v>
      </c>
      <c r="E318" s="1" t="s">
        <v>48</v>
      </c>
      <c r="F318" s="1">
        <v>1</v>
      </c>
      <c r="G318" s="1" t="s">
        <v>60</v>
      </c>
      <c r="H318" s="1" t="str">
        <f t="shared" si="24"/>
        <v xml:space="preserve">CEMPRESA='31' </v>
      </c>
      <c r="I318" s="1" t="str">
        <f t="shared" si="25"/>
        <v xml:space="preserve">AND CBALCAO='0003' </v>
      </c>
      <c r="J318" s="1" t="str">
        <f t="shared" si="26"/>
        <v xml:space="preserve">AND CNUMECTA='20567144096' </v>
      </c>
      <c r="K318" s="1" t="str">
        <f t="shared" si="27"/>
        <v xml:space="preserve">AND ZDEPOSIT='000000000000000' </v>
      </c>
      <c r="L318" s="1" t="str">
        <f t="shared" si="28"/>
        <v>WHEN CEMPRESA='31' AND CBALCAO='0003' AND CNUMECTA='20567144096' AND ZDEPOSIT='000000000000000' THEN 1</v>
      </c>
      <c r="M318" s="1" t="str">
        <f t="shared" si="29"/>
        <v>WHEN CEMPRESA='31' AND CBALCAO='0003' AND CNUMECTA='20567144096' AND ZDEPOSIT='000000000000000' THEN 'A.3.7.'</v>
      </c>
    </row>
    <row r="319" spans="2:13" x14ac:dyDescent="0.25">
      <c r="B319" s="1" t="s">
        <v>45</v>
      </c>
      <c r="C319" s="1" t="s">
        <v>46</v>
      </c>
      <c r="D319" s="1" t="s">
        <v>462</v>
      </c>
      <c r="E319" s="1" t="s">
        <v>48</v>
      </c>
      <c r="F319" s="1">
        <v>1</v>
      </c>
      <c r="G319" s="1" t="s">
        <v>60</v>
      </c>
      <c r="H319" s="1" t="str">
        <f t="shared" si="24"/>
        <v xml:space="preserve">CEMPRESA='31' </v>
      </c>
      <c r="I319" s="1" t="str">
        <f t="shared" si="25"/>
        <v xml:space="preserve">AND CBALCAO='0003' </v>
      </c>
      <c r="J319" s="1" t="str">
        <f t="shared" si="26"/>
        <v xml:space="preserve">AND CNUMECTA='20562673096' </v>
      </c>
      <c r="K319" s="1" t="str">
        <f t="shared" si="27"/>
        <v xml:space="preserve">AND ZDEPOSIT='000000000000000' </v>
      </c>
      <c r="L319" s="1" t="str">
        <f t="shared" si="28"/>
        <v>WHEN CEMPRESA='31' AND CBALCAO='0003' AND CNUMECTA='20562673096' AND ZDEPOSIT='000000000000000' THEN 1</v>
      </c>
      <c r="M319" s="1" t="str">
        <f t="shared" si="29"/>
        <v>WHEN CEMPRESA='31' AND CBALCAO='0003' AND CNUMECTA='20562673096' AND ZDEPOSIT='000000000000000' THEN 'A.3.7.'</v>
      </c>
    </row>
    <row r="320" spans="2:13" x14ac:dyDescent="0.25">
      <c r="B320" s="1" t="s">
        <v>45</v>
      </c>
      <c r="C320" s="1" t="s">
        <v>46</v>
      </c>
      <c r="D320" s="1" t="s">
        <v>463</v>
      </c>
      <c r="E320" s="1" t="s">
        <v>48</v>
      </c>
      <c r="F320" s="1">
        <v>1</v>
      </c>
      <c r="G320" s="1" t="s">
        <v>60</v>
      </c>
      <c r="H320" s="1" t="str">
        <f t="shared" si="24"/>
        <v xml:space="preserve">CEMPRESA='31' </v>
      </c>
      <c r="I320" s="1" t="str">
        <f t="shared" si="25"/>
        <v xml:space="preserve">AND CBALCAO='0003' </v>
      </c>
      <c r="J320" s="1" t="str">
        <f t="shared" si="26"/>
        <v xml:space="preserve">AND CNUMECTA='20721709096' </v>
      </c>
      <c r="K320" s="1" t="str">
        <f t="shared" si="27"/>
        <v xml:space="preserve">AND ZDEPOSIT='000000000000000' </v>
      </c>
      <c r="L320" s="1" t="str">
        <f t="shared" si="28"/>
        <v>WHEN CEMPRESA='31' AND CBALCAO='0003' AND CNUMECTA='20721709096' AND ZDEPOSIT='000000000000000' THEN 1</v>
      </c>
      <c r="M320" s="1" t="str">
        <f t="shared" si="29"/>
        <v>WHEN CEMPRESA='31' AND CBALCAO='0003' AND CNUMECTA='20721709096' AND ZDEPOSIT='000000000000000' THEN 'A.3.7.'</v>
      </c>
    </row>
    <row r="321" spans="2:13" x14ac:dyDescent="0.25">
      <c r="B321" s="1" t="s">
        <v>45</v>
      </c>
      <c r="C321" s="1" t="s">
        <v>46</v>
      </c>
      <c r="D321" s="1" t="s">
        <v>464</v>
      </c>
      <c r="E321" s="1" t="s">
        <v>48</v>
      </c>
      <c r="F321" s="1">
        <v>1</v>
      </c>
      <c r="G321" s="1" t="s">
        <v>60</v>
      </c>
      <c r="H321" s="1" t="str">
        <f t="shared" si="24"/>
        <v xml:space="preserve">CEMPRESA='31' </v>
      </c>
      <c r="I321" s="1" t="str">
        <f t="shared" si="25"/>
        <v xml:space="preserve">AND CBALCAO='0003' </v>
      </c>
      <c r="J321" s="1" t="str">
        <f t="shared" si="26"/>
        <v xml:space="preserve">AND CNUMECTA='20573746096' </v>
      </c>
      <c r="K321" s="1" t="str">
        <f t="shared" si="27"/>
        <v xml:space="preserve">AND ZDEPOSIT='000000000000000' </v>
      </c>
      <c r="L321" s="1" t="str">
        <f t="shared" si="28"/>
        <v>WHEN CEMPRESA='31' AND CBALCAO='0003' AND CNUMECTA='20573746096' AND ZDEPOSIT='000000000000000' THEN 1</v>
      </c>
      <c r="M321" s="1" t="str">
        <f t="shared" si="29"/>
        <v>WHEN CEMPRESA='31' AND CBALCAO='0003' AND CNUMECTA='20573746096' AND ZDEPOSIT='000000000000000' THEN 'A.3.7.'</v>
      </c>
    </row>
    <row r="322" spans="2:13" x14ac:dyDescent="0.25">
      <c r="B322" s="1" t="s">
        <v>54</v>
      </c>
      <c r="C322" s="1" t="s">
        <v>55</v>
      </c>
      <c r="D322" s="1" t="s">
        <v>465</v>
      </c>
      <c r="E322" s="1" t="s">
        <v>466</v>
      </c>
      <c r="F322" s="1">
        <v>1</v>
      </c>
      <c r="G322" s="1" t="s">
        <v>58</v>
      </c>
      <c r="H322" s="1" t="str">
        <f t="shared" si="24"/>
        <v xml:space="preserve">CEMPRESA='89' </v>
      </c>
      <c r="I322" s="1" t="str">
        <f t="shared" si="25"/>
        <v xml:space="preserve">AND CBALCAO='0000' </v>
      </c>
      <c r="J322" s="1" t="str">
        <f t="shared" si="26"/>
        <v xml:space="preserve">AND CNUMECTA='00008046471' </v>
      </c>
      <c r="K322" s="1" t="str">
        <f t="shared" si="27"/>
        <v xml:space="preserve">AND ZDEPOSIT='000530000777797' </v>
      </c>
      <c r="L322" s="1" t="str">
        <f t="shared" si="28"/>
        <v>WHEN CEMPRESA='89' AND CBALCAO='0000' AND CNUMECTA='00008046471' AND ZDEPOSIT='000530000777797' THEN 1</v>
      </c>
      <c r="M322" s="1" t="str">
        <f t="shared" si="29"/>
        <v>WHEN CEMPRESA='89' AND CBALCAO='0000' AND CNUMECTA='00008046471' AND ZDEPOSIT='000530000777797' THEN 'A.2.5.'</v>
      </c>
    </row>
    <row r="323" spans="2:13" x14ac:dyDescent="0.25">
      <c r="B323" s="1" t="s">
        <v>54</v>
      </c>
      <c r="C323" s="1" t="s">
        <v>55</v>
      </c>
      <c r="D323" s="1" t="s">
        <v>467</v>
      </c>
      <c r="E323" s="1" t="s">
        <v>468</v>
      </c>
      <c r="F323" s="1">
        <v>1</v>
      </c>
      <c r="G323" s="1" t="s">
        <v>58</v>
      </c>
      <c r="H323" s="1" t="str">
        <f t="shared" si="24"/>
        <v xml:space="preserve">CEMPRESA='89' </v>
      </c>
      <c r="I323" s="1" t="str">
        <f t="shared" si="25"/>
        <v xml:space="preserve">AND CBALCAO='0000' </v>
      </c>
      <c r="J323" s="1" t="str">
        <f t="shared" si="26"/>
        <v xml:space="preserve">AND CNUMECTA='00008046386' </v>
      </c>
      <c r="K323" s="1" t="str">
        <f t="shared" si="27"/>
        <v xml:space="preserve">AND ZDEPOSIT='000530000777415' </v>
      </c>
      <c r="L323" s="1" t="str">
        <f t="shared" si="28"/>
        <v>WHEN CEMPRESA='89' AND CBALCAO='0000' AND CNUMECTA='00008046386' AND ZDEPOSIT='000530000777415' THEN 1</v>
      </c>
      <c r="M323" s="1" t="str">
        <f t="shared" si="29"/>
        <v>WHEN CEMPRESA='89' AND CBALCAO='0000' AND CNUMECTA='00008046386' AND ZDEPOSIT='000530000777415' THEN 'A.2.5.'</v>
      </c>
    </row>
    <row r="324" spans="2:13" x14ac:dyDescent="0.25">
      <c r="B324" s="1" t="s">
        <v>45</v>
      </c>
      <c r="C324" s="1" t="s">
        <v>46</v>
      </c>
      <c r="D324" s="1" t="s">
        <v>469</v>
      </c>
      <c r="E324" s="1" t="s">
        <v>48</v>
      </c>
      <c r="F324" s="1">
        <v>1</v>
      </c>
      <c r="G324" s="1" t="s">
        <v>60</v>
      </c>
      <c r="H324" s="1" t="str">
        <f t="shared" ref="H324:H387" si="30">+IF(LEN(TRIM(B324))&gt;0,UPPER($B$2)&amp;"='"&amp;TRIM(B324)&amp;"' ","")</f>
        <v xml:space="preserve">CEMPRESA='31' </v>
      </c>
      <c r="I324" s="1" t="str">
        <f t="shared" ref="I324:I387" si="31">+IF(LEN(TRIM(C324))&gt;0,UPPER($C$2)&amp;"='"&amp;TRIM(C324)&amp;"' ","")</f>
        <v xml:space="preserve">AND CBALCAO='0003' </v>
      </c>
      <c r="J324" s="1" t="str">
        <f t="shared" ref="J324:J387" si="32">+IF(LEN(TRIM(D324))&gt;0,UPPER($D$2)&amp;"='"&amp;TRIM(D324)&amp;"' ","")</f>
        <v xml:space="preserve">AND CNUMECTA='20520259096' </v>
      </c>
      <c r="K324" s="1" t="str">
        <f t="shared" ref="K324:K387" si="33">+IF(LEN(TRIM(E324))&gt;0,UPPER($E$2)&amp;"='"&amp;TRIM(E324)&amp;"' ","")</f>
        <v xml:space="preserve">AND ZDEPOSIT='000000000000000' </v>
      </c>
      <c r="L324" s="1" t="str">
        <f t="shared" ref="L324:L387" si="34">+"WHEN "&amp;H324&amp;I324&amp;J324&amp;K324&amp;"THEN "&amp;F324</f>
        <v>WHEN CEMPRESA='31' AND CBALCAO='0003' AND CNUMECTA='20520259096' AND ZDEPOSIT='000000000000000' THEN 1</v>
      </c>
      <c r="M324" s="1" t="str">
        <f t="shared" ref="M324:M387" si="35">+"WHEN "&amp;H324&amp;I324&amp;J324&amp;K324&amp;"THEN "&amp;G324</f>
        <v>WHEN CEMPRESA='31' AND CBALCAO='0003' AND CNUMECTA='20520259096' AND ZDEPOSIT='000000000000000' THEN 'A.3.7.'</v>
      </c>
    </row>
    <row r="325" spans="2:13" x14ac:dyDescent="0.25">
      <c r="B325" s="1" t="s">
        <v>45</v>
      </c>
      <c r="C325" s="1" t="s">
        <v>46</v>
      </c>
      <c r="D325" s="1" t="s">
        <v>470</v>
      </c>
      <c r="E325" s="1" t="s">
        <v>48</v>
      </c>
      <c r="F325" s="1">
        <v>1</v>
      </c>
      <c r="G325" s="1" t="s">
        <v>60</v>
      </c>
      <c r="H325" s="1" t="str">
        <f t="shared" si="30"/>
        <v xml:space="preserve">CEMPRESA='31' </v>
      </c>
      <c r="I325" s="1" t="str">
        <f t="shared" si="31"/>
        <v xml:space="preserve">AND CBALCAO='0003' </v>
      </c>
      <c r="J325" s="1" t="str">
        <f t="shared" si="32"/>
        <v xml:space="preserve">AND CNUMECTA='20622287096' </v>
      </c>
      <c r="K325" s="1" t="str">
        <f t="shared" si="33"/>
        <v xml:space="preserve">AND ZDEPOSIT='000000000000000' </v>
      </c>
      <c r="L325" s="1" t="str">
        <f t="shared" si="34"/>
        <v>WHEN CEMPRESA='31' AND CBALCAO='0003' AND CNUMECTA='20622287096' AND ZDEPOSIT='000000000000000' THEN 1</v>
      </c>
      <c r="M325" s="1" t="str">
        <f t="shared" si="35"/>
        <v>WHEN CEMPRESA='31' AND CBALCAO='0003' AND CNUMECTA='20622287096' AND ZDEPOSIT='000000000000000' THEN 'A.3.7.'</v>
      </c>
    </row>
    <row r="326" spans="2:13" x14ac:dyDescent="0.25">
      <c r="B326" s="1" t="s">
        <v>45</v>
      </c>
      <c r="C326" s="1" t="s">
        <v>46</v>
      </c>
      <c r="D326" s="1" t="s">
        <v>471</v>
      </c>
      <c r="E326" s="1" t="s">
        <v>48</v>
      </c>
      <c r="F326" s="1">
        <v>1</v>
      </c>
      <c r="G326" s="1" t="s">
        <v>60</v>
      </c>
      <c r="H326" s="1" t="str">
        <f t="shared" si="30"/>
        <v xml:space="preserve">CEMPRESA='31' </v>
      </c>
      <c r="I326" s="1" t="str">
        <f t="shared" si="31"/>
        <v xml:space="preserve">AND CBALCAO='0003' </v>
      </c>
      <c r="J326" s="1" t="str">
        <f t="shared" si="32"/>
        <v xml:space="preserve">AND CNUMECTA='20498506096' </v>
      </c>
      <c r="K326" s="1" t="str">
        <f t="shared" si="33"/>
        <v xml:space="preserve">AND ZDEPOSIT='000000000000000' </v>
      </c>
      <c r="L326" s="1" t="str">
        <f t="shared" si="34"/>
        <v>WHEN CEMPRESA='31' AND CBALCAO='0003' AND CNUMECTA='20498506096' AND ZDEPOSIT='000000000000000' THEN 1</v>
      </c>
      <c r="M326" s="1" t="str">
        <f t="shared" si="35"/>
        <v>WHEN CEMPRESA='31' AND CBALCAO='0003' AND CNUMECTA='20498506096' AND ZDEPOSIT='000000000000000' THEN 'A.3.7.'</v>
      </c>
    </row>
    <row r="327" spans="2:13" x14ac:dyDescent="0.25">
      <c r="B327" s="1" t="s">
        <v>45</v>
      </c>
      <c r="C327" s="1" t="s">
        <v>114</v>
      </c>
      <c r="D327" s="1" t="s">
        <v>115</v>
      </c>
      <c r="E327" s="1" t="s">
        <v>472</v>
      </c>
      <c r="F327" s="1">
        <v>1</v>
      </c>
      <c r="G327" s="1" t="s">
        <v>117</v>
      </c>
      <c r="H327" s="1" t="str">
        <f t="shared" si="30"/>
        <v xml:space="preserve">CEMPRESA='31' </v>
      </c>
      <c r="I327" s="1" t="str">
        <f t="shared" si="31"/>
        <v xml:space="preserve">AND CBALCAO='6416' </v>
      </c>
      <c r="J327" s="1" t="str">
        <f t="shared" si="32"/>
        <v xml:space="preserve">AND CNUMECTA='00000001085' </v>
      </c>
      <c r="K327" s="1" t="str">
        <f t="shared" si="33"/>
        <v xml:space="preserve">AND ZDEPOSIT='PC0651269000000' </v>
      </c>
      <c r="L327" s="1" t="str">
        <f t="shared" si="34"/>
        <v>WHEN CEMPRESA='31' AND CBALCAO='6416' AND CNUMECTA='00000001085' AND ZDEPOSIT='PC0651269000000' THEN 1</v>
      </c>
      <c r="M327" s="1" t="str">
        <f t="shared" si="35"/>
        <v>WHEN CEMPRESA='31' AND CBALCAO='6416' AND CNUMECTA='00000001085' AND ZDEPOSIT='PC0651269000000' THEN 'Sustainability Linked Finance - Default'</v>
      </c>
    </row>
    <row r="328" spans="2:13" x14ac:dyDescent="0.25">
      <c r="B328" s="1" t="s">
        <v>45</v>
      </c>
      <c r="C328" s="1" t="s">
        <v>46</v>
      </c>
      <c r="D328" s="1" t="s">
        <v>473</v>
      </c>
      <c r="E328" s="1" t="s">
        <v>48</v>
      </c>
      <c r="F328" s="1">
        <v>1</v>
      </c>
      <c r="G328" s="1" t="s">
        <v>60</v>
      </c>
      <c r="H328" s="1" t="str">
        <f t="shared" si="30"/>
        <v xml:space="preserve">CEMPRESA='31' </v>
      </c>
      <c r="I328" s="1" t="str">
        <f t="shared" si="31"/>
        <v xml:space="preserve">AND CBALCAO='0003' </v>
      </c>
      <c r="J328" s="1" t="str">
        <f t="shared" si="32"/>
        <v xml:space="preserve">AND CNUMECTA='20654009096' </v>
      </c>
      <c r="K328" s="1" t="str">
        <f t="shared" si="33"/>
        <v xml:space="preserve">AND ZDEPOSIT='000000000000000' </v>
      </c>
      <c r="L328" s="1" t="str">
        <f t="shared" si="34"/>
        <v>WHEN CEMPRESA='31' AND CBALCAO='0003' AND CNUMECTA='20654009096' AND ZDEPOSIT='000000000000000' THEN 1</v>
      </c>
      <c r="M328" s="1" t="str">
        <f t="shared" si="35"/>
        <v>WHEN CEMPRESA='31' AND CBALCAO='0003' AND CNUMECTA='20654009096' AND ZDEPOSIT='000000000000000' THEN 'A.3.7.'</v>
      </c>
    </row>
    <row r="329" spans="2:13" x14ac:dyDescent="0.25">
      <c r="B329" s="1" t="s">
        <v>45</v>
      </c>
      <c r="C329" s="1" t="s">
        <v>46</v>
      </c>
      <c r="D329" s="1" t="s">
        <v>474</v>
      </c>
      <c r="E329" s="1" t="s">
        <v>48</v>
      </c>
      <c r="F329" s="1">
        <v>1</v>
      </c>
      <c r="G329" s="1" t="s">
        <v>60</v>
      </c>
      <c r="H329" s="1" t="str">
        <f t="shared" si="30"/>
        <v xml:space="preserve">CEMPRESA='31' </v>
      </c>
      <c r="I329" s="1" t="str">
        <f t="shared" si="31"/>
        <v xml:space="preserve">AND CBALCAO='0003' </v>
      </c>
      <c r="J329" s="1" t="str">
        <f t="shared" si="32"/>
        <v xml:space="preserve">AND CNUMECTA='20692538096' </v>
      </c>
      <c r="K329" s="1" t="str">
        <f t="shared" si="33"/>
        <v xml:space="preserve">AND ZDEPOSIT='000000000000000' </v>
      </c>
      <c r="L329" s="1" t="str">
        <f t="shared" si="34"/>
        <v>WHEN CEMPRESA='31' AND CBALCAO='0003' AND CNUMECTA='20692538096' AND ZDEPOSIT='000000000000000' THEN 1</v>
      </c>
      <c r="M329" s="1" t="str">
        <f t="shared" si="35"/>
        <v>WHEN CEMPRESA='31' AND CBALCAO='0003' AND CNUMECTA='20692538096' AND ZDEPOSIT='000000000000000' THEN 'A.3.7.'</v>
      </c>
    </row>
    <row r="330" spans="2:13" x14ac:dyDescent="0.25">
      <c r="B330" s="1" t="s">
        <v>54</v>
      </c>
      <c r="C330" s="1" t="s">
        <v>55</v>
      </c>
      <c r="D330" s="1" t="s">
        <v>475</v>
      </c>
      <c r="E330" s="1" t="s">
        <v>476</v>
      </c>
      <c r="F330" s="1">
        <v>1</v>
      </c>
      <c r="G330" s="1" t="s">
        <v>58</v>
      </c>
      <c r="H330" s="1" t="str">
        <f t="shared" si="30"/>
        <v xml:space="preserve">CEMPRESA='89' </v>
      </c>
      <c r="I330" s="1" t="str">
        <f t="shared" si="31"/>
        <v xml:space="preserve">AND CBALCAO='0000' </v>
      </c>
      <c r="J330" s="1" t="str">
        <f t="shared" si="32"/>
        <v xml:space="preserve">AND CNUMECTA='00008046635' </v>
      </c>
      <c r="K330" s="1" t="str">
        <f t="shared" si="33"/>
        <v xml:space="preserve">AND ZDEPOSIT='000530000738417' </v>
      </c>
      <c r="L330" s="1" t="str">
        <f t="shared" si="34"/>
        <v>WHEN CEMPRESA='89' AND CBALCAO='0000' AND CNUMECTA='00008046635' AND ZDEPOSIT='000530000738417' THEN 1</v>
      </c>
      <c r="M330" s="1" t="str">
        <f t="shared" si="35"/>
        <v>WHEN CEMPRESA='89' AND CBALCAO='0000' AND CNUMECTA='00008046635' AND ZDEPOSIT='000530000738417' THEN 'A.2.5.'</v>
      </c>
    </row>
    <row r="331" spans="2:13" x14ac:dyDescent="0.25">
      <c r="B331" s="1" t="s">
        <v>54</v>
      </c>
      <c r="C331" s="1" t="s">
        <v>55</v>
      </c>
      <c r="D331" s="1" t="s">
        <v>477</v>
      </c>
      <c r="E331" s="1" t="s">
        <v>122</v>
      </c>
      <c r="F331" s="1">
        <v>1</v>
      </c>
      <c r="G331" s="1" t="s">
        <v>58</v>
      </c>
      <c r="H331" s="1" t="str">
        <f t="shared" si="30"/>
        <v xml:space="preserve">CEMPRESA='89' </v>
      </c>
      <c r="I331" s="1" t="str">
        <f t="shared" si="31"/>
        <v xml:space="preserve">AND CBALCAO='0000' </v>
      </c>
      <c r="J331" s="1" t="str">
        <f t="shared" si="32"/>
        <v xml:space="preserve">AND CNUMECTA='00000250452' </v>
      </c>
      <c r="K331" s="1" t="str">
        <f t="shared" si="33"/>
        <v xml:space="preserve">AND ZDEPOSIT='000450000507008' </v>
      </c>
      <c r="L331" s="1" t="str">
        <f t="shared" si="34"/>
        <v>WHEN CEMPRESA='89' AND CBALCAO='0000' AND CNUMECTA='00000250452' AND ZDEPOSIT='000450000507008' THEN 1</v>
      </c>
      <c r="M331" s="1" t="str">
        <f t="shared" si="35"/>
        <v>WHEN CEMPRESA='89' AND CBALCAO='0000' AND CNUMECTA='00000250452' AND ZDEPOSIT='000450000507008' THEN 'A.2.5.'</v>
      </c>
    </row>
    <row r="332" spans="2:13" x14ac:dyDescent="0.25">
      <c r="B332" s="1" t="s">
        <v>45</v>
      </c>
      <c r="C332" s="1" t="s">
        <v>46</v>
      </c>
      <c r="D332" s="1" t="s">
        <v>478</v>
      </c>
      <c r="E332" s="1" t="s">
        <v>48</v>
      </c>
      <c r="F332" s="1">
        <v>1</v>
      </c>
      <c r="G332" s="1" t="s">
        <v>60</v>
      </c>
      <c r="H332" s="1" t="str">
        <f t="shared" si="30"/>
        <v xml:space="preserve">CEMPRESA='31' </v>
      </c>
      <c r="I332" s="1" t="str">
        <f t="shared" si="31"/>
        <v xml:space="preserve">AND CBALCAO='0003' </v>
      </c>
      <c r="J332" s="1" t="str">
        <f t="shared" si="32"/>
        <v xml:space="preserve">AND CNUMECTA='20654058096' </v>
      </c>
      <c r="K332" s="1" t="str">
        <f t="shared" si="33"/>
        <v xml:space="preserve">AND ZDEPOSIT='000000000000000' </v>
      </c>
      <c r="L332" s="1" t="str">
        <f t="shared" si="34"/>
        <v>WHEN CEMPRESA='31' AND CBALCAO='0003' AND CNUMECTA='20654058096' AND ZDEPOSIT='000000000000000' THEN 1</v>
      </c>
      <c r="M332" s="1" t="str">
        <f t="shared" si="35"/>
        <v>WHEN CEMPRESA='31' AND CBALCAO='0003' AND CNUMECTA='20654058096' AND ZDEPOSIT='000000000000000' THEN 'A.3.7.'</v>
      </c>
    </row>
    <row r="333" spans="2:13" x14ac:dyDescent="0.25">
      <c r="B333" s="1" t="s">
        <v>54</v>
      </c>
      <c r="C333" s="1" t="s">
        <v>55</v>
      </c>
      <c r="D333" s="1" t="s">
        <v>479</v>
      </c>
      <c r="E333" s="1" t="s">
        <v>480</v>
      </c>
      <c r="F333" s="1">
        <v>1</v>
      </c>
      <c r="G333" s="1" t="s">
        <v>58</v>
      </c>
      <c r="H333" s="1" t="str">
        <f t="shared" si="30"/>
        <v xml:space="preserve">CEMPRESA='89' </v>
      </c>
      <c r="I333" s="1" t="str">
        <f t="shared" si="31"/>
        <v xml:space="preserve">AND CBALCAO='0000' </v>
      </c>
      <c r="J333" s="1" t="str">
        <f t="shared" si="32"/>
        <v xml:space="preserve">AND CNUMECTA='00000250557' </v>
      </c>
      <c r="K333" s="1" t="str">
        <f t="shared" si="33"/>
        <v xml:space="preserve">AND ZDEPOSIT='000450000778577' </v>
      </c>
      <c r="L333" s="1" t="str">
        <f t="shared" si="34"/>
        <v>WHEN CEMPRESA='89' AND CBALCAO='0000' AND CNUMECTA='00000250557' AND ZDEPOSIT='000450000778577' THEN 1</v>
      </c>
      <c r="M333" s="1" t="str">
        <f t="shared" si="35"/>
        <v>WHEN CEMPRESA='89' AND CBALCAO='0000' AND CNUMECTA='00000250557' AND ZDEPOSIT='000450000778577' THEN 'A.2.5.'</v>
      </c>
    </row>
    <row r="334" spans="2:13" x14ac:dyDescent="0.25">
      <c r="B334" s="1" t="s">
        <v>54</v>
      </c>
      <c r="C334" s="1" t="s">
        <v>55</v>
      </c>
      <c r="D334" s="1" t="s">
        <v>481</v>
      </c>
      <c r="E334" s="1" t="s">
        <v>482</v>
      </c>
      <c r="F334" s="1">
        <v>1</v>
      </c>
      <c r="G334" s="1" t="s">
        <v>58</v>
      </c>
      <c r="H334" s="1" t="str">
        <f t="shared" si="30"/>
        <v xml:space="preserve">CEMPRESA='89' </v>
      </c>
      <c r="I334" s="1" t="str">
        <f t="shared" si="31"/>
        <v xml:space="preserve">AND CBALCAO='0000' </v>
      </c>
      <c r="J334" s="1" t="str">
        <f t="shared" si="32"/>
        <v xml:space="preserve">AND CNUMECTA='00008046629' </v>
      </c>
      <c r="K334" s="1" t="str">
        <f t="shared" si="33"/>
        <v xml:space="preserve">AND ZDEPOSIT='000530000778611' </v>
      </c>
      <c r="L334" s="1" t="str">
        <f t="shared" si="34"/>
        <v>WHEN CEMPRESA='89' AND CBALCAO='0000' AND CNUMECTA='00008046629' AND ZDEPOSIT='000530000778611' THEN 1</v>
      </c>
      <c r="M334" s="1" t="str">
        <f t="shared" si="35"/>
        <v>WHEN CEMPRESA='89' AND CBALCAO='0000' AND CNUMECTA='00008046629' AND ZDEPOSIT='000530000778611' THEN 'A.2.5.'</v>
      </c>
    </row>
    <row r="335" spans="2:13" x14ac:dyDescent="0.25">
      <c r="B335" s="1" t="s">
        <v>54</v>
      </c>
      <c r="C335" s="1" t="s">
        <v>55</v>
      </c>
      <c r="D335" s="1" t="s">
        <v>483</v>
      </c>
      <c r="E335" s="1" t="s">
        <v>484</v>
      </c>
      <c r="F335" s="1">
        <v>1</v>
      </c>
      <c r="G335" s="1" t="s">
        <v>58</v>
      </c>
      <c r="H335" s="1" t="str">
        <f t="shared" si="30"/>
        <v xml:space="preserve">CEMPRESA='89' </v>
      </c>
      <c r="I335" s="1" t="str">
        <f t="shared" si="31"/>
        <v xml:space="preserve">AND CBALCAO='0000' </v>
      </c>
      <c r="J335" s="1" t="str">
        <f t="shared" si="32"/>
        <v xml:space="preserve">AND CNUMECTA='00005118099' </v>
      </c>
      <c r="K335" s="1" t="str">
        <f t="shared" si="33"/>
        <v xml:space="preserve">AND ZDEPOSIT='000510000779117' </v>
      </c>
      <c r="L335" s="1" t="str">
        <f t="shared" si="34"/>
        <v>WHEN CEMPRESA='89' AND CBALCAO='0000' AND CNUMECTA='00005118099' AND ZDEPOSIT='000510000779117' THEN 1</v>
      </c>
      <c r="M335" s="1" t="str">
        <f t="shared" si="35"/>
        <v>WHEN CEMPRESA='89' AND CBALCAO='0000' AND CNUMECTA='00005118099' AND ZDEPOSIT='000510000779117' THEN 'A.2.5.'</v>
      </c>
    </row>
    <row r="336" spans="2:13" x14ac:dyDescent="0.25">
      <c r="B336" s="1" t="s">
        <v>45</v>
      </c>
      <c r="C336" s="1" t="s">
        <v>46</v>
      </c>
      <c r="D336" s="1" t="s">
        <v>485</v>
      </c>
      <c r="E336" s="1" t="s">
        <v>48</v>
      </c>
      <c r="F336" s="1">
        <v>1</v>
      </c>
      <c r="G336" s="1" t="s">
        <v>60</v>
      </c>
      <c r="H336" s="1" t="str">
        <f t="shared" si="30"/>
        <v xml:space="preserve">CEMPRESA='31' </v>
      </c>
      <c r="I336" s="1" t="str">
        <f t="shared" si="31"/>
        <v xml:space="preserve">AND CBALCAO='0003' </v>
      </c>
      <c r="J336" s="1" t="str">
        <f t="shared" si="32"/>
        <v xml:space="preserve">AND CNUMECTA='20523592096' </v>
      </c>
      <c r="K336" s="1" t="str">
        <f t="shared" si="33"/>
        <v xml:space="preserve">AND ZDEPOSIT='000000000000000' </v>
      </c>
      <c r="L336" s="1" t="str">
        <f t="shared" si="34"/>
        <v>WHEN CEMPRESA='31' AND CBALCAO='0003' AND CNUMECTA='20523592096' AND ZDEPOSIT='000000000000000' THEN 1</v>
      </c>
      <c r="M336" s="1" t="str">
        <f t="shared" si="35"/>
        <v>WHEN CEMPRESA='31' AND CBALCAO='0003' AND CNUMECTA='20523592096' AND ZDEPOSIT='000000000000000' THEN 'A.3.7.'</v>
      </c>
    </row>
    <row r="337" spans="2:13" x14ac:dyDescent="0.25">
      <c r="B337" s="1" t="s">
        <v>45</v>
      </c>
      <c r="C337" s="1" t="s">
        <v>46</v>
      </c>
      <c r="D337" s="1" t="s">
        <v>486</v>
      </c>
      <c r="E337" s="1" t="s">
        <v>48</v>
      </c>
      <c r="F337" s="1">
        <v>1</v>
      </c>
      <c r="G337" s="1" t="s">
        <v>60</v>
      </c>
      <c r="H337" s="1" t="str">
        <f t="shared" si="30"/>
        <v xml:space="preserve">CEMPRESA='31' </v>
      </c>
      <c r="I337" s="1" t="str">
        <f t="shared" si="31"/>
        <v xml:space="preserve">AND CBALCAO='0003' </v>
      </c>
      <c r="J337" s="1" t="str">
        <f t="shared" si="32"/>
        <v xml:space="preserve">AND CNUMECTA='20671268096' </v>
      </c>
      <c r="K337" s="1" t="str">
        <f t="shared" si="33"/>
        <v xml:space="preserve">AND ZDEPOSIT='000000000000000' </v>
      </c>
      <c r="L337" s="1" t="str">
        <f t="shared" si="34"/>
        <v>WHEN CEMPRESA='31' AND CBALCAO='0003' AND CNUMECTA='20671268096' AND ZDEPOSIT='000000000000000' THEN 1</v>
      </c>
      <c r="M337" s="1" t="str">
        <f t="shared" si="35"/>
        <v>WHEN CEMPRESA='31' AND CBALCAO='0003' AND CNUMECTA='20671268096' AND ZDEPOSIT='000000000000000' THEN 'A.3.7.'</v>
      </c>
    </row>
    <row r="338" spans="2:13" x14ac:dyDescent="0.25">
      <c r="B338" s="1" t="s">
        <v>45</v>
      </c>
      <c r="C338" s="1" t="s">
        <v>46</v>
      </c>
      <c r="D338" s="1" t="s">
        <v>487</v>
      </c>
      <c r="E338" s="1" t="s">
        <v>48</v>
      </c>
      <c r="F338" s="1">
        <v>1</v>
      </c>
      <c r="G338" s="1" t="s">
        <v>60</v>
      </c>
      <c r="H338" s="1" t="str">
        <f t="shared" si="30"/>
        <v xml:space="preserve">CEMPRESA='31' </v>
      </c>
      <c r="I338" s="1" t="str">
        <f t="shared" si="31"/>
        <v xml:space="preserve">AND CBALCAO='0003' </v>
      </c>
      <c r="J338" s="1" t="str">
        <f t="shared" si="32"/>
        <v xml:space="preserve">AND CNUMECTA='20613476096' </v>
      </c>
      <c r="K338" s="1" t="str">
        <f t="shared" si="33"/>
        <v xml:space="preserve">AND ZDEPOSIT='000000000000000' </v>
      </c>
      <c r="L338" s="1" t="str">
        <f t="shared" si="34"/>
        <v>WHEN CEMPRESA='31' AND CBALCAO='0003' AND CNUMECTA='20613476096' AND ZDEPOSIT='000000000000000' THEN 1</v>
      </c>
      <c r="M338" s="1" t="str">
        <f t="shared" si="35"/>
        <v>WHEN CEMPRESA='31' AND CBALCAO='0003' AND CNUMECTA='20613476096' AND ZDEPOSIT='000000000000000' THEN 'A.3.7.'</v>
      </c>
    </row>
    <row r="339" spans="2:13" x14ac:dyDescent="0.25">
      <c r="B339" s="1" t="s">
        <v>45</v>
      </c>
      <c r="C339" s="1" t="s">
        <v>46</v>
      </c>
      <c r="D339" s="1" t="s">
        <v>488</v>
      </c>
      <c r="E339" s="1" t="s">
        <v>48</v>
      </c>
      <c r="F339" s="1">
        <v>1</v>
      </c>
      <c r="G339" s="1" t="s">
        <v>60</v>
      </c>
      <c r="H339" s="1" t="str">
        <f t="shared" si="30"/>
        <v xml:space="preserve">CEMPRESA='31' </v>
      </c>
      <c r="I339" s="1" t="str">
        <f t="shared" si="31"/>
        <v xml:space="preserve">AND CBALCAO='0003' </v>
      </c>
      <c r="J339" s="1" t="str">
        <f t="shared" si="32"/>
        <v xml:space="preserve">AND CNUMECTA='20408976096' </v>
      </c>
      <c r="K339" s="1" t="str">
        <f t="shared" si="33"/>
        <v xml:space="preserve">AND ZDEPOSIT='000000000000000' </v>
      </c>
      <c r="L339" s="1" t="str">
        <f t="shared" si="34"/>
        <v>WHEN CEMPRESA='31' AND CBALCAO='0003' AND CNUMECTA='20408976096' AND ZDEPOSIT='000000000000000' THEN 1</v>
      </c>
      <c r="M339" s="1" t="str">
        <f t="shared" si="35"/>
        <v>WHEN CEMPRESA='31' AND CBALCAO='0003' AND CNUMECTA='20408976096' AND ZDEPOSIT='000000000000000' THEN 'A.3.7.'</v>
      </c>
    </row>
    <row r="340" spans="2:13" x14ac:dyDescent="0.25">
      <c r="B340" s="1" t="s">
        <v>54</v>
      </c>
      <c r="C340" s="1" t="s">
        <v>55</v>
      </c>
      <c r="D340" s="1" t="s">
        <v>489</v>
      </c>
      <c r="E340" s="1" t="s">
        <v>490</v>
      </c>
      <c r="F340" s="1">
        <v>1</v>
      </c>
      <c r="G340" s="1" t="s">
        <v>58</v>
      </c>
      <c r="H340" s="1" t="str">
        <f t="shared" si="30"/>
        <v xml:space="preserve">CEMPRESA='89' </v>
      </c>
      <c r="I340" s="1" t="str">
        <f t="shared" si="31"/>
        <v xml:space="preserve">AND CBALCAO='0000' </v>
      </c>
      <c r="J340" s="1" t="str">
        <f t="shared" si="32"/>
        <v xml:space="preserve">AND CNUMECTA='00000250134' </v>
      </c>
      <c r="K340" s="1" t="str">
        <f t="shared" si="33"/>
        <v xml:space="preserve">AND ZDEPOSIT='000450000777515' </v>
      </c>
      <c r="L340" s="1" t="str">
        <f t="shared" si="34"/>
        <v>WHEN CEMPRESA='89' AND CBALCAO='0000' AND CNUMECTA='00000250134' AND ZDEPOSIT='000450000777515' THEN 1</v>
      </c>
      <c r="M340" s="1" t="str">
        <f t="shared" si="35"/>
        <v>WHEN CEMPRESA='89' AND CBALCAO='0000' AND CNUMECTA='00000250134' AND ZDEPOSIT='000450000777515' THEN 'A.2.5.'</v>
      </c>
    </row>
    <row r="341" spans="2:13" x14ac:dyDescent="0.25">
      <c r="B341" s="1" t="s">
        <v>54</v>
      </c>
      <c r="C341" s="1" t="s">
        <v>55</v>
      </c>
      <c r="D341" s="1" t="s">
        <v>491</v>
      </c>
      <c r="E341" s="1" t="s">
        <v>492</v>
      </c>
      <c r="F341" s="1">
        <v>1</v>
      </c>
      <c r="G341" s="1" t="s">
        <v>58</v>
      </c>
      <c r="H341" s="1" t="str">
        <f t="shared" si="30"/>
        <v xml:space="preserve">CEMPRESA='89' </v>
      </c>
      <c r="I341" s="1" t="str">
        <f t="shared" si="31"/>
        <v xml:space="preserve">AND CBALCAO='0000' </v>
      </c>
      <c r="J341" s="1" t="str">
        <f t="shared" si="32"/>
        <v xml:space="preserve">AND CNUMECTA='00000250102' </v>
      </c>
      <c r="K341" s="1" t="str">
        <f t="shared" si="33"/>
        <v xml:space="preserve">AND ZDEPOSIT='000450000527837' </v>
      </c>
      <c r="L341" s="1" t="str">
        <f t="shared" si="34"/>
        <v>WHEN CEMPRESA='89' AND CBALCAO='0000' AND CNUMECTA='00000250102' AND ZDEPOSIT='000450000527837' THEN 1</v>
      </c>
      <c r="M341" s="1" t="str">
        <f t="shared" si="35"/>
        <v>WHEN CEMPRESA='89' AND CBALCAO='0000' AND CNUMECTA='00000250102' AND ZDEPOSIT='000450000527837' THEN 'A.2.5.'</v>
      </c>
    </row>
    <row r="342" spans="2:13" x14ac:dyDescent="0.25">
      <c r="B342" s="1" t="s">
        <v>45</v>
      </c>
      <c r="C342" s="1" t="s">
        <v>46</v>
      </c>
      <c r="D342" s="1" t="s">
        <v>493</v>
      </c>
      <c r="E342" s="1" t="s">
        <v>48</v>
      </c>
      <c r="F342" s="1">
        <v>1</v>
      </c>
      <c r="G342" s="1" t="s">
        <v>60</v>
      </c>
      <c r="H342" s="1" t="str">
        <f t="shared" si="30"/>
        <v xml:space="preserve">CEMPRESA='31' </v>
      </c>
      <c r="I342" s="1" t="str">
        <f t="shared" si="31"/>
        <v xml:space="preserve">AND CBALCAO='0003' </v>
      </c>
      <c r="J342" s="1" t="str">
        <f t="shared" si="32"/>
        <v xml:space="preserve">AND CNUMECTA='20441050096' </v>
      </c>
      <c r="K342" s="1" t="str">
        <f t="shared" si="33"/>
        <v xml:space="preserve">AND ZDEPOSIT='000000000000000' </v>
      </c>
      <c r="L342" s="1" t="str">
        <f t="shared" si="34"/>
        <v>WHEN CEMPRESA='31' AND CBALCAO='0003' AND CNUMECTA='20441050096' AND ZDEPOSIT='000000000000000' THEN 1</v>
      </c>
      <c r="M342" s="1" t="str">
        <f t="shared" si="35"/>
        <v>WHEN CEMPRESA='31' AND CBALCAO='0003' AND CNUMECTA='20441050096' AND ZDEPOSIT='000000000000000' THEN 'A.3.7.'</v>
      </c>
    </row>
    <row r="343" spans="2:13" x14ac:dyDescent="0.25">
      <c r="B343" s="1" t="s">
        <v>54</v>
      </c>
      <c r="C343" s="1" t="s">
        <v>55</v>
      </c>
      <c r="D343" s="1" t="s">
        <v>494</v>
      </c>
      <c r="E343" s="1" t="s">
        <v>495</v>
      </c>
      <c r="F343" s="1">
        <v>1</v>
      </c>
      <c r="G343" s="1" t="s">
        <v>58</v>
      </c>
      <c r="H343" s="1" t="str">
        <f t="shared" si="30"/>
        <v xml:space="preserve">CEMPRESA='89' </v>
      </c>
      <c r="I343" s="1" t="str">
        <f t="shared" si="31"/>
        <v xml:space="preserve">AND CBALCAO='0000' </v>
      </c>
      <c r="J343" s="1" t="str">
        <f t="shared" si="32"/>
        <v xml:space="preserve">AND CNUMECTA='00000250161' </v>
      </c>
      <c r="K343" s="1" t="str">
        <f t="shared" si="33"/>
        <v xml:space="preserve">AND ZDEPOSIT='000450000741255' </v>
      </c>
      <c r="L343" s="1" t="str">
        <f t="shared" si="34"/>
        <v>WHEN CEMPRESA='89' AND CBALCAO='0000' AND CNUMECTA='00000250161' AND ZDEPOSIT='000450000741255' THEN 1</v>
      </c>
      <c r="M343" s="1" t="str">
        <f t="shared" si="35"/>
        <v>WHEN CEMPRESA='89' AND CBALCAO='0000' AND CNUMECTA='00000250161' AND ZDEPOSIT='000450000741255' THEN 'A.2.5.'</v>
      </c>
    </row>
    <row r="344" spans="2:13" x14ac:dyDescent="0.25">
      <c r="B344" s="1" t="s">
        <v>54</v>
      </c>
      <c r="C344" s="1" t="s">
        <v>55</v>
      </c>
      <c r="D344" s="1" t="s">
        <v>496</v>
      </c>
      <c r="E344" s="1" t="s">
        <v>497</v>
      </c>
      <c r="F344" s="1">
        <v>1</v>
      </c>
      <c r="G344" s="1" t="s">
        <v>58</v>
      </c>
      <c r="H344" s="1" t="str">
        <f t="shared" si="30"/>
        <v xml:space="preserve">CEMPRESA='89' </v>
      </c>
      <c r="I344" s="1" t="str">
        <f t="shared" si="31"/>
        <v xml:space="preserve">AND CBALCAO='0000' </v>
      </c>
      <c r="J344" s="1" t="str">
        <f t="shared" si="32"/>
        <v xml:space="preserve">AND CNUMECTA='00000250311' </v>
      </c>
      <c r="K344" s="1" t="str">
        <f t="shared" si="33"/>
        <v xml:space="preserve">AND ZDEPOSIT='000450000658389' </v>
      </c>
      <c r="L344" s="1" t="str">
        <f t="shared" si="34"/>
        <v>WHEN CEMPRESA='89' AND CBALCAO='0000' AND CNUMECTA='00000250311' AND ZDEPOSIT='000450000658389' THEN 1</v>
      </c>
      <c r="M344" s="1" t="str">
        <f t="shared" si="35"/>
        <v>WHEN CEMPRESA='89' AND CBALCAO='0000' AND CNUMECTA='00000250311' AND ZDEPOSIT='000450000658389' THEN 'A.2.5.'</v>
      </c>
    </row>
    <row r="345" spans="2:13" x14ac:dyDescent="0.25">
      <c r="B345" s="1" t="s">
        <v>45</v>
      </c>
      <c r="C345" s="1" t="s">
        <v>46</v>
      </c>
      <c r="D345" s="1" t="s">
        <v>498</v>
      </c>
      <c r="E345" s="1" t="s">
        <v>48</v>
      </c>
      <c r="F345" s="1">
        <v>1</v>
      </c>
      <c r="G345" s="1" t="s">
        <v>60</v>
      </c>
      <c r="H345" s="1" t="str">
        <f t="shared" si="30"/>
        <v xml:space="preserve">CEMPRESA='31' </v>
      </c>
      <c r="I345" s="1" t="str">
        <f t="shared" si="31"/>
        <v xml:space="preserve">AND CBALCAO='0003' </v>
      </c>
      <c r="J345" s="1" t="str">
        <f t="shared" si="32"/>
        <v xml:space="preserve">AND CNUMECTA='20459433096' </v>
      </c>
      <c r="K345" s="1" t="str">
        <f t="shared" si="33"/>
        <v xml:space="preserve">AND ZDEPOSIT='000000000000000' </v>
      </c>
      <c r="L345" s="1" t="str">
        <f t="shared" si="34"/>
        <v>WHEN CEMPRESA='31' AND CBALCAO='0003' AND CNUMECTA='20459433096' AND ZDEPOSIT='000000000000000' THEN 1</v>
      </c>
      <c r="M345" s="1" t="str">
        <f t="shared" si="35"/>
        <v>WHEN CEMPRESA='31' AND CBALCAO='0003' AND CNUMECTA='20459433096' AND ZDEPOSIT='000000000000000' THEN 'A.3.7.'</v>
      </c>
    </row>
    <row r="346" spans="2:13" x14ac:dyDescent="0.25">
      <c r="B346" s="1" t="s">
        <v>54</v>
      </c>
      <c r="C346" s="1" t="s">
        <v>55</v>
      </c>
      <c r="D346" s="1" t="s">
        <v>499</v>
      </c>
      <c r="E346" s="1" t="s">
        <v>500</v>
      </c>
      <c r="F346" s="1">
        <v>1</v>
      </c>
      <c r="G346" s="1" t="s">
        <v>58</v>
      </c>
      <c r="H346" s="1" t="str">
        <f t="shared" si="30"/>
        <v xml:space="preserve">CEMPRESA='89' </v>
      </c>
      <c r="I346" s="1" t="str">
        <f t="shared" si="31"/>
        <v xml:space="preserve">AND CBALCAO='0000' </v>
      </c>
      <c r="J346" s="1" t="str">
        <f t="shared" si="32"/>
        <v xml:space="preserve">AND CNUMECTA='00000250215' </v>
      </c>
      <c r="K346" s="1" t="str">
        <f t="shared" si="33"/>
        <v xml:space="preserve">AND ZDEPOSIT='000450000693478' </v>
      </c>
      <c r="L346" s="1" t="str">
        <f t="shared" si="34"/>
        <v>WHEN CEMPRESA='89' AND CBALCAO='0000' AND CNUMECTA='00000250215' AND ZDEPOSIT='000450000693478' THEN 1</v>
      </c>
      <c r="M346" s="1" t="str">
        <f t="shared" si="35"/>
        <v>WHEN CEMPRESA='89' AND CBALCAO='0000' AND CNUMECTA='00000250215' AND ZDEPOSIT='000450000693478' THEN 'A.2.5.'</v>
      </c>
    </row>
    <row r="347" spans="2:13" x14ac:dyDescent="0.25">
      <c r="B347" s="1" t="s">
        <v>54</v>
      </c>
      <c r="C347" s="1" t="s">
        <v>55</v>
      </c>
      <c r="D347" s="1" t="s">
        <v>501</v>
      </c>
      <c r="E347" s="1" t="s">
        <v>502</v>
      </c>
      <c r="F347" s="1">
        <v>1</v>
      </c>
      <c r="G347" s="1" t="s">
        <v>58</v>
      </c>
      <c r="H347" s="1" t="str">
        <f t="shared" si="30"/>
        <v xml:space="preserve">CEMPRESA='89' </v>
      </c>
      <c r="I347" s="1" t="str">
        <f t="shared" si="31"/>
        <v xml:space="preserve">AND CBALCAO='0000' </v>
      </c>
      <c r="J347" s="1" t="str">
        <f t="shared" si="32"/>
        <v xml:space="preserve">AND CNUMECTA='00000250246' </v>
      </c>
      <c r="K347" s="1" t="str">
        <f t="shared" si="33"/>
        <v xml:space="preserve">AND ZDEPOSIT='000450000623414' </v>
      </c>
      <c r="L347" s="1" t="str">
        <f t="shared" si="34"/>
        <v>WHEN CEMPRESA='89' AND CBALCAO='0000' AND CNUMECTA='00000250246' AND ZDEPOSIT='000450000623414' THEN 1</v>
      </c>
      <c r="M347" s="1" t="str">
        <f t="shared" si="35"/>
        <v>WHEN CEMPRESA='89' AND CBALCAO='0000' AND CNUMECTA='00000250246' AND ZDEPOSIT='000450000623414' THEN 'A.2.5.'</v>
      </c>
    </row>
    <row r="348" spans="2:13" x14ac:dyDescent="0.25">
      <c r="B348" s="1" t="s">
        <v>45</v>
      </c>
      <c r="C348" s="1" t="s">
        <v>46</v>
      </c>
      <c r="D348" s="1" t="s">
        <v>503</v>
      </c>
      <c r="E348" s="1" t="s">
        <v>48</v>
      </c>
      <c r="F348" s="1">
        <v>1</v>
      </c>
      <c r="G348" s="1" t="s">
        <v>60</v>
      </c>
      <c r="H348" s="1" t="str">
        <f t="shared" si="30"/>
        <v xml:space="preserve">CEMPRESA='31' </v>
      </c>
      <c r="I348" s="1" t="str">
        <f t="shared" si="31"/>
        <v xml:space="preserve">AND CBALCAO='0003' </v>
      </c>
      <c r="J348" s="1" t="str">
        <f t="shared" si="32"/>
        <v xml:space="preserve">AND CNUMECTA='20667712096' </v>
      </c>
      <c r="K348" s="1" t="str">
        <f t="shared" si="33"/>
        <v xml:space="preserve">AND ZDEPOSIT='000000000000000' </v>
      </c>
      <c r="L348" s="1" t="str">
        <f t="shared" si="34"/>
        <v>WHEN CEMPRESA='31' AND CBALCAO='0003' AND CNUMECTA='20667712096' AND ZDEPOSIT='000000000000000' THEN 1</v>
      </c>
      <c r="M348" s="1" t="str">
        <f t="shared" si="35"/>
        <v>WHEN CEMPRESA='31' AND CBALCAO='0003' AND CNUMECTA='20667712096' AND ZDEPOSIT='000000000000000' THEN 'A.3.7.'</v>
      </c>
    </row>
    <row r="349" spans="2:13" x14ac:dyDescent="0.25">
      <c r="B349" s="1" t="s">
        <v>45</v>
      </c>
      <c r="C349" s="1" t="s">
        <v>46</v>
      </c>
      <c r="D349" s="1" t="s">
        <v>504</v>
      </c>
      <c r="E349" s="1" t="s">
        <v>48</v>
      </c>
      <c r="F349" s="1">
        <v>1</v>
      </c>
      <c r="G349" s="1" t="s">
        <v>76</v>
      </c>
      <c r="H349" s="1" t="str">
        <f t="shared" si="30"/>
        <v xml:space="preserve">CEMPRESA='31' </v>
      </c>
      <c r="I349" s="1" t="str">
        <f t="shared" si="31"/>
        <v xml:space="preserve">AND CBALCAO='0003' </v>
      </c>
      <c r="J349" s="1" t="str">
        <f t="shared" si="32"/>
        <v xml:space="preserve">AND CNUMECTA='18610368097' </v>
      </c>
      <c r="K349" s="1" t="str">
        <f t="shared" si="33"/>
        <v xml:space="preserve">AND ZDEPOSIT='000000000000000' </v>
      </c>
      <c r="L349" s="1" t="str">
        <f t="shared" si="34"/>
        <v>WHEN CEMPRESA='31' AND CBALCAO='0003' AND CNUMECTA='18610368097' AND ZDEPOSIT='000000000000000' THEN 1</v>
      </c>
      <c r="M349" s="1" t="str">
        <f t="shared" si="35"/>
        <v>WHEN CEMPRESA='31' AND CBALCAO='0003' AND CNUMECTA='18610368097' AND ZDEPOSIT='000000000000000' THEN 'A.7.7.'</v>
      </c>
    </row>
    <row r="350" spans="2:13" x14ac:dyDescent="0.25">
      <c r="B350" s="1" t="s">
        <v>54</v>
      </c>
      <c r="C350" s="1" t="s">
        <v>55</v>
      </c>
      <c r="D350" s="1" t="s">
        <v>505</v>
      </c>
      <c r="E350" s="1" t="s">
        <v>506</v>
      </c>
      <c r="F350" s="1">
        <v>1</v>
      </c>
      <c r="G350" s="1" t="s">
        <v>58</v>
      </c>
      <c r="H350" s="1" t="str">
        <f t="shared" si="30"/>
        <v xml:space="preserve">CEMPRESA='89' </v>
      </c>
      <c r="I350" s="1" t="str">
        <f t="shared" si="31"/>
        <v xml:space="preserve">AND CBALCAO='0000' </v>
      </c>
      <c r="J350" s="1" t="str">
        <f t="shared" si="32"/>
        <v xml:space="preserve">AND CNUMECTA='00008046418' </v>
      </c>
      <c r="K350" s="1" t="str">
        <f t="shared" si="33"/>
        <v xml:space="preserve">AND ZDEPOSIT='000530000777315' </v>
      </c>
      <c r="L350" s="1" t="str">
        <f t="shared" si="34"/>
        <v>WHEN CEMPRESA='89' AND CBALCAO='0000' AND CNUMECTA='00008046418' AND ZDEPOSIT='000530000777315' THEN 1</v>
      </c>
      <c r="M350" s="1" t="str">
        <f t="shared" si="35"/>
        <v>WHEN CEMPRESA='89' AND CBALCAO='0000' AND CNUMECTA='00008046418' AND ZDEPOSIT='000530000777315' THEN 'A.2.5.'</v>
      </c>
    </row>
    <row r="351" spans="2:13" x14ac:dyDescent="0.25">
      <c r="B351" s="1" t="s">
        <v>45</v>
      </c>
      <c r="C351" s="1" t="s">
        <v>46</v>
      </c>
      <c r="D351" s="1" t="s">
        <v>507</v>
      </c>
      <c r="E351" s="1" t="s">
        <v>48</v>
      </c>
      <c r="F351" s="1">
        <v>1</v>
      </c>
      <c r="G351" s="1" t="s">
        <v>53</v>
      </c>
      <c r="H351" s="1" t="str">
        <f t="shared" si="30"/>
        <v xml:space="preserve">CEMPRESA='31' </v>
      </c>
      <c r="I351" s="1" t="str">
        <f t="shared" si="31"/>
        <v xml:space="preserve">AND CBALCAO='0003' </v>
      </c>
      <c r="J351" s="1" t="str">
        <f t="shared" si="32"/>
        <v xml:space="preserve">AND CNUMECTA='20726989096' </v>
      </c>
      <c r="K351" s="1" t="str">
        <f t="shared" si="33"/>
        <v xml:space="preserve">AND ZDEPOSIT='000000000000000' </v>
      </c>
      <c r="L351" s="1" t="str">
        <f t="shared" si="34"/>
        <v>WHEN CEMPRESA='31' AND CBALCAO='0003' AND CNUMECTA='20726989096' AND ZDEPOSIT='000000000000000' THEN 1</v>
      </c>
      <c r="M351" s="1" t="str">
        <f t="shared" si="35"/>
        <v>WHEN CEMPRESA='31' AND CBALCAO='0003' AND CNUMECTA='20726989096' AND ZDEPOSIT='000000000000000' THEN 'A.1.1.'</v>
      </c>
    </row>
    <row r="352" spans="2:13" x14ac:dyDescent="0.25">
      <c r="B352" s="1" t="s">
        <v>45</v>
      </c>
      <c r="C352" s="1" t="s">
        <v>46</v>
      </c>
      <c r="D352" s="1" t="s">
        <v>508</v>
      </c>
      <c r="E352" s="1" t="s">
        <v>48</v>
      </c>
      <c r="F352" s="1">
        <v>1</v>
      </c>
      <c r="G352" s="1" t="s">
        <v>60</v>
      </c>
      <c r="H352" s="1" t="str">
        <f t="shared" si="30"/>
        <v xml:space="preserve">CEMPRESA='31' </v>
      </c>
      <c r="I352" s="1" t="str">
        <f t="shared" si="31"/>
        <v xml:space="preserve">AND CBALCAO='0003' </v>
      </c>
      <c r="J352" s="1" t="str">
        <f t="shared" si="32"/>
        <v xml:space="preserve">AND CNUMECTA='20508585096' </v>
      </c>
      <c r="K352" s="1" t="str">
        <f t="shared" si="33"/>
        <v xml:space="preserve">AND ZDEPOSIT='000000000000000' </v>
      </c>
      <c r="L352" s="1" t="str">
        <f t="shared" si="34"/>
        <v>WHEN CEMPRESA='31' AND CBALCAO='0003' AND CNUMECTA='20508585096' AND ZDEPOSIT='000000000000000' THEN 1</v>
      </c>
      <c r="M352" s="1" t="str">
        <f t="shared" si="35"/>
        <v>WHEN CEMPRESA='31' AND CBALCAO='0003' AND CNUMECTA='20508585096' AND ZDEPOSIT='000000000000000' THEN 'A.3.7.'</v>
      </c>
    </row>
    <row r="353" spans="2:13" x14ac:dyDescent="0.25">
      <c r="B353" s="1" t="s">
        <v>54</v>
      </c>
      <c r="C353" s="1" t="s">
        <v>55</v>
      </c>
      <c r="D353" s="1" t="s">
        <v>509</v>
      </c>
      <c r="E353" s="1" t="s">
        <v>510</v>
      </c>
      <c r="F353" s="1">
        <v>1</v>
      </c>
      <c r="G353" s="1" t="s">
        <v>58</v>
      </c>
      <c r="H353" s="1" t="str">
        <f t="shared" si="30"/>
        <v xml:space="preserve">CEMPRESA='89' </v>
      </c>
      <c r="I353" s="1" t="str">
        <f t="shared" si="31"/>
        <v xml:space="preserve">AND CBALCAO='0000' </v>
      </c>
      <c r="J353" s="1" t="str">
        <f t="shared" si="32"/>
        <v xml:space="preserve">AND CNUMECTA='00000250291' </v>
      </c>
      <c r="K353" s="1" t="str">
        <f t="shared" si="33"/>
        <v xml:space="preserve">AND ZDEPOSIT='000450000777918' </v>
      </c>
      <c r="L353" s="1" t="str">
        <f t="shared" si="34"/>
        <v>WHEN CEMPRESA='89' AND CBALCAO='0000' AND CNUMECTA='00000250291' AND ZDEPOSIT='000450000777918' THEN 1</v>
      </c>
      <c r="M353" s="1" t="str">
        <f t="shared" si="35"/>
        <v>WHEN CEMPRESA='89' AND CBALCAO='0000' AND CNUMECTA='00000250291' AND ZDEPOSIT='000450000777918' THEN 'A.2.5.'</v>
      </c>
    </row>
    <row r="354" spans="2:13" x14ac:dyDescent="0.25">
      <c r="B354" s="1" t="s">
        <v>45</v>
      </c>
      <c r="C354" s="1" t="s">
        <v>46</v>
      </c>
      <c r="D354" s="1" t="s">
        <v>511</v>
      </c>
      <c r="E354" s="1" t="s">
        <v>48</v>
      </c>
      <c r="F354" s="1">
        <v>1</v>
      </c>
      <c r="G354" s="1" t="s">
        <v>60</v>
      </c>
      <c r="H354" s="1" t="str">
        <f t="shared" si="30"/>
        <v xml:space="preserve">CEMPRESA='31' </v>
      </c>
      <c r="I354" s="1" t="str">
        <f t="shared" si="31"/>
        <v xml:space="preserve">AND CBALCAO='0003' </v>
      </c>
      <c r="J354" s="1" t="str">
        <f t="shared" si="32"/>
        <v xml:space="preserve">AND CNUMECTA='20418348096' </v>
      </c>
      <c r="K354" s="1" t="str">
        <f t="shared" si="33"/>
        <v xml:space="preserve">AND ZDEPOSIT='000000000000000' </v>
      </c>
      <c r="L354" s="1" t="str">
        <f t="shared" si="34"/>
        <v>WHEN CEMPRESA='31' AND CBALCAO='0003' AND CNUMECTA='20418348096' AND ZDEPOSIT='000000000000000' THEN 1</v>
      </c>
      <c r="M354" s="1" t="str">
        <f t="shared" si="35"/>
        <v>WHEN CEMPRESA='31' AND CBALCAO='0003' AND CNUMECTA='20418348096' AND ZDEPOSIT='000000000000000' THEN 'A.3.7.'</v>
      </c>
    </row>
    <row r="355" spans="2:13" x14ac:dyDescent="0.25">
      <c r="B355" s="1" t="s">
        <v>45</v>
      </c>
      <c r="C355" s="1" t="s">
        <v>46</v>
      </c>
      <c r="D355" s="1" t="s">
        <v>512</v>
      </c>
      <c r="E355" s="1" t="s">
        <v>48</v>
      </c>
      <c r="F355" s="1">
        <v>1</v>
      </c>
      <c r="G355" s="1" t="s">
        <v>60</v>
      </c>
      <c r="H355" s="1" t="str">
        <f t="shared" si="30"/>
        <v xml:space="preserve">CEMPRESA='31' </v>
      </c>
      <c r="I355" s="1" t="str">
        <f t="shared" si="31"/>
        <v xml:space="preserve">AND CBALCAO='0003' </v>
      </c>
      <c r="J355" s="1" t="str">
        <f t="shared" si="32"/>
        <v xml:space="preserve">AND CNUMECTA='20700166096' </v>
      </c>
      <c r="K355" s="1" t="str">
        <f t="shared" si="33"/>
        <v xml:space="preserve">AND ZDEPOSIT='000000000000000' </v>
      </c>
      <c r="L355" s="1" t="str">
        <f t="shared" si="34"/>
        <v>WHEN CEMPRESA='31' AND CBALCAO='0003' AND CNUMECTA='20700166096' AND ZDEPOSIT='000000000000000' THEN 1</v>
      </c>
      <c r="M355" s="1" t="str">
        <f t="shared" si="35"/>
        <v>WHEN CEMPRESA='31' AND CBALCAO='0003' AND CNUMECTA='20700166096' AND ZDEPOSIT='000000000000000' THEN 'A.3.7.'</v>
      </c>
    </row>
    <row r="356" spans="2:13" x14ac:dyDescent="0.25">
      <c r="B356" s="1" t="s">
        <v>45</v>
      </c>
      <c r="C356" s="1" t="s">
        <v>46</v>
      </c>
      <c r="D356" s="1" t="s">
        <v>513</v>
      </c>
      <c r="E356" s="1" t="s">
        <v>48</v>
      </c>
      <c r="F356" s="1">
        <v>1</v>
      </c>
      <c r="G356" s="1" t="s">
        <v>60</v>
      </c>
      <c r="H356" s="1" t="str">
        <f t="shared" si="30"/>
        <v xml:space="preserve">CEMPRESA='31' </v>
      </c>
      <c r="I356" s="1" t="str">
        <f t="shared" si="31"/>
        <v xml:space="preserve">AND CBALCAO='0003' </v>
      </c>
      <c r="J356" s="1" t="str">
        <f t="shared" si="32"/>
        <v xml:space="preserve">AND CNUMECTA='20626700096' </v>
      </c>
      <c r="K356" s="1" t="str">
        <f t="shared" si="33"/>
        <v xml:space="preserve">AND ZDEPOSIT='000000000000000' </v>
      </c>
      <c r="L356" s="1" t="str">
        <f t="shared" si="34"/>
        <v>WHEN CEMPRESA='31' AND CBALCAO='0003' AND CNUMECTA='20626700096' AND ZDEPOSIT='000000000000000' THEN 1</v>
      </c>
      <c r="M356" s="1" t="str">
        <f t="shared" si="35"/>
        <v>WHEN CEMPRESA='31' AND CBALCAO='0003' AND CNUMECTA='20626700096' AND ZDEPOSIT='000000000000000' THEN 'A.3.7.'</v>
      </c>
    </row>
    <row r="357" spans="2:13" x14ac:dyDescent="0.25">
      <c r="B357" s="1" t="s">
        <v>45</v>
      </c>
      <c r="C357" s="1" t="s">
        <v>46</v>
      </c>
      <c r="D357" s="1" t="s">
        <v>514</v>
      </c>
      <c r="E357" s="1" t="s">
        <v>48</v>
      </c>
      <c r="F357" s="1">
        <v>1</v>
      </c>
      <c r="G357" s="1" t="s">
        <v>76</v>
      </c>
      <c r="H357" s="1" t="str">
        <f t="shared" si="30"/>
        <v xml:space="preserve">CEMPRESA='31' </v>
      </c>
      <c r="I357" s="1" t="str">
        <f t="shared" si="31"/>
        <v xml:space="preserve">AND CBALCAO='0003' </v>
      </c>
      <c r="J357" s="1" t="str">
        <f t="shared" si="32"/>
        <v xml:space="preserve">AND CNUMECTA='18607992097' </v>
      </c>
      <c r="K357" s="1" t="str">
        <f t="shared" si="33"/>
        <v xml:space="preserve">AND ZDEPOSIT='000000000000000' </v>
      </c>
      <c r="L357" s="1" t="str">
        <f t="shared" si="34"/>
        <v>WHEN CEMPRESA='31' AND CBALCAO='0003' AND CNUMECTA='18607992097' AND ZDEPOSIT='000000000000000' THEN 1</v>
      </c>
      <c r="M357" s="1" t="str">
        <f t="shared" si="35"/>
        <v>WHEN CEMPRESA='31' AND CBALCAO='0003' AND CNUMECTA='18607992097' AND ZDEPOSIT='000000000000000' THEN 'A.7.7.'</v>
      </c>
    </row>
    <row r="358" spans="2:13" x14ac:dyDescent="0.25">
      <c r="B358" s="1" t="s">
        <v>45</v>
      </c>
      <c r="C358" s="1" t="s">
        <v>46</v>
      </c>
      <c r="D358" s="1" t="s">
        <v>515</v>
      </c>
      <c r="E358" s="1" t="s">
        <v>48</v>
      </c>
      <c r="F358" s="1">
        <v>1</v>
      </c>
      <c r="G358" s="1" t="s">
        <v>76</v>
      </c>
      <c r="H358" s="1" t="str">
        <f t="shared" si="30"/>
        <v xml:space="preserve">CEMPRESA='31' </v>
      </c>
      <c r="I358" s="1" t="str">
        <f t="shared" si="31"/>
        <v xml:space="preserve">AND CBALCAO='0003' </v>
      </c>
      <c r="J358" s="1" t="str">
        <f t="shared" si="32"/>
        <v xml:space="preserve">AND CNUMECTA='18614139097' </v>
      </c>
      <c r="K358" s="1" t="str">
        <f t="shared" si="33"/>
        <v xml:space="preserve">AND ZDEPOSIT='000000000000000' </v>
      </c>
      <c r="L358" s="1" t="str">
        <f t="shared" si="34"/>
        <v>WHEN CEMPRESA='31' AND CBALCAO='0003' AND CNUMECTA='18614139097' AND ZDEPOSIT='000000000000000' THEN 1</v>
      </c>
      <c r="M358" s="1" t="str">
        <f t="shared" si="35"/>
        <v>WHEN CEMPRESA='31' AND CBALCAO='0003' AND CNUMECTA='18614139097' AND ZDEPOSIT='000000000000000' THEN 'A.7.7.'</v>
      </c>
    </row>
    <row r="359" spans="2:13" x14ac:dyDescent="0.25">
      <c r="B359" s="1" t="s">
        <v>45</v>
      </c>
      <c r="C359" s="1" t="s">
        <v>46</v>
      </c>
      <c r="D359" s="1" t="s">
        <v>516</v>
      </c>
      <c r="E359" s="1" t="s">
        <v>48</v>
      </c>
      <c r="F359" s="1">
        <v>1</v>
      </c>
      <c r="G359" s="1" t="s">
        <v>60</v>
      </c>
      <c r="H359" s="1" t="str">
        <f t="shared" si="30"/>
        <v xml:space="preserve">CEMPRESA='31' </v>
      </c>
      <c r="I359" s="1" t="str">
        <f t="shared" si="31"/>
        <v xml:space="preserve">AND CBALCAO='0003' </v>
      </c>
      <c r="J359" s="1" t="str">
        <f t="shared" si="32"/>
        <v xml:space="preserve">AND CNUMECTA='20606504096' </v>
      </c>
      <c r="K359" s="1" t="str">
        <f t="shared" si="33"/>
        <v xml:space="preserve">AND ZDEPOSIT='000000000000000' </v>
      </c>
      <c r="L359" s="1" t="str">
        <f t="shared" si="34"/>
        <v>WHEN CEMPRESA='31' AND CBALCAO='0003' AND CNUMECTA='20606504096' AND ZDEPOSIT='000000000000000' THEN 1</v>
      </c>
      <c r="M359" s="1" t="str">
        <f t="shared" si="35"/>
        <v>WHEN CEMPRESA='31' AND CBALCAO='0003' AND CNUMECTA='20606504096' AND ZDEPOSIT='000000000000000' THEN 'A.3.7.'</v>
      </c>
    </row>
    <row r="360" spans="2:13" x14ac:dyDescent="0.25">
      <c r="B360" s="1" t="s">
        <v>54</v>
      </c>
      <c r="C360" s="1" t="s">
        <v>55</v>
      </c>
      <c r="D360" s="1" t="s">
        <v>517</v>
      </c>
      <c r="E360" s="1" t="s">
        <v>518</v>
      </c>
      <c r="F360" s="1">
        <v>1</v>
      </c>
      <c r="G360" s="1" t="s">
        <v>58</v>
      </c>
      <c r="H360" s="1" t="str">
        <f t="shared" si="30"/>
        <v xml:space="preserve">CEMPRESA='89' </v>
      </c>
      <c r="I360" s="1" t="str">
        <f t="shared" si="31"/>
        <v xml:space="preserve">AND CBALCAO='0000' </v>
      </c>
      <c r="J360" s="1" t="str">
        <f t="shared" si="32"/>
        <v xml:space="preserve">AND CNUMECTA='00000250507' </v>
      </c>
      <c r="K360" s="1" t="str">
        <f t="shared" si="33"/>
        <v xml:space="preserve">AND ZDEPOSIT='000450000777597' </v>
      </c>
      <c r="L360" s="1" t="str">
        <f t="shared" si="34"/>
        <v>WHEN CEMPRESA='89' AND CBALCAO='0000' AND CNUMECTA='00000250507' AND ZDEPOSIT='000450000777597' THEN 1</v>
      </c>
      <c r="M360" s="1" t="str">
        <f t="shared" si="35"/>
        <v>WHEN CEMPRESA='89' AND CBALCAO='0000' AND CNUMECTA='00000250507' AND ZDEPOSIT='000450000777597' THEN 'A.2.5.'</v>
      </c>
    </row>
    <row r="361" spans="2:13" x14ac:dyDescent="0.25">
      <c r="B361" s="1" t="s">
        <v>45</v>
      </c>
      <c r="C361" s="1" t="s">
        <v>114</v>
      </c>
      <c r="D361" s="1" t="s">
        <v>519</v>
      </c>
      <c r="E361" s="1" t="s">
        <v>520</v>
      </c>
      <c r="F361" s="1">
        <v>1</v>
      </c>
      <c r="G361" s="1" t="s">
        <v>49</v>
      </c>
      <c r="H361" s="1" t="str">
        <f t="shared" si="30"/>
        <v xml:space="preserve">CEMPRESA='31' </v>
      </c>
      <c r="I361" s="1" t="str">
        <f t="shared" si="31"/>
        <v xml:space="preserve">AND CBALCAO='6416' </v>
      </c>
      <c r="J361" s="1" t="str">
        <f t="shared" si="32"/>
        <v xml:space="preserve">AND CNUMECTA='00005800040' </v>
      </c>
      <c r="K361" s="1" t="str">
        <f t="shared" si="33"/>
        <v xml:space="preserve">AND ZDEPOSIT='PTPWDBOM0009000' </v>
      </c>
      <c r="L361" s="1" t="str">
        <f t="shared" si="34"/>
        <v>WHEN CEMPRESA='31' AND CBALCAO='6416' AND CNUMECTA='00005800040' AND ZDEPOSIT='PTPWDBOM0009000' THEN 1</v>
      </c>
      <c r="M361" s="1" t="str">
        <f t="shared" si="35"/>
        <v>WHEN CEMPRESA='31' AND CBALCAO='6416' AND CNUMECTA='00005800040' AND ZDEPOSIT='PTPWDBOM0009000' THEN 'A.2.3.'</v>
      </c>
    </row>
    <row r="362" spans="2:13" x14ac:dyDescent="0.25">
      <c r="B362" s="1" t="s">
        <v>54</v>
      </c>
      <c r="C362" s="1" t="s">
        <v>55</v>
      </c>
      <c r="D362" s="1" t="s">
        <v>521</v>
      </c>
      <c r="E362" s="1" t="s">
        <v>522</v>
      </c>
      <c r="F362" s="1">
        <v>1</v>
      </c>
      <c r="G362" s="1" t="s">
        <v>58</v>
      </c>
      <c r="H362" s="1" t="str">
        <f t="shared" si="30"/>
        <v xml:space="preserve">CEMPRESA='89' </v>
      </c>
      <c r="I362" s="1" t="str">
        <f t="shared" si="31"/>
        <v xml:space="preserve">AND CBALCAO='0000' </v>
      </c>
      <c r="J362" s="1" t="str">
        <f t="shared" si="32"/>
        <v xml:space="preserve">AND CNUMECTA='00008046545' </v>
      </c>
      <c r="K362" s="1" t="str">
        <f t="shared" si="33"/>
        <v xml:space="preserve">AND ZDEPOSIT='000530000778337' </v>
      </c>
      <c r="L362" s="1" t="str">
        <f t="shared" si="34"/>
        <v>WHEN CEMPRESA='89' AND CBALCAO='0000' AND CNUMECTA='00008046545' AND ZDEPOSIT='000530000778337' THEN 1</v>
      </c>
      <c r="M362" s="1" t="str">
        <f t="shared" si="35"/>
        <v>WHEN CEMPRESA='89' AND CBALCAO='0000' AND CNUMECTA='00008046545' AND ZDEPOSIT='000530000778337' THEN 'A.2.5.'</v>
      </c>
    </row>
    <row r="363" spans="2:13" x14ac:dyDescent="0.25">
      <c r="B363" s="1" t="s">
        <v>54</v>
      </c>
      <c r="C363" s="1" t="s">
        <v>55</v>
      </c>
      <c r="D363" s="1" t="s">
        <v>523</v>
      </c>
      <c r="E363" s="1" t="s">
        <v>524</v>
      </c>
      <c r="F363" s="1">
        <v>1</v>
      </c>
      <c r="G363" s="1" t="s">
        <v>58</v>
      </c>
      <c r="H363" s="1" t="str">
        <f t="shared" si="30"/>
        <v xml:space="preserve">CEMPRESA='89' </v>
      </c>
      <c r="I363" s="1" t="str">
        <f t="shared" si="31"/>
        <v xml:space="preserve">AND CBALCAO='0000' </v>
      </c>
      <c r="J363" s="1" t="str">
        <f t="shared" si="32"/>
        <v xml:space="preserve">AND CNUMECTA='00008046568' </v>
      </c>
      <c r="K363" s="1" t="str">
        <f t="shared" si="33"/>
        <v xml:space="preserve">AND ZDEPOSIT='000530000778069' </v>
      </c>
      <c r="L363" s="1" t="str">
        <f t="shared" si="34"/>
        <v>WHEN CEMPRESA='89' AND CBALCAO='0000' AND CNUMECTA='00008046568' AND ZDEPOSIT='000530000778069' THEN 1</v>
      </c>
      <c r="M363" s="1" t="str">
        <f t="shared" si="35"/>
        <v>WHEN CEMPRESA='89' AND CBALCAO='0000' AND CNUMECTA='00008046568' AND ZDEPOSIT='000530000778069' THEN 'A.2.5.'</v>
      </c>
    </row>
    <row r="364" spans="2:13" x14ac:dyDescent="0.25">
      <c r="B364" s="1" t="s">
        <v>45</v>
      </c>
      <c r="C364" s="1" t="s">
        <v>46</v>
      </c>
      <c r="D364" s="1" t="s">
        <v>525</v>
      </c>
      <c r="E364" s="1" t="s">
        <v>48</v>
      </c>
      <c r="F364" s="1">
        <v>1</v>
      </c>
      <c r="G364" s="1" t="s">
        <v>60</v>
      </c>
      <c r="H364" s="1" t="str">
        <f t="shared" si="30"/>
        <v xml:space="preserve">CEMPRESA='31' </v>
      </c>
      <c r="I364" s="1" t="str">
        <f t="shared" si="31"/>
        <v xml:space="preserve">AND CBALCAO='0003' </v>
      </c>
      <c r="J364" s="1" t="str">
        <f t="shared" si="32"/>
        <v xml:space="preserve">AND CNUMECTA='20693916096' </v>
      </c>
      <c r="K364" s="1" t="str">
        <f t="shared" si="33"/>
        <v xml:space="preserve">AND ZDEPOSIT='000000000000000' </v>
      </c>
      <c r="L364" s="1" t="str">
        <f t="shared" si="34"/>
        <v>WHEN CEMPRESA='31' AND CBALCAO='0003' AND CNUMECTA='20693916096' AND ZDEPOSIT='000000000000000' THEN 1</v>
      </c>
      <c r="M364" s="1" t="str">
        <f t="shared" si="35"/>
        <v>WHEN CEMPRESA='31' AND CBALCAO='0003' AND CNUMECTA='20693916096' AND ZDEPOSIT='000000000000000' THEN 'A.3.7.'</v>
      </c>
    </row>
    <row r="365" spans="2:13" x14ac:dyDescent="0.25">
      <c r="B365" s="1" t="s">
        <v>54</v>
      </c>
      <c r="C365" s="1" t="s">
        <v>55</v>
      </c>
      <c r="D365" s="1" t="s">
        <v>207</v>
      </c>
      <c r="E365" s="1" t="s">
        <v>526</v>
      </c>
      <c r="F365" s="1">
        <v>1</v>
      </c>
      <c r="G365" s="1" t="s">
        <v>209</v>
      </c>
      <c r="H365" s="1" t="str">
        <f t="shared" si="30"/>
        <v xml:space="preserve">CEMPRESA='89' </v>
      </c>
      <c r="I365" s="1" t="str">
        <f t="shared" si="31"/>
        <v xml:space="preserve">AND CBALCAO='0000' </v>
      </c>
      <c r="J365" s="1" t="str">
        <f t="shared" si="32"/>
        <v xml:space="preserve">AND CNUMECTA='20240000271' </v>
      </c>
      <c r="K365" s="1" t="str">
        <f t="shared" si="33"/>
        <v xml:space="preserve">AND ZDEPOSIT='001520240310181' </v>
      </c>
      <c r="L365" s="1" t="str">
        <f t="shared" si="34"/>
        <v>WHEN CEMPRESA='89' AND CBALCAO='0000' AND CNUMECTA='20240000271' AND ZDEPOSIT='001520240310181' THEN 1</v>
      </c>
      <c r="M365" s="1" t="str">
        <f t="shared" si="35"/>
        <v>WHEN CEMPRESA='89' AND CBALCAO='0000' AND CNUMECTA='20240000271' AND ZDEPOSIT='001520240310181' THEN 'A.3.1.'</v>
      </c>
    </row>
    <row r="366" spans="2:13" x14ac:dyDescent="0.25">
      <c r="B366" s="1" t="s">
        <v>54</v>
      </c>
      <c r="C366" s="1" t="s">
        <v>55</v>
      </c>
      <c r="D366" s="1" t="s">
        <v>527</v>
      </c>
      <c r="E366" s="1" t="s">
        <v>528</v>
      </c>
      <c r="F366" s="1">
        <v>1</v>
      </c>
      <c r="G366" s="1" t="s">
        <v>58</v>
      </c>
      <c r="H366" s="1" t="str">
        <f t="shared" si="30"/>
        <v xml:space="preserve">CEMPRESA='89' </v>
      </c>
      <c r="I366" s="1" t="str">
        <f t="shared" si="31"/>
        <v xml:space="preserve">AND CBALCAO='0000' </v>
      </c>
      <c r="J366" s="1" t="str">
        <f t="shared" si="32"/>
        <v xml:space="preserve">AND CNUMECTA='00000250191' </v>
      </c>
      <c r="K366" s="1" t="str">
        <f t="shared" si="33"/>
        <v xml:space="preserve">AND ZDEPOSIT='000450000770015' </v>
      </c>
      <c r="L366" s="1" t="str">
        <f t="shared" si="34"/>
        <v>WHEN CEMPRESA='89' AND CBALCAO='0000' AND CNUMECTA='00000250191' AND ZDEPOSIT='000450000770015' THEN 1</v>
      </c>
      <c r="M366" s="1" t="str">
        <f t="shared" si="35"/>
        <v>WHEN CEMPRESA='89' AND CBALCAO='0000' AND CNUMECTA='00000250191' AND ZDEPOSIT='000450000770015' THEN 'A.2.5.'</v>
      </c>
    </row>
    <row r="367" spans="2:13" x14ac:dyDescent="0.25">
      <c r="B367" s="1" t="s">
        <v>45</v>
      </c>
      <c r="C367" s="1" t="s">
        <v>46</v>
      </c>
      <c r="D367" s="1" t="s">
        <v>529</v>
      </c>
      <c r="E367" s="1" t="s">
        <v>48</v>
      </c>
      <c r="F367" s="1">
        <v>1</v>
      </c>
      <c r="G367" s="1" t="s">
        <v>60</v>
      </c>
      <c r="H367" s="1" t="str">
        <f t="shared" si="30"/>
        <v xml:space="preserve">CEMPRESA='31' </v>
      </c>
      <c r="I367" s="1" t="str">
        <f t="shared" si="31"/>
        <v xml:space="preserve">AND CBALCAO='0003' </v>
      </c>
      <c r="J367" s="1" t="str">
        <f t="shared" si="32"/>
        <v xml:space="preserve">AND CNUMECTA='20655956096' </v>
      </c>
      <c r="K367" s="1" t="str">
        <f t="shared" si="33"/>
        <v xml:space="preserve">AND ZDEPOSIT='000000000000000' </v>
      </c>
      <c r="L367" s="1" t="str">
        <f t="shared" si="34"/>
        <v>WHEN CEMPRESA='31' AND CBALCAO='0003' AND CNUMECTA='20655956096' AND ZDEPOSIT='000000000000000' THEN 1</v>
      </c>
      <c r="M367" s="1" t="str">
        <f t="shared" si="35"/>
        <v>WHEN CEMPRESA='31' AND CBALCAO='0003' AND CNUMECTA='20655956096' AND ZDEPOSIT='000000000000000' THEN 'A.3.7.'</v>
      </c>
    </row>
    <row r="368" spans="2:13" x14ac:dyDescent="0.25">
      <c r="B368" s="1" t="s">
        <v>45</v>
      </c>
      <c r="C368" s="1" t="s">
        <v>46</v>
      </c>
      <c r="D368" s="1" t="s">
        <v>530</v>
      </c>
      <c r="E368" s="1" t="s">
        <v>48</v>
      </c>
      <c r="F368" s="1">
        <v>1</v>
      </c>
      <c r="G368" s="1" t="s">
        <v>60</v>
      </c>
      <c r="H368" s="1" t="str">
        <f t="shared" si="30"/>
        <v xml:space="preserve">CEMPRESA='31' </v>
      </c>
      <c r="I368" s="1" t="str">
        <f t="shared" si="31"/>
        <v xml:space="preserve">AND CBALCAO='0003' </v>
      </c>
      <c r="J368" s="1" t="str">
        <f t="shared" si="32"/>
        <v xml:space="preserve">AND CNUMECTA='20521539096' </v>
      </c>
      <c r="K368" s="1" t="str">
        <f t="shared" si="33"/>
        <v xml:space="preserve">AND ZDEPOSIT='000000000000000' </v>
      </c>
      <c r="L368" s="1" t="str">
        <f t="shared" si="34"/>
        <v>WHEN CEMPRESA='31' AND CBALCAO='0003' AND CNUMECTA='20521539096' AND ZDEPOSIT='000000000000000' THEN 1</v>
      </c>
      <c r="M368" s="1" t="str">
        <f t="shared" si="35"/>
        <v>WHEN CEMPRESA='31' AND CBALCAO='0003' AND CNUMECTA='20521539096' AND ZDEPOSIT='000000000000000' THEN 'A.3.7.'</v>
      </c>
    </row>
    <row r="369" spans="2:13" x14ac:dyDescent="0.25">
      <c r="B369" s="1" t="s">
        <v>45</v>
      </c>
      <c r="C369" s="1" t="s">
        <v>114</v>
      </c>
      <c r="D369" s="1" t="s">
        <v>115</v>
      </c>
      <c r="E369" s="1" t="s">
        <v>531</v>
      </c>
      <c r="F369" s="1">
        <v>1</v>
      </c>
      <c r="G369" s="1" t="s">
        <v>117</v>
      </c>
      <c r="H369" s="1" t="str">
        <f t="shared" si="30"/>
        <v xml:space="preserve">CEMPRESA='31' </v>
      </c>
      <c r="I369" s="1" t="str">
        <f t="shared" si="31"/>
        <v xml:space="preserve">AND CBALCAO='6416' </v>
      </c>
      <c r="J369" s="1" t="str">
        <f t="shared" si="32"/>
        <v xml:space="preserve">AND CNUMECTA='00000001085' </v>
      </c>
      <c r="K369" s="1" t="str">
        <f t="shared" si="33"/>
        <v xml:space="preserve">AND ZDEPOSIT='PC0648089000000' </v>
      </c>
      <c r="L369" s="1" t="str">
        <f t="shared" si="34"/>
        <v>WHEN CEMPRESA='31' AND CBALCAO='6416' AND CNUMECTA='00000001085' AND ZDEPOSIT='PC0648089000000' THEN 1</v>
      </c>
      <c r="M369" s="1" t="str">
        <f t="shared" si="35"/>
        <v>WHEN CEMPRESA='31' AND CBALCAO='6416' AND CNUMECTA='00000001085' AND ZDEPOSIT='PC0648089000000' THEN 'Sustainability Linked Finance - Default'</v>
      </c>
    </row>
    <row r="370" spans="2:13" x14ac:dyDescent="0.25">
      <c r="B370" s="1" t="s">
        <v>45</v>
      </c>
      <c r="C370" s="1" t="s">
        <v>46</v>
      </c>
      <c r="D370" s="1" t="s">
        <v>532</v>
      </c>
      <c r="E370" s="1" t="s">
        <v>48</v>
      </c>
      <c r="F370" s="1">
        <v>1</v>
      </c>
      <c r="G370" s="1" t="s">
        <v>60</v>
      </c>
      <c r="H370" s="1" t="str">
        <f t="shared" si="30"/>
        <v xml:space="preserve">CEMPRESA='31' </v>
      </c>
      <c r="I370" s="1" t="str">
        <f t="shared" si="31"/>
        <v xml:space="preserve">AND CBALCAO='0003' </v>
      </c>
      <c r="J370" s="1" t="str">
        <f t="shared" si="32"/>
        <v xml:space="preserve">AND CNUMECTA='20602933096' </v>
      </c>
      <c r="K370" s="1" t="str">
        <f t="shared" si="33"/>
        <v xml:space="preserve">AND ZDEPOSIT='000000000000000' </v>
      </c>
      <c r="L370" s="1" t="str">
        <f t="shared" si="34"/>
        <v>WHEN CEMPRESA='31' AND CBALCAO='0003' AND CNUMECTA='20602933096' AND ZDEPOSIT='000000000000000' THEN 1</v>
      </c>
      <c r="M370" s="1" t="str">
        <f t="shared" si="35"/>
        <v>WHEN CEMPRESA='31' AND CBALCAO='0003' AND CNUMECTA='20602933096' AND ZDEPOSIT='000000000000000' THEN 'A.3.7.'</v>
      </c>
    </row>
    <row r="371" spans="2:13" x14ac:dyDescent="0.25">
      <c r="B371" s="1" t="s">
        <v>54</v>
      </c>
      <c r="C371" s="1" t="s">
        <v>55</v>
      </c>
      <c r="D371" s="1" t="s">
        <v>533</v>
      </c>
      <c r="E371" s="1" t="s">
        <v>534</v>
      </c>
      <c r="F371" s="1">
        <v>1</v>
      </c>
      <c r="G371" s="1" t="s">
        <v>58</v>
      </c>
      <c r="H371" s="1" t="str">
        <f t="shared" si="30"/>
        <v xml:space="preserve">CEMPRESA='89' </v>
      </c>
      <c r="I371" s="1" t="str">
        <f t="shared" si="31"/>
        <v xml:space="preserve">AND CBALCAO='0000' </v>
      </c>
      <c r="J371" s="1" t="str">
        <f t="shared" si="32"/>
        <v xml:space="preserve">AND CNUMECTA='00008046502' </v>
      </c>
      <c r="K371" s="1" t="str">
        <f t="shared" si="33"/>
        <v xml:space="preserve">AND ZDEPOSIT='000530000734792' </v>
      </c>
      <c r="L371" s="1" t="str">
        <f t="shared" si="34"/>
        <v>WHEN CEMPRESA='89' AND CBALCAO='0000' AND CNUMECTA='00008046502' AND ZDEPOSIT='000530000734792' THEN 1</v>
      </c>
      <c r="M371" s="1" t="str">
        <f t="shared" si="35"/>
        <v>WHEN CEMPRESA='89' AND CBALCAO='0000' AND CNUMECTA='00008046502' AND ZDEPOSIT='000530000734792' THEN 'A.2.5.'</v>
      </c>
    </row>
    <row r="372" spans="2:13" x14ac:dyDescent="0.25">
      <c r="B372" s="1" t="s">
        <v>54</v>
      </c>
      <c r="C372" s="1" t="s">
        <v>55</v>
      </c>
      <c r="D372" s="1" t="s">
        <v>535</v>
      </c>
      <c r="E372" s="1" t="s">
        <v>536</v>
      </c>
      <c r="F372" s="1">
        <v>1</v>
      </c>
      <c r="G372" s="1" t="s">
        <v>58</v>
      </c>
      <c r="H372" s="1" t="str">
        <f t="shared" si="30"/>
        <v xml:space="preserve">CEMPRESA='89' </v>
      </c>
      <c r="I372" s="1" t="str">
        <f t="shared" si="31"/>
        <v xml:space="preserve">AND CBALCAO='0000' </v>
      </c>
      <c r="J372" s="1" t="str">
        <f t="shared" si="32"/>
        <v xml:space="preserve">AND CNUMECTA='00000250240' </v>
      </c>
      <c r="K372" s="1" t="str">
        <f t="shared" si="33"/>
        <v xml:space="preserve">AND ZDEPOSIT='000450000463688' </v>
      </c>
      <c r="L372" s="1" t="str">
        <f t="shared" si="34"/>
        <v>WHEN CEMPRESA='89' AND CBALCAO='0000' AND CNUMECTA='00000250240' AND ZDEPOSIT='000450000463688' THEN 1</v>
      </c>
      <c r="M372" s="1" t="str">
        <f t="shared" si="35"/>
        <v>WHEN CEMPRESA='89' AND CBALCAO='0000' AND CNUMECTA='00000250240' AND ZDEPOSIT='000450000463688' THEN 'A.2.5.'</v>
      </c>
    </row>
    <row r="373" spans="2:13" x14ac:dyDescent="0.25">
      <c r="B373" s="1" t="s">
        <v>45</v>
      </c>
      <c r="C373" s="1" t="s">
        <v>46</v>
      </c>
      <c r="D373" s="1" t="s">
        <v>537</v>
      </c>
      <c r="E373" s="1" t="s">
        <v>48</v>
      </c>
      <c r="F373" s="1">
        <v>1</v>
      </c>
      <c r="G373" s="1" t="s">
        <v>209</v>
      </c>
      <c r="H373" s="1" t="str">
        <f t="shared" si="30"/>
        <v xml:space="preserve">CEMPRESA='31' </v>
      </c>
      <c r="I373" s="1" t="str">
        <f t="shared" si="31"/>
        <v xml:space="preserve">AND CBALCAO='0003' </v>
      </c>
      <c r="J373" s="1" t="str">
        <f t="shared" si="32"/>
        <v xml:space="preserve">AND CNUMECTA='20549175096' </v>
      </c>
      <c r="K373" s="1" t="str">
        <f t="shared" si="33"/>
        <v xml:space="preserve">AND ZDEPOSIT='000000000000000' </v>
      </c>
      <c r="L373" s="1" t="str">
        <f t="shared" si="34"/>
        <v>WHEN CEMPRESA='31' AND CBALCAO='0003' AND CNUMECTA='20549175096' AND ZDEPOSIT='000000000000000' THEN 1</v>
      </c>
      <c r="M373" s="1" t="str">
        <f t="shared" si="35"/>
        <v>WHEN CEMPRESA='31' AND CBALCAO='0003' AND CNUMECTA='20549175096' AND ZDEPOSIT='000000000000000' THEN 'A.3.1.'</v>
      </c>
    </row>
    <row r="374" spans="2:13" x14ac:dyDescent="0.25">
      <c r="B374" s="1" t="s">
        <v>45</v>
      </c>
      <c r="C374" s="1" t="s">
        <v>46</v>
      </c>
      <c r="D374" s="1" t="s">
        <v>538</v>
      </c>
      <c r="E374" s="1" t="s">
        <v>48</v>
      </c>
      <c r="F374" s="1">
        <v>1</v>
      </c>
      <c r="G374" s="1" t="s">
        <v>60</v>
      </c>
      <c r="H374" s="1" t="str">
        <f t="shared" si="30"/>
        <v xml:space="preserve">CEMPRESA='31' </v>
      </c>
      <c r="I374" s="1" t="str">
        <f t="shared" si="31"/>
        <v xml:space="preserve">AND CBALCAO='0003' </v>
      </c>
      <c r="J374" s="1" t="str">
        <f t="shared" si="32"/>
        <v xml:space="preserve">AND CNUMECTA='20521117096' </v>
      </c>
      <c r="K374" s="1" t="str">
        <f t="shared" si="33"/>
        <v xml:space="preserve">AND ZDEPOSIT='000000000000000' </v>
      </c>
      <c r="L374" s="1" t="str">
        <f t="shared" si="34"/>
        <v>WHEN CEMPRESA='31' AND CBALCAO='0003' AND CNUMECTA='20521117096' AND ZDEPOSIT='000000000000000' THEN 1</v>
      </c>
      <c r="M374" s="1" t="str">
        <f t="shared" si="35"/>
        <v>WHEN CEMPRESA='31' AND CBALCAO='0003' AND CNUMECTA='20521117096' AND ZDEPOSIT='000000000000000' THEN 'A.3.7.'</v>
      </c>
    </row>
    <row r="375" spans="2:13" x14ac:dyDescent="0.25">
      <c r="B375" s="1" t="s">
        <v>54</v>
      </c>
      <c r="C375" s="1" t="s">
        <v>55</v>
      </c>
      <c r="D375" s="1" t="s">
        <v>313</v>
      </c>
      <c r="E375" s="1" t="s">
        <v>208</v>
      </c>
      <c r="F375" s="1">
        <v>1</v>
      </c>
      <c r="G375" s="1" t="s">
        <v>209</v>
      </c>
      <c r="H375" s="1" t="str">
        <f t="shared" si="30"/>
        <v xml:space="preserve">CEMPRESA='89' </v>
      </c>
      <c r="I375" s="1" t="str">
        <f t="shared" si="31"/>
        <v xml:space="preserve">AND CBALCAO='0000' </v>
      </c>
      <c r="J375" s="1" t="str">
        <f t="shared" si="32"/>
        <v xml:space="preserve">AND CNUMECTA='20240000326' </v>
      </c>
      <c r="K375" s="1" t="str">
        <f t="shared" si="33"/>
        <v xml:space="preserve">AND ZDEPOSIT='0004900C59640I1' </v>
      </c>
      <c r="L375" s="1" t="str">
        <f t="shared" si="34"/>
        <v>WHEN CEMPRESA='89' AND CBALCAO='0000' AND CNUMECTA='20240000326' AND ZDEPOSIT='0004900C59640I1' THEN 1</v>
      </c>
      <c r="M375" s="1" t="str">
        <f t="shared" si="35"/>
        <v>WHEN CEMPRESA='89' AND CBALCAO='0000' AND CNUMECTA='20240000326' AND ZDEPOSIT='0004900C59640I1' THEN 'A.3.1.'</v>
      </c>
    </row>
    <row r="376" spans="2:13" x14ac:dyDescent="0.25">
      <c r="B376" s="1" t="s">
        <v>45</v>
      </c>
      <c r="C376" s="1" t="s">
        <v>46</v>
      </c>
      <c r="D376" s="1" t="s">
        <v>539</v>
      </c>
      <c r="E376" s="1" t="s">
        <v>48</v>
      </c>
      <c r="F376" s="1">
        <v>1</v>
      </c>
      <c r="G376" s="1" t="s">
        <v>60</v>
      </c>
      <c r="H376" s="1" t="str">
        <f t="shared" si="30"/>
        <v xml:space="preserve">CEMPRESA='31' </v>
      </c>
      <c r="I376" s="1" t="str">
        <f t="shared" si="31"/>
        <v xml:space="preserve">AND CBALCAO='0003' </v>
      </c>
      <c r="J376" s="1" t="str">
        <f t="shared" si="32"/>
        <v xml:space="preserve">AND CNUMECTA='20624143096' </v>
      </c>
      <c r="K376" s="1" t="str">
        <f t="shared" si="33"/>
        <v xml:space="preserve">AND ZDEPOSIT='000000000000000' </v>
      </c>
      <c r="L376" s="1" t="str">
        <f t="shared" si="34"/>
        <v>WHEN CEMPRESA='31' AND CBALCAO='0003' AND CNUMECTA='20624143096' AND ZDEPOSIT='000000000000000' THEN 1</v>
      </c>
      <c r="M376" s="1" t="str">
        <f t="shared" si="35"/>
        <v>WHEN CEMPRESA='31' AND CBALCAO='0003' AND CNUMECTA='20624143096' AND ZDEPOSIT='000000000000000' THEN 'A.3.7.'</v>
      </c>
    </row>
    <row r="377" spans="2:13" x14ac:dyDescent="0.25">
      <c r="B377" s="1" t="s">
        <v>45</v>
      </c>
      <c r="C377" s="1" t="s">
        <v>46</v>
      </c>
      <c r="D377" s="1" t="s">
        <v>540</v>
      </c>
      <c r="E377" s="1" t="s">
        <v>48</v>
      </c>
      <c r="F377" s="1">
        <v>1</v>
      </c>
      <c r="G377" s="1" t="s">
        <v>60</v>
      </c>
      <c r="H377" s="1" t="str">
        <f t="shared" si="30"/>
        <v xml:space="preserve">CEMPRESA='31' </v>
      </c>
      <c r="I377" s="1" t="str">
        <f t="shared" si="31"/>
        <v xml:space="preserve">AND CBALCAO='0003' </v>
      </c>
      <c r="J377" s="1" t="str">
        <f t="shared" si="32"/>
        <v xml:space="preserve">AND CNUMECTA='20459367096' </v>
      </c>
      <c r="K377" s="1" t="str">
        <f t="shared" si="33"/>
        <v xml:space="preserve">AND ZDEPOSIT='000000000000000' </v>
      </c>
      <c r="L377" s="1" t="str">
        <f t="shared" si="34"/>
        <v>WHEN CEMPRESA='31' AND CBALCAO='0003' AND CNUMECTA='20459367096' AND ZDEPOSIT='000000000000000' THEN 1</v>
      </c>
      <c r="M377" s="1" t="str">
        <f t="shared" si="35"/>
        <v>WHEN CEMPRESA='31' AND CBALCAO='0003' AND CNUMECTA='20459367096' AND ZDEPOSIT='000000000000000' THEN 'A.3.7.'</v>
      </c>
    </row>
    <row r="378" spans="2:13" x14ac:dyDescent="0.25">
      <c r="B378" s="1" t="s">
        <v>45</v>
      </c>
      <c r="C378" s="1" t="s">
        <v>46</v>
      </c>
      <c r="D378" s="1" t="s">
        <v>541</v>
      </c>
      <c r="E378" s="1" t="s">
        <v>48</v>
      </c>
      <c r="F378" s="1">
        <v>1</v>
      </c>
      <c r="G378" s="1" t="s">
        <v>60</v>
      </c>
      <c r="H378" s="1" t="str">
        <f t="shared" si="30"/>
        <v xml:space="preserve">CEMPRESA='31' </v>
      </c>
      <c r="I378" s="1" t="str">
        <f t="shared" si="31"/>
        <v xml:space="preserve">AND CBALCAO='0003' </v>
      </c>
      <c r="J378" s="1" t="str">
        <f t="shared" si="32"/>
        <v xml:space="preserve">AND CNUMECTA='20515382096' </v>
      </c>
      <c r="K378" s="1" t="str">
        <f t="shared" si="33"/>
        <v xml:space="preserve">AND ZDEPOSIT='000000000000000' </v>
      </c>
      <c r="L378" s="1" t="str">
        <f t="shared" si="34"/>
        <v>WHEN CEMPRESA='31' AND CBALCAO='0003' AND CNUMECTA='20515382096' AND ZDEPOSIT='000000000000000' THEN 1</v>
      </c>
      <c r="M378" s="1" t="str">
        <f t="shared" si="35"/>
        <v>WHEN CEMPRESA='31' AND CBALCAO='0003' AND CNUMECTA='20515382096' AND ZDEPOSIT='000000000000000' THEN 'A.3.7.'</v>
      </c>
    </row>
    <row r="379" spans="2:13" x14ac:dyDescent="0.25">
      <c r="B379" s="1" t="s">
        <v>45</v>
      </c>
      <c r="C379" s="1" t="s">
        <v>46</v>
      </c>
      <c r="D379" s="1" t="s">
        <v>542</v>
      </c>
      <c r="E379" s="1" t="s">
        <v>48</v>
      </c>
      <c r="F379" s="1">
        <v>1</v>
      </c>
      <c r="G379" s="1" t="s">
        <v>60</v>
      </c>
      <c r="H379" s="1" t="str">
        <f t="shared" si="30"/>
        <v xml:space="preserve">CEMPRESA='31' </v>
      </c>
      <c r="I379" s="1" t="str">
        <f t="shared" si="31"/>
        <v xml:space="preserve">AND CBALCAO='0003' </v>
      </c>
      <c r="J379" s="1" t="str">
        <f t="shared" si="32"/>
        <v xml:space="preserve">AND CNUMECTA='20410055096' </v>
      </c>
      <c r="K379" s="1" t="str">
        <f t="shared" si="33"/>
        <v xml:space="preserve">AND ZDEPOSIT='000000000000000' </v>
      </c>
      <c r="L379" s="1" t="str">
        <f t="shared" si="34"/>
        <v>WHEN CEMPRESA='31' AND CBALCAO='0003' AND CNUMECTA='20410055096' AND ZDEPOSIT='000000000000000' THEN 1</v>
      </c>
      <c r="M379" s="1" t="str">
        <f t="shared" si="35"/>
        <v>WHEN CEMPRESA='31' AND CBALCAO='0003' AND CNUMECTA='20410055096' AND ZDEPOSIT='000000000000000' THEN 'A.3.7.'</v>
      </c>
    </row>
    <row r="380" spans="2:13" x14ac:dyDescent="0.25">
      <c r="B380" s="1" t="s">
        <v>45</v>
      </c>
      <c r="C380" s="1" t="s">
        <v>46</v>
      </c>
      <c r="D380" s="1" t="s">
        <v>543</v>
      </c>
      <c r="E380" s="1" t="s">
        <v>48</v>
      </c>
      <c r="F380" s="1">
        <v>1</v>
      </c>
      <c r="G380" s="1" t="s">
        <v>60</v>
      </c>
      <c r="H380" s="1" t="str">
        <f t="shared" si="30"/>
        <v xml:space="preserve">CEMPRESA='31' </v>
      </c>
      <c r="I380" s="1" t="str">
        <f t="shared" si="31"/>
        <v xml:space="preserve">AND CBALCAO='0003' </v>
      </c>
      <c r="J380" s="1" t="str">
        <f t="shared" si="32"/>
        <v xml:space="preserve">AND CNUMECTA='20523568096' </v>
      </c>
      <c r="K380" s="1" t="str">
        <f t="shared" si="33"/>
        <v xml:space="preserve">AND ZDEPOSIT='000000000000000' </v>
      </c>
      <c r="L380" s="1" t="str">
        <f t="shared" si="34"/>
        <v>WHEN CEMPRESA='31' AND CBALCAO='0003' AND CNUMECTA='20523568096' AND ZDEPOSIT='000000000000000' THEN 1</v>
      </c>
      <c r="M380" s="1" t="str">
        <f t="shared" si="35"/>
        <v>WHEN CEMPRESA='31' AND CBALCAO='0003' AND CNUMECTA='20523568096' AND ZDEPOSIT='000000000000000' THEN 'A.3.7.'</v>
      </c>
    </row>
    <row r="381" spans="2:13" x14ac:dyDescent="0.25">
      <c r="B381" s="1" t="s">
        <v>45</v>
      </c>
      <c r="C381" s="1" t="s">
        <v>46</v>
      </c>
      <c r="D381" s="1" t="s">
        <v>544</v>
      </c>
      <c r="E381" s="1" t="s">
        <v>48</v>
      </c>
      <c r="F381" s="1">
        <v>1</v>
      </c>
      <c r="G381" s="1" t="s">
        <v>60</v>
      </c>
      <c r="H381" s="1" t="str">
        <f t="shared" si="30"/>
        <v xml:space="preserve">CEMPRESA='31' </v>
      </c>
      <c r="I381" s="1" t="str">
        <f t="shared" si="31"/>
        <v xml:space="preserve">AND CBALCAO='0003' </v>
      </c>
      <c r="J381" s="1" t="str">
        <f t="shared" si="32"/>
        <v xml:space="preserve">AND CNUMECTA='20437116096' </v>
      </c>
      <c r="K381" s="1" t="str">
        <f t="shared" si="33"/>
        <v xml:space="preserve">AND ZDEPOSIT='000000000000000' </v>
      </c>
      <c r="L381" s="1" t="str">
        <f t="shared" si="34"/>
        <v>WHEN CEMPRESA='31' AND CBALCAO='0003' AND CNUMECTA='20437116096' AND ZDEPOSIT='000000000000000' THEN 1</v>
      </c>
      <c r="M381" s="1" t="str">
        <f t="shared" si="35"/>
        <v>WHEN CEMPRESA='31' AND CBALCAO='0003' AND CNUMECTA='20437116096' AND ZDEPOSIT='000000000000000' THEN 'A.3.7.'</v>
      </c>
    </row>
    <row r="382" spans="2:13" x14ac:dyDescent="0.25">
      <c r="B382" s="1" t="s">
        <v>45</v>
      </c>
      <c r="C382" s="1" t="s">
        <v>46</v>
      </c>
      <c r="D382" s="1" t="s">
        <v>545</v>
      </c>
      <c r="E382" s="1" t="s">
        <v>48</v>
      </c>
      <c r="F382" s="1">
        <v>1</v>
      </c>
      <c r="G382" s="1" t="s">
        <v>60</v>
      </c>
      <c r="H382" s="1" t="str">
        <f t="shared" si="30"/>
        <v xml:space="preserve">CEMPRESA='31' </v>
      </c>
      <c r="I382" s="1" t="str">
        <f t="shared" si="31"/>
        <v xml:space="preserve">AND CBALCAO='0003' </v>
      </c>
      <c r="J382" s="1" t="str">
        <f t="shared" si="32"/>
        <v xml:space="preserve">AND CNUMECTA='20620109096' </v>
      </c>
      <c r="K382" s="1" t="str">
        <f t="shared" si="33"/>
        <v xml:space="preserve">AND ZDEPOSIT='000000000000000' </v>
      </c>
      <c r="L382" s="1" t="str">
        <f t="shared" si="34"/>
        <v>WHEN CEMPRESA='31' AND CBALCAO='0003' AND CNUMECTA='20620109096' AND ZDEPOSIT='000000000000000' THEN 1</v>
      </c>
      <c r="M382" s="1" t="str">
        <f t="shared" si="35"/>
        <v>WHEN CEMPRESA='31' AND CBALCAO='0003' AND CNUMECTA='20620109096' AND ZDEPOSIT='000000000000000' THEN 'A.3.7.'</v>
      </c>
    </row>
    <row r="383" spans="2:13" x14ac:dyDescent="0.25">
      <c r="B383" s="1" t="s">
        <v>54</v>
      </c>
      <c r="C383" s="1" t="s">
        <v>55</v>
      </c>
      <c r="D383" s="1" t="s">
        <v>546</v>
      </c>
      <c r="E383" s="1" t="s">
        <v>547</v>
      </c>
      <c r="F383" s="1">
        <v>1</v>
      </c>
      <c r="G383" s="1" t="s">
        <v>58</v>
      </c>
      <c r="H383" s="1" t="str">
        <f t="shared" si="30"/>
        <v xml:space="preserve">CEMPRESA='89' </v>
      </c>
      <c r="I383" s="1" t="str">
        <f t="shared" si="31"/>
        <v xml:space="preserve">AND CBALCAO='0000' </v>
      </c>
      <c r="J383" s="1" t="str">
        <f t="shared" si="32"/>
        <v xml:space="preserve">AND CNUMECTA='00000250018' </v>
      </c>
      <c r="K383" s="1" t="str">
        <f t="shared" si="33"/>
        <v xml:space="preserve">AND ZDEPOSIT='000450000111159' </v>
      </c>
      <c r="L383" s="1" t="str">
        <f t="shared" si="34"/>
        <v>WHEN CEMPRESA='89' AND CBALCAO='0000' AND CNUMECTA='00000250018' AND ZDEPOSIT='000450000111159' THEN 1</v>
      </c>
      <c r="M383" s="1" t="str">
        <f t="shared" si="35"/>
        <v>WHEN CEMPRESA='89' AND CBALCAO='0000' AND CNUMECTA='00000250018' AND ZDEPOSIT='000450000111159' THEN 'A.2.5.'</v>
      </c>
    </row>
    <row r="384" spans="2:13" x14ac:dyDescent="0.25">
      <c r="B384" s="1" t="s">
        <v>45</v>
      </c>
      <c r="C384" s="1" t="s">
        <v>46</v>
      </c>
      <c r="D384" s="1" t="s">
        <v>548</v>
      </c>
      <c r="E384" s="1" t="s">
        <v>48</v>
      </c>
      <c r="F384" s="1">
        <v>1</v>
      </c>
      <c r="G384" s="1" t="s">
        <v>60</v>
      </c>
      <c r="H384" s="1" t="str">
        <f t="shared" si="30"/>
        <v xml:space="preserve">CEMPRESA='31' </v>
      </c>
      <c r="I384" s="1" t="str">
        <f t="shared" si="31"/>
        <v xml:space="preserve">AND CBALCAO='0003' </v>
      </c>
      <c r="J384" s="1" t="str">
        <f t="shared" si="32"/>
        <v xml:space="preserve">AND CNUMECTA='20636519096' </v>
      </c>
      <c r="K384" s="1" t="str">
        <f t="shared" si="33"/>
        <v xml:space="preserve">AND ZDEPOSIT='000000000000000' </v>
      </c>
      <c r="L384" s="1" t="str">
        <f t="shared" si="34"/>
        <v>WHEN CEMPRESA='31' AND CBALCAO='0003' AND CNUMECTA='20636519096' AND ZDEPOSIT='000000000000000' THEN 1</v>
      </c>
      <c r="M384" s="1" t="str">
        <f t="shared" si="35"/>
        <v>WHEN CEMPRESA='31' AND CBALCAO='0003' AND CNUMECTA='20636519096' AND ZDEPOSIT='000000000000000' THEN 'A.3.7.'</v>
      </c>
    </row>
    <row r="385" spans="2:13" x14ac:dyDescent="0.25">
      <c r="B385" s="1" t="s">
        <v>45</v>
      </c>
      <c r="C385" s="1" t="s">
        <v>46</v>
      </c>
      <c r="D385" s="1" t="s">
        <v>549</v>
      </c>
      <c r="E385" s="1" t="s">
        <v>48</v>
      </c>
      <c r="F385" s="1">
        <v>1</v>
      </c>
      <c r="G385" s="1" t="s">
        <v>76</v>
      </c>
      <c r="H385" s="1" t="str">
        <f t="shared" si="30"/>
        <v xml:space="preserve">CEMPRESA='31' </v>
      </c>
      <c r="I385" s="1" t="str">
        <f t="shared" si="31"/>
        <v xml:space="preserve">AND CBALCAO='0003' </v>
      </c>
      <c r="J385" s="1" t="str">
        <f t="shared" si="32"/>
        <v xml:space="preserve">AND CNUMECTA='18607398097' </v>
      </c>
      <c r="K385" s="1" t="str">
        <f t="shared" si="33"/>
        <v xml:space="preserve">AND ZDEPOSIT='000000000000000' </v>
      </c>
      <c r="L385" s="1" t="str">
        <f t="shared" si="34"/>
        <v>WHEN CEMPRESA='31' AND CBALCAO='0003' AND CNUMECTA='18607398097' AND ZDEPOSIT='000000000000000' THEN 1</v>
      </c>
      <c r="M385" s="1" t="str">
        <f t="shared" si="35"/>
        <v>WHEN CEMPRESA='31' AND CBALCAO='0003' AND CNUMECTA='18607398097' AND ZDEPOSIT='000000000000000' THEN 'A.7.7.'</v>
      </c>
    </row>
    <row r="386" spans="2:13" x14ac:dyDescent="0.25">
      <c r="B386" s="1" t="s">
        <v>45</v>
      </c>
      <c r="C386" s="1" t="s">
        <v>46</v>
      </c>
      <c r="D386" s="1" t="s">
        <v>550</v>
      </c>
      <c r="E386" s="1" t="s">
        <v>48</v>
      </c>
      <c r="F386" s="1">
        <v>1</v>
      </c>
      <c r="G386" s="1" t="s">
        <v>76</v>
      </c>
      <c r="H386" s="1" t="str">
        <f t="shared" si="30"/>
        <v xml:space="preserve">CEMPRESA='31' </v>
      </c>
      <c r="I386" s="1" t="str">
        <f t="shared" si="31"/>
        <v xml:space="preserve">AND CBALCAO='0003' </v>
      </c>
      <c r="J386" s="1" t="str">
        <f t="shared" si="32"/>
        <v xml:space="preserve">AND CNUMECTA='18607976097' </v>
      </c>
      <c r="K386" s="1" t="str">
        <f t="shared" si="33"/>
        <v xml:space="preserve">AND ZDEPOSIT='000000000000000' </v>
      </c>
      <c r="L386" s="1" t="str">
        <f t="shared" si="34"/>
        <v>WHEN CEMPRESA='31' AND CBALCAO='0003' AND CNUMECTA='18607976097' AND ZDEPOSIT='000000000000000' THEN 1</v>
      </c>
      <c r="M386" s="1" t="str">
        <f t="shared" si="35"/>
        <v>WHEN CEMPRESA='31' AND CBALCAO='0003' AND CNUMECTA='18607976097' AND ZDEPOSIT='000000000000000' THEN 'A.7.7.'</v>
      </c>
    </row>
    <row r="387" spans="2:13" x14ac:dyDescent="0.25">
      <c r="B387" s="1" t="s">
        <v>45</v>
      </c>
      <c r="C387" s="1" t="s">
        <v>46</v>
      </c>
      <c r="D387" s="1" t="s">
        <v>551</v>
      </c>
      <c r="E387" s="1" t="s">
        <v>48</v>
      </c>
      <c r="F387" s="1">
        <v>1</v>
      </c>
      <c r="G387" s="1" t="s">
        <v>60</v>
      </c>
      <c r="H387" s="1" t="str">
        <f t="shared" si="30"/>
        <v xml:space="preserve">CEMPRESA='31' </v>
      </c>
      <c r="I387" s="1" t="str">
        <f t="shared" si="31"/>
        <v xml:space="preserve">AND CBALCAO='0003' </v>
      </c>
      <c r="J387" s="1" t="str">
        <f t="shared" si="32"/>
        <v xml:space="preserve">AND CNUMECTA='20745823096' </v>
      </c>
      <c r="K387" s="1" t="str">
        <f t="shared" si="33"/>
        <v xml:space="preserve">AND ZDEPOSIT='000000000000000' </v>
      </c>
      <c r="L387" s="1" t="str">
        <f t="shared" si="34"/>
        <v>WHEN CEMPRESA='31' AND CBALCAO='0003' AND CNUMECTA='20745823096' AND ZDEPOSIT='000000000000000' THEN 1</v>
      </c>
      <c r="M387" s="1" t="str">
        <f t="shared" si="35"/>
        <v>WHEN CEMPRESA='31' AND CBALCAO='0003' AND CNUMECTA='20745823096' AND ZDEPOSIT='000000000000000' THEN 'A.3.7.'</v>
      </c>
    </row>
    <row r="388" spans="2:13" x14ac:dyDescent="0.25">
      <c r="B388" s="1" t="s">
        <v>54</v>
      </c>
      <c r="C388" s="1" t="s">
        <v>55</v>
      </c>
      <c r="D388" s="1" t="s">
        <v>552</v>
      </c>
      <c r="E388" s="1" t="s">
        <v>553</v>
      </c>
      <c r="F388" s="1">
        <v>1</v>
      </c>
      <c r="G388" s="1" t="s">
        <v>58</v>
      </c>
      <c r="H388" s="1" t="str">
        <f t="shared" ref="H388:H451" si="36">+IF(LEN(TRIM(B388))&gt;0,UPPER($B$2)&amp;"='"&amp;TRIM(B388)&amp;"' ","")</f>
        <v xml:space="preserve">CEMPRESA='89' </v>
      </c>
      <c r="I388" s="1" t="str">
        <f t="shared" ref="I388:I451" si="37">+IF(LEN(TRIM(C388))&gt;0,UPPER($C$2)&amp;"='"&amp;TRIM(C388)&amp;"' ","")</f>
        <v xml:space="preserve">AND CBALCAO='0000' </v>
      </c>
      <c r="J388" s="1" t="str">
        <f t="shared" ref="J388:J451" si="38">+IF(LEN(TRIM(D388))&gt;0,UPPER($D$2)&amp;"='"&amp;TRIM(D388)&amp;"' ","")</f>
        <v xml:space="preserve">AND CNUMECTA='00008046455' </v>
      </c>
      <c r="K388" s="1" t="str">
        <f t="shared" ref="K388:K451" si="39">+IF(LEN(TRIM(E388))&gt;0,UPPER($E$2)&amp;"='"&amp;TRIM(E388)&amp;"' ","")</f>
        <v xml:space="preserve">AND ZDEPOSIT='000530000777766' </v>
      </c>
      <c r="L388" s="1" t="str">
        <f t="shared" ref="L388:L451" si="40">+"WHEN "&amp;H388&amp;I388&amp;J388&amp;K388&amp;"THEN "&amp;F388</f>
        <v>WHEN CEMPRESA='89' AND CBALCAO='0000' AND CNUMECTA='00008046455' AND ZDEPOSIT='000530000777766' THEN 1</v>
      </c>
      <c r="M388" s="1" t="str">
        <f t="shared" ref="M388:M451" si="41">+"WHEN "&amp;H388&amp;I388&amp;J388&amp;K388&amp;"THEN "&amp;G388</f>
        <v>WHEN CEMPRESA='89' AND CBALCAO='0000' AND CNUMECTA='00008046455' AND ZDEPOSIT='000530000777766' THEN 'A.2.5.'</v>
      </c>
    </row>
    <row r="389" spans="2:13" x14ac:dyDescent="0.25">
      <c r="B389" s="1" t="s">
        <v>45</v>
      </c>
      <c r="C389" s="1" t="s">
        <v>46</v>
      </c>
      <c r="D389" s="1" t="s">
        <v>554</v>
      </c>
      <c r="E389" s="1" t="s">
        <v>48</v>
      </c>
      <c r="F389" s="1">
        <v>1</v>
      </c>
      <c r="G389" s="1" t="s">
        <v>60</v>
      </c>
      <c r="H389" s="1" t="str">
        <f t="shared" si="36"/>
        <v xml:space="preserve">CEMPRESA='31' </v>
      </c>
      <c r="I389" s="1" t="str">
        <f t="shared" si="37"/>
        <v xml:space="preserve">AND CBALCAO='0003' </v>
      </c>
      <c r="J389" s="1" t="str">
        <f t="shared" si="38"/>
        <v xml:space="preserve">AND CNUMECTA='20645544096' </v>
      </c>
      <c r="K389" s="1" t="str">
        <f t="shared" si="39"/>
        <v xml:space="preserve">AND ZDEPOSIT='000000000000000' </v>
      </c>
      <c r="L389" s="1" t="str">
        <f t="shared" si="40"/>
        <v>WHEN CEMPRESA='31' AND CBALCAO='0003' AND CNUMECTA='20645544096' AND ZDEPOSIT='000000000000000' THEN 1</v>
      </c>
      <c r="M389" s="1" t="str">
        <f t="shared" si="41"/>
        <v>WHEN CEMPRESA='31' AND CBALCAO='0003' AND CNUMECTA='20645544096' AND ZDEPOSIT='000000000000000' THEN 'A.3.7.'</v>
      </c>
    </row>
    <row r="390" spans="2:13" x14ac:dyDescent="0.25">
      <c r="B390" s="1" t="s">
        <v>54</v>
      </c>
      <c r="C390" s="1" t="s">
        <v>55</v>
      </c>
      <c r="D390" s="1" t="s">
        <v>555</v>
      </c>
      <c r="E390" s="1" t="s">
        <v>556</v>
      </c>
      <c r="F390" s="1">
        <v>1</v>
      </c>
      <c r="G390" s="1" t="s">
        <v>58</v>
      </c>
      <c r="H390" s="1" t="str">
        <f t="shared" si="36"/>
        <v xml:space="preserve">CEMPRESA='89' </v>
      </c>
      <c r="I390" s="1" t="str">
        <f t="shared" si="37"/>
        <v xml:space="preserve">AND CBALCAO='0000' </v>
      </c>
      <c r="J390" s="1" t="str">
        <f t="shared" si="38"/>
        <v xml:space="preserve">AND CNUMECTA='00000250068' </v>
      </c>
      <c r="K390" s="1" t="str">
        <f t="shared" si="39"/>
        <v xml:space="preserve">AND ZDEPOSIT='000450000482167' </v>
      </c>
      <c r="L390" s="1" t="str">
        <f t="shared" si="40"/>
        <v>WHEN CEMPRESA='89' AND CBALCAO='0000' AND CNUMECTA='00000250068' AND ZDEPOSIT='000450000482167' THEN 1</v>
      </c>
      <c r="M390" s="1" t="str">
        <f t="shared" si="41"/>
        <v>WHEN CEMPRESA='89' AND CBALCAO='0000' AND CNUMECTA='00000250068' AND ZDEPOSIT='000450000482167' THEN 'A.2.5.'</v>
      </c>
    </row>
    <row r="391" spans="2:13" x14ac:dyDescent="0.25">
      <c r="B391" s="1" t="s">
        <v>45</v>
      </c>
      <c r="C391" s="1" t="s">
        <v>46</v>
      </c>
      <c r="D391" s="1" t="s">
        <v>557</v>
      </c>
      <c r="E391" s="1" t="s">
        <v>48</v>
      </c>
      <c r="F391" s="1">
        <v>1</v>
      </c>
      <c r="G391" s="1" t="s">
        <v>76</v>
      </c>
      <c r="H391" s="1" t="str">
        <f t="shared" si="36"/>
        <v xml:space="preserve">CEMPRESA='31' </v>
      </c>
      <c r="I391" s="1" t="str">
        <f t="shared" si="37"/>
        <v xml:space="preserve">AND CBALCAO='0003' </v>
      </c>
      <c r="J391" s="1" t="str">
        <f t="shared" si="38"/>
        <v xml:space="preserve">AND CNUMECTA='18603488097' </v>
      </c>
      <c r="K391" s="1" t="str">
        <f t="shared" si="39"/>
        <v xml:space="preserve">AND ZDEPOSIT='000000000000000' </v>
      </c>
      <c r="L391" s="1" t="str">
        <f t="shared" si="40"/>
        <v>WHEN CEMPRESA='31' AND CBALCAO='0003' AND CNUMECTA='18603488097' AND ZDEPOSIT='000000000000000' THEN 1</v>
      </c>
      <c r="M391" s="1" t="str">
        <f t="shared" si="41"/>
        <v>WHEN CEMPRESA='31' AND CBALCAO='0003' AND CNUMECTA='18603488097' AND ZDEPOSIT='000000000000000' THEN 'A.7.7.'</v>
      </c>
    </row>
    <row r="392" spans="2:13" x14ac:dyDescent="0.25">
      <c r="B392" s="1" t="s">
        <v>45</v>
      </c>
      <c r="C392" s="1" t="s">
        <v>46</v>
      </c>
      <c r="D392" s="1" t="s">
        <v>558</v>
      </c>
      <c r="E392" s="1" t="s">
        <v>48</v>
      </c>
      <c r="F392" s="1">
        <v>1</v>
      </c>
      <c r="G392" s="1" t="s">
        <v>60</v>
      </c>
      <c r="H392" s="1" t="str">
        <f t="shared" si="36"/>
        <v xml:space="preserve">CEMPRESA='31' </v>
      </c>
      <c r="I392" s="1" t="str">
        <f t="shared" si="37"/>
        <v xml:space="preserve">AND CBALCAO='0003' </v>
      </c>
      <c r="J392" s="1" t="str">
        <f t="shared" si="38"/>
        <v xml:space="preserve">AND CNUMECTA='20606777096' </v>
      </c>
      <c r="K392" s="1" t="str">
        <f t="shared" si="39"/>
        <v xml:space="preserve">AND ZDEPOSIT='000000000000000' </v>
      </c>
      <c r="L392" s="1" t="str">
        <f t="shared" si="40"/>
        <v>WHEN CEMPRESA='31' AND CBALCAO='0003' AND CNUMECTA='20606777096' AND ZDEPOSIT='000000000000000' THEN 1</v>
      </c>
      <c r="M392" s="1" t="str">
        <f t="shared" si="41"/>
        <v>WHEN CEMPRESA='31' AND CBALCAO='0003' AND CNUMECTA='20606777096' AND ZDEPOSIT='000000000000000' THEN 'A.3.7.'</v>
      </c>
    </row>
    <row r="393" spans="2:13" x14ac:dyDescent="0.25">
      <c r="B393" s="1" t="s">
        <v>45</v>
      </c>
      <c r="C393" s="1" t="s">
        <v>114</v>
      </c>
      <c r="D393" s="1" t="s">
        <v>115</v>
      </c>
      <c r="E393" s="1" t="s">
        <v>559</v>
      </c>
      <c r="F393" s="1">
        <v>1</v>
      </c>
      <c r="G393" s="1" t="s">
        <v>117</v>
      </c>
      <c r="H393" s="1" t="str">
        <f t="shared" si="36"/>
        <v xml:space="preserve">CEMPRESA='31' </v>
      </c>
      <c r="I393" s="1" t="str">
        <f t="shared" si="37"/>
        <v xml:space="preserve">AND CBALCAO='6416' </v>
      </c>
      <c r="J393" s="1" t="str">
        <f t="shared" si="38"/>
        <v xml:space="preserve">AND CNUMECTA='00000001085' </v>
      </c>
      <c r="K393" s="1" t="str">
        <f t="shared" si="39"/>
        <v xml:space="preserve">AND ZDEPOSIT='PC0646093000000' </v>
      </c>
      <c r="L393" s="1" t="str">
        <f t="shared" si="40"/>
        <v>WHEN CEMPRESA='31' AND CBALCAO='6416' AND CNUMECTA='00000001085' AND ZDEPOSIT='PC0646093000000' THEN 1</v>
      </c>
      <c r="M393" s="1" t="str">
        <f t="shared" si="41"/>
        <v>WHEN CEMPRESA='31' AND CBALCAO='6416' AND CNUMECTA='00000001085' AND ZDEPOSIT='PC0646093000000' THEN 'Sustainability Linked Finance - Default'</v>
      </c>
    </row>
    <row r="394" spans="2:13" x14ac:dyDescent="0.25">
      <c r="B394" s="1" t="s">
        <v>54</v>
      </c>
      <c r="C394" s="1" t="s">
        <v>55</v>
      </c>
      <c r="D394" s="1" t="s">
        <v>560</v>
      </c>
      <c r="E394" s="1" t="s">
        <v>561</v>
      </c>
      <c r="F394" s="1">
        <v>1</v>
      </c>
      <c r="G394" s="1" t="s">
        <v>58</v>
      </c>
      <c r="H394" s="1" t="str">
        <f t="shared" si="36"/>
        <v xml:space="preserve">CEMPRESA='89' </v>
      </c>
      <c r="I394" s="1" t="str">
        <f t="shared" si="37"/>
        <v xml:space="preserve">AND CBALCAO='0000' </v>
      </c>
      <c r="J394" s="1" t="str">
        <f t="shared" si="38"/>
        <v xml:space="preserve">AND CNUMECTA='00008046481' </v>
      </c>
      <c r="K394" s="1" t="str">
        <f t="shared" si="39"/>
        <v xml:space="preserve">AND ZDEPOSIT='000530000672482' </v>
      </c>
      <c r="L394" s="1" t="str">
        <f t="shared" si="40"/>
        <v>WHEN CEMPRESA='89' AND CBALCAO='0000' AND CNUMECTA='00008046481' AND ZDEPOSIT='000530000672482' THEN 1</v>
      </c>
      <c r="M394" s="1" t="str">
        <f t="shared" si="41"/>
        <v>WHEN CEMPRESA='89' AND CBALCAO='0000' AND CNUMECTA='00008046481' AND ZDEPOSIT='000530000672482' THEN 'A.2.5.'</v>
      </c>
    </row>
    <row r="395" spans="2:13" x14ac:dyDescent="0.25">
      <c r="B395" s="1" t="s">
        <v>54</v>
      </c>
      <c r="C395" s="1" t="s">
        <v>55</v>
      </c>
      <c r="D395" s="1" t="s">
        <v>562</v>
      </c>
      <c r="E395" s="1" t="s">
        <v>563</v>
      </c>
      <c r="F395" s="1">
        <v>1</v>
      </c>
      <c r="G395" s="1" t="s">
        <v>58</v>
      </c>
      <c r="H395" s="1" t="str">
        <f t="shared" si="36"/>
        <v xml:space="preserve">CEMPRESA='89' </v>
      </c>
      <c r="I395" s="1" t="str">
        <f t="shared" si="37"/>
        <v xml:space="preserve">AND CBALCAO='0000' </v>
      </c>
      <c r="J395" s="1" t="str">
        <f t="shared" si="38"/>
        <v xml:space="preserve">AND CNUMECTA='00008046312' </v>
      </c>
      <c r="K395" s="1" t="str">
        <f t="shared" si="39"/>
        <v xml:space="preserve">AND ZDEPOSIT='000530000774981' </v>
      </c>
      <c r="L395" s="1" t="str">
        <f t="shared" si="40"/>
        <v>WHEN CEMPRESA='89' AND CBALCAO='0000' AND CNUMECTA='00008046312' AND ZDEPOSIT='000530000774981' THEN 1</v>
      </c>
      <c r="M395" s="1" t="str">
        <f t="shared" si="41"/>
        <v>WHEN CEMPRESA='89' AND CBALCAO='0000' AND CNUMECTA='00008046312' AND ZDEPOSIT='000530000774981' THEN 'A.2.5.'</v>
      </c>
    </row>
    <row r="396" spans="2:13" x14ac:dyDescent="0.25">
      <c r="B396" s="1" t="s">
        <v>45</v>
      </c>
      <c r="C396" s="1" t="s">
        <v>46</v>
      </c>
      <c r="D396" s="1" t="s">
        <v>564</v>
      </c>
      <c r="E396" s="1" t="s">
        <v>48</v>
      </c>
      <c r="F396" s="1">
        <v>1</v>
      </c>
      <c r="G396" s="1" t="s">
        <v>60</v>
      </c>
      <c r="H396" s="1" t="str">
        <f t="shared" si="36"/>
        <v xml:space="preserve">CEMPRESA='31' </v>
      </c>
      <c r="I396" s="1" t="str">
        <f t="shared" si="37"/>
        <v xml:space="preserve">AND CBALCAO='0003' </v>
      </c>
      <c r="J396" s="1" t="str">
        <f t="shared" si="38"/>
        <v xml:space="preserve">AND CNUMECTA='20586698096' </v>
      </c>
      <c r="K396" s="1" t="str">
        <f t="shared" si="39"/>
        <v xml:space="preserve">AND ZDEPOSIT='000000000000000' </v>
      </c>
      <c r="L396" s="1" t="str">
        <f t="shared" si="40"/>
        <v>WHEN CEMPRESA='31' AND CBALCAO='0003' AND CNUMECTA='20586698096' AND ZDEPOSIT='000000000000000' THEN 1</v>
      </c>
      <c r="M396" s="1" t="str">
        <f t="shared" si="41"/>
        <v>WHEN CEMPRESA='31' AND CBALCAO='0003' AND CNUMECTA='20586698096' AND ZDEPOSIT='000000000000000' THEN 'A.3.7.'</v>
      </c>
    </row>
    <row r="397" spans="2:13" x14ac:dyDescent="0.25">
      <c r="B397" s="1" t="s">
        <v>45</v>
      </c>
      <c r="C397" s="1" t="s">
        <v>46</v>
      </c>
      <c r="D397" s="1" t="s">
        <v>565</v>
      </c>
      <c r="E397" s="1" t="s">
        <v>48</v>
      </c>
      <c r="F397" s="1">
        <v>1</v>
      </c>
      <c r="G397" s="1" t="s">
        <v>60</v>
      </c>
      <c r="H397" s="1" t="str">
        <f t="shared" si="36"/>
        <v xml:space="preserve">CEMPRESA='31' </v>
      </c>
      <c r="I397" s="1" t="str">
        <f t="shared" si="37"/>
        <v xml:space="preserve">AND CBALCAO='0003' </v>
      </c>
      <c r="J397" s="1" t="str">
        <f t="shared" si="38"/>
        <v xml:space="preserve">AND CNUMECTA='20683388096' </v>
      </c>
      <c r="K397" s="1" t="str">
        <f t="shared" si="39"/>
        <v xml:space="preserve">AND ZDEPOSIT='000000000000000' </v>
      </c>
      <c r="L397" s="1" t="str">
        <f t="shared" si="40"/>
        <v>WHEN CEMPRESA='31' AND CBALCAO='0003' AND CNUMECTA='20683388096' AND ZDEPOSIT='000000000000000' THEN 1</v>
      </c>
      <c r="M397" s="1" t="str">
        <f t="shared" si="41"/>
        <v>WHEN CEMPRESA='31' AND CBALCAO='0003' AND CNUMECTA='20683388096' AND ZDEPOSIT='000000000000000' THEN 'A.3.7.'</v>
      </c>
    </row>
    <row r="398" spans="2:13" x14ac:dyDescent="0.25">
      <c r="B398" s="1" t="s">
        <v>45</v>
      </c>
      <c r="C398" s="1" t="s">
        <v>46</v>
      </c>
      <c r="D398" s="1" t="s">
        <v>566</v>
      </c>
      <c r="E398" s="1" t="s">
        <v>48</v>
      </c>
      <c r="F398" s="1">
        <v>1</v>
      </c>
      <c r="G398" s="1" t="s">
        <v>60</v>
      </c>
      <c r="H398" s="1" t="str">
        <f t="shared" si="36"/>
        <v xml:space="preserve">CEMPRESA='31' </v>
      </c>
      <c r="I398" s="1" t="str">
        <f t="shared" si="37"/>
        <v xml:space="preserve">AND CBALCAO='0003' </v>
      </c>
      <c r="J398" s="1" t="str">
        <f t="shared" si="38"/>
        <v xml:space="preserve">AND CNUMECTA='20480611096' </v>
      </c>
      <c r="K398" s="1" t="str">
        <f t="shared" si="39"/>
        <v xml:space="preserve">AND ZDEPOSIT='000000000000000' </v>
      </c>
      <c r="L398" s="1" t="str">
        <f t="shared" si="40"/>
        <v>WHEN CEMPRESA='31' AND CBALCAO='0003' AND CNUMECTA='20480611096' AND ZDEPOSIT='000000000000000' THEN 1</v>
      </c>
      <c r="M398" s="1" t="str">
        <f t="shared" si="41"/>
        <v>WHEN CEMPRESA='31' AND CBALCAO='0003' AND CNUMECTA='20480611096' AND ZDEPOSIT='000000000000000' THEN 'A.3.7.'</v>
      </c>
    </row>
    <row r="399" spans="2:13" x14ac:dyDescent="0.25">
      <c r="B399" s="1" t="s">
        <v>45</v>
      </c>
      <c r="C399" s="1" t="s">
        <v>46</v>
      </c>
      <c r="D399" s="1" t="s">
        <v>567</v>
      </c>
      <c r="E399" s="1" t="s">
        <v>48</v>
      </c>
      <c r="F399" s="1">
        <v>1</v>
      </c>
      <c r="G399" s="1" t="s">
        <v>60</v>
      </c>
      <c r="H399" s="1" t="str">
        <f t="shared" si="36"/>
        <v xml:space="preserve">CEMPRESA='31' </v>
      </c>
      <c r="I399" s="1" t="str">
        <f t="shared" si="37"/>
        <v xml:space="preserve">AND CBALCAO='0003' </v>
      </c>
      <c r="J399" s="1" t="str">
        <f t="shared" si="38"/>
        <v xml:space="preserve">AND CNUMECTA='20593694096' </v>
      </c>
      <c r="K399" s="1" t="str">
        <f t="shared" si="39"/>
        <v xml:space="preserve">AND ZDEPOSIT='000000000000000' </v>
      </c>
      <c r="L399" s="1" t="str">
        <f t="shared" si="40"/>
        <v>WHEN CEMPRESA='31' AND CBALCAO='0003' AND CNUMECTA='20593694096' AND ZDEPOSIT='000000000000000' THEN 1</v>
      </c>
      <c r="M399" s="1" t="str">
        <f t="shared" si="41"/>
        <v>WHEN CEMPRESA='31' AND CBALCAO='0003' AND CNUMECTA='20593694096' AND ZDEPOSIT='000000000000000' THEN 'A.3.7.'</v>
      </c>
    </row>
    <row r="400" spans="2:13" x14ac:dyDescent="0.25">
      <c r="B400" s="1" t="s">
        <v>54</v>
      </c>
      <c r="C400" s="1" t="s">
        <v>55</v>
      </c>
      <c r="D400" s="1" t="s">
        <v>568</v>
      </c>
      <c r="E400" s="1" t="s">
        <v>569</v>
      </c>
      <c r="F400" s="1">
        <v>1</v>
      </c>
      <c r="G400" s="1" t="s">
        <v>58</v>
      </c>
      <c r="H400" s="1" t="str">
        <f t="shared" si="36"/>
        <v xml:space="preserve">CEMPRESA='89' </v>
      </c>
      <c r="I400" s="1" t="str">
        <f t="shared" si="37"/>
        <v xml:space="preserve">AND CBALCAO='0000' </v>
      </c>
      <c r="J400" s="1" t="str">
        <f t="shared" si="38"/>
        <v xml:space="preserve">AND CNUMECTA='00008046550' </v>
      </c>
      <c r="K400" s="1" t="str">
        <f t="shared" si="39"/>
        <v xml:space="preserve">AND ZDEPOSIT='000530000775747' </v>
      </c>
      <c r="L400" s="1" t="str">
        <f t="shared" si="40"/>
        <v>WHEN CEMPRESA='89' AND CBALCAO='0000' AND CNUMECTA='00008046550' AND ZDEPOSIT='000530000775747' THEN 1</v>
      </c>
      <c r="M400" s="1" t="str">
        <f t="shared" si="41"/>
        <v>WHEN CEMPRESA='89' AND CBALCAO='0000' AND CNUMECTA='00008046550' AND ZDEPOSIT='000530000775747' THEN 'A.2.5.'</v>
      </c>
    </row>
    <row r="401" spans="2:13" x14ac:dyDescent="0.25">
      <c r="B401" s="1" t="s">
        <v>54</v>
      </c>
      <c r="C401" s="1" t="s">
        <v>55</v>
      </c>
      <c r="D401" s="1" t="s">
        <v>570</v>
      </c>
      <c r="E401" s="1" t="s">
        <v>571</v>
      </c>
      <c r="F401" s="1">
        <v>1</v>
      </c>
      <c r="G401" s="1" t="s">
        <v>58</v>
      </c>
      <c r="H401" s="1" t="str">
        <f t="shared" si="36"/>
        <v xml:space="preserve">CEMPRESA='89' </v>
      </c>
      <c r="I401" s="1" t="str">
        <f t="shared" si="37"/>
        <v xml:space="preserve">AND CBALCAO='0000' </v>
      </c>
      <c r="J401" s="1" t="str">
        <f t="shared" si="38"/>
        <v xml:space="preserve">AND CNUMECTA='00000250233' </v>
      </c>
      <c r="K401" s="1" t="str">
        <f t="shared" si="39"/>
        <v xml:space="preserve">AND ZDEPOSIT='000450000685443' </v>
      </c>
      <c r="L401" s="1" t="str">
        <f t="shared" si="40"/>
        <v>WHEN CEMPRESA='89' AND CBALCAO='0000' AND CNUMECTA='00000250233' AND ZDEPOSIT='000450000685443' THEN 1</v>
      </c>
      <c r="M401" s="1" t="str">
        <f t="shared" si="41"/>
        <v>WHEN CEMPRESA='89' AND CBALCAO='0000' AND CNUMECTA='00000250233' AND ZDEPOSIT='000450000685443' THEN 'A.2.5.'</v>
      </c>
    </row>
    <row r="402" spans="2:13" x14ac:dyDescent="0.25">
      <c r="B402" s="1" t="s">
        <v>54</v>
      </c>
      <c r="C402" s="1" t="s">
        <v>55</v>
      </c>
      <c r="D402" s="1" t="s">
        <v>572</v>
      </c>
      <c r="E402" s="1" t="s">
        <v>573</v>
      </c>
      <c r="F402" s="1">
        <v>1</v>
      </c>
      <c r="G402" s="1" t="s">
        <v>58</v>
      </c>
      <c r="H402" s="1" t="str">
        <f t="shared" si="36"/>
        <v xml:space="preserve">CEMPRESA='89' </v>
      </c>
      <c r="I402" s="1" t="str">
        <f t="shared" si="37"/>
        <v xml:space="preserve">AND CBALCAO='0000' </v>
      </c>
      <c r="J402" s="1" t="str">
        <f t="shared" si="38"/>
        <v xml:space="preserve">AND CNUMECTA='00000250154' </v>
      </c>
      <c r="K402" s="1" t="str">
        <f t="shared" si="39"/>
        <v xml:space="preserve">AND ZDEPOSIT='000450000655732' </v>
      </c>
      <c r="L402" s="1" t="str">
        <f t="shared" si="40"/>
        <v>WHEN CEMPRESA='89' AND CBALCAO='0000' AND CNUMECTA='00000250154' AND ZDEPOSIT='000450000655732' THEN 1</v>
      </c>
      <c r="M402" s="1" t="str">
        <f t="shared" si="41"/>
        <v>WHEN CEMPRESA='89' AND CBALCAO='0000' AND CNUMECTA='00000250154' AND ZDEPOSIT='000450000655732' THEN 'A.2.5.'</v>
      </c>
    </row>
    <row r="403" spans="2:13" x14ac:dyDescent="0.25">
      <c r="B403" s="1" t="s">
        <v>45</v>
      </c>
      <c r="C403" s="1" t="s">
        <v>46</v>
      </c>
      <c r="D403" s="1" t="s">
        <v>574</v>
      </c>
      <c r="E403" s="1" t="s">
        <v>48</v>
      </c>
      <c r="F403" s="1">
        <v>1</v>
      </c>
      <c r="G403" s="1" t="s">
        <v>60</v>
      </c>
      <c r="H403" s="1" t="str">
        <f t="shared" si="36"/>
        <v xml:space="preserve">CEMPRESA='31' </v>
      </c>
      <c r="I403" s="1" t="str">
        <f t="shared" si="37"/>
        <v xml:space="preserve">AND CBALCAO='0003' </v>
      </c>
      <c r="J403" s="1" t="str">
        <f t="shared" si="38"/>
        <v xml:space="preserve">AND CNUMECTA='20457197096' </v>
      </c>
      <c r="K403" s="1" t="str">
        <f t="shared" si="39"/>
        <v xml:space="preserve">AND ZDEPOSIT='000000000000000' </v>
      </c>
      <c r="L403" s="1" t="str">
        <f t="shared" si="40"/>
        <v>WHEN CEMPRESA='31' AND CBALCAO='0003' AND CNUMECTA='20457197096' AND ZDEPOSIT='000000000000000' THEN 1</v>
      </c>
      <c r="M403" s="1" t="str">
        <f t="shared" si="41"/>
        <v>WHEN CEMPRESA='31' AND CBALCAO='0003' AND CNUMECTA='20457197096' AND ZDEPOSIT='000000000000000' THEN 'A.3.7.'</v>
      </c>
    </row>
    <row r="404" spans="2:13" x14ac:dyDescent="0.25">
      <c r="B404" s="1" t="s">
        <v>54</v>
      </c>
      <c r="C404" s="1" t="s">
        <v>55</v>
      </c>
      <c r="D404" s="1" t="s">
        <v>207</v>
      </c>
      <c r="E404" s="1" t="s">
        <v>575</v>
      </c>
      <c r="F404" s="1">
        <v>1</v>
      </c>
      <c r="G404" s="1" t="s">
        <v>209</v>
      </c>
      <c r="H404" s="1" t="str">
        <f t="shared" si="36"/>
        <v xml:space="preserve">CEMPRESA='89' </v>
      </c>
      <c r="I404" s="1" t="str">
        <f t="shared" si="37"/>
        <v xml:space="preserve">AND CBALCAO='0000' </v>
      </c>
      <c r="J404" s="1" t="str">
        <f t="shared" si="38"/>
        <v xml:space="preserve">AND CNUMECTA='20240000271' </v>
      </c>
      <c r="K404" s="1" t="str">
        <f t="shared" si="39"/>
        <v xml:space="preserve">AND ZDEPOSIT='001520240310182' </v>
      </c>
      <c r="L404" s="1" t="str">
        <f t="shared" si="40"/>
        <v>WHEN CEMPRESA='89' AND CBALCAO='0000' AND CNUMECTA='20240000271' AND ZDEPOSIT='001520240310182' THEN 1</v>
      </c>
      <c r="M404" s="1" t="str">
        <f t="shared" si="41"/>
        <v>WHEN CEMPRESA='89' AND CBALCAO='0000' AND CNUMECTA='20240000271' AND ZDEPOSIT='001520240310182' THEN 'A.3.1.'</v>
      </c>
    </row>
    <row r="405" spans="2:13" x14ac:dyDescent="0.25">
      <c r="B405" s="1" t="s">
        <v>45</v>
      </c>
      <c r="C405" s="1" t="s">
        <v>46</v>
      </c>
      <c r="D405" s="1" t="s">
        <v>576</v>
      </c>
      <c r="E405" s="1" t="s">
        <v>48</v>
      </c>
      <c r="F405" s="1">
        <v>1</v>
      </c>
      <c r="G405" s="1" t="s">
        <v>60</v>
      </c>
      <c r="H405" s="1" t="str">
        <f t="shared" si="36"/>
        <v xml:space="preserve">CEMPRESA='31' </v>
      </c>
      <c r="I405" s="1" t="str">
        <f t="shared" si="37"/>
        <v xml:space="preserve">AND CBALCAO='0003' </v>
      </c>
      <c r="J405" s="1" t="str">
        <f t="shared" si="38"/>
        <v xml:space="preserve">AND CNUMECTA='20408539096' </v>
      </c>
      <c r="K405" s="1" t="str">
        <f t="shared" si="39"/>
        <v xml:space="preserve">AND ZDEPOSIT='000000000000000' </v>
      </c>
      <c r="L405" s="1" t="str">
        <f t="shared" si="40"/>
        <v>WHEN CEMPRESA='31' AND CBALCAO='0003' AND CNUMECTA='20408539096' AND ZDEPOSIT='000000000000000' THEN 1</v>
      </c>
      <c r="M405" s="1" t="str">
        <f t="shared" si="41"/>
        <v>WHEN CEMPRESA='31' AND CBALCAO='0003' AND CNUMECTA='20408539096' AND ZDEPOSIT='000000000000000' THEN 'A.3.7.'</v>
      </c>
    </row>
    <row r="406" spans="2:13" x14ac:dyDescent="0.25">
      <c r="B406" s="1" t="s">
        <v>45</v>
      </c>
      <c r="C406" s="1" t="s">
        <v>46</v>
      </c>
      <c r="D406" s="1" t="s">
        <v>577</v>
      </c>
      <c r="E406" s="1" t="s">
        <v>48</v>
      </c>
      <c r="F406" s="1">
        <v>1</v>
      </c>
      <c r="G406" s="1" t="s">
        <v>60</v>
      </c>
      <c r="H406" s="1" t="str">
        <f t="shared" si="36"/>
        <v xml:space="preserve">CEMPRESA='31' </v>
      </c>
      <c r="I406" s="1" t="str">
        <f t="shared" si="37"/>
        <v xml:space="preserve">AND CBALCAO='0003' </v>
      </c>
      <c r="J406" s="1" t="str">
        <f t="shared" si="38"/>
        <v xml:space="preserve">AND CNUMECTA='20718614096' </v>
      </c>
      <c r="K406" s="1" t="str">
        <f t="shared" si="39"/>
        <v xml:space="preserve">AND ZDEPOSIT='000000000000000' </v>
      </c>
      <c r="L406" s="1" t="str">
        <f t="shared" si="40"/>
        <v>WHEN CEMPRESA='31' AND CBALCAO='0003' AND CNUMECTA='20718614096' AND ZDEPOSIT='000000000000000' THEN 1</v>
      </c>
      <c r="M406" s="1" t="str">
        <f t="shared" si="41"/>
        <v>WHEN CEMPRESA='31' AND CBALCAO='0003' AND CNUMECTA='20718614096' AND ZDEPOSIT='000000000000000' THEN 'A.3.7.'</v>
      </c>
    </row>
    <row r="407" spans="2:13" x14ac:dyDescent="0.25">
      <c r="B407" s="1" t="s">
        <v>45</v>
      </c>
      <c r="C407" s="1" t="s">
        <v>46</v>
      </c>
      <c r="D407" s="1" t="s">
        <v>578</v>
      </c>
      <c r="E407" s="1" t="s">
        <v>48</v>
      </c>
      <c r="F407" s="1">
        <v>1</v>
      </c>
      <c r="G407" s="1" t="s">
        <v>60</v>
      </c>
      <c r="H407" s="1" t="str">
        <f t="shared" si="36"/>
        <v xml:space="preserve">CEMPRESA='31' </v>
      </c>
      <c r="I407" s="1" t="str">
        <f t="shared" si="37"/>
        <v xml:space="preserve">AND CBALCAO='0003' </v>
      </c>
      <c r="J407" s="1" t="str">
        <f t="shared" si="38"/>
        <v xml:space="preserve">AND CNUMECTA='20618384096' </v>
      </c>
      <c r="K407" s="1" t="str">
        <f t="shared" si="39"/>
        <v xml:space="preserve">AND ZDEPOSIT='000000000000000' </v>
      </c>
      <c r="L407" s="1" t="str">
        <f t="shared" si="40"/>
        <v>WHEN CEMPRESA='31' AND CBALCAO='0003' AND CNUMECTA='20618384096' AND ZDEPOSIT='000000000000000' THEN 1</v>
      </c>
      <c r="M407" s="1" t="str">
        <f t="shared" si="41"/>
        <v>WHEN CEMPRESA='31' AND CBALCAO='0003' AND CNUMECTA='20618384096' AND ZDEPOSIT='000000000000000' THEN 'A.3.7.'</v>
      </c>
    </row>
    <row r="408" spans="2:13" x14ac:dyDescent="0.25">
      <c r="B408" s="1" t="s">
        <v>54</v>
      </c>
      <c r="C408" s="1" t="s">
        <v>55</v>
      </c>
      <c r="D408" s="1" t="s">
        <v>233</v>
      </c>
      <c r="E408" s="1" t="s">
        <v>208</v>
      </c>
      <c r="F408" s="1">
        <v>1</v>
      </c>
      <c r="G408" s="1" t="s">
        <v>209</v>
      </c>
      <c r="H408" s="1" t="str">
        <f t="shared" si="36"/>
        <v xml:space="preserve">CEMPRESA='89' </v>
      </c>
      <c r="I408" s="1" t="str">
        <f t="shared" si="37"/>
        <v xml:space="preserve">AND CBALCAO='0000' </v>
      </c>
      <c r="J408" s="1" t="str">
        <f t="shared" si="38"/>
        <v xml:space="preserve">AND CNUMECTA='20240000303' </v>
      </c>
      <c r="K408" s="1" t="str">
        <f t="shared" si="39"/>
        <v xml:space="preserve">AND ZDEPOSIT='0004900C59640I1' </v>
      </c>
      <c r="L408" s="1" t="str">
        <f t="shared" si="40"/>
        <v>WHEN CEMPRESA='89' AND CBALCAO='0000' AND CNUMECTA='20240000303' AND ZDEPOSIT='0004900C59640I1' THEN 1</v>
      </c>
      <c r="M408" s="1" t="str">
        <f t="shared" si="41"/>
        <v>WHEN CEMPRESA='89' AND CBALCAO='0000' AND CNUMECTA='20240000303' AND ZDEPOSIT='0004900C59640I1' THEN 'A.3.1.'</v>
      </c>
    </row>
    <row r="409" spans="2:13" x14ac:dyDescent="0.25">
      <c r="B409" s="1" t="s">
        <v>45</v>
      </c>
      <c r="C409" s="1" t="s">
        <v>46</v>
      </c>
      <c r="D409" s="1" t="s">
        <v>579</v>
      </c>
      <c r="E409" s="1" t="s">
        <v>48</v>
      </c>
      <c r="F409" s="1">
        <v>1</v>
      </c>
      <c r="G409" s="1" t="s">
        <v>60</v>
      </c>
      <c r="H409" s="1" t="str">
        <f t="shared" si="36"/>
        <v xml:space="preserve">CEMPRESA='31' </v>
      </c>
      <c r="I409" s="1" t="str">
        <f t="shared" si="37"/>
        <v xml:space="preserve">AND CBALCAO='0003' </v>
      </c>
      <c r="J409" s="1" t="str">
        <f t="shared" si="38"/>
        <v xml:space="preserve">AND CNUMECTA='20481221096' </v>
      </c>
      <c r="K409" s="1" t="str">
        <f t="shared" si="39"/>
        <v xml:space="preserve">AND ZDEPOSIT='000000000000000' </v>
      </c>
      <c r="L409" s="1" t="str">
        <f t="shared" si="40"/>
        <v>WHEN CEMPRESA='31' AND CBALCAO='0003' AND CNUMECTA='20481221096' AND ZDEPOSIT='000000000000000' THEN 1</v>
      </c>
      <c r="M409" s="1" t="str">
        <f t="shared" si="41"/>
        <v>WHEN CEMPRESA='31' AND CBALCAO='0003' AND CNUMECTA='20481221096' AND ZDEPOSIT='000000000000000' THEN 'A.3.7.'</v>
      </c>
    </row>
    <row r="410" spans="2:13" x14ac:dyDescent="0.25">
      <c r="B410" s="1" t="s">
        <v>45</v>
      </c>
      <c r="C410" s="1" t="s">
        <v>46</v>
      </c>
      <c r="D410" s="1" t="s">
        <v>580</v>
      </c>
      <c r="E410" s="1" t="s">
        <v>48</v>
      </c>
      <c r="F410" s="1">
        <v>1</v>
      </c>
      <c r="G410" s="1" t="s">
        <v>60</v>
      </c>
      <c r="H410" s="1" t="str">
        <f t="shared" si="36"/>
        <v xml:space="preserve">CEMPRESA='31' </v>
      </c>
      <c r="I410" s="1" t="str">
        <f t="shared" si="37"/>
        <v xml:space="preserve">AND CBALCAO='0003' </v>
      </c>
      <c r="J410" s="1" t="str">
        <f t="shared" si="38"/>
        <v xml:space="preserve">AND CNUMECTA='20655675096' </v>
      </c>
      <c r="K410" s="1" t="str">
        <f t="shared" si="39"/>
        <v xml:space="preserve">AND ZDEPOSIT='000000000000000' </v>
      </c>
      <c r="L410" s="1" t="str">
        <f t="shared" si="40"/>
        <v>WHEN CEMPRESA='31' AND CBALCAO='0003' AND CNUMECTA='20655675096' AND ZDEPOSIT='000000000000000' THEN 1</v>
      </c>
      <c r="M410" s="1" t="str">
        <f t="shared" si="41"/>
        <v>WHEN CEMPRESA='31' AND CBALCAO='0003' AND CNUMECTA='20655675096' AND ZDEPOSIT='000000000000000' THEN 'A.3.7.'</v>
      </c>
    </row>
    <row r="411" spans="2:13" x14ac:dyDescent="0.25">
      <c r="B411" s="1" t="s">
        <v>45</v>
      </c>
      <c r="C411" s="1" t="s">
        <v>46</v>
      </c>
      <c r="D411" s="1" t="s">
        <v>581</v>
      </c>
      <c r="E411" s="1" t="s">
        <v>48</v>
      </c>
      <c r="F411" s="1">
        <v>1</v>
      </c>
      <c r="G411" s="1" t="s">
        <v>53</v>
      </c>
      <c r="H411" s="1" t="str">
        <f t="shared" si="36"/>
        <v xml:space="preserve">CEMPRESA='31' </v>
      </c>
      <c r="I411" s="1" t="str">
        <f t="shared" si="37"/>
        <v xml:space="preserve">AND CBALCAO='0003' </v>
      </c>
      <c r="J411" s="1" t="str">
        <f t="shared" si="38"/>
        <v xml:space="preserve">AND CNUMECTA='20524822096' </v>
      </c>
      <c r="K411" s="1" t="str">
        <f t="shared" si="39"/>
        <v xml:space="preserve">AND ZDEPOSIT='000000000000000' </v>
      </c>
      <c r="L411" s="1" t="str">
        <f t="shared" si="40"/>
        <v>WHEN CEMPRESA='31' AND CBALCAO='0003' AND CNUMECTA='20524822096' AND ZDEPOSIT='000000000000000' THEN 1</v>
      </c>
      <c r="M411" s="1" t="str">
        <f t="shared" si="41"/>
        <v>WHEN CEMPRESA='31' AND CBALCAO='0003' AND CNUMECTA='20524822096' AND ZDEPOSIT='000000000000000' THEN 'A.1.1.'</v>
      </c>
    </row>
    <row r="412" spans="2:13" x14ac:dyDescent="0.25">
      <c r="B412" s="1" t="s">
        <v>54</v>
      </c>
      <c r="C412" s="1" t="s">
        <v>55</v>
      </c>
      <c r="D412" s="1" t="s">
        <v>582</v>
      </c>
      <c r="E412" s="1" t="s">
        <v>583</v>
      </c>
      <c r="F412" s="1">
        <v>1</v>
      </c>
      <c r="G412" s="1" t="s">
        <v>58</v>
      </c>
      <c r="H412" s="1" t="str">
        <f t="shared" si="36"/>
        <v xml:space="preserve">CEMPRESA='89' </v>
      </c>
      <c r="I412" s="1" t="str">
        <f t="shared" si="37"/>
        <v xml:space="preserve">AND CBALCAO='0000' </v>
      </c>
      <c r="J412" s="1" t="str">
        <f t="shared" si="38"/>
        <v xml:space="preserve">AND CNUMECTA='00008046398' </v>
      </c>
      <c r="K412" s="1" t="str">
        <f t="shared" si="39"/>
        <v xml:space="preserve">AND ZDEPOSIT='000530000524393' </v>
      </c>
      <c r="L412" s="1" t="str">
        <f t="shared" si="40"/>
        <v>WHEN CEMPRESA='89' AND CBALCAO='0000' AND CNUMECTA='00008046398' AND ZDEPOSIT='000530000524393' THEN 1</v>
      </c>
      <c r="M412" s="1" t="str">
        <f t="shared" si="41"/>
        <v>WHEN CEMPRESA='89' AND CBALCAO='0000' AND CNUMECTA='00008046398' AND ZDEPOSIT='000530000524393' THEN 'A.2.5.'</v>
      </c>
    </row>
    <row r="413" spans="2:13" x14ac:dyDescent="0.25">
      <c r="B413" s="1" t="s">
        <v>54</v>
      </c>
      <c r="C413" s="1" t="s">
        <v>55</v>
      </c>
      <c r="D413" s="1" t="s">
        <v>584</v>
      </c>
      <c r="E413" s="1" t="s">
        <v>585</v>
      </c>
      <c r="F413" s="1">
        <v>1</v>
      </c>
      <c r="G413" s="1" t="s">
        <v>58</v>
      </c>
      <c r="H413" s="1" t="str">
        <f t="shared" si="36"/>
        <v xml:space="preserve">CEMPRESA='89' </v>
      </c>
      <c r="I413" s="1" t="str">
        <f t="shared" si="37"/>
        <v xml:space="preserve">AND CBALCAO='0000' </v>
      </c>
      <c r="J413" s="1" t="str">
        <f t="shared" si="38"/>
        <v xml:space="preserve">AND CNUMECTA='00008046392' </v>
      </c>
      <c r="K413" s="1" t="str">
        <f t="shared" si="39"/>
        <v xml:space="preserve">AND ZDEPOSIT='000530000744192' </v>
      </c>
      <c r="L413" s="1" t="str">
        <f t="shared" si="40"/>
        <v>WHEN CEMPRESA='89' AND CBALCAO='0000' AND CNUMECTA='00008046392' AND ZDEPOSIT='000530000744192' THEN 1</v>
      </c>
      <c r="M413" s="1" t="str">
        <f t="shared" si="41"/>
        <v>WHEN CEMPRESA='89' AND CBALCAO='0000' AND CNUMECTA='00008046392' AND ZDEPOSIT='000530000744192' THEN 'A.2.5.'</v>
      </c>
    </row>
    <row r="414" spans="2:13" x14ac:dyDescent="0.25">
      <c r="B414" s="1" t="s">
        <v>45</v>
      </c>
      <c r="C414" s="1" t="s">
        <v>46</v>
      </c>
      <c r="D414" s="1" t="s">
        <v>586</v>
      </c>
      <c r="E414" s="1" t="s">
        <v>48</v>
      </c>
      <c r="F414" s="1">
        <v>1</v>
      </c>
      <c r="G414" s="1" t="s">
        <v>60</v>
      </c>
      <c r="H414" s="1" t="str">
        <f t="shared" si="36"/>
        <v xml:space="preserve">CEMPRESA='31' </v>
      </c>
      <c r="I414" s="1" t="str">
        <f t="shared" si="37"/>
        <v xml:space="preserve">AND CBALCAO='0003' </v>
      </c>
      <c r="J414" s="1" t="str">
        <f t="shared" si="38"/>
        <v xml:space="preserve">AND CNUMECTA='20655840096' </v>
      </c>
      <c r="K414" s="1" t="str">
        <f t="shared" si="39"/>
        <v xml:space="preserve">AND ZDEPOSIT='000000000000000' </v>
      </c>
      <c r="L414" s="1" t="str">
        <f t="shared" si="40"/>
        <v>WHEN CEMPRESA='31' AND CBALCAO='0003' AND CNUMECTA='20655840096' AND ZDEPOSIT='000000000000000' THEN 1</v>
      </c>
      <c r="M414" s="1" t="str">
        <f t="shared" si="41"/>
        <v>WHEN CEMPRESA='31' AND CBALCAO='0003' AND CNUMECTA='20655840096' AND ZDEPOSIT='000000000000000' THEN 'A.3.7.'</v>
      </c>
    </row>
    <row r="415" spans="2:13" x14ac:dyDescent="0.25">
      <c r="B415" s="1" t="s">
        <v>54</v>
      </c>
      <c r="C415" s="1" t="s">
        <v>55</v>
      </c>
      <c r="D415" s="1" t="s">
        <v>587</v>
      </c>
      <c r="E415" s="1" t="s">
        <v>155</v>
      </c>
      <c r="F415" s="1">
        <v>1</v>
      </c>
      <c r="G415" s="1" t="s">
        <v>58</v>
      </c>
      <c r="H415" s="1" t="str">
        <f t="shared" si="36"/>
        <v xml:space="preserve">CEMPRESA='89' </v>
      </c>
      <c r="I415" s="1" t="str">
        <f t="shared" si="37"/>
        <v xml:space="preserve">AND CBALCAO='0000' </v>
      </c>
      <c r="J415" s="1" t="str">
        <f t="shared" si="38"/>
        <v xml:space="preserve">AND CNUMECTA='00000250394' </v>
      </c>
      <c r="K415" s="1" t="str">
        <f t="shared" si="39"/>
        <v xml:space="preserve">AND ZDEPOSIT='000450000479263' </v>
      </c>
      <c r="L415" s="1" t="str">
        <f t="shared" si="40"/>
        <v>WHEN CEMPRESA='89' AND CBALCAO='0000' AND CNUMECTA='00000250394' AND ZDEPOSIT='000450000479263' THEN 1</v>
      </c>
      <c r="M415" s="1" t="str">
        <f t="shared" si="41"/>
        <v>WHEN CEMPRESA='89' AND CBALCAO='0000' AND CNUMECTA='00000250394' AND ZDEPOSIT='000450000479263' THEN 'A.2.5.'</v>
      </c>
    </row>
    <row r="416" spans="2:13" x14ac:dyDescent="0.25">
      <c r="B416" s="1" t="s">
        <v>54</v>
      </c>
      <c r="C416" s="1" t="s">
        <v>55</v>
      </c>
      <c r="D416" s="1" t="s">
        <v>588</v>
      </c>
      <c r="E416" s="1" t="s">
        <v>589</v>
      </c>
      <c r="F416" s="1">
        <v>1</v>
      </c>
      <c r="G416" s="1" t="s">
        <v>58</v>
      </c>
      <c r="H416" s="1" t="str">
        <f t="shared" si="36"/>
        <v xml:space="preserve">CEMPRESA='89' </v>
      </c>
      <c r="I416" s="1" t="str">
        <f t="shared" si="37"/>
        <v xml:space="preserve">AND CBALCAO='0000' </v>
      </c>
      <c r="J416" s="1" t="str">
        <f t="shared" si="38"/>
        <v xml:space="preserve">AND CNUMECTA='00000250169' </v>
      </c>
      <c r="K416" s="1" t="str">
        <f t="shared" si="39"/>
        <v xml:space="preserve">AND ZDEPOSIT='000450000537073' </v>
      </c>
      <c r="L416" s="1" t="str">
        <f t="shared" si="40"/>
        <v>WHEN CEMPRESA='89' AND CBALCAO='0000' AND CNUMECTA='00000250169' AND ZDEPOSIT='000450000537073' THEN 1</v>
      </c>
      <c r="M416" s="1" t="str">
        <f t="shared" si="41"/>
        <v>WHEN CEMPRESA='89' AND CBALCAO='0000' AND CNUMECTA='00000250169' AND ZDEPOSIT='000450000537073' THEN 'A.2.5.'</v>
      </c>
    </row>
    <row r="417" spans="2:13" x14ac:dyDescent="0.25">
      <c r="B417" s="1" t="s">
        <v>54</v>
      </c>
      <c r="C417" s="1" t="s">
        <v>55</v>
      </c>
      <c r="D417" s="1" t="s">
        <v>590</v>
      </c>
      <c r="E417" s="1" t="s">
        <v>591</v>
      </c>
      <c r="F417" s="1">
        <v>1</v>
      </c>
      <c r="G417" s="1" t="s">
        <v>58</v>
      </c>
      <c r="H417" s="1" t="str">
        <f t="shared" si="36"/>
        <v xml:space="preserve">CEMPRESA='89' </v>
      </c>
      <c r="I417" s="1" t="str">
        <f t="shared" si="37"/>
        <v xml:space="preserve">AND CBALCAO='0000' </v>
      </c>
      <c r="J417" s="1" t="str">
        <f t="shared" si="38"/>
        <v xml:space="preserve">AND CNUMECTA='00008046527' </v>
      </c>
      <c r="K417" s="1" t="str">
        <f t="shared" si="39"/>
        <v xml:space="preserve">AND ZDEPOSIT='000530000746907' </v>
      </c>
      <c r="L417" s="1" t="str">
        <f t="shared" si="40"/>
        <v>WHEN CEMPRESA='89' AND CBALCAO='0000' AND CNUMECTA='00008046527' AND ZDEPOSIT='000530000746907' THEN 1</v>
      </c>
      <c r="M417" s="1" t="str">
        <f t="shared" si="41"/>
        <v>WHEN CEMPRESA='89' AND CBALCAO='0000' AND CNUMECTA='00008046527' AND ZDEPOSIT='000530000746907' THEN 'A.2.5.'</v>
      </c>
    </row>
    <row r="418" spans="2:13" x14ac:dyDescent="0.25">
      <c r="B418" s="1" t="s">
        <v>54</v>
      </c>
      <c r="C418" s="1" t="s">
        <v>55</v>
      </c>
      <c r="D418" s="1" t="s">
        <v>592</v>
      </c>
      <c r="E418" s="1" t="s">
        <v>593</v>
      </c>
      <c r="F418" s="1">
        <v>1</v>
      </c>
      <c r="G418" s="1" t="s">
        <v>58</v>
      </c>
      <c r="H418" s="1" t="str">
        <f t="shared" si="36"/>
        <v xml:space="preserve">CEMPRESA='89' </v>
      </c>
      <c r="I418" s="1" t="str">
        <f t="shared" si="37"/>
        <v xml:space="preserve">AND CBALCAO='0000' </v>
      </c>
      <c r="J418" s="1" t="str">
        <f t="shared" si="38"/>
        <v xml:space="preserve">AND CNUMECTA='00000250356' </v>
      </c>
      <c r="K418" s="1" t="str">
        <f t="shared" si="39"/>
        <v xml:space="preserve">AND ZDEPOSIT='000450000777388' </v>
      </c>
      <c r="L418" s="1" t="str">
        <f t="shared" si="40"/>
        <v>WHEN CEMPRESA='89' AND CBALCAO='0000' AND CNUMECTA='00000250356' AND ZDEPOSIT='000450000777388' THEN 1</v>
      </c>
      <c r="M418" s="1" t="str">
        <f t="shared" si="41"/>
        <v>WHEN CEMPRESA='89' AND CBALCAO='0000' AND CNUMECTA='00000250356' AND ZDEPOSIT='000450000777388' THEN 'A.2.5.'</v>
      </c>
    </row>
    <row r="419" spans="2:13" x14ac:dyDescent="0.25">
      <c r="B419" s="1" t="s">
        <v>45</v>
      </c>
      <c r="C419" s="1" t="s">
        <v>46</v>
      </c>
      <c r="D419" s="1" t="s">
        <v>594</v>
      </c>
      <c r="E419" s="1" t="s">
        <v>48</v>
      </c>
      <c r="F419" s="1">
        <v>1</v>
      </c>
      <c r="G419" s="1" t="s">
        <v>60</v>
      </c>
      <c r="H419" s="1" t="str">
        <f t="shared" si="36"/>
        <v xml:space="preserve">CEMPRESA='31' </v>
      </c>
      <c r="I419" s="1" t="str">
        <f t="shared" si="37"/>
        <v xml:space="preserve">AND CBALCAO='0003' </v>
      </c>
      <c r="J419" s="1" t="str">
        <f t="shared" si="38"/>
        <v xml:space="preserve">AND CNUMECTA='20429451096' </v>
      </c>
      <c r="K419" s="1" t="str">
        <f t="shared" si="39"/>
        <v xml:space="preserve">AND ZDEPOSIT='000000000000000' </v>
      </c>
      <c r="L419" s="1" t="str">
        <f t="shared" si="40"/>
        <v>WHEN CEMPRESA='31' AND CBALCAO='0003' AND CNUMECTA='20429451096' AND ZDEPOSIT='000000000000000' THEN 1</v>
      </c>
      <c r="M419" s="1" t="str">
        <f t="shared" si="41"/>
        <v>WHEN CEMPRESA='31' AND CBALCAO='0003' AND CNUMECTA='20429451096' AND ZDEPOSIT='000000000000000' THEN 'A.3.7.'</v>
      </c>
    </row>
    <row r="420" spans="2:13" x14ac:dyDescent="0.25">
      <c r="B420" s="1" t="s">
        <v>45</v>
      </c>
      <c r="C420" s="1" t="s">
        <v>46</v>
      </c>
      <c r="D420" s="1" t="s">
        <v>595</v>
      </c>
      <c r="E420" s="1" t="s">
        <v>48</v>
      </c>
      <c r="F420" s="1">
        <v>1</v>
      </c>
      <c r="G420" s="1" t="s">
        <v>53</v>
      </c>
      <c r="H420" s="1" t="str">
        <f t="shared" si="36"/>
        <v xml:space="preserve">CEMPRESA='31' </v>
      </c>
      <c r="I420" s="1" t="str">
        <f t="shared" si="37"/>
        <v xml:space="preserve">AND CBALCAO='0003' </v>
      </c>
      <c r="J420" s="1" t="str">
        <f t="shared" si="38"/>
        <v xml:space="preserve">AND CNUMECTA='20740949096' </v>
      </c>
      <c r="K420" s="1" t="str">
        <f t="shared" si="39"/>
        <v xml:space="preserve">AND ZDEPOSIT='000000000000000' </v>
      </c>
      <c r="L420" s="1" t="str">
        <f t="shared" si="40"/>
        <v>WHEN CEMPRESA='31' AND CBALCAO='0003' AND CNUMECTA='20740949096' AND ZDEPOSIT='000000000000000' THEN 1</v>
      </c>
      <c r="M420" s="1" t="str">
        <f t="shared" si="41"/>
        <v>WHEN CEMPRESA='31' AND CBALCAO='0003' AND CNUMECTA='20740949096' AND ZDEPOSIT='000000000000000' THEN 'A.1.1.'</v>
      </c>
    </row>
    <row r="421" spans="2:13" x14ac:dyDescent="0.25">
      <c r="B421" s="1" t="s">
        <v>45</v>
      </c>
      <c r="C421" s="1" t="s">
        <v>46</v>
      </c>
      <c r="D421" s="1" t="s">
        <v>596</v>
      </c>
      <c r="E421" s="1" t="s">
        <v>48</v>
      </c>
      <c r="F421" s="1">
        <v>1</v>
      </c>
      <c r="G421" s="1" t="s">
        <v>60</v>
      </c>
      <c r="H421" s="1" t="str">
        <f t="shared" si="36"/>
        <v xml:space="preserve">CEMPRESA='31' </v>
      </c>
      <c r="I421" s="1" t="str">
        <f t="shared" si="37"/>
        <v xml:space="preserve">AND CBALCAO='0003' </v>
      </c>
      <c r="J421" s="1" t="str">
        <f t="shared" si="38"/>
        <v xml:space="preserve">AND CNUMECTA='20450861096' </v>
      </c>
      <c r="K421" s="1" t="str">
        <f t="shared" si="39"/>
        <v xml:space="preserve">AND ZDEPOSIT='000000000000000' </v>
      </c>
      <c r="L421" s="1" t="str">
        <f t="shared" si="40"/>
        <v>WHEN CEMPRESA='31' AND CBALCAO='0003' AND CNUMECTA='20450861096' AND ZDEPOSIT='000000000000000' THEN 1</v>
      </c>
      <c r="M421" s="1" t="str">
        <f t="shared" si="41"/>
        <v>WHEN CEMPRESA='31' AND CBALCAO='0003' AND CNUMECTA='20450861096' AND ZDEPOSIT='000000000000000' THEN 'A.3.7.'</v>
      </c>
    </row>
    <row r="422" spans="2:13" x14ac:dyDescent="0.25">
      <c r="B422" s="1" t="s">
        <v>45</v>
      </c>
      <c r="C422" s="1" t="s">
        <v>46</v>
      </c>
      <c r="D422" s="1" t="s">
        <v>597</v>
      </c>
      <c r="E422" s="1" t="s">
        <v>48</v>
      </c>
      <c r="F422" s="1">
        <v>1</v>
      </c>
      <c r="G422" s="1" t="s">
        <v>60</v>
      </c>
      <c r="H422" s="1" t="str">
        <f t="shared" si="36"/>
        <v xml:space="preserve">CEMPRESA='31' </v>
      </c>
      <c r="I422" s="1" t="str">
        <f t="shared" si="37"/>
        <v xml:space="preserve">AND CBALCAO='0003' </v>
      </c>
      <c r="J422" s="1" t="str">
        <f t="shared" si="38"/>
        <v xml:space="preserve">AND CNUMECTA='20567037096' </v>
      </c>
      <c r="K422" s="1" t="str">
        <f t="shared" si="39"/>
        <v xml:space="preserve">AND ZDEPOSIT='000000000000000' </v>
      </c>
      <c r="L422" s="1" t="str">
        <f t="shared" si="40"/>
        <v>WHEN CEMPRESA='31' AND CBALCAO='0003' AND CNUMECTA='20567037096' AND ZDEPOSIT='000000000000000' THEN 1</v>
      </c>
      <c r="M422" s="1" t="str">
        <f t="shared" si="41"/>
        <v>WHEN CEMPRESA='31' AND CBALCAO='0003' AND CNUMECTA='20567037096' AND ZDEPOSIT='000000000000000' THEN 'A.3.7.'</v>
      </c>
    </row>
    <row r="423" spans="2:13" x14ac:dyDescent="0.25">
      <c r="B423" s="1" t="s">
        <v>45</v>
      </c>
      <c r="C423" s="1" t="s">
        <v>46</v>
      </c>
      <c r="D423" s="1" t="s">
        <v>598</v>
      </c>
      <c r="E423" s="1" t="s">
        <v>48</v>
      </c>
      <c r="F423" s="1">
        <v>1</v>
      </c>
      <c r="G423" s="1" t="s">
        <v>60</v>
      </c>
      <c r="H423" s="1" t="str">
        <f t="shared" si="36"/>
        <v xml:space="preserve">CEMPRESA='31' </v>
      </c>
      <c r="I423" s="1" t="str">
        <f t="shared" si="37"/>
        <v xml:space="preserve">AND CBALCAO='0003' </v>
      </c>
      <c r="J423" s="1" t="str">
        <f t="shared" si="38"/>
        <v xml:space="preserve">AND CNUMECTA='20710488096' </v>
      </c>
      <c r="K423" s="1" t="str">
        <f t="shared" si="39"/>
        <v xml:space="preserve">AND ZDEPOSIT='000000000000000' </v>
      </c>
      <c r="L423" s="1" t="str">
        <f t="shared" si="40"/>
        <v>WHEN CEMPRESA='31' AND CBALCAO='0003' AND CNUMECTA='20710488096' AND ZDEPOSIT='000000000000000' THEN 1</v>
      </c>
      <c r="M423" s="1" t="str">
        <f t="shared" si="41"/>
        <v>WHEN CEMPRESA='31' AND CBALCAO='0003' AND CNUMECTA='20710488096' AND ZDEPOSIT='000000000000000' THEN 'A.3.7.'</v>
      </c>
    </row>
    <row r="424" spans="2:13" x14ac:dyDescent="0.25">
      <c r="B424" s="1" t="s">
        <v>45</v>
      </c>
      <c r="C424" s="1" t="s">
        <v>46</v>
      </c>
      <c r="D424" s="1" t="s">
        <v>599</v>
      </c>
      <c r="E424" s="1" t="s">
        <v>48</v>
      </c>
      <c r="F424" s="1">
        <v>1</v>
      </c>
      <c r="G424" s="1" t="s">
        <v>60</v>
      </c>
      <c r="H424" s="1" t="str">
        <f t="shared" si="36"/>
        <v xml:space="preserve">CEMPRESA='31' </v>
      </c>
      <c r="I424" s="1" t="str">
        <f t="shared" si="37"/>
        <v xml:space="preserve">AND CBALCAO='0003' </v>
      </c>
      <c r="J424" s="1" t="str">
        <f t="shared" si="38"/>
        <v xml:space="preserve">AND CNUMECTA='20718713096' </v>
      </c>
      <c r="K424" s="1" t="str">
        <f t="shared" si="39"/>
        <v xml:space="preserve">AND ZDEPOSIT='000000000000000' </v>
      </c>
      <c r="L424" s="1" t="str">
        <f t="shared" si="40"/>
        <v>WHEN CEMPRESA='31' AND CBALCAO='0003' AND CNUMECTA='20718713096' AND ZDEPOSIT='000000000000000' THEN 1</v>
      </c>
      <c r="M424" s="1" t="str">
        <f t="shared" si="41"/>
        <v>WHEN CEMPRESA='31' AND CBALCAO='0003' AND CNUMECTA='20718713096' AND ZDEPOSIT='000000000000000' THEN 'A.3.7.'</v>
      </c>
    </row>
    <row r="425" spans="2:13" x14ac:dyDescent="0.25">
      <c r="B425" s="1" t="s">
        <v>54</v>
      </c>
      <c r="C425" s="1" t="s">
        <v>55</v>
      </c>
      <c r="D425" s="1" t="s">
        <v>600</v>
      </c>
      <c r="E425" s="1" t="s">
        <v>601</v>
      </c>
      <c r="F425" s="1">
        <v>1</v>
      </c>
      <c r="G425" s="1" t="s">
        <v>58</v>
      </c>
      <c r="H425" s="1" t="str">
        <f t="shared" si="36"/>
        <v xml:space="preserve">CEMPRESA='89' </v>
      </c>
      <c r="I425" s="1" t="str">
        <f t="shared" si="37"/>
        <v xml:space="preserve">AND CBALCAO='0000' </v>
      </c>
      <c r="J425" s="1" t="str">
        <f t="shared" si="38"/>
        <v xml:space="preserve">AND CNUMECTA='00008046598' </v>
      </c>
      <c r="K425" s="1" t="str">
        <f t="shared" si="39"/>
        <v xml:space="preserve">AND ZDEPOSIT='000530000562271' </v>
      </c>
      <c r="L425" s="1" t="str">
        <f t="shared" si="40"/>
        <v>WHEN CEMPRESA='89' AND CBALCAO='0000' AND CNUMECTA='00008046598' AND ZDEPOSIT='000530000562271' THEN 1</v>
      </c>
      <c r="M425" s="1" t="str">
        <f t="shared" si="41"/>
        <v>WHEN CEMPRESA='89' AND CBALCAO='0000' AND CNUMECTA='00008046598' AND ZDEPOSIT='000530000562271' THEN 'A.2.5.'</v>
      </c>
    </row>
    <row r="426" spans="2:13" x14ac:dyDescent="0.25">
      <c r="B426" s="1" t="s">
        <v>54</v>
      </c>
      <c r="C426" s="1" t="s">
        <v>55</v>
      </c>
      <c r="D426" s="1" t="s">
        <v>602</v>
      </c>
      <c r="E426" s="1" t="s">
        <v>603</v>
      </c>
      <c r="F426" s="1">
        <v>1</v>
      </c>
      <c r="G426" s="1" t="s">
        <v>58</v>
      </c>
      <c r="H426" s="1" t="str">
        <f t="shared" si="36"/>
        <v xml:space="preserve">CEMPRESA='89' </v>
      </c>
      <c r="I426" s="1" t="str">
        <f t="shared" si="37"/>
        <v xml:space="preserve">AND CBALCAO='0000' </v>
      </c>
      <c r="J426" s="1" t="str">
        <f t="shared" si="38"/>
        <v xml:space="preserve">AND CNUMECTA='00008046584' </v>
      </c>
      <c r="K426" s="1" t="str">
        <f t="shared" si="39"/>
        <v xml:space="preserve">AND ZDEPOSIT='000530000729965' </v>
      </c>
      <c r="L426" s="1" t="str">
        <f t="shared" si="40"/>
        <v>WHEN CEMPRESA='89' AND CBALCAO='0000' AND CNUMECTA='00008046584' AND ZDEPOSIT='000530000729965' THEN 1</v>
      </c>
      <c r="M426" s="1" t="str">
        <f t="shared" si="41"/>
        <v>WHEN CEMPRESA='89' AND CBALCAO='0000' AND CNUMECTA='00008046584' AND ZDEPOSIT='000530000729965' THEN 'A.2.5.'</v>
      </c>
    </row>
    <row r="427" spans="2:13" x14ac:dyDescent="0.25">
      <c r="B427" s="1" t="s">
        <v>45</v>
      </c>
      <c r="C427" s="1" t="s">
        <v>46</v>
      </c>
      <c r="D427" s="1" t="s">
        <v>604</v>
      </c>
      <c r="E427" s="1" t="s">
        <v>48</v>
      </c>
      <c r="F427" s="1">
        <v>1</v>
      </c>
      <c r="G427" s="1" t="s">
        <v>60</v>
      </c>
      <c r="H427" s="1" t="str">
        <f t="shared" si="36"/>
        <v xml:space="preserve">CEMPRESA='31' </v>
      </c>
      <c r="I427" s="1" t="str">
        <f t="shared" si="37"/>
        <v xml:space="preserve">AND CBALCAO='0003' </v>
      </c>
      <c r="J427" s="1" t="str">
        <f t="shared" si="38"/>
        <v xml:space="preserve">AND CNUMECTA='20701941096' </v>
      </c>
      <c r="K427" s="1" t="str">
        <f t="shared" si="39"/>
        <v xml:space="preserve">AND ZDEPOSIT='000000000000000' </v>
      </c>
      <c r="L427" s="1" t="str">
        <f t="shared" si="40"/>
        <v>WHEN CEMPRESA='31' AND CBALCAO='0003' AND CNUMECTA='20701941096' AND ZDEPOSIT='000000000000000' THEN 1</v>
      </c>
      <c r="M427" s="1" t="str">
        <f t="shared" si="41"/>
        <v>WHEN CEMPRESA='31' AND CBALCAO='0003' AND CNUMECTA='20701941096' AND ZDEPOSIT='000000000000000' THEN 'A.3.7.'</v>
      </c>
    </row>
    <row r="428" spans="2:13" x14ac:dyDescent="0.25">
      <c r="B428" s="1" t="s">
        <v>45</v>
      </c>
      <c r="C428" s="1" t="s">
        <v>46</v>
      </c>
      <c r="D428" s="1" t="s">
        <v>605</v>
      </c>
      <c r="E428" s="1" t="s">
        <v>48</v>
      </c>
      <c r="F428" s="1">
        <v>1</v>
      </c>
      <c r="G428" s="1" t="s">
        <v>60</v>
      </c>
      <c r="H428" s="1" t="str">
        <f t="shared" si="36"/>
        <v xml:space="preserve">CEMPRESA='31' </v>
      </c>
      <c r="I428" s="1" t="str">
        <f t="shared" si="37"/>
        <v xml:space="preserve">AND CBALCAO='0003' </v>
      </c>
      <c r="J428" s="1" t="str">
        <f t="shared" si="38"/>
        <v xml:space="preserve">AND CNUMECTA='20711585096' </v>
      </c>
      <c r="K428" s="1" t="str">
        <f t="shared" si="39"/>
        <v xml:space="preserve">AND ZDEPOSIT='000000000000000' </v>
      </c>
      <c r="L428" s="1" t="str">
        <f t="shared" si="40"/>
        <v>WHEN CEMPRESA='31' AND CBALCAO='0003' AND CNUMECTA='20711585096' AND ZDEPOSIT='000000000000000' THEN 1</v>
      </c>
      <c r="M428" s="1" t="str">
        <f t="shared" si="41"/>
        <v>WHEN CEMPRESA='31' AND CBALCAO='0003' AND CNUMECTA='20711585096' AND ZDEPOSIT='000000000000000' THEN 'A.3.7.'</v>
      </c>
    </row>
    <row r="429" spans="2:13" x14ac:dyDescent="0.25">
      <c r="B429" s="1" t="s">
        <v>45</v>
      </c>
      <c r="C429" s="1" t="s">
        <v>46</v>
      </c>
      <c r="D429" s="1" t="s">
        <v>606</v>
      </c>
      <c r="E429" s="1" t="s">
        <v>48</v>
      </c>
      <c r="F429" s="1">
        <v>1</v>
      </c>
      <c r="G429" s="1" t="s">
        <v>60</v>
      </c>
      <c r="H429" s="1" t="str">
        <f t="shared" si="36"/>
        <v xml:space="preserve">CEMPRESA='31' </v>
      </c>
      <c r="I429" s="1" t="str">
        <f t="shared" si="37"/>
        <v xml:space="preserve">AND CBALCAO='0003' </v>
      </c>
      <c r="J429" s="1" t="str">
        <f t="shared" si="38"/>
        <v xml:space="preserve">AND CNUMECTA='20681788096' </v>
      </c>
      <c r="K429" s="1" t="str">
        <f t="shared" si="39"/>
        <v xml:space="preserve">AND ZDEPOSIT='000000000000000' </v>
      </c>
      <c r="L429" s="1" t="str">
        <f t="shared" si="40"/>
        <v>WHEN CEMPRESA='31' AND CBALCAO='0003' AND CNUMECTA='20681788096' AND ZDEPOSIT='000000000000000' THEN 1</v>
      </c>
      <c r="M429" s="1" t="str">
        <f t="shared" si="41"/>
        <v>WHEN CEMPRESA='31' AND CBALCAO='0003' AND CNUMECTA='20681788096' AND ZDEPOSIT='000000000000000' THEN 'A.3.7.'</v>
      </c>
    </row>
    <row r="430" spans="2:13" x14ac:dyDescent="0.25">
      <c r="B430" s="1" t="s">
        <v>54</v>
      </c>
      <c r="C430" s="1" t="s">
        <v>55</v>
      </c>
      <c r="D430" s="1" t="s">
        <v>607</v>
      </c>
      <c r="E430" s="1" t="s">
        <v>608</v>
      </c>
      <c r="F430" s="1">
        <v>1</v>
      </c>
      <c r="G430" s="1" t="s">
        <v>58</v>
      </c>
      <c r="H430" s="1" t="str">
        <f t="shared" si="36"/>
        <v xml:space="preserve">CEMPRESA='89' </v>
      </c>
      <c r="I430" s="1" t="str">
        <f t="shared" si="37"/>
        <v xml:space="preserve">AND CBALCAO='0000' </v>
      </c>
      <c r="J430" s="1" t="str">
        <f t="shared" si="38"/>
        <v xml:space="preserve">AND CNUMECTA='00000250148' </v>
      </c>
      <c r="K430" s="1" t="str">
        <f t="shared" si="39"/>
        <v xml:space="preserve">AND ZDEPOSIT='000450000661609' </v>
      </c>
      <c r="L430" s="1" t="str">
        <f t="shared" si="40"/>
        <v>WHEN CEMPRESA='89' AND CBALCAO='0000' AND CNUMECTA='00000250148' AND ZDEPOSIT='000450000661609' THEN 1</v>
      </c>
      <c r="M430" s="1" t="str">
        <f t="shared" si="41"/>
        <v>WHEN CEMPRESA='89' AND CBALCAO='0000' AND CNUMECTA='00000250148' AND ZDEPOSIT='000450000661609' THEN 'A.2.5.'</v>
      </c>
    </row>
    <row r="431" spans="2:13" x14ac:dyDescent="0.25">
      <c r="B431" s="1" t="s">
        <v>45</v>
      </c>
      <c r="C431" s="1" t="s">
        <v>46</v>
      </c>
      <c r="D431" s="1" t="s">
        <v>609</v>
      </c>
      <c r="E431" s="1" t="s">
        <v>48</v>
      </c>
      <c r="F431" s="1">
        <v>1</v>
      </c>
      <c r="G431" s="1" t="s">
        <v>76</v>
      </c>
      <c r="H431" s="1" t="str">
        <f t="shared" si="36"/>
        <v xml:space="preserve">CEMPRESA='31' </v>
      </c>
      <c r="I431" s="1" t="str">
        <f t="shared" si="37"/>
        <v xml:space="preserve">AND CBALCAO='0003' </v>
      </c>
      <c r="J431" s="1" t="str">
        <f t="shared" si="38"/>
        <v xml:space="preserve">AND CNUMECTA='18608008097' </v>
      </c>
      <c r="K431" s="1" t="str">
        <f t="shared" si="39"/>
        <v xml:space="preserve">AND ZDEPOSIT='000000000000000' </v>
      </c>
      <c r="L431" s="1" t="str">
        <f t="shared" si="40"/>
        <v>WHEN CEMPRESA='31' AND CBALCAO='0003' AND CNUMECTA='18608008097' AND ZDEPOSIT='000000000000000' THEN 1</v>
      </c>
      <c r="M431" s="1" t="str">
        <f t="shared" si="41"/>
        <v>WHEN CEMPRESA='31' AND CBALCAO='0003' AND CNUMECTA='18608008097' AND ZDEPOSIT='000000000000000' THEN 'A.7.7.'</v>
      </c>
    </row>
    <row r="432" spans="2:13" x14ac:dyDescent="0.25">
      <c r="B432" s="1" t="s">
        <v>45</v>
      </c>
      <c r="C432" s="1" t="s">
        <v>46</v>
      </c>
      <c r="D432" s="1" t="s">
        <v>610</v>
      </c>
      <c r="E432" s="1" t="s">
        <v>48</v>
      </c>
      <c r="F432" s="1">
        <v>1</v>
      </c>
      <c r="G432" s="1" t="s">
        <v>51</v>
      </c>
      <c r="H432" s="1" t="str">
        <f t="shared" si="36"/>
        <v xml:space="preserve">CEMPRESA='31' </v>
      </c>
      <c r="I432" s="1" t="str">
        <f t="shared" si="37"/>
        <v xml:space="preserve">AND CBALCAO='0003' </v>
      </c>
      <c r="J432" s="1" t="str">
        <f t="shared" si="38"/>
        <v xml:space="preserve">AND CNUMECTA='20549084096' </v>
      </c>
      <c r="K432" s="1" t="str">
        <f t="shared" si="39"/>
        <v xml:space="preserve">AND ZDEPOSIT='000000000000000' </v>
      </c>
      <c r="L432" s="1" t="str">
        <f t="shared" si="40"/>
        <v>WHEN CEMPRESA='31' AND CBALCAO='0003' AND CNUMECTA='20549084096' AND ZDEPOSIT='000000000000000' THEN 1</v>
      </c>
      <c r="M432" s="1" t="str">
        <f t="shared" si="41"/>
        <v>WHEN CEMPRESA='31' AND CBALCAO='0003' AND CNUMECTA='20549084096' AND ZDEPOSIT='000000000000000' THEN 'B.1.'</v>
      </c>
    </row>
    <row r="433" spans="2:13" x14ac:dyDescent="0.25">
      <c r="B433" s="1" t="s">
        <v>45</v>
      </c>
      <c r="C433" s="1" t="s">
        <v>46</v>
      </c>
      <c r="D433" s="1" t="s">
        <v>611</v>
      </c>
      <c r="E433" s="1" t="s">
        <v>48</v>
      </c>
      <c r="F433" s="1">
        <v>1</v>
      </c>
      <c r="G433" s="1" t="s">
        <v>60</v>
      </c>
      <c r="H433" s="1" t="str">
        <f t="shared" si="36"/>
        <v xml:space="preserve">CEMPRESA='31' </v>
      </c>
      <c r="I433" s="1" t="str">
        <f t="shared" si="37"/>
        <v xml:space="preserve">AND CBALCAO='0003' </v>
      </c>
      <c r="J433" s="1" t="str">
        <f t="shared" si="38"/>
        <v xml:space="preserve">AND CNUMECTA='20610969096' </v>
      </c>
      <c r="K433" s="1" t="str">
        <f t="shared" si="39"/>
        <v xml:space="preserve">AND ZDEPOSIT='000000000000000' </v>
      </c>
      <c r="L433" s="1" t="str">
        <f t="shared" si="40"/>
        <v>WHEN CEMPRESA='31' AND CBALCAO='0003' AND CNUMECTA='20610969096' AND ZDEPOSIT='000000000000000' THEN 1</v>
      </c>
      <c r="M433" s="1" t="str">
        <f t="shared" si="41"/>
        <v>WHEN CEMPRESA='31' AND CBALCAO='0003' AND CNUMECTA='20610969096' AND ZDEPOSIT='000000000000000' THEN 'A.3.7.'</v>
      </c>
    </row>
    <row r="434" spans="2:13" x14ac:dyDescent="0.25">
      <c r="B434" s="1" t="s">
        <v>45</v>
      </c>
      <c r="C434" s="1" t="s">
        <v>46</v>
      </c>
      <c r="D434" s="1" t="s">
        <v>612</v>
      </c>
      <c r="E434" s="1" t="s">
        <v>48</v>
      </c>
      <c r="F434" s="1">
        <v>1</v>
      </c>
      <c r="G434" s="1" t="s">
        <v>60</v>
      </c>
      <c r="H434" s="1" t="str">
        <f t="shared" si="36"/>
        <v xml:space="preserve">CEMPRESA='31' </v>
      </c>
      <c r="I434" s="1" t="str">
        <f t="shared" si="37"/>
        <v xml:space="preserve">AND CBALCAO='0003' </v>
      </c>
      <c r="J434" s="1" t="str">
        <f t="shared" si="38"/>
        <v xml:space="preserve">AND CNUMECTA='20593207096' </v>
      </c>
      <c r="K434" s="1" t="str">
        <f t="shared" si="39"/>
        <v xml:space="preserve">AND ZDEPOSIT='000000000000000' </v>
      </c>
      <c r="L434" s="1" t="str">
        <f t="shared" si="40"/>
        <v>WHEN CEMPRESA='31' AND CBALCAO='0003' AND CNUMECTA='20593207096' AND ZDEPOSIT='000000000000000' THEN 1</v>
      </c>
      <c r="M434" s="1" t="str">
        <f t="shared" si="41"/>
        <v>WHEN CEMPRESA='31' AND CBALCAO='0003' AND CNUMECTA='20593207096' AND ZDEPOSIT='000000000000000' THEN 'A.3.7.'</v>
      </c>
    </row>
    <row r="435" spans="2:13" x14ac:dyDescent="0.25">
      <c r="B435" s="1" t="s">
        <v>45</v>
      </c>
      <c r="C435" s="1" t="s">
        <v>46</v>
      </c>
      <c r="D435" s="1" t="s">
        <v>613</v>
      </c>
      <c r="E435" s="1" t="s">
        <v>48</v>
      </c>
      <c r="F435" s="1">
        <v>1</v>
      </c>
      <c r="G435" s="1" t="s">
        <v>60</v>
      </c>
      <c r="H435" s="1" t="str">
        <f t="shared" si="36"/>
        <v xml:space="preserve">CEMPRESA='31' </v>
      </c>
      <c r="I435" s="1" t="str">
        <f t="shared" si="37"/>
        <v xml:space="preserve">AND CBALCAO='0003' </v>
      </c>
      <c r="J435" s="1" t="str">
        <f t="shared" si="38"/>
        <v xml:space="preserve">AND CNUMECTA='20728720096' </v>
      </c>
      <c r="K435" s="1" t="str">
        <f t="shared" si="39"/>
        <v xml:space="preserve">AND ZDEPOSIT='000000000000000' </v>
      </c>
      <c r="L435" s="1" t="str">
        <f t="shared" si="40"/>
        <v>WHEN CEMPRESA='31' AND CBALCAO='0003' AND CNUMECTA='20728720096' AND ZDEPOSIT='000000000000000' THEN 1</v>
      </c>
      <c r="M435" s="1" t="str">
        <f t="shared" si="41"/>
        <v>WHEN CEMPRESA='31' AND CBALCAO='0003' AND CNUMECTA='20728720096' AND ZDEPOSIT='000000000000000' THEN 'A.3.7.'</v>
      </c>
    </row>
    <row r="436" spans="2:13" x14ac:dyDescent="0.25">
      <c r="B436" s="1" t="s">
        <v>54</v>
      </c>
      <c r="C436" s="1" t="s">
        <v>55</v>
      </c>
      <c r="D436" s="1" t="s">
        <v>614</v>
      </c>
      <c r="E436" s="1" t="s">
        <v>615</v>
      </c>
      <c r="F436" s="1">
        <v>1</v>
      </c>
      <c r="G436" s="1" t="s">
        <v>58</v>
      </c>
      <c r="H436" s="1" t="str">
        <f t="shared" si="36"/>
        <v xml:space="preserve">CEMPRESA='89' </v>
      </c>
      <c r="I436" s="1" t="str">
        <f t="shared" si="37"/>
        <v xml:space="preserve">AND CBALCAO='0000' </v>
      </c>
      <c r="J436" s="1" t="str">
        <f t="shared" si="38"/>
        <v xml:space="preserve">AND CNUMECTA='00005118089' </v>
      </c>
      <c r="K436" s="1" t="str">
        <f t="shared" si="39"/>
        <v xml:space="preserve">AND ZDEPOSIT='000510000663003' </v>
      </c>
      <c r="L436" s="1" t="str">
        <f t="shared" si="40"/>
        <v>WHEN CEMPRESA='89' AND CBALCAO='0000' AND CNUMECTA='00005118089' AND ZDEPOSIT='000510000663003' THEN 1</v>
      </c>
      <c r="M436" s="1" t="str">
        <f t="shared" si="41"/>
        <v>WHEN CEMPRESA='89' AND CBALCAO='0000' AND CNUMECTA='00005118089' AND ZDEPOSIT='000510000663003' THEN 'A.2.5.'</v>
      </c>
    </row>
    <row r="437" spans="2:13" x14ac:dyDescent="0.25">
      <c r="B437" s="1" t="s">
        <v>45</v>
      </c>
      <c r="C437" s="1" t="s">
        <v>46</v>
      </c>
      <c r="D437" s="1" t="s">
        <v>616</v>
      </c>
      <c r="E437" s="1" t="s">
        <v>48</v>
      </c>
      <c r="F437" s="1">
        <v>1</v>
      </c>
      <c r="G437" s="1" t="s">
        <v>60</v>
      </c>
      <c r="H437" s="1" t="str">
        <f t="shared" si="36"/>
        <v xml:space="preserve">CEMPRESA='31' </v>
      </c>
      <c r="I437" s="1" t="str">
        <f t="shared" si="37"/>
        <v xml:space="preserve">AND CBALCAO='0003' </v>
      </c>
      <c r="J437" s="1" t="str">
        <f t="shared" si="38"/>
        <v xml:space="preserve">AND CNUMECTA='20622584096' </v>
      </c>
      <c r="K437" s="1" t="str">
        <f t="shared" si="39"/>
        <v xml:space="preserve">AND ZDEPOSIT='000000000000000' </v>
      </c>
      <c r="L437" s="1" t="str">
        <f t="shared" si="40"/>
        <v>WHEN CEMPRESA='31' AND CBALCAO='0003' AND CNUMECTA='20622584096' AND ZDEPOSIT='000000000000000' THEN 1</v>
      </c>
      <c r="M437" s="1" t="str">
        <f t="shared" si="41"/>
        <v>WHEN CEMPRESA='31' AND CBALCAO='0003' AND CNUMECTA='20622584096' AND ZDEPOSIT='000000000000000' THEN 'A.3.7.'</v>
      </c>
    </row>
    <row r="438" spans="2:13" x14ac:dyDescent="0.25">
      <c r="B438" s="1" t="s">
        <v>54</v>
      </c>
      <c r="C438" s="1" t="s">
        <v>55</v>
      </c>
      <c r="D438" s="1" t="s">
        <v>617</v>
      </c>
      <c r="E438" s="1" t="s">
        <v>618</v>
      </c>
      <c r="F438" s="1">
        <v>1</v>
      </c>
      <c r="G438" s="1" t="s">
        <v>58</v>
      </c>
      <c r="H438" s="1" t="str">
        <f t="shared" si="36"/>
        <v xml:space="preserve">CEMPRESA='89' </v>
      </c>
      <c r="I438" s="1" t="str">
        <f t="shared" si="37"/>
        <v xml:space="preserve">AND CBALCAO='0000' </v>
      </c>
      <c r="J438" s="1" t="str">
        <f t="shared" si="38"/>
        <v xml:space="preserve">AND CNUMECTA='00000250444' </v>
      </c>
      <c r="K438" s="1" t="str">
        <f t="shared" si="39"/>
        <v xml:space="preserve">AND ZDEPOSIT='000450000777846' </v>
      </c>
      <c r="L438" s="1" t="str">
        <f t="shared" si="40"/>
        <v>WHEN CEMPRESA='89' AND CBALCAO='0000' AND CNUMECTA='00000250444' AND ZDEPOSIT='000450000777846' THEN 1</v>
      </c>
      <c r="M438" s="1" t="str">
        <f t="shared" si="41"/>
        <v>WHEN CEMPRESA='89' AND CBALCAO='0000' AND CNUMECTA='00000250444' AND ZDEPOSIT='000450000777846' THEN 'A.2.5.'</v>
      </c>
    </row>
    <row r="439" spans="2:13" x14ac:dyDescent="0.25">
      <c r="B439" s="1" t="s">
        <v>45</v>
      </c>
      <c r="C439" s="1" t="s">
        <v>46</v>
      </c>
      <c r="D439" s="1" t="s">
        <v>619</v>
      </c>
      <c r="E439" s="1" t="s">
        <v>48</v>
      </c>
      <c r="F439" s="1" t="s">
        <v>620</v>
      </c>
      <c r="G439" s="1" t="s">
        <v>60</v>
      </c>
      <c r="H439" s="1" t="str">
        <f t="shared" si="36"/>
        <v xml:space="preserve">CEMPRESA='31' </v>
      </c>
      <c r="I439" s="1" t="str">
        <f t="shared" si="37"/>
        <v xml:space="preserve">AND CBALCAO='0003' </v>
      </c>
      <c r="J439" s="1" t="str">
        <f t="shared" si="38"/>
        <v xml:space="preserve">AND CNUMECTA='20573498096' </v>
      </c>
      <c r="K439" s="1" t="str">
        <f t="shared" si="39"/>
        <v xml:space="preserve">AND ZDEPOSIT='000000000000000' </v>
      </c>
      <c r="L439" s="1" t="str">
        <f t="shared" si="40"/>
        <v>WHEN CEMPRESA='31' AND CBALCAO='0003' AND CNUMECTA='20573498096' AND ZDEPOSIT='000000000000000' THEN 0.12</v>
      </c>
      <c r="M439" s="1" t="str">
        <f t="shared" si="41"/>
        <v>WHEN CEMPRESA='31' AND CBALCAO='0003' AND CNUMECTA='20573498096' AND ZDEPOSIT='000000000000000' THEN 'A.3.7.'</v>
      </c>
    </row>
    <row r="440" spans="2:13" x14ac:dyDescent="0.25">
      <c r="B440" s="1" t="s">
        <v>54</v>
      </c>
      <c r="C440" s="1" t="s">
        <v>55</v>
      </c>
      <c r="D440" s="1" t="s">
        <v>621</v>
      </c>
      <c r="E440" s="1" t="s">
        <v>622</v>
      </c>
      <c r="F440" s="1">
        <v>1</v>
      </c>
      <c r="G440" s="1" t="s">
        <v>58</v>
      </c>
      <c r="H440" s="1" t="str">
        <f t="shared" si="36"/>
        <v xml:space="preserve">CEMPRESA='89' </v>
      </c>
      <c r="I440" s="1" t="str">
        <f t="shared" si="37"/>
        <v xml:space="preserve">AND CBALCAO='0000' </v>
      </c>
      <c r="J440" s="1" t="str">
        <f t="shared" si="38"/>
        <v xml:space="preserve">AND CNUMECTA='00000250194' </v>
      </c>
      <c r="K440" s="1" t="str">
        <f t="shared" si="39"/>
        <v xml:space="preserve">AND ZDEPOSIT='000450000320437' </v>
      </c>
      <c r="L440" s="1" t="str">
        <f t="shared" si="40"/>
        <v>WHEN CEMPRESA='89' AND CBALCAO='0000' AND CNUMECTA='00000250194' AND ZDEPOSIT='000450000320437' THEN 1</v>
      </c>
      <c r="M440" s="1" t="str">
        <f t="shared" si="41"/>
        <v>WHEN CEMPRESA='89' AND CBALCAO='0000' AND CNUMECTA='00000250194' AND ZDEPOSIT='000450000320437' THEN 'A.2.5.'</v>
      </c>
    </row>
    <row r="441" spans="2:13" x14ac:dyDescent="0.25">
      <c r="B441" s="1" t="s">
        <v>54</v>
      </c>
      <c r="C441" s="1" t="s">
        <v>55</v>
      </c>
      <c r="D441" s="1" t="s">
        <v>623</v>
      </c>
      <c r="E441" s="1" t="s">
        <v>624</v>
      </c>
      <c r="F441" s="1">
        <v>1</v>
      </c>
      <c r="G441" s="1" t="s">
        <v>58</v>
      </c>
      <c r="H441" s="1" t="str">
        <f t="shared" si="36"/>
        <v xml:space="preserve">CEMPRESA='89' </v>
      </c>
      <c r="I441" s="1" t="str">
        <f t="shared" si="37"/>
        <v xml:space="preserve">AND CBALCAO='0000' </v>
      </c>
      <c r="J441" s="1" t="str">
        <f t="shared" si="38"/>
        <v xml:space="preserve">AND CNUMECTA='00008046467' </v>
      </c>
      <c r="K441" s="1" t="str">
        <f t="shared" si="39"/>
        <v xml:space="preserve">AND ZDEPOSIT='000530000473183' </v>
      </c>
      <c r="L441" s="1" t="str">
        <f t="shared" si="40"/>
        <v>WHEN CEMPRESA='89' AND CBALCAO='0000' AND CNUMECTA='00008046467' AND ZDEPOSIT='000530000473183' THEN 1</v>
      </c>
      <c r="M441" s="1" t="str">
        <f t="shared" si="41"/>
        <v>WHEN CEMPRESA='89' AND CBALCAO='0000' AND CNUMECTA='00008046467' AND ZDEPOSIT='000530000473183' THEN 'A.2.5.'</v>
      </c>
    </row>
    <row r="442" spans="2:13" x14ac:dyDescent="0.25">
      <c r="B442" s="1" t="s">
        <v>45</v>
      </c>
      <c r="C442" s="1" t="s">
        <v>46</v>
      </c>
      <c r="D442" s="1" t="s">
        <v>625</v>
      </c>
      <c r="E442" s="1" t="s">
        <v>48</v>
      </c>
      <c r="F442" s="1">
        <v>1</v>
      </c>
      <c r="G442" s="1" t="s">
        <v>53</v>
      </c>
      <c r="H442" s="1" t="str">
        <f t="shared" si="36"/>
        <v xml:space="preserve">CEMPRESA='31' </v>
      </c>
      <c r="I442" s="1" t="str">
        <f t="shared" si="37"/>
        <v xml:space="preserve">AND CBALCAO='0003' </v>
      </c>
      <c r="J442" s="1" t="str">
        <f t="shared" si="38"/>
        <v xml:space="preserve">AND CNUMECTA='20654454096' </v>
      </c>
      <c r="K442" s="1" t="str">
        <f t="shared" si="39"/>
        <v xml:space="preserve">AND ZDEPOSIT='000000000000000' </v>
      </c>
      <c r="L442" s="1" t="str">
        <f t="shared" si="40"/>
        <v>WHEN CEMPRESA='31' AND CBALCAO='0003' AND CNUMECTA='20654454096' AND ZDEPOSIT='000000000000000' THEN 1</v>
      </c>
      <c r="M442" s="1" t="str">
        <f t="shared" si="41"/>
        <v>WHEN CEMPRESA='31' AND CBALCAO='0003' AND CNUMECTA='20654454096' AND ZDEPOSIT='000000000000000' THEN 'A.1.1.'</v>
      </c>
    </row>
    <row r="443" spans="2:13" x14ac:dyDescent="0.25">
      <c r="B443" s="1" t="s">
        <v>45</v>
      </c>
      <c r="C443" s="1" t="s">
        <v>46</v>
      </c>
      <c r="D443" s="1" t="s">
        <v>626</v>
      </c>
      <c r="E443" s="1" t="s">
        <v>48</v>
      </c>
      <c r="F443" s="1">
        <v>1</v>
      </c>
      <c r="G443" s="1" t="s">
        <v>51</v>
      </c>
      <c r="H443" s="1" t="str">
        <f t="shared" si="36"/>
        <v xml:space="preserve">CEMPRESA='31' </v>
      </c>
      <c r="I443" s="1" t="str">
        <f t="shared" si="37"/>
        <v xml:space="preserve">AND CBALCAO='0003' </v>
      </c>
      <c r="J443" s="1" t="str">
        <f t="shared" si="38"/>
        <v xml:space="preserve">AND CNUMECTA='20523691096' </v>
      </c>
      <c r="K443" s="1" t="str">
        <f t="shared" si="39"/>
        <v xml:space="preserve">AND ZDEPOSIT='000000000000000' </v>
      </c>
      <c r="L443" s="1" t="str">
        <f t="shared" si="40"/>
        <v>WHEN CEMPRESA='31' AND CBALCAO='0003' AND CNUMECTA='20523691096' AND ZDEPOSIT='000000000000000' THEN 1</v>
      </c>
      <c r="M443" s="1" t="str">
        <f t="shared" si="41"/>
        <v>WHEN CEMPRESA='31' AND CBALCAO='0003' AND CNUMECTA='20523691096' AND ZDEPOSIT='000000000000000' THEN 'B.1.'</v>
      </c>
    </row>
    <row r="444" spans="2:13" x14ac:dyDescent="0.25">
      <c r="B444" s="1" t="s">
        <v>45</v>
      </c>
      <c r="C444" s="1" t="s">
        <v>46</v>
      </c>
      <c r="D444" s="1" t="s">
        <v>627</v>
      </c>
      <c r="E444" s="1" t="s">
        <v>48</v>
      </c>
      <c r="F444" s="1">
        <v>1</v>
      </c>
      <c r="G444" s="1" t="s">
        <v>60</v>
      </c>
      <c r="H444" s="1" t="str">
        <f t="shared" si="36"/>
        <v xml:space="preserve">CEMPRESA='31' </v>
      </c>
      <c r="I444" s="1" t="str">
        <f t="shared" si="37"/>
        <v xml:space="preserve">AND CBALCAO='0003' </v>
      </c>
      <c r="J444" s="1" t="str">
        <f t="shared" si="38"/>
        <v xml:space="preserve">AND CNUMECTA='20725767096' </v>
      </c>
      <c r="K444" s="1" t="str">
        <f t="shared" si="39"/>
        <v xml:space="preserve">AND ZDEPOSIT='000000000000000' </v>
      </c>
      <c r="L444" s="1" t="str">
        <f t="shared" si="40"/>
        <v>WHEN CEMPRESA='31' AND CBALCAO='0003' AND CNUMECTA='20725767096' AND ZDEPOSIT='000000000000000' THEN 1</v>
      </c>
      <c r="M444" s="1" t="str">
        <f t="shared" si="41"/>
        <v>WHEN CEMPRESA='31' AND CBALCAO='0003' AND CNUMECTA='20725767096' AND ZDEPOSIT='000000000000000' THEN 'A.3.7.'</v>
      </c>
    </row>
    <row r="445" spans="2:13" x14ac:dyDescent="0.25">
      <c r="B445" s="1" t="s">
        <v>45</v>
      </c>
      <c r="C445" s="1" t="s">
        <v>46</v>
      </c>
      <c r="D445" s="1" t="s">
        <v>628</v>
      </c>
      <c r="E445" s="1" t="s">
        <v>48</v>
      </c>
      <c r="F445" s="1">
        <v>1</v>
      </c>
      <c r="G445" s="1" t="s">
        <v>60</v>
      </c>
      <c r="H445" s="1" t="str">
        <f t="shared" si="36"/>
        <v xml:space="preserve">CEMPRESA='31' </v>
      </c>
      <c r="I445" s="1" t="str">
        <f t="shared" si="37"/>
        <v xml:space="preserve">AND CBALCAO='0003' </v>
      </c>
      <c r="J445" s="1" t="str">
        <f t="shared" si="38"/>
        <v xml:space="preserve">AND CNUMECTA='20493960096' </v>
      </c>
      <c r="K445" s="1" t="str">
        <f t="shared" si="39"/>
        <v xml:space="preserve">AND ZDEPOSIT='000000000000000' </v>
      </c>
      <c r="L445" s="1" t="str">
        <f t="shared" si="40"/>
        <v>WHEN CEMPRESA='31' AND CBALCAO='0003' AND CNUMECTA='20493960096' AND ZDEPOSIT='000000000000000' THEN 1</v>
      </c>
      <c r="M445" s="1" t="str">
        <f t="shared" si="41"/>
        <v>WHEN CEMPRESA='31' AND CBALCAO='0003' AND CNUMECTA='20493960096' AND ZDEPOSIT='000000000000000' THEN 'A.3.7.'</v>
      </c>
    </row>
    <row r="446" spans="2:13" x14ac:dyDescent="0.25">
      <c r="B446" s="1" t="s">
        <v>45</v>
      </c>
      <c r="C446" s="1" t="s">
        <v>46</v>
      </c>
      <c r="D446" s="1" t="s">
        <v>629</v>
      </c>
      <c r="E446" s="1" t="s">
        <v>48</v>
      </c>
      <c r="F446" s="1">
        <v>1</v>
      </c>
      <c r="G446" s="1" t="s">
        <v>60</v>
      </c>
      <c r="H446" s="1" t="str">
        <f t="shared" si="36"/>
        <v xml:space="preserve">CEMPRESA='31' </v>
      </c>
      <c r="I446" s="1" t="str">
        <f t="shared" si="37"/>
        <v xml:space="preserve">AND CBALCAO='0003' </v>
      </c>
      <c r="J446" s="1" t="str">
        <f t="shared" si="38"/>
        <v xml:space="preserve">AND CNUMECTA='20437967096' </v>
      </c>
      <c r="K446" s="1" t="str">
        <f t="shared" si="39"/>
        <v xml:space="preserve">AND ZDEPOSIT='000000000000000' </v>
      </c>
      <c r="L446" s="1" t="str">
        <f t="shared" si="40"/>
        <v>WHEN CEMPRESA='31' AND CBALCAO='0003' AND CNUMECTA='20437967096' AND ZDEPOSIT='000000000000000' THEN 1</v>
      </c>
      <c r="M446" s="1" t="str">
        <f t="shared" si="41"/>
        <v>WHEN CEMPRESA='31' AND CBALCAO='0003' AND CNUMECTA='20437967096' AND ZDEPOSIT='000000000000000' THEN 'A.3.7.'</v>
      </c>
    </row>
    <row r="447" spans="2:13" x14ac:dyDescent="0.25">
      <c r="B447" s="1" t="s">
        <v>54</v>
      </c>
      <c r="C447" s="1" t="s">
        <v>55</v>
      </c>
      <c r="D447" s="1" t="s">
        <v>630</v>
      </c>
      <c r="E447" s="1" t="s">
        <v>631</v>
      </c>
      <c r="F447" s="1">
        <v>1</v>
      </c>
      <c r="G447" s="1" t="s">
        <v>58</v>
      </c>
      <c r="H447" s="1" t="str">
        <f t="shared" si="36"/>
        <v xml:space="preserve">CEMPRESA='89' </v>
      </c>
      <c r="I447" s="1" t="str">
        <f t="shared" si="37"/>
        <v xml:space="preserve">AND CBALCAO='0000' </v>
      </c>
      <c r="J447" s="1" t="str">
        <f t="shared" si="38"/>
        <v xml:space="preserve">AND CNUMECTA='00008046507' </v>
      </c>
      <c r="K447" s="1" t="str">
        <f t="shared" si="39"/>
        <v xml:space="preserve">AND ZDEPOSIT='000530000777942' </v>
      </c>
      <c r="L447" s="1" t="str">
        <f t="shared" si="40"/>
        <v>WHEN CEMPRESA='89' AND CBALCAO='0000' AND CNUMECTA='00008046507' AND ZDEPOSIT='000530000777942' THEN 1</v>
      </c>
      <c r="M447" s="1" t="str">
        <f t="shared" si="41"/>
        <v>WHEN CEMPRESA='89' AND CBALCAO='0000' AND CNUMECTA='00008046507' AND ZDEPOSIT='000530000777942' THEN 'A.2.5.'</v>
      </c>
    </row>
    <row r="448" spans="2:13" x14ac:dyDescent="0.25">
      <c r="B448" s="1" t="s">
        <v>45</v>
      </c>
      <c r="C448" s="1" t="s">
        <v>46</v>
      </c>
      <c r="D448" s="1" t="s">
        <v>632</v>
      </c>
      <c r="E448" s="1" t="s">
        <v>48</v>
      </c>
      <c r="F448" s="1">
        <v>1</v>
      </c>
      <c r="G448" s="1" t="s">
        <v>60</v>
      </c>
      <c r="H448" s="1" t="str">
        <f t="shared" si="36"/>
        <v xml:space="preserve">CEMPRESA='31' </v>
      </c>
      <c r="I448" s="1" t="str">
        <f t="shared" si="37"/>
        <v xml:space="preserve">AND CBALCAO='0003' </v>
      </c>
      <c r="J448" s="1" t="str">
        <f t="shared" si="38"/>
        <v xml:space="preserve">AND CNUMECTA='20654611096' </v>
      </c>
      <c r="K448" s="1" t="str">
        <f t="shared" si="39"/>
        <v xml:space="preserve">AND ZDEPOSIT='000000000000000' </v>
      </c>
      <c r="L448" s="1" t="str">
        <f t="shared" si="40"/>
        <v>WHEN CEMPRESA='31' AND CBALCAO='0003' AND CNUMECTA='20654611096' AND ZDEPOSIT='000000000000000' THEN 1</v>
      </c>
      <c r="M448" s="1" t="str">
        <f t="shared" si="41"/>
        <v>WHEN CEMPRESA='31' AND CBALCAO='0003' AND CNUMECTA='20654611096' AND ZDEPOSIT='000000000000000' THEN 'A.3.7.'</v>
      </c>
    </row>
    <row r="449" spans="2:13" x14ac:dyDescent="0.25">
      <c r="B449" s="1" t="s">
        <v>45</v>
      </c>
      <c r="C449" s="1" t="s">
        <v>46</v>
      </c>
      <c r="D449" s="1" t="s">
        <v>633</v>
      </c>
      <c r="E449" s="1" t="s">
        <v>48</v>
      </c>
      <c r="F449" s="1">
        <v>1</v>
      </c>
      <c r="G449" s="1" t="s">
        <v>60</v>
      </c>
      <c r="H449" s="1" t="str">
        <f t="shared" si="36"/>
        <v xml:space="preserve">CEMPRESA='31' </v>
      </c>
      <c r="I449" s="1" t="str">
        <f t="shared" si="37"/>
        <v xml:space="preserve">AND CBALCAO='0003' </v>
      </c>
      <c r="J449" s="1" t="str">
        <f t="shared" si="38"/>
        <v xml:space="preserve">AND CNUMECTA='20548219096' </v>
      </c>
      <c r="K449" s="1" t="str">
        <f t="shared" si="39"/>
        <v xml:space="preserve">AND ZDEPOSIT='000000000000000' </v>
      </c>
      <c r="L449" s="1" t="str">
        <f t="shared" si="40"/>
        <v>WHEN CEMPRESA='31' AND CBALCAO='0003' AND CNUMECTA='20548219096' AND ZDEPOSIT='000000000000000' THEN 1</v>
      </c>
      <c r="M449" s="1" t="str">
        <f t="shared" si="41"/>
        <v>WHEN CEMPRESA='31' AND CBALCAO='0003' AND CNUMECTA='20548219096' AND ZDEPOSIT='000000000000000' THEN 'A.3.7.'</v>
      </c>
    </row>
    <row r="450" spans="2:13" x14ac:dyDescent="0.25">
      <c r="B450" s="1" t="s">
        <v>54</v>
      </c>
      <c r="C450" s="1" t="s">
        <v>55</v>
      </c>
      <c r="D450" s="1" t="s">
        <v>634</v>
      </c>
      <c r="E450" s="1" t="s">
        <v>635</v>
      </c>
      <c r="F450" s="1">
        <v>1</v>
      </c>
      <c r="G450" s="1" t="s">
        <v>58</v>
      </c>
      <c r="H450" s="1" t="str">
        <f t="shared" si="36"/>
        <v xml:space="preserve">CEMPRESA='89' </v>
      </c>
      <c r="I450" s="1" t="str">
        <f t="shared" si="37"/>
        <v xml:space="preserve">AND CBALCAO='0000' </v>
      </c>
      <c r="J450" s="1" t="str">
        <f t="shared" si="38"/>
        <v xml:space="preserve">AND CNUMECTA='00000250047' </v>
      </c>
      <c r="K450" s="1" t="str">
        <f t="shared" si="39"/>
        <v xml:space="preserve">AND ZDEPOSIT='000450000479262' </v>
      </c>
      <c r="L450" s="1" t="str">
        <f t="shared" si="40"/>
        <v>WHEN CEMPRESA='89' AND CBALCAO='0000' AND CNUMECTA='00000250047' AND ZDEPOSIT='000450000479262' THEN 1</v>
      </c>
      <c r="M450" s="1" t="str">
        <f t="shared" si="41"/>
        <v>WHEN CEMPRESA='89' AND CBALCAO='0000' AND CNUMECTA='00000250047' AND ZDEPOSIT='000450000479262' THEN 'A.2.5.'</v>
      </c>
    </row>
    <row r="451" spans="2:13" x14ac:dyDescent="0.25">
      <c r="B451" s="1" t="s">
        <v>45</v>
      </c>
      <c r="C451" s="1" t="s">
        <v>46</v>
      </c>
      <c r="D451" s="1" t="s">
        <v>636</v>
      </c>
      <c r="E451" s="1" t="s">
        <v>48</v>
      </c>
      <c r="F451" s="1">
        <v>1</v>
      </c>
      <c r="G451" s="1" t="s">
        <v>60</v>
      </c>
      <c r="H451" s="1" t="str">
        <f t="shared" si="36"/>
        <v xml:space="preserve">CEMPRESA='31' </v>
      </c>
      <c r="I451" s="1" t="str">
        <f t="shared" si="37"/>
        <v xml:space="preserve">AND CBALCAO='0003' </v>
      </c>
      <c r="J451" s="1" t="str">
        <f t="shared" si="38"/>
        <v xml:space="preserve">AND CNUMECTA='20620802096' </v>
      </c>
      <c r="K451" s="1" t="str">
        <f t="shared" si="39"/>
        <v xml:space="preserve">AND ZDEPOSIT='000000000000000' </v>
      </c>
      <c r="L451" s="1" t="str">
        <f t="shared" si="40"/>
        <v>WHEN CEMPRESA='31' AND CBALCAO='0003' AND CNUMECTA='20620802096' AND ZDEPOSIT='000000000000000' THEN 1</v>
      </c>
      <c r="M451" s="1" t="str">
        <f t="shared" si="41"/>
        <v>WHEN CEMPRESA='31' AND CBALCAO='0003' AND CNUMECTA='20620802096' AND ZDEPOSIT='000000000000000' THEN 'A.3.7.'</v>
      </c>
    </row>
    <row r="452" spans="2:13" x14ac:dyDescent="0.25">
      <c r="B452" s="1" t="s">
        <v>54</v>
      </c>
      <c r="C452" s="1" t="s">
        <v>55</v>
      </c>
      <c r="D452" s="1" t="s">
        <v>637</v>
      </c>
      <c r="E452" s="1" t="s">
        <v>638</v>
      </c>
      <c r="F452" s="1">
        <v>1</v>
      </c>
      <c r="G452" s="1" t="s">
        <v>58</v>
      </c>
      <c r="H452" s="1" t="str">
        <f t="shared" ref="H452:H515" si="42">+IF(LEN(TRIM(B452))&gt;0,UPPER($B$2)&amp;"='"&amp;TRIM(B452)&amp;"' ","")</f>
        <v xml:space="preserve">CEMPRESA='89' </v>
      </c>
      <c r="I452" s="1" t="str">
        <f t="shared" ref="I452:I515" si="43">+IF(LEN(TRIM(C452))&gt;0,UPPER($C$2)&amp;"='"&amp;TRIM(C452)&amp;"' ","")</f>
        <v xml:space="preserve">AND CBALCAO='0000' </v>
      </c>
      <c r="J452" s="1" t="str">
        <f t="shared" ref="J452:J515" si="44">+IF(LEN(TRIM(D452))&gt;0,UPPER($D$2)&amp;"='"&amp;TRIM(D452)&amp;"' ","")</f>
        <v xml:space="preserve">AND CNUMECTA='00000250234' </v>
      </c>
      <c r="K452" s="1" t="str">
        <f t="shared" ref="K452:K515" si="45">+IF(LEN(TRIM(E452))&gt;0,UPPER($E$2)&amp;"='"&amp;TRIM(E452)&amp;"' ","")</f>
        <v xml:space="preserve">AND ZDEPOSIT='000450000511064' </v>
      </c>
      <c r="L452" s="1" t="str">
        <f t="shared" ref="L452:L515" si="46">+"WHEN "&amp;H452&amp;I452&amp;J452&amp;K452&amp;"THEN "&amp;F452</f>
        <v>WHEN CEMPRESA='89' AND CBALCAO='0000' AND CNUMECTA='00000250234' AND ZDEPOSIT='000450000511064' THEN 1</v>
      </c>
      <c r="M452" s="1" t="str">
        <f t="shared" ref="M452:M515" si="47">+"WHEN "&amp;H452&amp;I452&amp;J452&amp;K452&amp;"THEN "&amp;G452</f>
        <v>WHEN CEMPRESA='89' AND CBALCAO='0000' AND CNUMECTA='00000250234' AND ZDEPOSIT='000450000511064' THEN 'A.2.5.'</v>
      </c>
    </row>
    <row r="453" spans="2:13" x14ac:dyDescent="0.25">
      <c r="B453" s="1" t="s">
        <v>45</v>
      </c>
      <c r="C453" s="1" t="s">
        <v>46</v>
      </c>
      <c r="D453" s="1" t="s">
        <v>639</v>
      </c>
      <c r="E453" s="1" t="s">
        <v>48</v>
      </c>
      <c r="F453" s="1">
        <v>1</v>
      </c>
      <c r="G453" s="1" t="s">
        <v>60</v>
      </c>
      <c r="H453" s="1" t="str">
        <f t="shared" si="42"/>
        <v xml:space="preserve">CEMPRESA='31' </v>
      </c>
      <c r="I453" s="1" t="str">
        <f t="shared" si="43"/>
        <v xml:space="preserve">AND CBALCAO='0003' </v>
      </c>
      <c r="J453" s="1" t="str">
        <f t="shared" si="44"/>
        <v xml:space="preserve">AND CNUMECTA='20691043096' </v>
      </c>
      <c r="K453" s="1" t="str">
        <f t="shared" si="45"/>
        <v xml:space="preserve">AND ZDEPOSIT='000000000000000' </v>
      </c>
      <c r="L453" s="1" t="str">
        <f t="shared" si="46"/>
        <v>WHEN CEMPRESA='31' AND CBALCAO='0003' AND CNUMECTA='20691043096' AND ZDEPOSIT='000000000000000' THEN 1</v>
      </c>
      <c r="M453" s="1" t="str">
        <f t="shared" si="47"/>
        <v>WHEN CEMPRESA='31' AND CBALCAO='0003' AND CNUMECTA='20691043096' AND ZDEPOSIT='000000000000000' THEN 'A.3.7.'</v>
      </c>
    </row>
    <row r="454" spans="2:13" x14ac:dyDescent="0.25">
      <c r="B454" s="1" t="s">
        <v>45</v>
      </c>
      <c r="C454" s="1" t="s">
        <v>46</v>
      </c>
      <c r="D454" s="1" t="s">
        <v>640</v>
      </c>
      <c r="E454" s="1" t="s">
        <v>48</v>
      </c>
      <c r="F454" s="1">
        <v>1</v>
      </c>
      <c r="G454" s="1" t="s">
        <v>60</v>
      </c>
      <c r="H454" s="1" t="str">
        <f t="shared" si="42"/>
        <v xml:space="preserve">CEMPRESA='31' </v>
      </c>
      <c r="I454" s="1" t="str">
        <f t="shared" si="43"/>
        <v xml:space="preserve">AND CBALCAO='0003' </v>
      </c>
      <c r="J454" s="1" t="str">
        <f t="shared" si="44"/>
        <v xml:space="preserve">AND CNUMECTA='20741236096' </v>
      </c>
      <c r="K454" s="1" t="str">
        <f t="shared" si="45"/>
        <v xml:space="preserve">AND ZDEPOSIT='000000000000000' </v>
      </c>
      <c r="L454" s="1" t="str">
        <f t="shared" si="46"/>
        <v>WHEN CEMPRESA='31' AND CBALCAO='0003' AND CNUMECTA='20741236096' AND ZDEPOSIT='000000000000000' THEN 1</v>
      </c>
      <c r="M454" s="1" t="str">
        <f t="shared" si="47"/>
        <v>WHEN CEMPRESA='31' AND CBALCAO='0003' AND CNUMECTA='20741236096' AND ZDEPOSIT='000000000000000' THEN 'A.3.7.'</v>
      </c>
    </row>
    <row r="455" spans="2:13" x14ac:dyDescent="0.25">
      <c r="B455" s="1" t="s">
        <v>54</v>
      </c>
      <c r="C455" s="1" t="s">
        <v>55</v>
      </c>
      <c r="D455" s="1" t="s">
        <v>641</v>
      </c>
      <c r="E455" s="1" t="s">
        <v>642</v>
      </c>
      <c r="F455" s="1">
        <v>1</v>
      </c>
      <c r="G455" s="1" t="s">
        <v>58</v>
      </c>
      <c r="H455" s="1" t="str">
        <f t="shared" si="42"/>
        <v xml:space="preserve">CEMPRESA='89' </v>
      </c>
      <c r="I455" s="1" t="str">
        <f t="shared" si="43"/>
        <v xml:space="preserve">AND CBALCAO='0000' </v>
      </c>
      <c r="J455" s="1" t="str">
        <f t="shared" si="44"/>
        <v xml:space="preserve">AND CNUMECTA='00000250294' </v>
      </c>
      <c r="K455" s="1" t="str">
        <f t="shared" si="45"/>
        <v xml:space="preserve">AND ZDEPOSIT='000450000735077' </v>
      </c>
      <c r="L455" s="1" t="str">
        <f t="shared" si="46"/>
        <v>WHEN CEMPRESA='89' AND CBALCAO='0000' AND CNUMECTA='00000250294' AND ZDEPOSIT='000450000735077' THEN 1</v>
      </c>
      <c r="M455" s="1" t="str">
        <f t="shared" si="47"/>
        <v>WHEN CEMPRESA='89' AND CBALCAO='0000' AND CNUMECTA='00000250294' AND ZDEPOSIT='000450000735077' THEN 'A.2.5.'</v>
      </c>
    </row>
    <row r="456" spans="2:13" x14ac:dyDescent="0.25">
      <c r="B456" s="1" t="s">
        <v>45</v>
      </c>
      <c r="C456" s="1" t="s">
        <v>46</v>
      </c>
      <c r="D456" s="1" t="s">
        <v>643</v>
      </c>
      <c r="E456" s="1" t="s">
        <v>48</v>
      </c>
      <c r="F456" s="1">
        <v>1</v>
      </c>
      <c r="G456" s="1" t="s">
        <v>60</v>
      </c>
      <c r="H456" s="1" t="str">
        <f t="shared" si="42"/>
        <v xml:space="preserve">CEMPRESA='31' </v>
      </c>
      <c r="I456" s="1" t="str">
        <f t="shared" si="43"/>
        <v xml:space="preserve">AND CBALCAO='0003' </v>
      </c>
      <c r="J456" s="1" t="str">
        <f t="shared" si="44"/>
        <v xml:space="preserve">AND CNUMECTA='20540315096' </v>
      </c>
      <c r="K456" s="1" t="str">
        <f t="shared" si="45"/>
        <v xml:space="preserve">AND ZDEPOSIT='000000000000000' </v>
      </c>
      <c r="L456" s="1" t="str">
        <f t="shared" si="46"/>
        <v>WHEN CEMPRESA='31' AND CBALCAO='0003' AND CNUMECTA='20540315096' AND ZDEPOSIT='000000000000000' THEN 1</v>
      </c>
      <c r="M456" s="1" t="str">
        <f t="shared" si="47"/>
        <v>WHEN CEMPRESA='31' AND CBALCAO='0003' AND CNUMECTA='20540315096' AND ZDEPOSIT='000000000000000' THEN 'A.3.7.'</v>
      </c>
    </row>
    <row r="457" spans="2:13" x14ac:dyDescent="0.25">
      <c r="B457" s="1" t="s">
        <v>54</v>
      </c>
      <c r="C457" s="1" t="s">
        <v>55</v>
      </c>
      <c r="D457" s="1" t="s">
        <v>644</v>
      </c>
      <c r="E457" s="1" t="s">
        <v>476</v>
      </c>
      <c r="F457" s="1">
        <v>1</v>
      </c>
      <c r="G457" s="1" t="s">
        <v>58</v>
      </c>
      <c r="H457" s="1" t="str">
        <f t="shared" si="42"/>
        <v xml:space="preserve">CEMPRESA='89' </v>
      </c>
      <c r="I457" s="1" t="str">
        <f t="shared" si="43"/>
        <v xml:space="preserve">AND CBALCAO='0000' </v>
      </c>
      <c r="J457" s="1" t="str">
        <f t="shared" si="44"/>
        <v xml:space="preserve">AND CNUMECTA='00008046572' </v>
      </c>
      <c r="K457" s="1" t="str">
        <f t="shared" si="45"/>
        <v xml:space="preserve">AND ZDEPOSIT='000530000738417' </v>
      </c>
      <c r="L457" s="1" t="str">
        <f t="shared" si="46"/>
        <v>WHEN CEMPRESA='89' AND CBALCAO='0000' AND CNUMECTA='00008046572' AND ZDEPOSIT='000530000738417' THEN 1</v>
      </c>
      <c r="M457" s="1" t="str">
        <f t="shared" si="47"/>
        <v>WHEN CEMPRESA='89' AND CBALCAO='0000' AND CNUMECTA='00008046572' AND ZDEPOSIT='000530000738417' THEN 'A.2.5.'</v>
      </c>
    </row>
    <row r="458" spans="2:13" x14ac:dyDescent="0.25">
      <c r="B458" s="1" t="s">
        <v>45</v>
      </c>
      <c r="C458" s="1" t="s">
        <v>46</v>
      </c>
      <c r="D458" s="1" t="s">
        <v>645</v>
      </c>
      <c r="E458" s="1" t="s">
        <v>48</v>
      </c>
      <c r="F458" s="1">
        <v>1</v>
      </c>
      <c r="G458" s="1" t="s">
        <v>60</v>
      </c>
      <c r="H458" s="1" t="str">
        <f t="shared" si="42"/>
        <v xml:space="preserve">CEMPRESA='31' </v>
      </c>
      <c r="I458" s="1" t="str">
        <f t="shared" si="43"/>
        <v xml:space="preserve">AND CBALCAO='0003' </v>
      </c>
      <c r="J458" s="1" t="str">
        <f t="shared" si="44"/>
        <v xml:space="preserve">AND CNUMECTA='20668371096' </v>
      </c>
      <c r="K458" s="1" t="str">
        <f t="shared" si="45"/>
        <v xml:space="preserve">AND ZDEPOSIT='000000000000000' </v>
      </c>
      <c r="L458" s="1" t="str">
        <f t="shared" si="46"/>
        <v>WHEN CEMPRESA='31' AND CBALCAO='0003' AND CNUMECTA='20668371096' AND ZDEPOSIT='000000000000000' THEN 1</v>
      </c>
      <c r="M458" s="1" t="str">
        <f t="shared" si="47"/>
        <v>WHEN CEMPRESA='31' AND CBALCAO='0003' AND CNUMECTA='20668371096' AND ZDEPOSIT='000000000000000' THEN 'A.3.7.'</v>
      </c>
    </row>
    <row r="459" spans="2:13" x14ac:dyDescent="0.25">
      <c r="B459" s="1" t="s">
        <v>54</v>
      </c>
      <c r="C459" s="1" t="s">
        <v>55</v>
      </c>
      <c r="D459" s="1" t="s">
        <v>646</v>
      </c>
      <c r="E459" s="1" t="s">
        <v>647</v>
      </c>
      <c r="F459" s="1">
        <v>1</v>
      </c>
      <c r="G459" s="1" t="s">
        <v>58</v>
      </c>
      <c r="H459" s="1" t="str">
        <f t="shared" si="42"/>
        <v xml:space="preserve">CEMPRESA='89' </v>
      </c>
      <c r="I459" s="1" t="str">
        <f t="shared" si="43"/>
        <v xml:space="preserve">AND CBALCAO='0000' </v>
      </c>
      <c r="J459" s="1" t="str">
        <f t="shared" si="44"/>
        <v xml:space="preserve">AND CNUMECTA='00008046448' </v>
      </c>
      <c r="K459" s="1" t="str">
        <f t="shared" si="45"/>
        <v xml:space="preserve">AND ZDEPOSIT='000530000777622' </v>
      </c>
      <c r="L459" s="1" t="str">
        <f t="shared" si="46"/>
        <v>WHEN CEMPRESA='89' AND CBALCAO='0000' AND CNUMECTA='00008046448' AND ZDEPOSIT='000530000777622' THEN 1</v>
      </c>
      <c r="M459" s="1" t="str">
        <f t="shared" si="47"/>
        <v>WHEN CEMPRESA='89' AND CBALCAO='0000' AND CNUMECTA='00008046448' AND ZDEPOSIT='000530000777622' THEN 'A.2.5.'</v>
      </c>
    </row>
    <row r="460" spans="2:13" x14ac:dyDescent="0.25">
      <c r="B460" s="1" t="s">
        <v>45</v>
      </c>
      <c r="C460" s="1" t="s">
        <v>46</v>
      </c>
      <c r="D460" s="1" t="s">
        <v>648</v>
      </c>
      <c r="E460" s="1" t="s">
        <v>48</v>
      </c>
      <c r="F460" s="1">
        <v>1</v>
      </c>
      <c r="G460" s="1" t="s">
        <v>60</v>
      </c>
      <c r="H460" s="1" t="str">
        <f t="shared" si="42"/>
        <v xml:space="preserve">CEMPRESA='31' </v>
      </c>
      <c r="I460" s="1" t="str">
        <f t="shared" si="43"/>
        <v xml:space="preserve">AND CBALCAO='0003' </v>
      </c>
      <c r="J460" s="1" t="str">
        <f t="shared" si="44"/>
        <v xml:space="preserve">AND CNUMECTA='20654306096' </v>
      </c>
      <c r="K460" s="1" t="str">
        <f t="shared" si="45"/>
        <v xml:space="preserve">AND ZDEPOSIT='000000000000000' </v>
      </c>
      <c r="L460" s="1" t="str">
        <f t="shared" si="46"/>
        <v>WHEN CEMPRESA='31' AND CBALCAO='0003' AND CNUMECTA='20654306096' AND ZDEPOSIT='000000000000000' THEN 1</v>
      </c>
      <c r="M460" s="1" t="str">
        <f t="shared" si="47"/>
        <v>WHEN CEMPRESA='31' AND CBALCAO='0003' AND CNUMECTA='20654306096' AND ZDEPOSIT='000000000000000' THEN 'A.3.7.'</v>
      </c>
    </row>
    <row r="461" spans="2:13" x14ac:dyDescent="0.25">
      <c r="B461" s="1" t="s">
        <v>45</v>
      </c>
      <c r="C461" s="1" t="s">
        <v>46</v>
      </c>
      <c r="D461" s="1" t="s">
        <v>649</v>
      </c>
      <c r="E461" s="1" t="s">
        <v>48</v>
      </c>
      <c r="F461" s="1">
        <v>1</v>
      </c>
      <c r="G461" s="1" t="s">
        <v>60</v>
      </c>
      <c r="H461" s="1" t="str">
        <f t="shared" si="42"/>
        <v xml:space="preserve">CEMPRESA='31' </v>
      </c>
      <c r="I461" s="1" t="str">
        <f t="shared" si="43"/>
        <v xml:space="preserve">AND CBALCAO='0003' </v>
      </c>
      <c r="J461" s="1" t="str">
        <f t="shared" si="44"/>
        <v xml:space="preserve">AND CNUMECTA='20571542096' </v>
      </c>
      <c r="K461" s="1" t="str">
        <f t="shared" si="45"/>
        <v xml:space="preserve">AND ZDEPOSIT='000000000000000' </v>
      </c>
      <c r="L461" s="1" t="str">
        <f t="shared" si="46"/>
        <v>WHEN CEMPRESA='31' AND CBALCAO='0003' AND CNUMECTA='20571542096' AND ZDEPOSIT='000000000000000' THEN 1</v>
      </c>
      <c r="M461" s="1" t="str">
        <f t="shared" si="47"/>
        <v>WHEN CEMPRESA='31' AND CBALCAO='0003' AND CNUMECTA='20571542096' AND ZDEPOSIT='000000000000000' THEN 'A.3.7.'</v>
      </c>
    </row>
    <row r="462" spans="2:13" x14ac:dyDescent="0.25">
      <c r="B462" s="1" t="s">
        <v>45</v>
      </c>
      <c r="C462" s="1" t="s">
        <v>46</v>
      </c>
      <c r="D462" s="1" t="s">
        <v>650</v>
      </c>
      <c r="E462" s="1" t="s">
        <v>48</v>
      </c>
      <c r="F462" s="1">
        <v>1</v>
      </c>
      <c r="G462" s="1" t="s">
        <v>60</v>
      </c>
      <c r="H462" s="1" t="str">
        <f t="shared" si="42"/>
        <v xml:space="preserve">CEMPRESA='31' </v>
      </c>
      <c r="I462" s="1" t="str">
        <f t="shared" si="43"/>
        <v xml:space="preserve">AND CBALCAO='0003' </v>
      </c>
      <c r="J462" s="1" t="str">
        <f t="shared" si="44"/>
        <v xml:space="preserve">AND CNUMECTA='20654892096' </v>
      </c>
      <c r="K462" s="1" t="str">
        <f t="shared" si="45"/>
        <v xml:space="preserve">AND ZDEPOSIT='000000000000000' </v>
      </c>
      <c r="L462" s="1" t="str">
        <f t="shared" si="46"/>
        <v>WHEN CEMPRESA='31' AND CBALCAO='0003' AND CNUMECTA='20654892096' AND ZDEPOSIT='000000000000000' THEN 1</v>
      </c>
      <c r="M462" s="1" t="str">
        <f t="shared" si="47"/>
        <v>WHEN CEMPRESA='31' AND CBALCAO='0003' AND CNUMECTA='20654892096' AND ZDEPOSIT='000000000000000' THEN 'A.3.7.'</v>
      </c>
    </row>
    <row r="463" spans="2:13" x14ac:dyDescent="0.25">
      <c r="B463" s="1" t="s">
        <v>45</v>
      </c>
      <c r="C463" s="1" t="s">
        <v>46</v>
      </c>
      <c r="D463" s="1" t="s">
        <v>651</v>
      </c>
      <c r="E463" s="1" t="s">
        <v>48</v>
      </c>
      <c r="F463" s="1">
        <v>1</v>
      </c>
      <c r="G463" s="1" t="s">
        <v>60</v>
      </c>
      <c r="H463" s="1" t="str">
        <f t="shared" si="42"/>
        <v xml:space="preserve">CEMPRESA='31' </v>
      </c>
      <c r="I463" s="1" t="str">
        <f t="shared" si="43"/>
        <v xml:space="preserve">AND CBALCAO='0003' </v>
      </c>
      <c r="J463" s="1" t="str">
        <f t="shared" si="44"/>
        <v xml:space="preserve">AND CNUMECTA='20516315096' </v>
      </c>
      <c r="K463" s="1" t="str">
        <f t="shared" si="45"/>
        <v xml:space="preserve">AND ZDEPOSIT='000000000000000' </v>
      </c>
      <c r="L463" s="1" t="str">
        <f t="shared" si="46"/>
        <v>WHEN CEMPRESA='31' AND CBALCAO='0003' AND CNUMECTA='20516315096' AND ZDEPOSIT='000000000000000' THEN 1</v>
      </c>
      <c r="M463" s="1" t="str">
        <f t="shared" si="47"/>
        <v>WHEN CEMPRESA='31' AND CBALCAO='0003' AND CNUMECTA='20516315096' AND ZDEPOSIT='000000000000000' THEN 'A.3.7.'</v>
      </c>
    </row>
    <row r="464" spans="2:13" x14ac:dyDescent="0.25">
      <c r="B464" s="1" t="s">
        <v>45</v>
      </c>
      <c r="C464" s="1" t="s">
        <v>187</v>
      </c>
      <c r="D464" s="1" t="s">
        <v>652</v>
      </c>
      <c r="E464" s="1" t="s">
        <v>653</v>
      </c>
      <c r="F464" s="1">
        <v>1</v>
      </c>
      <c r="G464" s="1" t="s">
        <v>190</v>
      </c>
      <c r="H464" s="1" t="str">
        <f t="shared" si="42"/>
        <v xml:space="preserve">CEMPRESA='31' </v>
      </c>
      <c r="I464" s="1" t="str">
        <f t="shared" si="43"/>
        <v xml:space="preserve">AND CBALCAO='6636' </v>
      </c>
      <c r="J464" s="1" t="str">
        <f t="shared" si="44"/>
        <v xml:space="preserve">AND CNUMECTA='00380009711' </v>
      </c>
      <c r="K464" s="1" t="str">
        <f t="shared" si="45"/>
        <v xml:space="preserve">AND ZDEPOSIT='390103800097119' </v>
      </c>
      <c r="L464" s="1" t="str">
        <f t="shared" si="46"/>
        <v>WHEN CEMPRESA='31' AND CBALCAO='6636' AND CNUMECTA='00380009711' AND ZDEPOSIT='390103800097119' THEN 1</v>
      </c>
      <c r="M464" s="1" t="str">
        <f t="shared" si="47"/>
        <v>WHEN CEMPRESA='31' AND CBALCAO='6636' AND CNUMECTA='00380009711' AND ZDEPOSIT='390103800097119' THEN 'Pure Green counterparty - Default'</v>
      </c>
    </row>
    <row r="465" spans="2:13" x14ac:dyDescent="0.25">
      <c r="B465" s="1" t="s">
        <v>45</v>
      </c>
      <c r="C465" s="1" t="s">
        <v>46</v>
      </c>
      <c r="D465" s="1" t="s">
        <v>654</v>
      </c>
      <c r="E465" s="1" t="s">
        <v>48</v>
      </c>
      <c r="F465" s="1">
        <v>1</v>
      </c>
      <c r="G465" s="1" t="s">
        <v>51</v>
      </c>
      <c r="H465" s="1" t="str">
        <f t="shared" si="42"/>
        <v xml:space="preserve">CEMPRESA='31' </v>
      </c>
      <c r="I465" s="1" t="str">
        <f t="shared" si="43"/>
        <v xml:space="preserve">AND CBALCAO='0003' </v>
      </c>
      <c r="J465" s="1" t="str">
        <f t="shared" si="44"/>
        <v xml:space="preserve">AND CNUMECTA='20418173096' </v>
      </c>
      <c r="K465" s="1" t="str">
        <f t="shared" si="45"/>
        <v xml:space="preserve">AND ZDEPOSIT='000000000000000' </v>
      </c>
      <c r="L465" s="1" t="str">
        <f t="shared" si="46"/>
        <v>WHEN CEMPRESA='31' AND CBALCAO='0003' AND CNUMECTA='20418173096' AND ZDEPOSIT='000000000000000' THEN 1</v>
      </c>
      <c r="M465" s="1" t="str">
        <f t="shared" si="47"/>
        <v>WHEN CEMPRESA='31' AND CBALCAO='0003' AND CNUMECTA='20418173096' AND ZDEPOSIT='000000000000000' THEN 'B.1.'</v>
      </c>
    </row>
    <row r="466" spans="2:13" x14ac:dyDescent="0.25">
      <c r="B466" s="1" t="s">
        <v>54</v>
      </c>
      <c r="C466" s="1" t="s">
        <v>55</v>
      </c>
      <c r="D466" s="1" t="s">
        <v>655</v>
      </c>
      <c r="E466" s="1" t="s">
        <v>656</v>
      </c>
      <c r="F466" s="1">
        <v>1</v>
      </c>
      <c r="G466" s="1" t="s">
        <v>58</v>
      </c>
      <c r="H466" s="1" t="str">
        <f t="shared" si="42"/>
        <v xml:space="preserve">CEMPRESA='89' </v>
      </c>
      <c r="I466" s="1" t="str">
        <f t="shared" si="43"/>
        <v xml:space="preserve">AND CBALCAO='0000' </v>
      </c>
      <c r="J466" s="1" t="str">
        <f t="shared" si="44"/>
        <v xml:space="preserve">AND CNUMECTA='00000250031' </v>
      </c>
      <c r="K466" s="1" t="str">
        <f t="shared" si="45"/>
        <v xml:space="preserve">AND ZDEPOSIT='000450000774332' </v>
      </c>
      <c r="L466" s="1" t="str">
        <f t="shared" si="46"/>
        <v>WHEN CEMPRESA='89' AND CBALCAO='0000' AND CNUMECTA='00000250031' AND ZDEPOSIT='000450000774332' THEN 1</v>
      </c>
      <c r="M466" s="1" t="str">
        <f t="shared" si="47"/>
        <v>WHEN CEMPRESA='89' AND CBALCAO='0000' AND CNUMECTA='00000250031' AND ZDEPOSIT='000450000774332' THEN 'A.2.5.'</v>
      </c>
    </row>
    <row r="467" spans="2:13" x14ac:dyDescent="0.25">
      <c r="B467" s="1" t="s">
        <v>54</v>
      </c>
      <c r="C467" s="1" t="s">
        <v>55</v>
      </c>
      <c r="D467" s="1" t="s">
        <v>657</v>
      </c>
      <c r="E467" s="1" t="s">
        <v>658</v>
      </c>
      <c r="F467" s="1">
        <v>1</v>
      </c>
      <c r="G467" s="1" t="s">
        <v>58</v>
      </c>
      <c r="H467" s="1" t="str">
        <f t="shared" si="42"/>
        <v xml:space="preserve">CEMPRESA='89' </v>
      </c>
      <c r="I467" s="1" t="str">
        <f t="shared" si="43"/>
        <v xml:space="preserve">AND CBALCAO='0000' </v>
      </c>
      <c r="J467" s="1" t="str">
        <f t="shared" si="44"/>
        <v xml:space="preserve">AND CNUMECTA='00000250343' </v>
      </c>
      <c r="K467" s="1" t="str">
        <f t="shared" si="45"/>
        <v xml:space="preserve">AND ZDEPOSIT='000450000738505' </v>
      </c>
      <c r="L467" s="1" t="str">
        <f t="shared" si="46"/>
        <v>WHEN CEMPRESA='89' AND CBALCAO='0000' AND CNUMECTA='00000250343' AND ZDEPOSIT='000450000738505' THEN 1</v>
      </c>
      <c r="M467" s="1" t="str">
        <f t="shared" si="47"/>
        <v>WHEN CEMPRESA='89' AND CBALCAO='0000' AND CNUMECTA='00000250343' AND ZDEPOSIT='000450000738505' THEN 'A.2.5.'</v>
      </c>
    </row>
    <row r="468" spans="2:13" x14ac:dyDescent="0.25">
      <c r="B468" s="1" t="s">
        <v>45</v>
      </c>
      <c r="C468" s="1" t="s">
        <v>46</v>
      </c>
      <c r="D468" s="1" t="s">
        <v>659</v>
      </c>
      <c r="E468" s="1" t="s">
        <v>48</v>
      </c>
      <c r="F468" s="1">
        <v>1</v>
      </c>
      <c r="G468" s="1" t="s">
        <v>60</v>
      </c>
      <c r="H468" s="1" t="str">
        <f t="shared" si="42"/>
        <v xml:space="preserve">CEMPRESA='31' </v>
      </c>
      <c r="I468" s="1" t="str">
        <f t="shared" si="43"/>
        <v xml:space="preserve">AND CBALCAO='0003' </v>
      </c>
      <c r="J468" s="1" t="str">
        <f t="shared" si="44"/>
        <v xml:space="preserve">AND CNUMECTA='20671730096' </v>
      </c>
      <c r="K468" s="1" t="str">
        <f t="shared" si="45"/>
        <v xml:space="preserve">AND ZDEPOSIT='000000000000000' </v>
      </c>
      <c r="L468" s="1" t="str">
        <f t="shared" si="46"/>
        <v>WHEN CEMPRESA='31' AND CBALCAO='0003' AND CNUMECTA='20671730096' AND ZDEPOSIT='000000000000000' THEN 1</v>
      </c>
      <c r="M468" s="1" t="str">
        <f t="shared" si="47"/>
        <v>WHEN CEMPRESA='31' AND CBALCAO='0003' AND CNUMECTA='20671730096' AND ZDEPOSIT='000000000000000' THEN 'A.3.7.'</v>
      </c>
    </row>
    <row r="469" spans="2:13" x14ac:dyDescent="0.25">
      <c r="B469" s="1" t="s">
        <v>54</v>
      </c>
      <c r="C469" s="1" t="s">
        <v>55</v>
      </c>
      <c r="D469" s="1" t="s">
        <v>660</v>
      </c>
      <c r="E469" s="1" t="s">
        <v>661</v>
      </c>
      <c r="F469" s="1">
        <v>1</v>
      </c>
      <c r="G469" s="1" t="s">
        <v>58</v>
      </c>
      <c r="H469" s="1" t="str">
        <f t="shared" si="42"/>
        <v xml:space="preserve">CEMPRESA='89' </v>
      </c>
      <c r="I469" s="1" t="str">
        <f t="shared" si="43"/>
        <v xml:space="preserve">AND CBALCAO='0000' </v>
      </c>
      <c r="J469" s="1" t="str">
        <f t="shared" si="44"/>
        <v xml:space="preserve">AND CNUMECTA='00000250447' </v>
      </c>
      <c r="K469" s="1" t="str">
        <f t="shared" si="45"/>
        <v xml:space="preserve">AND ZDEPOSIT='000450000775362' </v>
      </c>
      <c r="L469" s="1" t="str">
        <f t="shared" si="46"/>
        <v>WHEN CEMPRESA='89' AND CBALCAO='0000' AND CNUMECTA='00000250447' AND ZDEPOSIT='000450000775362' THEN 1</v>
      </c>
      <c r="M469" s="1" t="str">
        <f t="shared" si="47"/>
        <v>WHEN CEMPRESA='89' AND CBALCAO='0000' AND CNUMECTA='00000250447' AND ZDEPOSIT='000450000775362' THEN 'A.2.5.'</v>
      </c>
    </row>
    <row r="470" spans="2:13" x14ac:dyDescent="0.25">
      <c r="B470" s="1" t="s">
        <v>45</v>
      </c>
      <c r="C470" s="1" t="s">
        <v>46</v>
      </c>
      <c r="D470" s="1" t="s">
        <v>662</v>
      </c>
      <c r="E470" s="1" t="s">
        <v>48</v>
      </c>
      <c r="F470" s="1">
        <v>1</v>
      </c>
      <c r="G470" s="1" t="s">
        <v>60</v>
      </c>
      <c r="H470" s="1" t="str">
        <f t="shared" si="42"/>
        <v xml:space="preserve">CEMPRESA='31' </v>
      </c>
      <c r="I470" s="1" t="str">
        <f t="shared" si="43"/>
        <v xml:space="preserve">AND CBALCAO='0003' </v>
      </c>
      <c r="J470" s="1" t="str">
        <f t="shared" si="44"/>
        <v xml:space="preserve">AND CNUMECTA='20652391096' </v>
      </c>
      <c r="K470" s="1" t="str">
        <f t="shared" si="45"/>
        <v xml:space="preserve">AND ZDEPOSIT='000000000000000' </v>
      </c>
      <c r="L470" s="1" t="str">
        <f t="shared" si="46"/>
        <v>WHEN CEMPRESA='31' AND CBALCAO='0003' AND CNUMECTA='20652391096' AND ZDEPOSIT='000000000000000' THEN 1</v>
      </c>
      <c r="M470" s="1" t="str">
        <f t="shared" si="47"/>
        <v>WHEN CEMPRESA='31' AND CBALCAO='0003' AND CNUMECTA='20652391096' AND ZDEPOSIT='000000000000000' THEN 'A.3.7.'</v>
      </c>
    </row>
    <row r="471" spans="2:13" x14ac:dyDescent="0.25">
      <c r="B471" s="1" t="s">
        <v>45</v>
      </c>
      <c r="C471" s="1" t="s">
        <v>46</v>
      </c>
      <c r="D471" s="1" t="s">
        <v>663</v>
      </c>
      <c r="E471" s="1" t="s">
        <v>48</v>
      </c>
      <c r="F471" s="1">
        <v>1</v>
      </c>
      <c r="G471" s="1" t="s">
        <v>60</v>
      </c>
      <c r="H471" s="1" t="str">
        <f t="shared" si="42"/>
        <v xml:space="preserve">CEMPRESA='31' </v>
      </c>
      <c r="I471" s="1" t="str">
        <f t="shared" si="43"/>
        <v xml:space="preserve">AND CBALCAO='0003' </v>
      </c>
      <c r="J471" s="1" t="str">
        <f t="shared" si="44"/>
        <v xml:space="preserve">AND CNUMECTA='20724695096' </v>
      </c>
      <c r="K471" s="1" t="str">
        <f t="shared" si="45"/>
        <v xml:space="preserve">AND ZDEPOSIT='000000000000000' </v>
      </c>
      <c r="L471" s="1" t="str">
        <f t="shared" si="46"/>
        <v>WHEN CEMPRESA='31' AND CBALCAO='0003' AND CNUMECTA='20724695096' AND ZDEPOSIT='000000000000000' THEN 1</v>
      </c>
      <c r="M471" s="1" t="str">
        <f t="shared" si="47"/>
        <v>WHEN CEMPRESA='31' AND CBALCAO='0003' AND CNUMECTA='20724695096' AND ZDEPOSIT='000000000000000' THEN 'A.3.7.'</v>
      </c>
    </row>
    <row r="472" spans="2:13" x14ac:dyDescent="0.25">
      <c r="B472" s="1" t="s">
        <v>54</v>
      </c>
      <c r="C472" s="1" t="s">
        <v>55</v>
      </c>
      <c r="D472" s="1" t="s">
        <v>664</v>
      </c>
      <c r="E472" s="1" t="s">
        <v>665</v>
      </c>
      <c r="F472" s="1">
        <v>1</v>
      </c>
      <c r="G472" s="1" t="s">
        <v>58</v>
      </c>
      <c r="H472" s="1" t="str">
        <f t="shared" si="42"/>
        <v xml:space="preserve">CEMPRESA='89' </v>
      </c>
      <c r="I472" s="1" t="str">
        <f t="shared" si="43"/>
        <v xml:space="preserve">AND CBALCAO='0000' </v>
      </c>
      <c r="J472" s="1" t="str">
        <f t="shared" si="44"/>
        <v xml:space="preserve">AND CNUMECTA='00008046323' </v>
      </c>
      <c r="K472" s="1" t="str">
        <f t="shared" si="45"/>
        <v xml:space="preserve">AND ZDEPOSIT='000530000610953' </v>
      </c>
      <c r="L472" s="1" t="str">
        <f t="shared" si="46"/>
        <v>WHEN CEMPRESA='89' AND CBALCAO='0000' AND CNUMECTA='00008046323' AND ZDEPOSIT='000530000610953' THEN 1</v>
      </c>
      <c r="M472" s="1" t="str">
        <f t="shared" si="47"/>
        <v>WHEN CEMPRESA='89' AND CBALCAO='0000' AND CNUMECTA='00008046323' AND ZDEPOSIT='000530000610953' THEN 'A.2.5.'</v>
      </c>
    </row>
    <row r="473" spans="2:13" x14ac:dyDescent="0.25">
      <c r="B473" s="1" t="s">
        <v>54</v>
      </c>
      <c r="C473" s="1" t="s">
        <v>55</v>
      </c>
      <c r="D473" s="1" t="s">
        <v>666</v>
      </c>
      <c r="E473" s="1" t="s">
        <v>667</v>
      </c>
      <c r="F473" s="1">
        <v>1</v>
      </c>
      <c r="G473" s="1" t="s">
        <v>58</v>
      </c>
      <c r="H473" s="1" t="str">
        <f t="shared" si="42"/>
        <v xml:space="preserve">CEMPRESA='89' </v>
      </c>
      <c r="I473" s="1" t="str">
        <f t="shared" si="43"/>
        <v xml:space="preserve">AND CBALCAO='0000' </v>
      </c>
      <c r="J473" s="1" t="str">
        <f t="shared" si="44"/>
        <v xml:space="preserve">AND CNUMECTA='00008046350' </v>
      </c>
      <c r="K473" s="1" t="str">
        <f t="shared" si="45"/>
        <v xml:space="preserve">AND ZDEPOSIT='000530000694857' </v>
      </c>
      <c r="L473" s="1" t="str">
        <f t="shared" si="46"/>
        <v>WHEN CEMPRESA='89' AND CBALCAO='0000' AND CNUMECTA='00008046350' AND ZDEPOSIT='000530000694857' THEN 1</v>
      </c>
      <c r="M473" s="1" t="str">
        <f t="shared" si="47"/>
        <v>WHEN CEMPRESA='89' AND CBALCAO='0000' AND CNUMECTA='00008046350' AND ZDEPOSIT='000530000694857' THEN 'A.2.5.'</v>
      </c>
    </row>
    <row r="474" spans="2:13" x14ac:dyDescent="0.25">
      <c r="B474" s="1" t="s">
        <v>45</v>
      </c>
      <c r="C474" s="1" t="s">
        <v>46</v>
      </c>
      <c r="D474" s="1" t="s">
        <v>668</v>
      </c>
      <c r="E474" s="1" t="s">
        <v>48</v>
      </c>
      <c r="F474" s="1">
        <v>1</v>
      </c>
      <c r="G474" s="1" t="s">
        <v>60</v>
      </c>
      <c r="H474" s="1" t="str">
        <f t="shared" si="42"/>
        <v xml:space="preserve">CEMPRESA='31' </v>
      </c>
      <c r="I474" s="1" t="str">
        <f t="shared" si="43"/>
        <v xml:space="preserve">AND CBALCAO='0003' </v>
      </c>
      <c r="J474" s="1" t="str">
        <f t="shared" si="44"/>
        <v xml:space="preserve">AND CNUMECTA='20699194096' </v>
      </c>
      <c r="K474" s="1" t="str">
        <f t="shared" si="45"/>
        <v xml:space="preserve">AND ZDEPOSIT='000000000000000' </v>
      </c>
      <c r="L474" s="1" t="str">
        <f t="shared" si="46"/>
        <v>WHEN CEMPRESA='31' AND CBALCAO='0003' AND CNUMECTA='20699194096' AND ZDEPOSIT='000000000000000' THEN 1</v>
      </c>
      <c r="M474" s="1" t="str">
        <f t="shared" si="47"/>
        <v>WHEN CEMPRESA='31' AND CBALCAO='0003' AND CNUMECTA='20699194096' AND ZDEPOSIT='000000000000000' THEN 'A.3.7.'</v>
      </c>
    </row>
    <row r="475" spans="2:13" x14ac:dyDescent="0.25">
      <c r="B475" s="1" t="s">
        <v>45</v>
      </c>
      <c r="C475" s="1" t="s">
        <v>46</v>
      </c>
      <c r="D475" s="1" t="s">
        <v>669</v>
      </c>
      <c r="E475" s="1" t="s">
        <v>48</v>
      </c>
      <c r="F475" s="1">
        <v>1</v>
      </c>
      <c r="G475" s="1" t="s">
        <v>60</v>
      </c>
      <c r="H475" s="1" t="str">
        <f t="shared" si="42"/>
        <v xml:space="preserve">CEMPRESA='31' </v>
      </c>
      <c r="I475" s="1" t="str">
        <f t="shared" si="43"/>
        <v xml:space="preserve">AND CBALCAO='0003' </v>
      </c>
      <c r="J475" s="1" t="str">
        <f t="shared" si="44"/>
        <v xml:space="preserve">AND CNUMECTA='20424130096' </v>
      </c>
      <c r="K475" s="1" t="str">
        <f t="shared" si="45"/>
        <v xml:space="preserve">AND ZDEPOSIT='000000000000000' </v>
      </c>
      <c r="L475" s="1" t="str">
        <f t="shared" si="46"/>
        <v>WHEN CEMPRESA='31' AND CBALCAO='0003' AND CNUMECTA='20424130096' AND ZDEPOSIT='000000000000000' THEN 1</v>
      </c>
      <c r="M475" s="1" t="str">
        <f t="shared" si="47"/>
        <v>WHEN CEMPRESA='31' AND CBALCAO='0003' AND CNUMECTA='20424130096' AND ZDEPOSIT='000000000000000' THEN 'A.3.7.'</v>
      </c>
    </row>
    <row r="476" spans="2:13" x14ac:dyDescent="0.25">
      <c r="B476" s="1" t="s">
        <v>45</v>
      </c>
      <c r="C476" s="1" t="s">
        <v>46</v>
      </c>
      <c r="D476" s="1" t="s">
        <v>670</v>
      </c>
      <c r="E476" s="1" t="s">
        <v>48</v>
      </c>
      <c r="F476" s="1">
        <v>1</v>
      </c>
      <c r="G476" s="1" t="s">
        <v>60</v>
      </c>
      <c r="H476" s="1" t="str">
        <f t="shared" si="42"/>
        <v xml:space="preserve">CEMPRESA='31' </v>
      </c>
      <c r="I476" s="1" t="str">
        <f t="shared" si="43"/>
        <v xml:space="preserve">AND CBALCAO='0003' </v>
      </c>
      <c r="J476" s="1" t="str">
        <f t="shared" si="44"/>
        <v xml:space="preserve">AND CNUMECTA='20457247096' </v>
      </c>
      <c r="K476" s="1" t="str">
        <f t="shared" si="45"/>
        <v xml:space="preserve">AND ZDEPOSIT='000000000000000' </v>
      </c>
      <c r="L476" s="1" t="str">
        <f t="shared" si="46"/>
        <v>WHEN CEMPRESA='31' AND CBALCAO='0003' AND CNUMECTA='20457247096' AND ZDEPOSIT='000000000000000' THEN 1</v>
      </c>
      <c r="M476" s="1" t="str">
        <f t="shared" si="47"/>
        <v>WHEN CEMPRESA='31' AND CBALCAO='0003' AND CNUMECTA='20457247096' AND ZDEPOSIT='000000000000000' THEN 'A.3.7.'</v>
      </c>
    </row>
    <row r="477" spans="2:13" x14ac:dyDescent="0.25">
      <c r="B477" s="1" t="s">
        <v>45</v>
      </c>
      <c r="C477" s="1" t="s">
        <v>46</v>
      </c>
      <c r="D477" s="1" t="s">
        <v>671</v>
      </c>
      <c r="E477" s="1" t="s">
        <v>48</v>
      </c>
      <c r="F477" s="1">
        <v>1</v>
      </c>
      <c r="G477" s="1" t="s">
        <v>60</v>
      </c>
      <c r="H477" s="1" t="str">
        <f t="shared" si="42"/>
        <v xml:space="preserve">CEMPRESA='31' </v>
      </c>
      <c r="I477" s="1" t="str">
        <f t="shared" si="43"/>
        <v xml:space="preserve">AND CBALCAO='0003' </v>
      </c>
      <c r="J477" s="1" t="str">
        <f t="shared" si="44"/>
        <v xml:space="preserve">AND CNUMECTA='20559885096' </v>
      </c>
      <c r="K477" s="1" t="str">
        <f t="shared" si="45"/>
        <v xml:space="preserve">AND ZDEPOSIT='000000000000000' </v>
      </c>
      <c r="L477" s="1" t="str">
        <f t="shared" si="46"/>
        <v>WHEN CEMPRESA='31' AND CBALCAO='0003' AND CNUMECTA='20559885096' AND ZDEPOSIT='000000000000000' THEN 1</v>
      </c>
      <c r="M477" s="1" t="str">
        <f t="shared" si="47"/>
        <v>WHEN CEMPRESA='31' AND CBALCAO='0003' AND CNUMECTA='20559885096' AND ZDEPOSIT='000000000000000' THEN 'A.3.7.'</v>
      </c>
    </row>
    <row r="478" spans="2:13" x14ac:dyDescent="0.25">
      <c r="B478" s="1" t="s">
        <v>45</v>
      </c>
      <c r="C478" s="1" t="s">
        <v>46</v>
      </c>
      <c r="D478" s="1" t="s">
        <v>672</v>
      </c>
      <c r="E478" s="1" t="s">
        <v>48</v>
      </c>
      <c r="F478" s="1">
        <v>1</v>
      </c>
      <c r="G478" s="1" t="s">
        <v>51</v>
      </c>
      <c r="H478" s="1" t="str">
        <f t="shared" si="42"/>
        <v xml:space="preserve">CEMPRESA='31' </v>
      </c>
      <c r="I478" s="1" t="str">
        <f t="shared" si="43"/>
        <v xml:space="preserve">AND CBALCAO='0003' </v>
      </c>
      <c r="J478" s="1" t="str">
        <f t="shared" si="44"/>
        <v xml:space="preserve">AND CNUMECTA='20650148096' </v>
      </c>
      <c r="K478" s="1" t="str">
        <f t="shared" si="45"/>
        <v xml:space="preserve">AND ZDEPOSIT='000000000000000' </v>
      </c>
      <c r="L478" s="1" t="str">
        <f t="shared" si="46"/>
        <v>WHEN CEMPRESA='31' AND CBALCAO='0003' AND CNUMECTA='20650148096' AND ZDEPOSIT='000000000000000' THEN 1</v>
      </c>
      <c r="M478" s="1" t="str">
        <f t="shared" si="47"/>
        <v>WHEN CEMPRESA='31' AND CBALCAO='0003' AND CNUMECTA='20650148096' AND ZDEPOSIT='000000000000000' THEN 'B.1.'</v>
      </c>
    </row>
    <row r="479" spans="2:13" x14ac:dyDescent="0.25">
      <c r="B479" s="1" t="s">
        <v>45</v>
      </c>
      <c r="C479" s="1" t="s">
        <v>46</v>
      </c>
      <c r="D479" s="1" t="s">
        <v>673</v>
      </c>
      <c r="E479" s="1" t="s">
        <v>48</v>
      </c>
      <c r="F479" s="1">
        <v>1</v>
      </c>
      <c r="G479" s="1" t="s">
        <v>60</v>
      </c>
      <c r="H479" s="1" t="str">
        <f t="shared" si="42"/>
        <v xml:space="preserve">CEMPRESA='31' </v>
      </c>
      <c r="I479" s="1" t="str">
        <f t="shared" si="43"/>
        <v xml:space="preserve">AND CBALCAO='0003' </v>
      </c>
      <c r="J479" s="1" t="str">
        <f t="shared" si="44"/>
        <v xml:space="preserve">AND CNUMECTA='20585807096' </v>
      </c>
      <c r="K479" s="1" t="str">
        <f t="shared" si="45"/>
        <v xml:space="preserve">AND ZDEPOSIT='000000000000000' </v>
      </c>
      <c r="L479" s="1" t="str">
        <f t="shared" si="46"/>
        <v>WHEN CEMPRESA='31' AND CBALCAO='0003' AND CNUMECTA='20585807096' AND ZDEPOSIT='000000000000000' THEN 1</v>
      </c>
      <c r="M479" s="1" t="str">
        <f t="shared" si="47"/>
        <v>WHEN CEMPRESA='31' AND CBALCAO='0003' AND CNUMECTA='20585807096' AND ZDEPOSIT='000000000000000' THEN 'A.3.7.'</v>
      </c>
    </row>
    <row r="480" spans="2:13" x14ac:dyDescent="0.25">
      <c r="B480" s="1" t="s">
        <v>45</v>
      </c>
      <c r="C480" s="1" t="s">
        <v>46</v>
      </c>
      <c r="D480" s="1" t="s">
        <v>674</v>
      </c>
      <c r="E480" s="1" t="s">
        <v>48</v>
      </c>
      <c r="F480" s="1">
        <v>1</v>
      </c>
      <c r="G480" s="1" t="s">
        <v>60</v>
      </c>
      <c r="H480" s="1" t="str">
        <f t="shared" si="42"/>
        <v xml:space="preserve">CEMPRESA='31' </v>
      </c>
      <c r="I480" s="1" t="str">
        <f t="shared" si="43"/>
        <v xml:space="preserve">AND CBALCAO='0003' </v>
      </c>
      <c r="J480" s="1" t="str">
        <f t="shared" si="44"/>
        <v xml:space="preserve">AND CNUMECTA='20710207096' </v>
      </c>
      <c r="K480" s="1" t="str">
        <f t="shared" si="45"/>
        <v xml:space="preserve">AND ZDEPOSIT='000000000000000' </v>
      </c>
      <c r="L480" s="1" t="str">
        <f t="shared" si="46"/>
        <v>WHEN CEMPRESA='31' AND CBALCAO='0003' AND CNUMECTA='20710207096' AND ZDEPOSIT='000000000000000' THEN 1</v>
      </c>
      <c r="M480" s="1" t="str">
        <f t="shared" si="47"/>
        <v>WHEN CEMPRESA='31' AND CBALCAO='0003' AND CNUMECTA='20710207096' AND ZDEPOSIT='000000000000000' THEN 'A.3.7.'</v>
      </c>
    </row>
    <row r="481" spans="2:13" x14ac:dyDescent="0.25">
      <c r="B481" s="1" t="s">
        <v>54</v>
      </c>
      <c r="C481" s="1" t="s">
        <v>55</v>
      </c>
      <c r="D481" s="1" t="s">
        <v>675</v>
      </c>
      <c r="E481" s="1" t="s">
        <v>676</v>
      </c>
      <c r="F481" s="1">
        <v>1</v>
      </c>
      <c r="G481" s="1" t="s">
        <v>58</v>
      </c>
      <c r="H481" s="1" t="str">
        <f t="shared" si="42"/>
        <v xml:space="preserve">CEMPRESA='89' </v>
      </c>
      <c r="I481" s="1" t="str">
        <f t="shared" si="43"/>
        <v xml:space="preserve">AND CBALCAO='0000' </v>
      </c>
      <c r="J481" s="1" t="str">
        <f t="shared" si="44"/>
        <v xml:space="preserve">AND CNUMECTA='00008046521' </v>
      </c>
      <c r="K481" s="1" t="str">
        <f t="shared" si="45"/>
        <v xml:space="preserve">AND ZDEPOSIT='000530000691867' </v>
      </c>
      <c r="L481" s="1" t="str">
        <f t="shared" si="46"/>
        <v>WHEN CEMPRESA='89' AND CBALCAO='0000' AND CNUMECTA='00008046521' AND ZDEPOSIT='000530000691867' THEN 1</v>
      </c>
      <c r="M481" s="1" t="str">
        <f t="shared" si="47"/>
        <v>WHEN CEMPRESA='89' AND CBALCAO='0000' AND CNUMECTA='00008046521' AND ZDEPOSIT='000530000691867' THEN 'A.2.5.'</v>
      </c>
    </row>
    <row r="482" spans="2:13" x14ac:dyDescent="0.25">
      <c r="B482" s="1" t="s">
        <v>54</v>
      </c>
      <c r="C482" s="1" t="s">
        <v>55</v>
      </c>
      <c r="D482" s="1" t="s">
        <v>677</v>
      </c>
      <c r="E482" s="1" t="s">
        <v>678</v>
      </c>
      <c r="F482" s="1">
        <v>1</v>
      </c>
      <c r="G482" s="1" t="s">
        <v>58</v>
      </c>
      <c r="H482" s="1" t="str">
        <f t="shared" si="42"/>
        <v xml:space="preserve">CEMPRESA='89' </v>
      </c>
      <c r="I482" s="1" t="str">
        <f t="shared" si="43"/>
        <v xml:space="preserve">AND CBALCAO='0000' </v>
      </c>
      <c r="J482" s="1" t="str">
        <f t="shared" si="44"/>
        <v xml:space="preserve">AND CNUMECTA='00000250001' </v>
      </c>
      <c r="K482" s="1" t="str">
        <f t="shared" si="45"/>
        <v xml:space="preserve">AND ZDEPOSIT='000450000746382' </v>
      </c>
      <c r="L482" s="1" t="str">
        <f t="shared" si="46"/>
        <v>WHEN CEMPRESA='89' AND CBALCAO='0000' AND CNUMECTA='00000250001' AND ZDEPOSIT='000450000746382' THEN 1</v>
      </c>
      <c r="M482" s="1" t="str">
        <f t="shared" si="47"/>
        <v>WHEN CEMPRESA='89' AND CBALCAO='0000' AND CNUMECTA='00000250001' AND ZDEPOSIT='000450000746382' THEN 'A.2.5.'</v>
      </c>
    </row>
    <row r="483" spans="2:13" x14ac:dyDescent="0.25">
      <c r="B483" s="1" t="s">
        <v>54</v>
      </c>
      <c r="C483" s="1" t="s">
        <v>55</v>
      </c>
      <c r="D483" s="1" t="s">
        <v>679</v>
      </c>
      <c r="E483" s="1" t="s">
        <v>680</v>
      </c>
      <c r="F483" s="1">
        <v>1</v>
      </c>
      <c r="G483" s="1" t="s">
        <v>58</v>
      </c>
      <c r="H483" s="1" t="str">
        <f t="shared" si="42"/>
        <v xml:space="preserve">CEMPRESA='89' </v>
      </c>
      <c r="I483" s="1" t="str">
        <f t="shared" si="43"/>
        <v xml:space="preserve">AND CBALCAO='0000' </v>
      </c>
      <c r="J483" s="1" t="str">
        <f t="shared" si="44"/>
        <v xml:space="preserve">AND CNUMECTA='00008046335' </v>
      </c>
      <c r="K483" s="1" t="str">
        <f t="shared" si="45"/>
        <v xml:space="preserve">AND ZDEPOSIT='000530000777001' </v>
      </c>
      <c r="L483" s="1" t="str">
        <f t="shared" si="46"/>
        <v>WHEN CEMPRESA='89' AND CBALCAO='0000' AND CNUMECTA='00008046335' AND ZDEPOSIT='000530000777001' THEN 1</v>
      </c>
      <c r="M483" s="1" t="str">
        <f t="shared" si="47"/>
        <v>WHEN CEMPRESA='89' AND CBALCAO='0000' AND CNUMECTA='00008046335' AND ZDEPOSIT='000530000777001' THEN 'A.2.5.'</v>
      </c>
    </row>
    <row r="484" spans="2:13" x14ac:dyDescent="0.25">
      <c r="B484" s="1" t="s">
        <v>45</v>
      </c>
      <c r="C484" s="1" t="s">
        <v>46</v>
      </c>
      <c r="D484" s="1" t="s">
        <v>681</v>
      </c>
      <c r="E484" s="1" t="s">
        <v>48</v>
      </c>
      <c r="F484" s="1">
        <v>1</v>
      </c>
      <c r="G484" s="1" t="s">
        <v>60</v>
      </c>
      <c r="H484" s="1" t="str">
        <f t="shared" si="42"/>
        <v xml:space="preserve">CEMPRESA='31' </v>
      </c>
      <c r="I484" s="1" t="str">
        <f t="shared" si="43"/>
        <v xml:space="preserve">AND CBALCAO='0003' </v>
      </c>
      <c r="J484" s="1" t="str">
        <f t="shared" si="44"/>
        <v xml:space="preserve">AND CNUMECTA='20422902096' </v>
      </c>
      <c r="K484" s="1" t="str">
        <f t="shared" si="45"/>
        <v xml:space="preserve">AND ZDEPOSIT='000000000000000' </v>
      </c>
      <c r="L484" s="1" t="str">
        <f t="shared" si="46"/>
        <v>WHEN CEMPRESA='31' AND CBALCAO='0003' AND CNUMECTA='20422902096' AND ZDEPOSIT='000000000000000' THEN 1</v>
      </c>
      <c r="M484" s="1" t="str">
        <f t="shared" si="47"/>
        <v>WHEN CEMPRESA='31' AND CBALCAO='0003' AND CNUMECTA='20422902096' AND ZDEPOSIT='000000000000000' THEN 'A.3.7.'</v>
      </c>
    </row>
    <row r="485" spans="2:13" x14ac:dyDescent="0.25">
      <c r="B485" s="1" t="s">
        <v>54</v>
      </c>
      <c r="C485" s="1" t="s">
        <v>55</v>
      </c>
      <c r="D485" s="1" t="s">
        <v>682</v>
      </c>
      <c r="E485" s="1" t="s">
        <v>683</v>
      </c>
      <c r="F485" s="1">
        <v>1</v>
      </c>
      <c r="G485" s="1" t="s">
        <v>58</v>
      </c>
      <c r="H485" s="1" t="str">
        <f t="shared" si="42"/>
        <v xml:space="preserve">CEMPRESA='89' </v>
      </c>
      <c r="I485" s="1" t="str">
        <f t="shared" si="43"/>
        <v xml:space="preserve">AND CBALCAO='0000' </v>
      </c>
      <c r="J485" s="1" t="str">
        <f t="shared" si="44"/>
        <v xml:space="preserve">AND CNUMECTA='00000250126' </v>
      </c>
      <c r="K485" s="1" t="str">
        <f t="shared" si="45"/>
        <v xml:space="preserve">AND ZDEPOSIT='000450000661755' </v>
      </c>
      <c r="L485" s="1" t="str">
        <f t="shared" si="46"/>
        <v>WHEN CEMPRESA='89' AND CBALCAO='0000' AND CNUMECTA='00000250126' AND ZDEPOSIT='000450000661755' THEN 1</v>
      </c>
      <c r="M485" s="1" t="str">
        <f t="shared" si="47"/>
        <v>WHEN CEMPRESA='89' AND CBALCAO='0000' AND CNUMECTA='00000250126' AND ZDEPOSIT='000450000661755' THEN 'A.2.5.'</v>
      </c>
    </row>
    <row r="486" spans="2:13" x14ac:dyDescent="0.25">
      <c r="B486" s="1" t="s">
        <v>45</v>
      </c>
      <c r="C486" s="1" t="s">
        <v>46</v>
      </c>
      <c r="D486" s="1" t="s">
        <v>684</v>
      </c>
      <c r="E486" s="1" t="s">
        <v>48</v>
      </c>
      <c r="F486" s="1">
        <v>1</v>
      </c>
      <c r="G486" s="1" t="s">
        <v>60</v>
      </c>
      <c r="H486" s="1" t="str">
        <f t="shared" si="42"/>
        <v xml:space="preserve">CEMPRESA='31' </v>
      </c>
      <c r="I486" s="1" t="str">
        <f t="shared" si="43"/>
        <v xml:space="preserve">AND CBALCAO='0003' </v>
      </c>
      <c r="J486" s="1" t="str">
        <f t="shared" si="44"/>
        <v xml:space="preserve">AND CNUMECTA='20571583096' </v>
      </c>
      <c r="K486" s="1" t="str">
        <f t="shared" si="45"/>
        <v xml:space="preserve">AND ZDEPOSIT='000000000000000' </v>
      </c>
      <c r="L486" s="1" t="str">
        <f t="shared" si="46"/>
        <v>WHEN CEMPRESA='31' AND CBALCAO='0003' AND CNUMECTA='20571583096' AND ZDEPOSIT='000000000000000' THEN 1</v>
      </c>
      <c r="M486" s="1" t="str">
        <f t="shared" si="47"/>
        <v>WHEN CEMPRESA='31' AND CBALCAO='0003' AND CNUMECTA='20571583096' AND ZDEPOSIT='000000000000000' THEN 'A.3.7.'</v>
      </c>
    </row>
    <row r="487" spans="2:13" x14ac:dyDescent="0.25">
      <c r="B487" s="1" t="s">
        <v>45</v>
      </c>
      <c r="C487" s="1" t="s">
        <v>46</v>
      </c>
      <c r="D487" s="1" t="s">
        <v>685</v>
      </c>
      <c r="E487" s="1" t="s">
        <v>48</v>
      </c>
      <c r="F487" s="1">
        <v>1</v>
      </c>
      <c r="G487" s="1" t="s">
        <v>60</v>
      </c>
      <c r="H487" s="1" t="str">
        <f t="shared" si="42"/>
        <v xml:space="preserve">CEMPRESA='31' </v>
      </c>
      <c r="I487" s="1" t="str">
        <f t="shared" si="43"/>
        <v xml:space="preserve">AND CBALCAO='0003' </v>
      </c>
      <c r="J487" s="1" t="str">
        <f t="shared" si="44"/>
        <v xml:space="preserve">AND CNUMECTA='20621420096' </v>
      </c>
      <c r="K487" s="1" t="str">
        <f t="shared" si="45"/>
        <v xml:space="preserve">AND ZDEPOSIT='000000000000000' </v>
      </c>
      <c r="L487" s="1" t="str">
        <f t="shared" si="46"/>
        <v>WHEN CEMPRESA='31' AND CBALCAO='0003' AND CNUMECTA='20621420096' AND ZDEPOSIT='000000000000000' THEN 1</v>
      </c>
      <c r="M487" s="1" t="str">
        <f t="shared" si="47"/>
        <v>WHEN CEMPRESA='31' AND CBALCAO='0003' AND CNUMECTA='20621420096' AND ZDEPOSIT='000000000000000' THEN 'A.3.7.'</v>
      </c>
    </row>
    <row r="488" spans="2:13" x14ac:dyDescent="0.25">
      <c r="B488" s="1" t="s">
        <v>45</v>
      </c>
      <c r="C488" s="1" t="s">
        <v>46</v>
      </c>
      <c r="D488" s="1" t="s">
        <v>686</v>
      </c>
      <c r="E488" s="1" t="s">
        <v>48</v>
      </c>
      <c r="F488" s="1">
        <v>1</v>
      </c>
      <c r="G488" s="1" t="s">
        <v>60</v>
      </c>
      <c r="H488" s="1" t="str">
        <f t="shared" si="42"/>
        <v xml:space="preserve">CEMPRESA='31' </v>
      </c>
      <c r="I488" s="1" t="str">
        <f t="shared" si="43"/>
        <v xml:space="preserve">AND CBALCAO='0003' </v>
      </c>
      <c r="J488" s="1" t="str">
        <f t="shared" si="44"/>
        <v xml:space="preserve">AND CNUMECTA='20501333096' </v>
      </c>
      <c r="K488" s="1" t="str">
        <f t="shared" si="45"/>
        <v xml:space="preserve">AND ZDEPOSIT='000000000000000' </v>
      </c>
      <c r="L488" s="1" t="str">
        <f t="shared" si="46"/>
        <v>WHEN CEMPRESA='31' AND CBALCAO='0003' AND CNUMECTA='20501333096' AND ZDEPOSIT='000000000000000' THEN 1</v>
      </c>
      <c r="M488" s="1" t="str">
        <f t="shared" si="47"/>
        <v>WHEN CEMPRESA='31' AND CBALCAO='0003' AND CNUMECTA='20501333096' AND ZDEPOSIT='000000000000000' THEN 'A.3.7.'</v>
      </c>
    </row>
    <row r="489" spans="2:13" x14ac:dyDescent="0.25">
      <c r="B489" s="1" t="s">
        <v>54</v>
      </c>
      <c r="C489" s="1" t="s">
        <v>55</v>
      </c>
      <c r="D489" s="1" t="s">
        <v>687</v>
      </c>
      <c r="E489" s="1" t="s">
        <v>688</v>
      </c>
      <c r="F489" s="1">
        <v>1</v>
      </c>
      <c r="G489" s="1" t="s">
        <v>58</v>
      </c>
      <c r="H489" s="1" t="str">
        <f t="shared" si="42"/>
        <v xml:space="preserve">CEMPRESA='89' </v>
      </c>
      <c r="I489" s="1" t="str">
        <f t="shared" si="43"/>
        <v xml:space="preserve">AND CBALCAO='0000' </v>
      </c>
      <c r="J489" s="1" t="str">
        <f t="shared" si="44"/>
        <v xml:space="preserve">AND CNUMECTA='00000232081' </v>
      </c>
      <c r="K489" s="1" t="str">
        <f t="shared" si="45"/>
        <v xml:space="preserve">AND ZDEPOSIT='000450000777668' </v>
      </c>
      <c r="L489" s="1" t="str">
        <f t="shared" si="46"/>
        <v>WHEN CEMPRESA='89' AND CBALCAO='0000' AND CNUMECTA='00000232081' AND ZDEPOSIT='000450000777668' THEN 1</v>
      </c>
      <c r="M489" s="1" t="str">
        <f t="shared" si="47"/>
        <v>WHEN CEMPRESA='89' AND CBALCAO='0000' AND CNUMECTA='00000232081' AND ZDEPOSIT='000450000777668' THEN 'A.2.5.'</v>
      </c>
    </row>
    <row r="490" spans="2:13" x14ac:dyDescent="0.25">
      <c r="B490" s="1" t="s">
        <v>45</v>
      </c>
      <c r="C490" s="1" t="s">
        <v>46</v>
      </c>
      <c r="D490" s="1" t="s">
        <v>689</v>
      </c>
      <c r="E490" s="1" t="s">
        <v>48</v>
      </c>
      <c r="F490" s="1">
        <v>1</v>
      </c>
      <c r="G490" s="1" t="s">
        <v>60</v>
      </c>
      <c r="H490" s="1" t="str">
        <f t="shared" si="42"/>
        <v xml:space="preserve">CEMPRESA='31' </v>
      </c>
      <c r="I490" s="1" t="str">
        <f t="shared" si="43"/>
        <v xml:space="preserve">AND CBALCAO='0003' </v>
      </c>
      <c r="J490" s="1" t="str">
        <f t="shared" si="44"/>
        <v xml:space="preserve">AND CNUMECTA='20624036096' </v>
      </c>
      <c r="K490" s="1" t="str">
        <f t="shared" si="45"/>
        <v xml:space="preserve">AND ZDEPOSIT='000000000000000' </v>
      </c>
      <c r="L490" s="1" t="str">
        <f t="shared" si="46"/>
        <v>WHEN CEMPRESA='31' AND CBALCAO='0003' AND CNUMECTA='20624036096' AND ZDEPOSIT='000000000000000' THEN 1</v>
      </c>
      <c r="M490" s="1" t="str">
        <f t="shared" si="47"/>
        <v>WHEN CEMPRESA='31' AND CBALCAO='0003' AND CNUMECTA='20624036096' AND ZDEPOSIT='000000000000000' THEN 'A.3.7.'</v>
      </c>
    </row>
    <row r="491" spans="2:13" x14ac:dyDescent="0.25">
      <c r="B491" s="1" t="s">
        <v>45</v>
      </c>
      <c r="C491" s="1" t="s">
        <v>46</v>
      </c>
      <c r="D491" s="1" t="s">
        <v>690</v>
      </c>
      <c r="E491" s="1" t="s">
        <v>48</v>
      </c>
      <c r="F491" s="1">
        <v>1</v>
      </c>
      <c r="G491" s="1" t="s">
        <v>60</v>
      </c>
      <c r="H491" s="1" t="str">
        <f t="shared" si="42"/>
        <v xml:space="preserve">CEMPRESA='31' </v>
      </c>
      <c r="I491" s="1" t="str">
        <f t="shared" si="43"/>
        <v xml:space="preserve">AND CBALCAO='0003' </v>
      </c>
      <c r="J491" s="1" t="str">
        <f t="shared" si="44"/>
        <v xml:space="preserve">AND CNUMECTA='20591862096' </v>
      </c>
      <c r="K491" s="1" t="str">
        <f t="shared" si="45"/>
        <v xml:space="preserve">AND ZDEPOSIT='000000000000000' </v>
      </c>
      <c r="L491" s="1" t="str">
        <f t="shared" si="46"/>
        <v>WHEN CEMPRESA='31' AND CBALCAO='0003' AND CNUMECTA='20591862096' AND ZDEPOSIT='000000000000000' THEN 1</v>
      </c>
      <c r="M491" s="1" t="str">
        <f t="shared" si="47"/>
        <v>WHEN CEMPRESA='31' AND CBALCAO='0003' AND CNUMECTA='20591862096' AND ZDEPOSIT='000000000000000' THEN 'A.3.7.'</v>
      </c>
    </row>
    <row r="492" spans="2:13" x14ac:dyDescent="0.25">
      <c r="B492" s="1" t="s">
        <v>45</v>
      </c>
      <c r="C492" s="1" t="s">
        <v>46</v>
      </c>
      <c r="D492" s="1" t="s">
        <v>691</v>
      </c>
      <c r="E492" s="1" t="s">
        <v>48</v>
      </c>
      <c r="F492" s="1">
        <v>1</v>
      </c>
      <c r="G492" s="1" t="s">
        <v>60</v>
      </c>
      <c r="H492" s="1" t="str">
        <f t="shared" si="42"/>
        <v xml:space="preserve">CEMPRESA='31' </v>
      </c>
      <c r="I492" s="1" t="str">
        <f t="shared" si="43"/>
        <v xml:space="preserve">AND CBALCAO='0003' </v>
      </c>
      <c r="J492" s="1" t="str">
        <f t="shared" si="44"/>
        <v xml:space="preserve">AND CNUMECTA='20654926096' </v>
      </c>
      <c r="K492" s="1" t="str">
        <f t="shared" si="45"/>
        <v xml:space="preserve">AND ZDEPOSIT='000000000000000' </v>
      </c>
      <c r="L492" s="1" t="str">
        <f t="shared" si="46"/>
        <v>WHEN CEMPRESA='31' AND CBALCAO='0003' AND CNUMECTA='20654926096' AND ZDEPOSIT='000000000000000' THEN 1</v>
      </c>
      <c r="M492" s="1" t="str">
        <f t="shared" si="47"/>
        <v>WHEN CEMPRESA='31' AND CBALCAO='0003' AND CNUMECTA='20654926096' AND ZDEPOSIT='000000000000000' THEN 'A.3.7.'</v>
      </c>
    </row>
    <row r="493" spans="2:13" x14ac:dyDescent="0.25">
      <c r="B493" s="1" t="s">
        <v>45</v>
      </c>
      <c r="C493" s="1" t="s">
        <v>46</v>
      </c>
      <c r="D493" s="1" t="s">
        <v>692</v>
      </c>
      <c r="E493" s="1" t="s">
        <v>48</v>
      </c>
      <c r="F493" s="1">
        <v>1</v>
      </c>
      <c r="G493" s="1" t="s">
        <v>60</v>
      </c>
      <c r="H493" s="1" t="str">
        <f t="shared" si="42"/>
        <v xml:space="preserve">CEMPRESA='31' </v>
      </c>
      <c r="I493" s="1" t="str">
        <f t="shared" si="43"/>
        <v xml:space="preserve">AND CBALCAO='0003' </v>
      </c>
      <c r="J493" s="1" t="str">
        <f t="shared" si="44"/>
        <v xml:space="preserve">AND CNUMECTA='20557228096' </v>
      </c>
      <c r="K493" s="1" t="str">
        <f t="shared" si="45"/>
        <v xml:space="preserve">AND ZDEPOSIT='000000000000000' </v>
      </c>
      <c r="L493" s="1" t="str">
        <f t="shared" si="46"/>
        <v>WHEN CEMPRESA='31' AND CBALCAO='0003' AND CNUMECTA='20557228096' AND ZDEPOSIT='000000000000000' THEN 1</v>
      </c>
      <c r="M493" s="1" t="str">
        <f t="shared" si="47"/>
        <v>WHEN CEMPRESA='31' AND CBALCAO='0003' AND CNUMECTA='20557228096' AND ZDEPOSIT='000000000000000' THEN 'A.3.7.'</v>
      </c>
    </row>
    <row r="494" spans="2:13" x14ac:dyDescent="0.25">
      <c r="B494" s="1" t="s">
        <v>45</v>
      </c>
      <c r="C494" s="1" t="s">
        <v>46</v>
      </c>
      <c r="D494" s="1" t="s">
        <v>693</v>
      </c>
      <c r="E494" s="1" t="s">
        <v>48</v>
      </c>
      <c r="F494" s="1">
        <v>1</v>
      </c>
      <c r="G494" s="1" t="s">
        <v>60</v>
      </c>
      <c r="H494" s="1" t="str">
        <f t="shared" si="42"/>
        <v xml:space="preserve">CEMPRESA='31' </v>
      </c>
      <c r="I494" s="1" t="str">
        <f t="shared" si="43"/>
        <v xml:space="preserve">AND CBALCAO='0003' </v>
      </c>
      <c r="J494" s="1" t="str">
        <f t="shared" si="44"/>
        <v xml:space="preserve">AND CNUMECTA='20471461096' </v>
      </c>
      <c r="K494" s="1" t="str">
        <f t="shared" si="45"/>
        <v xml:space="preserve">AND ZDEPOSIT='000000000000000' </v>
      </c>
      <c r="L494" s="1" t="str">
        <f t="shared" si="46"/>
        <v>WHEN CEMPRESA='31' AND CBALCAO='0003' AND CNUMECTA='20471461096' AND ZDEPOSIT='000000000000000' THEN 1</v>
      </c>
      <c r="M494" s="1" t="str">
        <f t="shared" si="47"/>
        <v>WHEN CEMPRESA='31' AND CBALCAO='0003' AND CNUMECTA='20471461096' AND ZDEPOSIT='000000000000000' THEN 'A.3.7.'</v>
      </c>
    </row>
    <row r="495" spans="2:13" x14ac:dyDescent="0.25">
      <c r="B495" s="1" t="s">
        <v>45</v>
      </c>
      <c r="C495" s="1" t="s">
        <v>46</v>
      </c>
      <c r="D495" s="1" t="s">
        <v>694</v>
      </c>
      <c r="E495" s="1" t="s">
        <v>48</v>
      </c>
      <c r="F495" s="1">
        <v>1</v>
      </c>
      <c r="G495" s="1" t="s">
        <v>60</v>
      </c>
      <c r="H495" s="1" t="str">
        <f t="shared" si="42"/>
        <v xml:space="preserve">CEMPRESA='31' </v>
      </c>
      <c r="I495" s="1" t="str">
        <f t="shared" si="43"/>
        <v xml:space="preserve">AND CBALCAO='0003' </v>
      </c>
      <c r="J495" s="1" t="str">
        <f t="shared" si="44"/>
        <v xml:space="preserve">AND CNUMECTA='20593033096' </v>
      </c>
      <c r="K495" s="1" t="str">
        <f t="shared" si="45"/>
        <v xml:space="preserve">AND ZDEPOSIT='000000000000000' </v>
      </c>
      <c r="L495" s="1" t="str">
        <f t="shared" si="46"/>
        <v>WHEN CEMPRESA='31' AND CBALCAO='0003' AND CNUMECTA='20593033096' AND ZDEPOSIT='000000000000000' THEN 1</v>
      </c>
      <c r="M495" s="1" t="str">
        <f t="shared" si="47"/>
        <v>WHEN CEMPRESA='31' AND CBALCAO='0003' AND CNUMECTA='20593033096' AND ZDEPOSIT='000000000000000' THEN 'A.3.7.'</v>
      </c>
    </row>
    <row r="496" spans="2:13" x14ac:dyDescent="0.25">
      <c r="B496" s="1" t="s">
        <v>45</v>
      </c>
      <c r="C496" s="1" t="s">
        <v>46</v>
      </c>
      <c r="D496" s="1" t="s">
        <v>695</v>
      </c>
      <c r="E496" s="1" t="s">
        <v>48</v>
      </c>
      <c r="F496" s="1">
        <v>1</v>
      </c>
      <c r="G496" s="1" t="s">
        <v>60</v>
      </c>
      <c r="H496" s="1" t="str">
        <f t="shared" si="42"/>
        <v xml:space="preserve">CEMPRESA='31' </v>
      </c>
      <c r="I496" s="1" t="str">
        <f t="shared" si="43"/>
        <v xml:space="preserve">AND CBALCAO='0003' </v>
      </c>
      <c r="J496" s="1" t="str">
        <f t="shared" si="44"/>
        <v xml:space="preserve">AND CNUMECTA='20587878096' </v>
      </c>
      <c r="K496" s="1" t="str">
        <f t="shared" si="45"/>
        <v xml:space="preserve">AND ZDEPOSIT='000000000000000' </v>
      </c>
      <c r="L496" s="1" t="str">
        <f t="shared" si="46"/>
        <v>WHEN CEMPRESA='31' AND CBALCAO='0003' AND CNUMECTA='20587878096' AND ZDEPOSIT='000000000000000' THEN 1</v>
      </c>
      <c r="M496" s="1" t="str">
        <f t="shared" si="47"/>
        <v>WHEN CEMPRESA='31' AND CBALCAO='0003' AND CNUMECTA='20587878096' AND ZDEPOSIT='000000000000000' THEN 'A.3.7.'</v>
      </c>
    </row>
    <row r="497" spans="2:13" x14ac:dyDescent="0.25">
      <c r="B497" s="1" t="s">
        <v>54</v>
      </c>
      <c r="C497" s="1" t="s">
        <v>55</v>
      </c>
      <c r="D497" s="1" t="s">
        <v>696</v>
      </c>
      <c r="E497" s="1" t="s">
        <v>697</v>
      </c>
      <c r="F497" s="1">
        <v>1</v>
      </c>
      <c r="G497" s="1" t="s">
        <v>58</v>
      </c>
      <c r="H497" s="1" t="str">
        <f t="shared" si="42"/>
        <v xml:space="preserve">CEMPRESA='89' </v>
      </c>
      <c r="I497" s="1" t="str">
        <f t="shared" si="43"/>
        <v xml:space="preserve">AND CBALCAO='0000' </v>
      </c>
      <c r="J497" s="1" t="str">
        <f t="shared" si="44"/>
        <v xml:space="preserve">AND CNUMECTA='00000250204' </v>
      </c>
      <c r="K497" s="1" t="str">
        <f t="shared" si="45"/>
        <v xml:space="preserve">AND ZDEPOSIT='000450000657028' </v>
      </c>
      <c r="L497" s="1" t="str">
        <f t="shared" si="46"/>
        <v>WHEN CEMPRESA='89' AND CBALCAO='0000' AND CNUMECTA='00000250204' AND ZDEPOSIT='000450000657028' THEN 1</v>
      </c>
      <c r="M497" s="1" t="str">
        <f t="shared" si="47"/>
        <v>WHEN CEMPRESA='89' AND CBALCAO='0000' AND CNUMECTA='00000250204' AND ZDEPOSIT='000450000657028' THEN 'A.2.5.'</v>
      </c>
    </row>
    <row r="498" spans="2:13" x14ac:dyDescent="0.25">
      <c r="B498" s="1" t="s">
        <v>54</v>
      </c>
      <c r="C498" s="1" t="s">
        <v>55</v>
      </c>
      <c r="D498" s="1" t="s">
        <v>698</v>
      </c>
      <c r="E498" s="1" t="s">
        <v>699</v>
      </c>
      <c r="F498" s="1">
        <v>1</v>
      </c>
      <c r="G498" s="1" t="s">
        <v>58</v>
      </c>
      <c r="H498" s="1" t="str">
        <f t="shared" si="42"/>
        <v xml:space="preserve">CEMPRESA='89' </v>
      </c>
      <c r="I498" s="1" t="str">
        <f t="shared" si="43"/>
        <v xml:space="preserve">AND CBALCAO='0000' </v>
      </c>
      <c r="J498" s="1" t="str">
        <f t="shared" si="44"/>
        <v xml:space="preserve">AND CNUMECTA='00008046499' </v>
      </c>
      <c r="K498" s="1" t="str">
        <f t="shared" si="45"/>
        <v xml:space="preserve">AND ZDEPOSIT='000530000777981' </v>
      </c>
      <c r="L498" s="1" t="str">
        <f t="shared" si="46"/>
        <v>WHEN CEMPRESA='89' AND CBALCAO='0000' AND CNUMECTA='00008046499' AND ZDEPOSIT='000530000777981' THEN 1</v>
      </c>
      <c r="M498" s="1" t="str">
        <f t="shared" si="47"/>
        <v>WHEN CEMPRESA='89' AND CBALCAO='0000' AND CNUMECTA='00008046499' AND ZDEPOSIT='000530000777981' THEN 'A.2.5.'</v>
      </c>
    </row>
    <row r="499" spans="2:13" x14ac:dyDescent="0.25">
      <c r="B499" s="1" t="s">
        <v>45</v>
      </c>
      <c r="C499" s="1" t="s">
        <v>46</v>
      </c>
      <c r="D499" s="1" t="s">
        <v>700</v>
      </c>
      <c r="E499" s="1" t="s">
        <v>48</v>
      </c>
      <c r="F499" s="1">
        <v>1</v>
      </c>
      <c r="G499" s="1" t="s">
        <v>60</v>
      </c>
      <c r="H499" s="1" t="str">
        <f t="shared" si="42"/>
        <v xml:space="preserve">CEMPRESA='31' </v>
      </c>
      <c r="I499" s="1" t="str">
        <f t="shared" si="43"/>
        <v xml:space="preserve">AND CBALCAO='0003' </v>
      </c>
      <c r="J499" s="1" t="str">
        <f t="shared" si="44"/>
        <v xml:space="preserve">AND CNUMECTA='20487491096' </v>
      </c>
      <c r="K499" s="1" t="str">
        <f t="shared" si="45"/>
        <v xml:space="preserve">AND ZDEPOSIT='000000000000000' </v>
      </c>
      <c r="L499" s="1" t="str">
        <f t="shared" si="46"/>
        <v>WHEN CEMPRESA='31' AND CBALCAO='0003' AND CNUMECTA='20487491096' AND ZDEPOSIT='000000000000000' THEN 1</v>
      </c>
      <c r="M499" s="1" t="str">
        <f t="shared" si="47"/>
        <v>WHEN CEMPRESA='31' AND CBALCAO='0003' AND CNUMECTA='20487491096' AND ZDEPOSIT='000000000000000' THEN 'A.3.7.'</v>
      </c>
    </row>
    <row r="500" spans="2:13" x14ac:dyDescent="0.25">
      <c r="B500" s="1" t="s">
        <v>45</v>
      </c>
      <c r="C500" s="1" t="s">
        <v>114</v>
      </c>
      <c r="D500" s="1" t="s">
        <v>115</v>
      </c>
      <c r="E500" s="1" t="s">
        <v>701</v>
      </c>
      <c r="F500" s="1">
        <v>1</v>
      </c>
      <c r="G500" s="1" t="s">
        <v>117</v>
      </c>
      <c r="H500" s="1" t="str">
        <f t="shared" si="42"/>
        <v xml:space="preserve">CEMPRESA='31' </v>
      </c>
      <c r="I500" s="1" t="str">
        <f t="shared" si="43"/>
        <v xml:space="preserve">AND CBALCAO='6416' </v>
      </c>
      <c r="J500" s="1" t="str">
        <f t="shared" si="44"/>
        <v xml:space="preserve">AND CNUMECTA='00000001085' </v>
      </c>
      <c r="K500" s="1" t="str">
        <f t="shared" si="45"/>
        <v xml:space="preserve">AND ZDEPOSIT='PC0654529000000' </v>
      </c>
      <c r="L500" s="1" t="str">
        <f t="shared" si="46"/>
        <v>WHEN CEMPRESA='31' AND CBALCAO='6416' AND CNUMECTA='00000001085' AND ZDEPOSIT='PC0654529000000' THEN 1</v>
      </c>
      <c r="M500" s="1" t="str">
        <f t="shared" si="47"/>
        <v>WHEN CEMPRESA='31' AND CBALCAO='6416' AND CNUMECTA='00000001085' AND ZDEPOSIT='PC0654529000000' THEN 'Sustainability Linked Finance - Default'</v>
      </c>
    </row>
    <row r="501" spans="2:13" x14ac:dyDescent="0.25">
      <c r="B501" s="1" t="s">
        <v>45</v>
      </c>
      <c r="C501" s="1" t="s">
        <v>46</v>
      </c>
      <c r="D501" s="1" t="s">
        <v>702</v>
      </c>
      <c r="E501" s="1" t="s">
        <v>48</v>
      </c>
      <c r="F501" s="1">
        <v>1</v>
      </c>
      <c r="G501" s="1" t="s">
        <v>60</v>
      </c>
      <c r="H501" s="1" t="str">
        <f t="shared" si="42"/>
        <v xml:space="preserve">CEMPRESA='31' </v>
      </c>
      <c r="I501" s="1" t="str">
        <f t="shared" si="43"/>
        <v xml:space="preserve">AND CBALCAO='0003' </v>
      </c>
      <c r="J501" s="1" t="str">
        <f t="shared" si="44"/>
        <v xml:space="preserve">AND CNUMECTA='20553599096' </v>
      </c>
      <c r="K501" s="1" t="str">
        <f t="shared" si="45"/>
        <v xml:space="preserve">AND ZDEPOSIT='000000000000000' </v>
      </c>
      <c r="L501" s="1" t="str">
        <f t="shared" si="46"/>
        <v>WHEN CEMPRESA='31' AND CBALCAO='0003' AND CNUMECTA='20553599096' AND ZDEPOSIT='000000000000000' THEN 1</v>
      </c>
      <c r="M501" s="1" t="str">
        <f t="shared" si="47"/>
        <v>WHEN CEMPRESA='31' AND CBALCAO='0003' AND CNUMECTA='20553599096' AND ZDEPOSIT='000000000000000' THEN 'A.3.7.'</v>
      </c>
    </row>
    <row r="502" spans="2:13" x14ac:dyDescent="0.25">
      <c r="B502" s="1" t="s">
        <v>54</v>
      </c>
      <c r="C502" s="1" t="s">
        <v>55</v>
      </c>
      <c r="D502" s="1" t="s">
        <v>703</v>
      </c>
      <c r="E502" s="1" t="s">
        <v>704</v>
      </c>
      <c r="F502" s="1">
        <v>1</v>
      </c>
      <c r="G502" s="1" t="s">
        <v>58</v>
      </c>
      <c r="H502" s="1" t="str">
        <f t="shared" si="42"/>
        <v xml:space="preserve">CEMPRESA='89' </v>
      </c>
      <c r="I502" s="1" t="str">
        <f t="shared" si="43"/>
        <v xml:space="preserve">AND CBALCAO='0000' </v>
      </c>
      <c r="J502" s="1" t="str">
        <f t="shared" si="44"/>
        <v xml:space="preserve">AND CNUMECTA='00008046631' </v>
      </c>
      <c r="K502" s="1" t="str">
        <f t="shared" si="45"/>
        <v xml:space="preserve">AND ZDEPOSIT='000530000778473' </v>
      </c>
      <c r="L502" s="1" t="str">
        <f t="shared" si="46"/>
        <v>WHEN CEMPRESA='89' AND CBALCAO='0000' AND CNUMECTA='00008046631' AND ZDEPOSIT='000530000778473' THEN 1</v>
      </c>
      <c r="M502" s="1" t="str">
        <f t="shared" si="47"/>
        <v>WHEN CEMPRESA='89' AND CBALCAO='0000' AND CNUMECTA='00008046631' AND ZDEPOSIT='000530000778473' THEN 'A.2.5.'</v>
      </c>
    </row>
    <row r="503" spans="2:13" x14ac:dyDescent="0.25">
      <c r="B503" s="1" t="s">
        <v>54</v>
      </c>
      <c r="C503" s="1" t="s">
        <v>55</v>
      </c>
      <c r="D503" s="1" t="s">
        <v>705</v>
      </c>
      <c r="E503" s="1" t="s">
        <v>706</v>
      </c>
      <c r="F503" s="1">
        <v>1</v>
      </c>
      <c r="G503" s="1" t="s">
        <v>58</v>
      </c>
      <c r="H503" s="1" t="str">
        <f t="shared" si="42"/>
        <v xml:space="preserve">CEMPRESA='89' </v>
      </c>
      <c r="I503" s="1" t="str">
        <f t="shared" si="43"/>
        <v xml:space="preserve">AND CBALCAO='0000' </v>
      </c>
      <c r="J503" s="1" t="str">
        <f t="shared" si="44"/>
        <v xml:space="preserve">AND CNUMECTA='00000249679' </v>
      </c>
      <c r="K503" s="1" t="str">
        <f t="shared" si="45"/>
        <v xml:space="preserve">AND ZDEPOSIT='000450000666600' </v>
      </c>
      <c r="L503" s="1" t="str">
        <f t="shared" si="46"/>
        <v>WHEN CEMPRESA='89' AND CBALCAO='0000' AND CNUMECTA='00000249679' AND ZDEPOSIT='000450000666600' THEN 1</v>
      </c>
      <c r="M503" s="1" t="str">
        <f t="shared" si="47"/>
        <v>WHEN CEMPRESA='89' AND CBALCAO='0000' AND CNUMECTA='00000249679' AND ZDEPOSIT='000450000666600' THEN 'A.2.5.'</v>
      </c>
    </row>
    <row r="504" spans="2:13" x14ac:dyDescent="0.25">
      <c r="B504" s="1" t="s">
        <v>45</v>
      </c>
      <c r="C504" s="1" t="s">
        <v>46</v>
      </c>
      <c r="D504" s="1" t="s">
        <v>707</v>
      </c>
      <c r="E504" s="1" t="s">
        <v>48</v>
      </c>
      <c r="F504" s="1">
        <v>1</v>
      </c>
      <c r="G504" s="1" t="s">
        <v>51</v>
      </c>
      <c r="H504" s="1" t="str">
        <f t="shared" si="42"/>
        <v xml:space="preserve">CEMPRESA='31' </v>
      </c>
      <c r="I504" s="1" t="str">
        <f t="shared" si="43"/>
        <v xml:space="preserve">AND CBALCAO='0003' </v>
      </c>
      <c r="J504" s="1" t="str">
        <f t="shared" si="44"/>
        <v xml:space="preserve">AND CNUMECTA='20673272096' </v>
      </c>
      <c r="K504" s="1" t="str">
        <f t="shared" si="45"/>
        <v xml:space="preserve">AND ZDEPOSIT='000000000000000' </v>
      </c>
      <c r="L504" s="1" t="str">
        <f t="shared" si="46"/>
        <v>WHEN CEMPRESA='31' AND CBALCAO='0003' AND CNUMECTA='20673272096' AND ZDEPOSIT='000000000000000' THEN 1</v>
      </c>
      <c r="M504" s="1" t="str">
        <f t="shared" si="47"/>
        <v>WHEN CEMPRESA='31' AND CBALCAO='0003' AND CNUMECTA='20673272096' AND ZDEPOSIT='000000000000000' THEN 'B.1.'</v>
      </c>
    </row>
    <row r="505" spans="2:13" x14ac:dyDescent="0.25">
      <c r="B505" s="1" t="s">
        <v>45</v>
      </c>
      <c r="C505" s="1" t="s">
        <v>46</v>
      </c>
      <c r="D505" s="1" t="s">
        <v>708</v>
      </c>
      <c r="E505" s="1" t="s">
        <v>48</v>
      </c>
      <c r="F505" s="1">
        <v>1</v>
      </c>
      <c r="G505" s="1" t="s">
        <v>60</v>
      </c>
      <c r="H505" s="1" t="str">
        <f t="shared" si="42"/>
        <v xml:space="preserve">CEMPRESA='31' </v>
      </c>
      <c r="I505" s="1" t="str">
        <f t="shared" si="43"/>
        <v xml:space="preserve">AND CBALCAO='0003' </v>
      </c>
      <c r="J505" s="1" t="str">
        <f t="shared" si="44"/>
        <v xml:space="preserve">AND CNUMECTA='20566641096' </v>
      </c>
      <c r="K505" s="1" t="str">
        <f t="shared" si="45"/>
        <v xml:space="preserve">AND ZDEPOSIT='000000000000000' </v>
      </c>
      <c r="L505" s="1" t="str">
        <f t="shared" si="46"/>
        <v>WHEN CEMPRESA='31' AND CBALCAO='0003' AND CNUMECTA='20566641096' AND ZDEPOSIT='000000000000000' THEN 1</v>
      </c>
      <c r="M505" s="1" t="str">
        <f t="shared" si="47"/>
        <v>WHEN CEMPRESA='31' AND CBALCAO='0003' AND CNUMECTA='20566641096' AND ZDEPOSIT='000000000000000' THEN 'A.3.7.'</v>
      </c>
    </row>
    <row r="506" spans="2:13" x14ac:dyDescent="0.25">
      <c r="B506" s="1" t="s">
        <v>45</v>
      </c>
      <c r="C506" s="1" t="s">
        <v>46</v>
      </c>
      <c r="D506" s="1" t="s">
        <v>709</v>
      </c>
      <c r="E506" s="1" t="s">
        <v>48</v>
      </c>
      <c r="F506" s="1">
        <v>1</v>
      </c>
      <c r="G506" s="1" t="s">
        <v>60</v>
      </c>
      <c r="H506" s="1" t="str">
        <f t="shared" si="42"/>
        <v xml:space="preserve">CEMPRESA='31' </v>
      </c>
      <c r="I506" s="1" t="str">
        <f t="shared" si="43"/>
        <v xml:space="preserve">AND CBALCAO='0003' </v>
      </c>
      <c r="J506" s="1" t="str">
        <f t="shared" si="44"/>
        <v xml:space="preserve">AND CNUMECTA='20711171096' </v>
      </c>
      <c r="K506" s="1" t="str">
        <f t="shared" si="45"/>
        <v xml:space="preserve">AND ZDEPOSIT='000000000000000' </v>
      </c>
      <c r="L506" s="1" t="str">
        <f t="shared" si="46"/>
        <v>WHEN CEMPRESA='31' AND CBALCAO='0003' AND CNUMECTA='20711171096' AND ZDEPOSIT='000000000000000' THEN 1</v>
      </c>
      <c r="M506" s="1" t="str">
        <f t="shared" si="47"/>
        <v>WHEN CEMPRESA='31' AND CBALCAO='0003' AND CNUMECTA='20711171096' AND ZDEPOSIT='000000000000000' THEN 'A.3.7.'</v>
      </c>
    </row>
    <row r="507" spans="2:13" x14ac:dyDescent="0.25">
      <c r="B507" s="1" t="s">
        <v>45</v>
      </c>
      <c r="C507" s="1" t="s">
        <v>46</v>
      </c>
      <c r="D507" s="1" t="s">
        <v>710</v>
      </c>
      <c r="E507" s="1" t="s">
        <v>48</v>
      </c>
      <c r="F507" s="1">
        <v>1</v>
      </c>
      <c r="G507" s="1" t="s">
        <v>60</v>
      </c>
      <c r="H507" s="1" t="str">
        <f t="shared" si="42"/>
        <v xml:space="preserve">CEMPRESA='31' </v>
      </c>
      <c r="I507" s="1" t="str">
        <f t="shared" si="43"/>
        <v xml:space="preserve">AND CBALCAO='0003' </v>
      </c>
      <c r="J507" s="1" t="str">
        <f t="shared" si="44"/>
        <v xml:space="preserve">AND CNUMECTA='20736806096' </v>
      </c>
      <c r="K507" s="1" t="str">
        <f t="shared" si="45"/>
        <v xml:space="preserve">AND ZDEPOSIT='000000000000000' </v>
      </c>
      <c r="L507" s="1" t="str">
        <f t="shared" si="46"/>
        <v>WHEN CEMPRESA='31' AND CBALCAO='0003' AND CNUMECTA='20736806096' AND ZDEPOSIT='000000000000000' THEN 1</v>
      </c>
      <c r="M507" s="1" t="str">
        <f t="shared" si="47"/>
        <v>WHEN CEMPRESA='31' AND CBALCAO='0003' AND CNUMECTA='20736806096' AND ZDEPOSIT='000000000000000' THEN 'A.3.7.'</v>
      </c>
    </row>
    <row r="508" spans="2:13" x14ac:dyDescent="0.25">
      <c r="B508" s="1" t="s">
        <v>45</v>
      </c>
      <c r="C508" s="1" t="s">
        <v>46</v>
      </c>
      <c r="D508" s="1" t="s">
        <v>711</v>
      </c>
      <c r="E508" s="1" t="s">
        <v>48</v>
      </c>
      <c r="F508" s="1">
        <v>1</v>
      </c>
      <c r="G508" s="1" t="s">
        <v>60</v>
      </c>
      <c r="H508" s="1" t="str">
        <f t="shared" si="42"/>
        <v xml:space="preserve">CEMPRESA='31' </v>
      </c>
      <c r="I508" s="1" t="str">
        <f t="shared" si="43"/>
        <v xml:space="preserve">AND CBALCAO='0003' </v>
      </c>
      <c r="J508" s="1" t="str">
        <f t="shared" si="44"/>
        <v xml:space="preserve">AND CNUMECTA='20647771096' </v>
      </c>
      <c r="K508" s="1" t="str">
        <f t="shared" si="45"/>
        <v xml:space="preserve">AND ZDEPOSIT='000000000000000' </v>
      </c>
      <c r="L508" s="1" t="str">
        <f t="shared" si="46"/>
        <v>WHEN CEMPRESA='31' AND CBALCAO='0003' AND CNUMECTA='20647771096' AND ZDEPOSIT='000000000000000' THEN 1</v>
      </c>
      <c r="M508" s="1" t="str">
        <f t="shared" si="47"/>
        <v>WHEN CEMPRESA='31' AND CBALCAO='0003' AND CNUMECTA='20647771096' AND ZDEPOSIT='000000000000000' THEN 'A.3.7.'</v>
      </c>
    </row>
    <row r="509" spans="2:13" x14ac:dyDescent="0.25">
      <c r="B509" s="1" t="s">
        <v>45</v>
      </c>
      <c r="C509" s="1" t="s">
        <v>46</v>
      </c>
      <c r="D509" s="1" t="s">
        <v>712</v>
      </c>
      <c r="E509" s="1" t="s">
        <v>48</v>
      </c>
      <c r="F509" s="1">
        <v>1</v>
      </c>
      <c r="G509" s="1" t="s">
        <v>60</v>
      </c>
      <c r="H509" s="1" t="str">
        <f t="shared" si="42"/>
        <v xml:space="preserve">CEMPRESA='31' </v>
      </c>
      <c r="I509" s="1" t="str">
        <f t="shared" si="43"/>
        <v xml:space="preserve">AND CBALCAO='0003' </v>
      </c>
      <c r="J509" s="1" t="str">
        <f t="shared" si="44"/>
        <v xml:space="preserve">AND CNUMECTA='20740444096' </v>
      </c>
      <c r="K509" s="1" t="str">
        <f t="shared" si="45"/>
        <v xml:space="preserve">AND ZDEPOSIT='000000000000000' </v>
      </c>
      <c r="L509" s="1" t="str">
        <f t="shared" si="46"/>
        <v>WHEN CEMPRESA='31' AND CBALCAO='0003' AND CNUMECTA='20740444096' AND ZDEPOSIT='000000000000000' THEN 1</v>
      </c>
      <c r="M509" s="1" t="str">
        <f t="shared" si="47"/>
        <v>WHEN CEMPRESA='31' AND CBALCAO='0003' AND CNUMECTA='20740444096' AND ZDEPOSIT='000000000000000' THEN 'A.3.7.'</v>
      </c>
    </row>
    <row r="510" spans="2:13" x14ac:dyDescent="0.25">
      <c r="B510" s="1" t="s">
        <v>45</v>
      </c>
      <c r="C510" s="1" t="s">
        <v>46</v>
      </c>
      <c r="D510" s="1" t="s">
        <v>713</v>
      </c>
      <c r="E510" s="1" t="s">
        <v>48</v>
      </c>
      <c r="F510" s="1">
        <v>1</v>
      </c>
      <c r="G510" s="1" t="s">
        <v>209</v>
      </c>
      <c r="H510" s="1" t="str">
        <f t="shared" si="42"/>
        <v xml:space="preserve">CEMPRESA='31' </v>
      </c>
      <c r="I510" s="1" t="str">
        <f t="shared" si="43"/>
        <v xml:space="preserve">AND CBALCAO='0003' </v>
      </c>
      <c r="J510" s="1" t="str">
        <f t="shared" si="44"/>
        <v xml:space="preserve">AND CNUMECTA='20472725096' </v>
      </c>
      <c r="K510" s="1" t="str">
        <f t="shared" si="45"/>
        <v xml:space="preserve">AND ZDEPOSIT='000000000000000' </v>
      </c>
      <c r="L510" s="1" t="str">
        <f t="shared" si="46"/>
        <v>WHEN CEMPRESA='31' AND CBALCAO='0003' AND CNUMECTA='20472725096' AND ZDEPOSIT='000000000000000' THEN 1</v>
      </c>
      <c r="M510" s="1" t="str">
        <f t="shared" si="47"/>
        <v>WHEN CEMPRESA='31' AND CBALCAO='0003' AND CNUMECTA='20472725096' AND ZDEPOSIT='000000000000000' THEN 'A.3.1.'</v>
      </c>
    </row>
    <row r="511" spans="2:13" x14ac:dyDescent="0.25">
      <c r="B511" s="1" t="s">
        <v>45</v>
      </c>
      <c r="C511" s="1" t="s">
        <v>46</v>
      </c>
      <c r="D511" s="1" t="s">
        <v>714</v>
      </c>
      <c r="E511" s="1" t="s">
        <v>48</v>
      </c>
      <c r="F511" s="1" t="s">
        <v>715</v>
      </c>
      <c r="G511" s="1" t="s">
        <v>60</v>
      </c>
      <c r="H511" s="1" t="str">
        <f t="shared" si="42"/>
        <v xml:space="preserve">CEMPRESA='31' </v>
      </c>
      <c r="I511" s="1" t="str">
        <f t="shared" si="43"/>
        <v xml:space="preserve">AND CBALCAO='0003' </v>
      </c>
      <c r="J511" s="1" t="str">
        <f t="shared" si="44"/>
        <v xml:space="preserve">AND CNUMECTA='20418058096' </v>
      </c>
      <c r="K511" s="1" t="str">
        <f t="shared" si="45"/>
        <v xml:space="preserve">AND ZDEPOSIT='000000000000000' </v>
      </c>
      <c r="L511" s="1" t="str">
        <f t="shared" si="46"/>
        <v>WHEN CEMPRESA='31' AND CBALCAO='0003' AND CNUMECTA='20418058096' AND ZDEPOSIT='000000000000000' THEN 0.6</v>
      </c>
      <c r="M511" s="1" t="str">
        <f t="shared" si="47"/>
        <v>WHEN CEMPRESA='31' AND CBALCAO='0003' AND CNUMECTA='20418058096' AND ZDEPOSIT='000000000000000' THEN 'A.3.7.'</v>
      </c>
    </row>
    <row r="512" spans="2:13" x14ac:dyDescent="0.25">
      <c r="B512" s="1" t="s">
        <v>54</v>
      </c>
      <c r="C512" s="1" t="s">
        <v>55</v>
      </c>
      <c r="D512" s="1" t="s">
        <v>716</v>
      </c>
      <c r="E512" s="1" t="s">
        <v>717</v>
      </c>
      <c r="F512" s="1">
        <v>1</v>
      </c>
      <c r="G512" s="1" t="s">
        <v>58</v>
      </c>
      <c r="H512" s="1" t="str">
        <f t="shared" si="42"/>
        <v xml:space="preserve">CEMPRESA='89' </v>
      </c>
      <c r="I512" s="1" t="str">
        <f t="shared" si="43"/>
        <v xml:space="preserve">AND CBALCAO='0000' </v>
      </c>
      <c r="J512" s="1" t="str">
        <f t="shared" si="44"/>
        <v xml:space="preserve">AND CNUMECTA='00008046575' </v>
      </c>
      <c r="K512" s="1" t="str">
        <f t="shared" si="45"/>
        <v xml:space="preserve">AND ZDEPOSIT='000530000778347' </v>
      </c>
      <c r="L512" s="1" t="str">
        <f t="shared" si="46"/>
        <v>WHEN CEMPRESA='89' AND CBALCAO='0000' AND CNUMECTA='00008046575' AND ZDEPOSIT='000530000778347' THEN 1</v>
      </c>
      <c r="M512" s="1" t="str">
        <f t="shared" si="47"/>
        <v>WHEN CEMPRESA='89' AND CBALCAO='0000' AND CNUMECTA='00008046575' AND ZDEPOSIT='000530000778347' THEN 'A.2.5.'</v>
      </c>
    </row>
    <row r="513" spans="2:13" x14ac:dyDescent="0.25">
      <c r="B513" s="1" t="s">
        <v>45</v>
      </c>
      <c r="C513" s="1" t="s">
        <v>46</v>
      </c>
      <c r="D513" s="1" t="s">
        <v>718</v>
      </c>
      <c r="E513" s="1" t="s">
        <v>48</v>
      </c>
      <c r="F513" s="1">
        <v>1</v>
      </c>
      <c r="G513" s="1" t="s">
        <v>60</v>
      </c>
      <c r="H513" s="1" t="str">
        <f t="shared" si="42"/>
        <v xml:space="preserve">CEMPRESA='31' </v>
      </c>
      <c r="I513" s="1" t="str">
        <f t="shared" si="43"/>
        <v xml:space="preserve">AND CBALCAO='0003' </v>
      </c>
      <c r="J513" s="1" t="str">
        <f t="shared" si="44"/>
        <v xml:space="preserve">AND CNUMECTA='20606363096' </v>
      </c>
      <c r="K513" s="1" t="str">
        <f t="shared" si="45"/>
        <v xml:space="preserve">AND ZDEPOSIT='000000000000000' </v>
      </c>
      <c r="L513" s="1" t="str">
        <f t="shared" si="46"/>
        <v>WHEN CEMPRESA='31' AND CBALCAO='0003' AND CNUMECTA='20606363096' AND ZDEPOSIT='000000000000000' THEN 1</v>
      </c>
      <c r="M513" s="1" t="str">
        <f t="shared" si="47"/>
        <v>WHEN CEMPRESA='31' AND CBALCAO='0003' AND CNUMECTA='20606363096' AND ZDEPOSIT='000000000000000' THEN 'A.3.7.'</v>
      </c>
    </row>
    <row r="514" spans="2:13" x14ac:dyDescent="0.25">
      <c r="B514" s="1" t="s">
        <v>45</v>
      </c>
      <c r="C514" s="1" t="s">
        <v>46</v>
      </c>
      <c r="D514" s="1" t="s">
        <v>719</v>
      </c>
      <c r="E514" s="1" t="s">
        <v>48</v>
      </c>
      <c r="F514" s="1">
        <v>1</v>
      </c>
      <c r="G514" s="1" t="s">
        <v>60</v>
      </c>
      <c r="H514" s="1" t="str">
        <f t="shared" si="42"/>
        <v xml:space="preserve">CEMPRESA='31' </v>
      </c>
      <c r="I514" s="1" t="str">
        <f t="shared" si="43"/>
        <v xml:space="preserve">AND CBALCAO='0003' </v>
      </c>
      <c r="J514" s="1" t="str">
        <f t="shared" si="44"/>
        <v xml:space="preserve">AND CNUMECTA='20592530096' </v>
      </c>
      <c r="K514" s="1" t="str">
        <f t="shared" si="45"/>
        <v xml:space="preserve">AND ZDEPOSIT='000000000000000' </v>
      </c>
      <c r="L514" s="1" t="str">
        <f t="shared" si="46"/>
        <v>WHEN CEMPRESA='31' AND CBALCAO='0003' AND CNUMECTA='20592530096' AND ZDEPOSIT='000000000000000' THEN 1</v>
      </c>
      <c r="M514" s="1" t="str">
        <f t="shared" si="47"/>
        <v>WHEN CEMPRESA='31' AND CBALCAO='0003' AND CNUMECTA='20592530096' AND ZDEPOSIT='000000000000000' THEN 'A.3.7.'</v>
      </c>
    </row>
    <row r="515" spans="2:13" x14ac:dyDescent="0.25">
      <c r="B515" s="1" t="s">
        <v>54</v>
      </c>
      <c r="C515" s="1" t="s">
        <v>55</v>
      </c>
      <c r="D515" s="1" t="s">
        <v>720</v>
      </c>
      <c r="E515" s="1" t="s">
        <v>667</v>
      </c>
      <c r="F515" s="1">
        <v>1</v>
      </c>
      <c r="G515" s="1" t="s">
        <v>58</v>
      </c>
      <c r="H515" s="1" t="str">
        <f t="shared" si="42"/>
        <v xml:space="preserve">CEMPRESA='89' </v>
      </c>
      <c r="I515" s="1" t="str">
        <f t="shared" si="43"/>
        <v xml:space="preserve">AND CBALCAO='0000' </v>
      </c>
      <c r="J515" s="1" t="str">
        <f t="shared" si="44"/>
        <v xml:space="preserve">AND CNUMECTA='00008046351' </v>
      </c>
      <c r="K515" s="1" t="str">
        <f t="shared" si="45"/>
        <v xml:space="preserve">AND ZDEPOSIT='000530000694857' </v>
      </c>
      <c r="L515" s="1" t="str">
        <f t="shared" si="46"/>
        <v>WHEN CEMPRESA='89' AND CBALCAO='0000' AND CNUMECTA='00008046351' AND ZDEPOSIT='000530000694857' THEN 1</v>
      </c>
      <c r="M515" s="1" t="str">
        <f t="shared" si="47"/>
        <v>WHEN CEMPRESA='89' AND CBALCAO='0000' AND CNUMECTA='00008046351' AND ZDEPOSIT='000530000694857' THEN 'A.2.5.'</v>
      </c>
    </row>
    <row r="516" spans="2:13" x14ac:dyDescent="0.25">
      <c r="B516" s="1" t="s">
        <v>45</v>
      </c>
      <c r="C516" s="1" t="s">
        <v>46</v>
      </c>
      <c r="D516" s="1" t="s">
        <v>721</v>
      </c>
      <c r="E516" s="1" t="s">
        <v>48</v>
      </c>
      <c r="F516" s="1">
        <v>1</v>
      </c>
      <c r="G516" s="1" t="s">
        <v>60</v>
      </c>
      <c r="H516" s="1" t="str">
        <f t="shared" ref="H516:H579" si="48">+IF(LEN(TRIM(B516))&gt;0,UPPER($B$2)&amp;"='"&amp;TRIM(B516)&amp;"' ","")</f>
        <v xml:space="preserve">CEMPRESA='31' </v>
      </c>
      <c r="I516" s="1" t="str">
        <f t="shared" ref="I516:I579" si="49">+IF(LEN(TRIM(C516))&gt;0,UPPER($C$2)&amp;"='"&amp;TRIM(C516)&amp;"' ","")</f>
        <v xml:space="preserve">AND CBALCAO='0003' </v>
      </c>
      <c r="J516" s="1" t="str">
        <f t="shared" ref="J516:J579" si="50">+IF(LEN(TRIM(D516))&gt;0,UPPER($D$2)&amp;"='"&amp;TRIM(D516)&amp;"' ","")</f>
        <v xml:space="preserve">AND CNUMECTA='20599675096' </v>
      </c>
      <c r="K516" s="1" t="str">
        <f t="shared" ref="K516:K579" si="51">+IF(LEN(TRIM(E516))&gt;0,UPPER($E$2)&amp;"='"&amp;TRIM(E516)&amp;"' ","")</f>
        <v xml:space="preserve">AND ZDEPOSIT='000000000000000' </v>
      </c>
      <c r="L516" s="1" t="str">
        <f t="shared" ref="L516:L579" si="52">+"WHEN "&amp;H516&amp;I516&amp;J516&amp;K516&amp;"THEN "&amp;F516</f>
        <v>WHEN CEMPRESA='31' AND CBALCAO='0003' AND CNUMECTA='20599675096' AND ZDEPOSIT='000000000000000' THEN 1</v>
      </c>
      <c r="M516" s="1" t="str">
        <f t="shared" ref="M516:M579" si="53">+"WHEN "&amp;H516&amp;I516&amp;J516&amp;K516&amp;"THEN "&amp;G516</f>
        <v>WHEN CEMPRESA='31' AND CBALCAO='0003' AND CNUMECTA='20599675096' AND ZDEPOSIT='000000000000000' THEN 'A.3.7.'</v>
      </c>
    </row>
    <row r="517" spans="2:13" x14ac:dyDescent="0.25">
      <c r="B517" s="1" t="s">
        <v>54</v>
      </c>
      <c r="C517" s="1" t="s">
        <v>55</v>
      </c>
      <c r="D517" s="1" t="s">
        <v>722</v>
      </c>
      <c r="E517" s="1" t="s">
        <v>723</v>
      </c>
      <c r="F517" s="1">
        <v>1</v>
      </c>
      <c r="G517" s="1" t="s">
        <v>58</v>
      </c>
      <c r="H517" s="1" t="str">
        <f t="shared" si="48"/>
        <v xml:space="preserve">CEMPRESA='89' </v>
      </c>
      <c r="I517" s="1" t="str">
        <f t="shared" si="49"/>
        <v xml:space="preserve">AND CBALCAO='0000' </v>
      </c>
      <c r="J517" s="1" t="str">
        <f t="shared" si="50"/>
        <v xml:space="preserve">AND CNUMECTA='00000249959' </v>
      </c>
      <c r="K517" s="1" t="str">
        <f t="shared" si="51"/>
        <v xml:space="preserve">AND ZDEPOSIT='000450000701482' </v>
      </c>
      <c r="L517" s="1" t="str">
        <f t="shared" si="52"/>
        <v>WHEN CEMPRESA='89' AND CBALCAO='0000' AND CNUMECTA='00000249959' AND ZDEPOSIT='000450000701482' THEN 1</v>
      </c>
      <c r="M517" s="1" t="str">
        <f t="shared" si="53"/>
        <v>WHEN CEMPRESA='89' AND CBALCAO='0000' AND CNUMECTA='00000249959' AND ZDEPOSIT='000450000701482' THEN 'A.2.5.'</v>
      </c>
    </row>
    <row r="518" spans="2:13" x14ac:dyDescent="0.25">
      <c r="B518" s="1" t="s">
        <v>54</v>
      </c>
      <c r="C518" s="1" t="s">
        <v>55</v>
      </c>
      <c r="D518" s="1" t="s">
        <v>724</v>
      </c>
      <c r="E518" s="1" t="s">
        <v>725</v>
      </c>
      <c r="F518" s="1">
        <v>1</v>
      </c>
      <c r="G518" s="1" t="s">
        <v>58</v>
      </c>
      <c r="H518" s="1" t="str">
        <f t="shared" si="48"/>
        <v xml:space="preserve">CEMPRESA='89' </v>
      </c>
      <c r="I518" s="1" t="str">
        <f t="shared" si="49"/>
        <v xml:space="preserve">AND CBALCAO='0000' </v>
      </c>
      <c r="J518" s="1" t="str">
        <f t="shared" si="50"/>
        <v xml:space="preserve">AND CNUMECTA='00000250388' </v>
      </c>
      <c r="K518" s="1" t="str">
        <f t="shared" si="51"/>
        <v xml:space="preserve">AND ZDEPOSIT='000450000777979' </v>
      </c>
      <c r="L518" s="1" t="str">
        <f t="shared" si="52"/>
        <v>WHEN CEMPRESA='89' AND CBALCAO='0000' AND CNUMECTA='00000250388' AND ZDEPOSIT='000450000777979' THEN 1</v>
      </c>
      <c r="M518" s="1" t="str">
        <f t="shared" si="53"/>
        <v>WHEN CEMPRESA='89' AND CBALCAO='0000' AND CNUMECTA='00000250388' AND ZDEPOSIT='000450000777979' THEN 'A.2.5.'</v>
      </c>
    </row>
    <row r="519" spans="2:13" x14ac:dyDescent="0.25">
      <c r="B519" s="1" t="s">
        <v>54</v>
      </c>
      <c r="C519" s="1" t="s">
        <v>55</v>
      </c>
      <c r="D519" s="1" t="s">
        <v>726</v>
      </c>
      <c r="E519" s="1" t="s">
        <v>727</v>
      </c>
      <c r="F519" s="1">
        <v>1</v>
      </c>
      <c r="G519" s="1" t="s">
        <v>58</v>
      </c>
      <c r="H519" s="1" t="str">
        <f t="shared" si="48"/>
        <v xml:space="preserve">CEMPRESA='89' </v>
      </c>
      <c r="I519" s="1" t="str">
        <f t="shared" si="49"/>
        <v xml:space="preserve">AND CBALCAO='0000' </v>
      </c>
      <c r="J519" s="1" t="str">
        <f t="shared" si="50"/>
        <v xml:space="preserve">AND CNUMECTA='00000250596' </v>
      </c>
      <c r="K519" s="1" t="str">
        <f t="shared" si="51"/>
        <v xml:space="preserve">AND ZDEPOSIT='000450000101714' </v>
      </c>
      <c r="L519" s="1" t="str">
        <f t="shared" si="52"/>
        <v>WHEN CEMPRESA='89' AND CBALCAO='0000' AND CNUMECTA='00000250596' AND ZDEPOSIT='000450000101714' THEN 1</v>
      </c>
      <c r="M519" s="1" t="str">
        <f t="shared" si="53"/>
        <v>WHEN CEMPRESA='89' AND CBALCAO='0000' AND CNUMECTA='00000250596' AND ZDEPOSIT='000450000101714' THEN 'A.2.5.'</v>
      </c>
    </row>
    <row r="520" spans="2:13" x14ac:dyDescent="0.25">
      <c r="B520" s="1" t="s">
        <v>45</v>
      </c>
      <c r="C520" s="1" t="s">
        <v>46</v>
      </c>
      <c r="D520" s="1" t="s">
        <v>728</v>
      </c>
      <c r="E520" s="1" t="s">
        <v>48</v>
      </c>
      <c r="F520" s="1">
        <v>1</v>
      </c>
      <c r="G520" s="1" t="s">
        <v>60</v>
      </c>
      <c r="H520" s="1" t="str">
        <f t="shared" si="48"/>
        <v xml:space="preserve">CEMPRESA='31' </v>
      </c>
      <c r="I520" s="1" t="str">
        <f t="shared" si="49"/>
        <v xml:space="preserve">AND CBALCAO='0003' </v>
      </c>
      <c r="J520" s="1" t="str">
        <f t="shared" si="50"/>
        <v xml:space="preserve">AND CNUMECTA='20727177096' </v>
      </c>
      <c r="K520" s="1" t="str">
        <f t="shared" si="51"/>
        <v xml:space="preserve">AND ZDEPOSIT='000000000000000' </v>
      </c>
      <c r="L520" s="1" t="str">
        <f t="shared" si="52"/>
        <v>WHEN CEMPRESA='31' AND CBALCAO='0003' AND CNUMECTA='20727177096' AND ZDEPOSIT='000000000000000' THEN 1</v>
      </c>
      <c r="M520" s="1" t="str">
        <f t="shared" si="53"/>
        <v>WHEN CEMPRESA='31' AND CBALCAO='0003' AND CNUMECTA='20727177096' AND ZDEPOSIT='000000000000000' THEN 'A.3.7.'</v>
      </c>
    </row>
    <row r="521" spans="2:13" x14ac:dyDescent="0.25">
      <c r="B521" s="1" t="s">
        <v>54</v>
      </c>
      <c r="C521" s="1" t="s">
        <v>55</v>
      </c>
      <c r="D521" s="1" t="s">
        <v>729</v>
      </c>
      <c r="E521" s="1" t="s">
        <v>730</v>
      </c>
      <c r="F521" s="1">
        <v>1</v>
      </c>
      <c r="G521" s="1" t="s">
        <v>58</v>
      </c>
      <c r="H521" s="1" t="str">
        <f t="shared" si="48"/>
        <v xml:space="preserve">CEMPRESA='89' </v>
      </c>
      <c r="I521" s="1" t="str">
        <f t="shared" si="49"/>
        <v xml:space="preserve">AND CBALCAO='0000' </v>
      </c>
      <c r="J521" s="1" t="str">
        <f t="shared" si="50"/>
        <v xml:space="preserve">AND CNUMECTA='00008046429' </v>
      </c>
      <c r="K521" s="1" t="str">
        <f t="shared" si="51"/>
        <v xml:space="preserve">AND ZDEPOSIT='000530000777471' </v>
      </c>
      <c r="L521" s="1" t="str">
        <f t="shared" si="52"/>
        <v>WHEN CEMPRESA='89' AND CBALCAO='0000' AND CNUMECTA='00008046429' AND ZDEPOSIT='000530000777471' THEN 1</v>
      </c>
      <c r="M521" s="1" t="str">
        <f t="shared" si="53"/>
        <v>WHEN CEMPRESA='89' AND CBALCAO='0000' AND CNUMECTA='00008046429' AND ZDEPOSIT='000530000777471' THEN 'A.2.5.'</v>
      </c>
    </row>
    <row r="522" spans="2:13" x14ac:dyDescent="0.25">
      <c r="B522" s="1" t="s">
        <v>54</v>
      </c>
      <c r="C522" s="1" t="s">
        <v>55</v>
      </c>
      <c r="D522" s="1" t="s">
        <v>731</v>
      </c>
      <c r="E522" s="1" t="s">
        <v>732</v>
      </c>
      <c r="F522" s="1">
        <v>1</v>
      </c>
      <c r="G522" s="1" t="s">
        <v>58</v>
      </c>
      <c r="H522" s="1" t="str">
        <f t="shared" si="48"/>
        <v xml:space="preserve">CEMPRESA='89' </v>
      </c>
      <c r="I522" s="1" t="str">
        <f t="shared" si="49"/>
        <v xml:space="preserve">AND CBALCAO='0000' </v>
      </c>
      <c r="J522" s="1" t="str">
        <f t="shared" si="50"/>
        <v xml:space="preserve">AND CNUMECTA='00000250143' </v>
      </c>
      <c r="K522" s="1" t="str">
        <f t="shared" si="51"/>
        <v xml:space="preserve">AND ZDEPOSIT='000450000769750' </v>
      </c>
      <c r="L522" s="1" t="str">
        <f t="shared" si="52"/>
        <v>WHEN CEMPRESA='89' AND CBALCAO='0000' AND CNUMECTA='00000250143' AND ZDEPOSIT='000450000769750' THEN 1</v>
      </c>
      <c r="M522" s="1" t="str">
        <f t="shared" si="53"/>
        <v>WHEN CEMPRESA='89' AND CBALCAO='0000' AND CNUMECTA='00000250143' AND ZDEPOSIT='000450000769750' THEN 'A.2.5.'</v>
      </c>
    </row>
    <row r="523" spans="2:13" x14ac:dyDescent="0.25">
      <c r="B523" s="1" t="s">
        <v>45</v>
      </c>
      <c r="C523" s="1" t="s">
        <v>46</v>
      </c>
      <c r="D523" s="1" t="s">
        <v>733</v>
      </c>
      <c r="E523" s="1" t="s">
        <v>48</v>
      </c>
      <c r="F523" s="1">
        <v>1</v>
      </c>
      <c r="G523" s="1" t="s">
        <v>60</v>
      </c>
      <c r="H523" s="1" t="str">
        <f t="shared" si="48"/>
        <v xml:space="preserve">CEMPRESA='31' </v>
      </c>
      <c r="I523" s="1" t="str">
        <f t="shared" si="49"/>
        <v xml:space="preserve">AND CBALCAO='0003' </v>
      </c>
      <c r="J523" s="1" t="str">
        <f t="shared" si="50"/>
        <v xml:space="preserve">AND CNUMECTA='20482328096' </v>
      </c>
      <c r="K523" s="1" t="str">
        <f t="shared" si="51"/>
        <v xml:space="preserve">AND ZDEPOSIT='000000000000000' </v>
      </c>
      <c r="L523" s="1" t="str">
        <f t="shared" si="52"/>
        <v>WHEN CEMPRESA='31' AND CBALCAO='0003' AND CNUMECTA='20482328096' AND ZDEPOSIT='000000000000000' THEN 1</v>
      </c>
      <c r="M523" s="1" t="str">
        <f t="shared" si="53"/>
        <v>WHEN CEMPRESA='31' AND CBALCAO='0003' AND CNUMECTA='20482328096' AND ZDEPOSIT='000000000000000' THEN 'A.3.7.'</v>
      </c>
    </row>
    <row r="524" spans="2:13" x14ac:dyDescent="0.25">
      <c r="B524" s="1" t="s">
        <v>45</v>
      </c>
      <c r="C524" s="1" t="s">
        <v>46</v>
      </c>
      <c r="D524" s="1" t="s">
        <v>734</v>
      </c>
      <c r="E524" s="1" t="s">
        <v>48</v>
      </c>
      <c r="F524" s="1">
        <v>1</v>
      </c>
      <c r="G524" s="1" t="s">
        <v>60</v>
      </c>
      <c r="H524" s="1" t="str">
        <f t="shared" si="48"/>
        <v xml:space="preserve">CEMPRESA='31' </v>
      </c>
      <c r="I524" s="1" t="str">
        <f t="shared" si="49"/>
        <v xml:space="preserve">AND CBALCAO='0003' </v>
      </c>
      <c r="J524" s="1" t="str">
        <f t="shared" si="50"/>
        <v xml:space="preserve">AND CNUMECTA='20746110096' </v>
      </c>
      <c r="K524" s="1" t="str">
        <f t="shared" si="51"/>
        <v xml:space="preserve">AND ZDEPOSIT='000000000000000' </v>
      </c>
      <c r="L524" s="1" t="str">
        <f t="shared" si="52"/>
        <v>WHEN CEMPRESA='31' AND CBALCAO='0003' AND CNUMECTA='20746110096' AND ZDEPOSIT='000000000000000' THEN 1</v>
      </c>
      <c r="M524" s="1" t="str">
        <f t="shared" si="53"/>
        <v>WHEN CEMPRESA='31' AND CBALCAO='0003' AND CNUMECTA='20746110096' AND ZDEPOSIT='000000000000000' THEN 'A.3.7.'</v>
      </c>
    </row>
    <row r="525" spans="2:13" x14ac:dyDescent="0.25">
      <c r="B525" s="1" t="s">
        <v>45</v>
      </c>
      <c r="C525" s="1" t="s">
        <v>46</v>
      </c>
      <c r="D525" s="1" t="s">
        <v>735</v>
      </c>
      <c r="E525" s="1" t="s">
        <v>48</v>
      </c>
      <c r="F525" s="1">
        <v>1</v>
      </c>
      <c r="G525" s="1" t="s">
        <v>60</v>
      </c>
      <c r="H525" s="1" t="str">
        <f t="shared" si="48"/>
        <v xml:space="preserve">CEMPRESA='31' </v>
      </c>
      <c r="I525" s="1" t="str">
        <f t="shared" si="49"/>
        <v xml:space="preserve">AND CBALCAO='0003' </v>
      </c>
      <c r="J525" s="1" t="str">
        <f t="shared" si="50"/>
        <v xml:space="preserve">AND CNUMECTA='20632211096' </v>
      </c>
      <c r="K525" s="1" t="str">
        <f t="shared" si="51"/>
        <v xml:space="preserve">AND ZDEPOSIT='000000000000000' </v>
      </c>
      <c r="L525" s="1" t="str">
        <f t="shared" si="52"/>
        <v>WHEN CEMPRESA='31' AND CBALCAO='0003' AND CNUMECTA='20632211096' AND ZDEPOSIT='000000000000000' THEN 1</v>
      </c>
      <c r="M525" s="1" t="str">
        <f t="shared" si="53"/>
        <v>WHEN CEMPRESA='31' AND CBALCAO='0003' AND CNUMECTA='20632211096' AND ZDEPOSIT='000000000000000' THEN 'A.3.7.'</v>
      </c>
    </row>
    <row r="526" spans="2:13" x14ac:dyDescent="0.25">
      <c r="B526" s="1" t="s">
        <v>45</v>
      </c>
      <c r="C526" s="1" t="s">
        <v>46</v>
      </c>
      <c r="D526" s="1" t="s">
        <v>736</v>
      </c>
      <c r="E526" s="1" t="s">
        <v>48</v>
      </c>
      <c r="F526" s="1">
        <v>1</v>
      </c>
      <c r="G526" s="1" t="s">
        <v>60</v>
      </c>
      <c r="H526" s="1" t="str">
        <f t="shared" si="48"/>
        <v xml:space="preserve">CEMPRESA='31' </v>
      </c>
      <c r="I526" s="1" t="str">
        <f t="shared" si="49"/>
        <v xml:space="preserve">AND CBALCAO='0003' </v>
      </c>
      <c r="J526" s="1" t="str">
        <f t="shared" si="50"/>
        <v xml:space="preserve">AND CNUMECTA='20461470096' </v>
      </c>
      <c r="K526" s="1" t="str">
        <f t="shared" si="51"/>
        <v xml:space="preserve">AND ZDEPOSIT='000000000000000' </v>
      </c>
      <c r="L526" s="1" t="str">
        <f t="shared" si="52"/>
        <v>WHEN CEMPRESA='31' AND CBALCAO='0003' AND CNUMECTA='20461470096' AND ZDEPOSIT='000000000000000' THEN 1</v>
      </c>
      <c r="M526" s="1" t="str">
        <f t="shared" si="53"/>
        <v>WHEN CEMPRESA='31' AND CBALCAO='0003' AND CNUMECTA='20461470096' AND ZDEPOSIT='000000000000000' THEN 'A.3.7.'</v>
      </c>
    </row>
    <row r="527" spans="2:13" x14ac:dyDescent="0.25">
      <c r="B527" s="1" t="s">
        <v>54</v>
      </c>
      <c r="C527" s="1" t="s">
        <v>55</v>
      </c>
      <c r="D527" s="1" t="s">
        <v>737</v>
      </c>
      <c r="E527" s="1" t="s">
        <v>738</v>
      </c>
      <c r="F527" s="1">
        <v>1</v>
      </c>
      <c r="G527" s="1" t="s">
        <v>58</v>
      </c>
      <c r="H527" s="1" t="str">
        <f t="shared" si="48"/>
        <v xml:space="preserve">CEMPRESA='89' </v>
      </c>
      <c r="I527" s="1" t="str">
        <f t="shared" si="49"/>
        <v xml:space="preserve">AND CBALCAO='0000' </v>
      </c>
      <c r="J527" s="1" t="str">
        <f t="shared" si="50"/>
        <v xml:space="preserve">AND CNUMECTA='00008046477' </v>
      </c>
      <c r="K527" s="1" t="str">
        <f t="shared" si="51"/>
        <v xml:space="preserve">AND ZDEPOSIT='000530000678664' </v>
      </c>
      <c r="L527" s="1" t="str">
        <f t="shared" si="52"/>
        <v>WHEN CEMPRESA='89' AND CBALCAO='0000' AND CNUMECTA='00008046477' AND ZDEPOSIT='000530000678664' THEN 1</v>
      </c>
      <c r="M527" s="1" t="str">
        <f t="shared" si="53"/>
        <v>WHEN CEMPRESA='89' AND CBALCAO='0000' AND CNUMECTA='00008046477' AND ZDEPOSIT='000530000678664' THEN 'A.2.5.'</v>
      </c>
    </row>
    <row r="528" spans="2:13" x14ac:dyDescent="0.25">
      <c r="B528" s="1" t="s">
        <v>54</v>
      </c>
      <c r="C528" s="1" t="s">
        <v>55</v>
      </c>
      <c r="D528" s="1" t="s">
        <v>739</v>
      </c>
      <c r="E528" s="1" t="s">
        <v>740</v>
      </c>
      <c r="F528" s="1">
        <v>1</v>
      </c>
      <c r="G528" s="1" t="s">
        <v>58</v>
      </c>
      <c r="H528" s="1" t="str">
        <f t="shared" si="48"/>
        <v xml:space="preserve">CEMPRESA='89' </v>
      </c>
      <c r="I528" s="1" t="str">
        <f t="shared" si="49"/>
        <v xml:space="preserve">AND CBALCAO='0000' </v>
      </c>
      <c r="J528" s="1" t="str">
        <f t="shared" si="50"/>
        <v xml:space="preserve">AND CNUMECTA='00008046419' </v>
      </c>
      <c r="K528" s="1" t="str">
        <f t="shared" si="51"/>
        <v xml:space="preserve">AND ZDEPOSIT='000530000777517' </v>
      </c>
      <c r="L528" s="1" t="str">
        <f t="shared" si="52"/>
        <v>WHEN CEMPRESA='89' AND CBALCAO='0000' AND CNUMECTA='00008046419' AND ZDEPOSIT='000530000777517' THEN 1</v>
      </c>
      <c r="M528" s="1" t="str">
        <f t="shared" si="53"/>
        <v>WHEN CEMPRESA='89' AND CBALCAO='0000' AND CNUMECTA='00008046419' AND ZDEPOSIT='000530000777517' THEN 'A.2.5.'</v>
      </c>
    </row>
    <row r="529" spans="2:13" x14ac:dyDescent="0.25">
      <c r="B529" s="1" t="s">
        <v>45</v>
      </c>
      <c r="C529" s="1" t="s">
        <v>46</v>
      </c>
      <c r="D529" s="1" t="s">
        <v>741</v>
      </c>
      <c r="E529" s="1" t="s">
        <v>48</v>
      </c>
      <c r="F529" s="1">
        <v>1</v>
      </c>
      <c r="G529" s="1" t="s">
        <v>60</v>
      </c>
      <c r="H529" s="1" t="str">
        <f t="shared" si="48"/>
        <v xml:space="preserve">CEMPRESA='31' </v>
      </c>
      <c r="I529" s="1" t="str">
        <f t="shared" si="49"/>
        <v xml:space="preserve">AND CBALCAO='0003' </v>
      </c>
      <c r="J529" s="1" t="str">
        <f t="shared" si="50"/>
        <v xml:space="preserve">AND CNUMECTA='20654082096' </v>
      </c>
      <c r="K529" s="1" t="str">
        <f t="shared" si="51"/>
        <v xml:space="preserve">AND ZDEPOSIT='000000000000000' </v>
      </c>
      <c r="L529" s="1" t="str">
        <f t="shared" si="52"/>
        <v>WHEN CEMPRESA='31' AND CBALCAO='0003' AND CNUMECTA='20654082096' AND ZDEPOSIT='000000000000000' THEN 1</v>
      </c>
      <c r="M529" s="1" t="str">
        <f t="shared" si="53"/>
        <v>WHEN CEMPRESA='31' AND CBALCAO='0003' AND CNUMECTA='20654082096' AND ZDEPOSIT='000000000000000' THEN 'A.3.7.'</v>
      </c>
    </row>
    <row r="530" spans="2:13" x14ac:dyDescent="0.25">
      <c r="B530" s="1" t="s">
        <v>54</v>
      </c>
      <c r="C530" s="1" t="s">
        <v>55</v>
      </c>
      <c r="D530" s="1" t="s">
        <v>742</v>
      </c>
      <c r="E530" s="1" t="s">
        <v>743</v>
      </c>
      <c r="F530" s="1">
        <v>1</v>
      </c>
      <c r="G530" s="1" t="s">
        <v>58</v>
      </c>
      <c r="H530" s="1" t="str">
        <f t="shared" si="48"/>
        <v xml:space="preserve">CEMPRESA='89' </v>
      </c>
      <c r="I530" s="1" t="str">
        <f t="shared" si="49"/>
        <v xml:space="preserve">AND CBALCAO='0000' </v>
      </c>
      <c r="J530" s="1" t="str">
        <f t="shared" si="50"/>
        <v xml:space="preserve">AND CNUMECTA='00008046443' </v>
      </c>
      <c r="K530" s="1" t="str">
        <f t="shared" si="51"/>
        <v xml:space="preserve">AND ZDEPOSIT='000530000661077' </v>
      </c>
      <c r="L530" s="1" t="str">
        <f t="shared" si="52"/>
        <v>WHEN CEMPRESA='89' AND CBALCAO='0000' AND CNUMECTA='00008046443' AND ZDEPOSIT='000530000661077' THEN 1</v>
      </c>
      <c r="M530" s="1" t="str">
        <f t="shared" si="53"/>
        <v>WHEN CEMPRESA='89' AND CBALCAO='0000' AND CNUMECTA='00008046443' AND ZDEPOSIT='000530000661077' THEN 'A.2.5.'</v>
      </c>
    </row>
    <row r="531" spans="2:13" x14ac:dyDescent="0.25">
      <c r="B531" s="1" t="s">
        <v>45</v>
      </c>
      <c r="C531" s="1" t="s">
        <v>46</v>
      </c>
      <c r="D531" s="1" t="s">
        <v>744</v>
      </c>
      <c r="E531" s="1" t="s">
        <v>48</v>
      </c>
      <c r="F531" s="1">
        <v>1</v>
      </c>
      <c r="G531" s="1" t="s">
        <v>60</v>
      </c>
      <c r="H531" s="1" t="str">
        <f t="shared" si="48"/>
        <v xml:space="preserve">CEMPRESA='31' </v>
      </c>
      <c r="I531" s="1" t="str">
        <f t="shared" si="49"/>
        <v xml:space="preserve">AND CBALCAO='0003' </v>
      </c>
      <c r="J531" s="1" t="str">
        <f t="shared" si="50"/>
        <v xml:space="preserve">AND CNUMECTA='20573928096' </v>
      </c>
      <c r="K531" s="1" t="str">
        <f t="shared" si="51"/>
        <v xml:space="preserve">AND ZDEPOSIT='000000000000000' </v>
      </c>
      <c r="L531" s="1" t="str">
        <f t="shared" si="52"/>
        <v>WHEN CEMPRESA='31' AND CBALCAO='0003' AND CNUMECTA='20573928096' AND ZDEPOSIT='000000000000000' THEN 1</v>
      </c>
      <c r="M531" s="1" t="str">
        <f t="shared" si="53"/>
        <v>WHEN CEMPRESA='31' AND CBALCAO='0003' AND CNUMECTA='20573928096' AND ZDEPOSIT='000000000000000' THEN 'A.3.7.'</v>
      </c>
    </row>
    <row r="532" spans="2:13" x14ac:dyDescent="0.25">
      <c r="B532" s="1" t="s">
        <v>45</v>
      </c>
      <c r="C532" s="1" t="s">
        <v>46</v>
      </c>
      <c r="D532" s="1" t="s">
        <v>745</v>
      </c>
      <c r="E532" s="1" t="s">
        <v>48</v>
      </c>
      <c r="F532" s="1">
        <v>1</v>
      </c>
      <c r="G532" s="1" t="s">
        <v>60</v>
      </c>
      <c r="H532" s="1" t="str">
        <f t="shared" si="48"/>
        <v xml:space="preserve">CEMPRESA='31' </v>
      </c>
      <c r="I532" s="1" t="str">
        <f t="shared" si="49"/>
        <v xml:space="preserve">AND CBALCAO='0003' </v>
      </c>
      <c r="J532" s="1" t="str">
        <f t="shared" si="50"/>
        <v xml:space="preserve">AND CNUMECTA='20418827096' </v>
      </c>
      <c r="K532" s="1" t="str">
        <f t="shared" si="51"/>
        <v xml:space="preserve">AND ZDEPOSIT='000000000000000' </v>
      </c>
      <c r="L532" s="1" t="str">
        <f t="shared" si="52"/>
        <v>WHEN CEMPRESA='31' AND CBALCAO='0003' AND CNUMECTA='20418827096' AND ZDEPOSIT='000000000000000' THEN 1</v>
      </c>
      <c r="M532" s="1" t="str">
        <f t="shared" si="53"/>
        <v>WHEN CEMPRESA='31' AND CBALCAO='0003' AND CNUMECTA='20418827096' AND ZDEPOSIT='000000000000000' THEN 'A.3.7.'</v>
      </c>
    </row>
    <row r="533" spans="2:13" x14ac:dyDescent="0.25">
      <c r="B533" s="1" t="s">
        <v>54</v>
      </c>
      <c r="C533" s="1" t="s">
        <v>55</v>
      </c>
      <c r="D533" s="1" t="s">
        <v>746</v>
      </c>
      <c r="E533" s="1" t="s">
        <v>747</v>
      </c>
      <c r="F533" s="1">
        <v>1</v>
      </c>
      <c r="G533" s="1" t="s">
        <v>58</v>
      </c>
      <c r="H533" s="1" t="str">
        <f t="shared" si="48"/>
        <v xml:space="preserve">CEMPRESA='89' </v>
      </c>
      <c r="I533" s="1" t="str">
        <f t="shared" si="49"/>
        <v xml:space="preserve">AND CBALCAO='0000' </v>
      </c>
      <c r="J533" s="1" t="str">
        <f t="shared" si="50"/>
        <v xml:space="preserve">AND CNUMECTA='00008046566' </v>
      </c>
      <c r="K533" s="1" t="str">
        <f t="shared" si="51"/>
        <v xml:space="preserve">AND ZDEPOSIT='000530000778437' </v>
      </c>
      <c r="L533" s="1" t="str">
        <f t="shared" si="52"/>
        <v>WHEN CEMPRESA='89' AND CBALCAO='0000' AND CNUMECTA='00008046566' AND ZDEPOSIT='000530000778437' THEN 1</v>
      </c>
      <c r="M533" s="1" t="str">
        <f t="shared" si="53"/>
        <v>WHEN CEMPRESA='89' AND CBALCAO='0000' AND CNUMECTA='00008046566' AND ZDEPOSIT='000530000778437' THEN 'A.2.5.'</v>
      </c>
    </row>
    <row r="534" spans="2:13" x14ac:dyDescent="0.25">
      <c r="B534" s="1" t="s">
        <v>45</v>
      </c>
      <c r="C534" s="1" t="s">
        <v>46</v>
      </c>
      <c r="D534" s="1" t="s">
        <v>748</v>
      </c>
      <c r="E534" s="1" t="s">
        <v>48</v>
      </c>
      <c r="F534" s="1">
        <v>1</v>
      </c>
      <c r="G534" s="1" t="s">
        <v>76</v>
      </c>
      <c r="H534" s="1" t="str">
        <f t="shared" si="48"/>
        <v xml:space="preserve">CEMPRESA='31' </v>
      </c>
      <c r="I534" s="1" t="str">
        <f t="shared" si="49"/>
        <v xml:space="preserve">AND CBALCAO='0003' </v>
      </c>
      <c r="J534" s="1" t="str">
        <f t="shared" si="50"/>
        <v xml:space="preserve">AND CNUMECTA='18606226097' </v>
      </c>
      <c r="K534" s="1" t="str">
        <f t="shared" si="51"/>
        <v xml:space="preserve">AND ZDEPOSIT='000000000000000' </v>
      </c>
      <c r="L534" s="1" t="str">
        <f t="shared" si="52"/>
        <v>WHEN CEMPRESA='31' AND CBALCAO='0003' AND CNUMECTA='18606226097' AND ZDEPOSIT='000000000000000' THEN 1</v>
      </c>
      <c r="M534" s="1" t="str">
        <f t="shared" si="53"/>
        <v>WHEN CEMPRESA='31' AND CBALCAO='0003' AND CNUMECTA='18606226097' AND ZDEPOSIT='000000000000000' THEN 'A.7.7.'</v>
      </c>
    </row>
    <row r="535" spans="2:13" x14ac:dyDescent="0.25">
      <c r="B535" s="1" t="s">
        <v>45</v>
      </c>
      <c r="C535" s="1" t="s">
        <v>46</v>
      </c>
      <c r="D535" s="1" t="s">
        <v>749</v>
      </c>
      <c r="E535" s="1" t="s">
        <v>48</v>
      </c>
      <c r="F535" s="1">
        <v>1</v>
      </c>
      <c r="G535" s="1" t="s">
        <v>60</v>
      </c>
      <c r="H535" s="1" t="str">
        <f t="shared" si="48"/>
        <v xml:space="preserve">CEMPRESA='31' </v>
      </c>
      <c r="I535" s="1" t="str">
        <f t="shared" si="49"/>
        <v xml:space="preserve">AND CBALCAO='0003' </v>
      </c>
      <c r="J535" s="1" t="str">
        <f t="shared" si="50"/>
        <v xml:space="preserve">AND CNUMECTA='20722335096' </v>
      </c>
      <c r="K535" s="1" t="str">
        <f t="shared" si="51"/>
        <v xml:space="preserve">AND ZDEPOSIT='000000000000000' </v>
      </c>
      <c r="L535" s="1" t="str">
        <f t="shared" si="52"/>
        <v>WHEN CEMPRESA='31' AND CBALCAO='0003' AND CNUMECTA='20722335096' AND ZDEPOSIT='000000000000000' THEN 1</v>
      </c>
      <c r="M535" s="1" t="str">
        <f t="shared" si="53"/>
        <v>WHEN CEMPRESA='31' AND CBALCAO='0003' AND CNUMECTA='20722335096' AND ZDEPOSIT='000000000000000' THEN 'A.3.7.'</v>
      </c>
    </row>
    <row r="536" spans="2:13" x14ac:dyDescent="0.25">
      <c r="B536" s="1" t="s">
        <v>45</v>
      </c>
      <c r="C536" s="1" t="s">
        <v>46</v>
      </c>
      <c r="D536" s="1" t="s">
        <v>750</v>
      </c>
      <c r="E536" s="1" t="s">
        <v>48</v>
      </c>
      <c r="F536" s="1">
        <v>1</v>
      </c>
      <c r="G536" s="1" t="s">
        <v>60</v>
      </c>
      <c r="H536" s="1" t="str">
        <f t="shared" si="48"/>
        <v xml:space="preserve">CEMPRESA='31' </v>
      </c>
      <c r="I536" s="1" t="str">
        <f t="shared" si="49"/>
        <v xml:space="preserve">AND CBALCAO='0003' </v>
      </c>
      <c r="J536" s="1" t="str">
        <f t="shared" si="50"/>
        <v xml:space="preserve">AND CNUMECTA='20721469096' </v>
      </c>
      <c r="K536" s="1" t="str">
        <f t="shared" si="51"/>
        <v xml:space="preserve">AND ZDEPOSIT='000000000000000' </v>
      </c>
      <c r="L536" s="1" t="str">
        <f t="shared" si="52"/>
        <v>WHEN CEMPRESA='31' AND CBALCAO='0003' AND CNUMECTA='20721469096' AND ZDEPOSIT='000000000000000' THEN 1</v>
      </c>
      <c r="M536" s="1" t="str">
        <f t="shared" si="53"/>
        <v>WHEN CEMPRESA='31' AND CBALCAO='0003' AND CNUMECTA='20721469096' AND ZDEPOSIT='000000000000000' THEN 'A.3.7.'</v>
      </c>
    </row>
    <row r="537" spans="2:13" x14ac:dyDescent="0.25">
      <c r="B537" s="1" t="s">
        <v>45</v>
      </c>
      <c r="C537" s="1" t="s">
        <v>114</v>
      </c>
      <c r="D537" s="1" t="s">
        <v>115</v>
      </c>
      <c r="E537" s="1" t="s">
        <v>751</v>
      </c>
      <c r="F537" s="1">
        <v>1</v>
      </c>
      <c r="G537" s="1" t="s">
        <v>117</v>
      </c>
      <c r="H537" s="1" t="str">
        <f t="shared" si="48"/>
        <v xml:space="preserve">CEMPRESA='31' </v>
      </c>
      <c r="I537" s="1" t="str">
        <f t="shared" si="49"/>
        <v xml:space="preserve">AND CBALCAO='6416' </v>
      </c>
      <c r="J537" s="1" t="str">
        <f t="shared" si="50"/>
        <v xml:space="preserve">AND CNUMECTA='00000001085' </v>
      </c>
      <c r="K537" s="1" t="str">
        <f t="shared" si="51"/>
        <v xml:space="preserve">AND ZDEPOSIT='PC0652833000000' </v>
      </c>
      <c r="L537" s="1" t="str">
        <f t="shared" si="52"/>
        <v>WHEN CEMPRESA='31' AND CBALCAO='6416' AND CNUMECTA='00000001085' AND ZDEPOSIT='PC0652833000000' THEN 1</v>
      </c>
      <c r="M537" s="1" t="str">
        <f t="shared" si="53"/>
        <v>WHEN CEMPRESA='31' AND CBALCAO='6416' AND CNUMECTA='00000001085' AND ZDEPOSIT='PC0652833000000' THEN 'Sustainability Linked Finance - Default'</v>
      </c>
    </row>
    <row r="538" spans="2:13" x14ac:dyDescent="0.25">
      <c r="B538" s="1" t="s">
        <v>45</v>
      </c>
      <c r="C538" s="1" t="s">
        <v>46</v>
      </c>
      <c r="D538" s="1" t="s">
        <v>752</v>
      </c>
      <c r="E538" s="1" t="s">
        <v>48</v>
      </c>
      <c r="F538" s="1">
        <v>1</v>
      </c>
      <c r="G538" s="1" t="s">
        <v>60</v>
      </c>
      <c r="H538" s="1" t="str">
        <f t="shared" si="48"/>
        <v xml:space="preserve">CEMPRESA='31' </v>
      </c>
      <c r="I538" s="1" t="str">
        <f t="shared" si="49"/>
        <v xml:space="preserve">AND CBALCAO='0003' </v>
      </c>
      <c r="J538" s="1" t="str">
        <f t="shared" si="50"/>
        <v xml:space="preserve">AND CNUMECTA='20564000096' </v>
      </c>
      <c r="K538" s="1" t="str">
        <f t="shared" si="51"/>
        <v xml:space="preserve">AND ZDEPOSIT='000000000000000' </v>
      </c>
      <c r="L538" s="1" t="str">
        <f t="shared" si="52"/>
        <v>WHEN CEMPRESA='31' AND CBALCAO='0003' AND CNUMECTA='20564000096' AND ZDEPOSIT='000000000000000' THEN 1</v>
      </c>
      <c r="M538" s="1" t="str">
        <f t="shared" si="53"/>
        <v>WHEN CEMPRESA='31' AND CBALCAO='0003' AND CNUMECTA='20564000096' AND ZDEPOSIT='000000000000000' THEN 'A.3.7.'</v>
      </c>
    </row>
    <row r="539" spans="2:13" x14ac:dyDescent="0.25">
      <c r="B539" s="1" t="s">
        <v>54</v>
      </c>
      <c r="C539" s="1" t="s">
        <v>55</v>
      </c>
      <c r="D539" s="1" t="s">
        <v>753</v>
      </c>
      <c r="E539" s="1" t="s">
        <v>754</v>
      </c>
      <c r="F539" s="1">
        <v>1</v>
      </c>
      <c r="G539" s="1" t="s">
        <v>58</v>
      </c>
      <c r="H539" s="1" t="str">
        <f t="shared" si="48"/>
        <v xml:space="preserve">CEMPRESA='89' </v>
      </c>
      <c r="I539" s="1" t="str">
        <f t="shared" si="49"/>
        <v xml:space="preserve">AND CBALCAO='0000' </v>
      </c>
      <c r="J539" s="1" t="str">
        <f t="shared" si="50"/>
        <v xml:space="preserve">AND CNUMECTA='00000250375' </v>
      </c>
      <c r="K539" s="1" t="str">
        <f t="shared" si="51"/>
        <v xml:space="preserve">AND ZDEPOSIT='000450000593526' </v>
      </c>
      <c r="L539" s="1" t="str">
        <f t="shared" si="52"/>
        <v>WHEN CEMPRESA='89' AND CBALCAO='0000' AND CNUMECTA='00000250375' AND ZDEPOSIT='000450000593526' THEN 1</v>
      </c>
      <c r="M539" s="1" t="str">
        <f t="shared" si="53"/>
        <v>WHEN CEMPRESA='89' AND CBALCAO='0000' AND CNUMECTA='00000250375' AND ZDEPOSIT='000450000593526' THEN 'A.2.5.'</v>
      </c>
    </row>
    <row r="540" spans="2:13" x14ac:dyDescent="0.25">
      <c r="B540" s="1" t="s">
        <v>45</v>
      </c>
      <c r="C540" s="1" t="s">
        <v>46</v>
      </c>
      <c r="D540" s="1" t="s">
        <v>755</v>
      </c>
      <c r="E540" s="1" t="s">
        <v>48</v>
      </c>
      <c r="F540" s="1">
        <v>1</v>
      </c>
      <c r="G540" s="1" t="s">
        <v>76</v>
      </c>
      <c r="H540" s="1" t="str">
        <f t="shared" si="48"/>
        <v xml:space="preserve">CEMPRESA='31' </v>
      </c>
      <c r="I540" s="1" t="str">
        <f t="shared" si="49"/>
        <v xml:space="preserve">AND CBALCAO='0003' </v>
      </c>
      <c r="J540" s="1" t="str">
        <f t="shared" si="50"/>
        <v xml:space="preserve">AND CNUMECTA='18614501097' </v>
      </c>
      <c r="K540" s="1" t="str">
        <f t="shared" si="51"/>
        <v xml:space="preserve">AND ZDEPOSIT='000000000000000' </v>
      </c>
      <c r="L540" s="1" t="str">
        <f t="shared" si="52"/>
        <v>WHEN CEMPRESA='31' AND CBALCAO='0003' AND CNUMECTA='18614501097' AND ZDEPOSIT='000000000000000' THEN 1</v>
      </c>
      <c r="M540" s="1" t="str">
        <f t="shared" si="53"/>
        <v>WHEN CEMPRESA='31' AND CBALCAO='0003' AND CNUMECTA='18614501097' AND ZDEPOSIT='000000000000000' THEN 'A.7.7.'</v>
      </c>
    </row>
    <row r="541" spans="2:13" x14ac:dyDescent="0.25">
      <c r="B541" s="1" t="s">
        <v>45</v>
      </c>
      <c r="C541" s="1" t="s">
        <v>46</v>
      </c>
      <c r="D541" s="1" t="s">
        <v>756</v>
      </c>
      <c r="E541" s="1" t="s">
        <v>48</v>
      </c>
      <c r="F541" s="1">
        <v>1</v>
      </c>
      <c r="G541" s="1" t="s">
        <v>60</v>
      </c>
      <c r="H541" s="1" t="str">
        <f t="shared" si="48"/>
        <v xml:space="preserve">CEMPRESA='31' </v>
      </c>
      <c r="I541" s="1" t="str">
        <f t="shared" si="49"/>
        <v xml:space="preserve">AND CBALCAO='0003' </v>
      </c>
      <c r="J541" s="1" t="str">
        <f t="shared" si="50"/>
        <v xml:space="preserve">AND CNUMECTA='20630140096' </v>
      </c>
      <c r="K541" s="1" t="str">
        <f t="shared" si="51"/>
        <v xml:space="preserve">AND ZDEPOSIT='000000000000000' </v>
      </c>
      <c r="L541" s="1" t="str">
        <f t="shared" si="52"/>
        <v>WHEN CEMPRESA='31' AND CBALCAO='0003' AND CNUMECTA='20630140096' AND ZDEPOSIT='000000000000000' THEN 1</v>
      </c>
      <c r="M541" s="1" t="str">
        <f t="shared" si="53"/>
        <v>WHEN CEMPRESA='31' AND CBALCAO='0003' AND CNUMECTA='20630140096' AND ZDEPOSIT='000000000000000' THEN 'A.3.7.'</v>
      </c>
    </row>
    <row r="542" spans="2:13" x14ac:dyDescent="0.25">
      <c r="B542" s="1" t="s">
        <v>45</v>
      </c>
      <c r="C542" s="1" t="s">
        <v>46</v>
      </c>
      <c r="D542" s="1" t="s">
        <v>757</v>
      </c>
      <c r="E542" s="1" t="s">
        <v>48</v>
      </c>
      <c r="F542" s="1">
        <v>1</v>
      </c>
      <c r="G542" s="1" t="s">
        <v>51</v>
      </c>
      <c r="H542" s="1" t="str">
        <f t="shared" si="48"/>
        <v xml:space="preserve">CEMPRESA='31' </v>
      </c>
      <c r="I542" s="1" t="str">
        <f t="shared" si="49"/>
        <v xml:space="preserve">AND CBALCAO='0003' </v>
      </c>
      <c r="J542" s="1" t="str">
        <f t="shared" si="50"/>
        <v xml:space="preserve">AND CNUMECTA='20430269096' </v>
      </c>
      <c r="K542" s="1" t="str">
        <f t="shared" si="51"/>
        <v xml:space="preserve">AND ZDEPOSIT='000000000000000' </v>
      </c>
      <c r="L542" s="1" t="str">
        <f t="shared" si="52"/>
        <v>WHEN CEMPRESA='31' AND CBALCAO='0003' AND CNUMECTA='20430269096' AND ZDEPOSIT='000000000000000' THEN 1</v>
      </c>
      <c r="M542" s="1" t="str">
        <f t="shared" si="53"/>
        <v>WHEN CEMPRESA='31' AND CBALCAO='0003' AND CNUMECTA='20430269096' AND ZDEPOSIT='000000000000000' THEN 'B.1.'</v>
      </c>
    </row>
    <row r="543" spans="2:13" x14ac:dyDescent="0.25">
      <c r="B543" s="1" t="s">
        <v>54</v>
      </c>
      <c r="C543" s="1" t="s">
        <v>55</v>
      </c>
      <c r="D543" s="1" t="s">
        <v>758</v>
      </c>
      <c r="E543" s="1" t="s">
        <v>759</v>
      </c>
      <c r="F543" s="1">
        <v>1</v>
      </c>
      <c r="G543" s="1" t="s">
        <v>58</v>
      </c>
      <c r="H543" s="1" t="str">
        <f t="shared" si="48"/>
        <v xml:space="preserve">CEMPRESA='89' </v>
      </c>
      <c r="I543" s="1" t="str">
        <f t="shared" si="49"/>
        <v xml:space="preserve">AND CBALCAO='0000' </v>
      </c>
      <c r="J543" s="1" t="str">
        <f t="shared" si="50"/>
        <v xml:space="preserve">AND CNUMECTA='00008046576' </v>
      </c>
      <c r="K543" s="1" t="str">
        <f t="shared" si="51"/>
        <v xml:space="preserve">AND ZDEPOSIT='000530000778633' </v>
      </c>
      <c r="L543" s="1" t="str">
        <f t="shared" si="52"/>
        <v>WHEN CEMPRESA='89' AND CBALCAO='0000' AND CNUMECTA='00008046576' AND ZDEPOSIT='000530000778633' THEN 1</v>
      </c>
      <c r="M543" s="1" t="str">
        <f t="shared" si="53"/>
        <v>WHEN CEMPRESA='89' AND CBALCAO='0000' AND CNUMECTA='00008046576' AND ZDEPOSIT='000530000778633' THEN 'A.2.5.'</v>
      </c>
    </row>
    <row r="544" spans="2:13" x14ac:dyDescent="0.25">
      <c r="B544" s="1" t="s">
        <v>45</v>
      </c>
      <c r="C544" s="1" t="s">
        <v>46</v>
      </c>
      <c r="D544" s="1" t="s">
        <v>760</v>
      </c>
      <c r="E544" s="1" t="s">
        <v>48</v>
      </c>
      <c r="F544" s="1">
        <v>1</v>
      </c>
      <c r="G544" s="1" t="s">
        <v>60</v>
      </c>
      <c r="H544" s="1" t="str">
        <f t="shared" si="48"/>
        <v xml:space="preserve">CEMPRESA='31' </v>
      </c>
      <c r="I544" s="1" t="str">
        <f t="shared" si="49"/>
        <v xml:space="preserve">AND CBALCAO='0003' </v>
      </c>
      <c r="J544" s="1" t="str">
        <f t="shared" si="50"/>
        <v xml:space="preserve">AND CNUMECTA='20436720096' </v>
      </c>
      <c r="K544" s="1" t="str">
        <f t="shared" si="51"/>
        <v xml:space="preserve">AND ZDEPOSIT='000000000000000' </v>
      </c>
      <c r="L544" s="1" t="str">
        <f t="shared" si="52"/>
        <v>WHEN CEMPRESA='31' AND CBALCAO='0003' AND CNUMECTA='20436720096' AND ZDEPOSIT='000000000000000' THEN 1</v>
      </c>
      <c r="M544" s="1" t="str">
        <f t="shared" si="53"/>
        <v>WHEN CEMPRESA='31' AND CBALCAO='0003' AND CNUMECTA='20436720096' AND ZDEPOSIT='000000000000000' THEN 'A.3.7.'</v>
      </c>
    </row>
    <row r="545" spans="2:13" x14ac:dyDescent="0.25">
      <c r="B545" s="1" t="s">
        <v>45</v>
      </c>
      <c r="C545" s="1" t="s">
        <v>46</v>
      </c>
      <c r="D545" s="1" t="s">
        <v>761</v>
      </c>
      <c r="E545" s="1" t="s">
        <v>48</v>
      </c>
      <c r="F545" s="1">
        <v>1</v>
      </c>
      <c r="G545" s="1" t="s">
        <v>60</v>
      </c>
      <c r="H545" s="1" t="str">
        <f t="shared" si="48"/>
        <v xml:space="preserve">CEMPRESA='31' </v>
      </c>
      <c r="I545" s="1" t="str">
        <f t="shared" si="49"/>
        <v xml:space="preserve">AND CBALCAO='0003' </v>
      </c>
      <c r="J545" s="1" t="str">
        <f t="shared" si="50"/>
        <v xml:space="preserve">AND CNUMECTA='20724364096' </v>
      </c>
      <c r="K545" s="1" t="str">
        <f t="shared" si="51"/>
        <v xml:space="preserve">AND ZDEPOSIT='000000000000000' </v>
      </c>
      <c r="L545" s="1" t="str">
        <f t="shared" si="52"/>
        <v>WHEN CEMPRESA='31' AND CBALCAO='0003' AND CNUMECTA='20724364096' AND ZDEPOSIT='000000000000000' THEN 1</v>
      </c>
      <c r="M545" s="1" t="str">
        <f t="shared" si="53"/>
        <v>WHEN CEMPRESA='31' AND CBALCAO='0003' AND CNUMECTA='20724364096' AND ZDEPOSIT='000000000000000' THEN 'A.3.7.'</v>
      </c>
    </row>
    <row r="546" spans="2:13" x14ac:dyDescent="0.25">
      <c r="B546" s="1" t="s">
        <v>45</v>
      </c>
      <c r="C546" s="1" t="s">
        <v>46</v>
      </c>
      <c r="D546" s="1" t="s">
        <v>762</v>
      </c>
      <c r="E546" s="1" t="s">
        <v>48</v>
      </c>
      <c r="F546" s="1">
        <v>1</v>
      </c>
      <c r="G546" s="1" t="s">
        <v>60</v>
      </c>
      <c r="H546" s="1" t="str">
        <f t="shared" si="48"/>
        <v xml:space="preserve">CEMPRESA='31' </v>
      </c>
      <c r="I546" s="1" t="str">
        <f t="shared" si="49"/>
        <v xml:space="preserve">AND CBALCAO='0003' </v>
      </c>
      <c r="J546" s="1" t="str">
        <f t="shared" si="50"/>
        <v xml:space="preserve">AND CNUMECTA='20629001096' </v>
      </c>
      <c r="K546" s="1" t="str">
        <f t="shared" si="51"/>
        <v xml:space="preserve">AND ZDEPOSIT='000000000000000' </v>
      </c>
      <c r="L546" s="1" t="str">
        <f t="shared" si="52"/>
        <v>WHEN CEMPRESA='31' AND CBALCAO='0003' AND CNUMECTA='20629001096' AND ZDEPOSIT='000000000000000' THEN 1</v>
      </c>
      <c r="M546" s="1" t="str">
        <f t="shared" si="53"/>
        <v>WHEN CEMPRESA='31' AND CBALCAO='0003' AND CNUMECTA='20629001096' AND ZDEPOSIT='000000000000000' THEN 'A.3.7.'</v>
      </c>
    </row>
    <row r="547" spans="2:13" x14ac:dyDescent="0.25">
      <c r="B547" s="1" t="s">
        <v>45</v>
      </c>
      <c r="C547" s="1" t="s">
        <v>46</v>
      </c>
      <c r="D547" s="1" t="s">
        <v>763</v>
      </c>
      <c r="E547" s="1" t="s">
        <v>48</v>
      </c>
      <c r="F547" s="1">
        <v>1</v>
      </c>
      <c r="G547" s="1" t="s">
        <v>60</v>
      </c>
      <c r="H547" s="1" t="str">
        <f t="shared" si="48"/>
        <v xml:space="preserve">CEMPRESA='31' </v>
      </c>
      <c r="I547" s="1" t="str">
        <f t="shared" si="49"/>
        <v xml:space="preserve">AND CBALCAO='0003' </v>
      </c>
      <c r="J547" s="1" t="str">
        <f t="shared" si="50"/>
        <v xml:space="preserve">AND CNUMECTA='20692884096' </v>
      </c>
      <c r="K547" s="1" t="str">
        <f t="shared" si="51"/>
        <v xml:space="preserve">AND ZDEPOSIT='000000000000000' </v>
      </c>
      <c r="L547" s="1" t="str">
        <f t="shared" si="52"/>
        <v>WHEN CEMPRESA='31' AND CBALCAO='0003' AND CNUMECTA='20692884096' AND ZDEPOSIT='000000000000000' THEN 1</v>
      </c>
      <c r="M547" s="1" t="str">
        <f t="shared" si="53"/>
        <v>WHEN CEMPRESA='31' AND CBALCAO='0003' AND CNUMECTA='20692884096' AND ZDEPOSIT='000000000000000' THEN 'A.3.7.'</v>
      </c>
    </row>
    <row r="548" spans="2:13" x14ac:dyDescent="0.25">
      <c r="B548" s="1" t="s">
        <v>45</v>
      </c>
      <c r="C548" s="1" t="s">
        <v>46</v>
      </c>
      <c r="D548" s="1" t="s">
        <v>764</v>
      </c>
      <c r="E548" s="1" t="s">
        <v>48</v>
      </c>
      <c r="F548" s="1">
        <v>1</v>
      </c>
      <c r="G548" s="1" t="s">
        <v>60</v>
      </c>
      <c r="H548" s="1" t="str">
        <f t="shared" si="48"/>
        <v xml:space="preserve">CEMPRESA='31' </v>
      </c>
      <c r="I548" s="1" t="str">
        <f t="shared" si="49"/>
        <v xml:space="preserve">AND CBALCAO='0003' </v>
      </c>
      <c r="J548" s="1" t="str">
        <f t="shared" si="50"/>
        <v xml:space="preserve">AND CNUMECTA='20705603096' </v>
      </c>
      <c r="K548" s="1" t="str">
        <f t="shared" si="51"/>
        <v xml:space="preserve">AND ZDEPOSIT='000000000000000' </v>
      </c>
      <c r="L548" s="1" t="str">
        <f t="shared" si="52"/>
        <v>WHEN CEMPRESA='31' AND CBALCAO='0003' AND CNUMECTA='20705603096' AND ZDEPOSIT='000000000000000' THEN 1</v>
      </c>
      <c r="M548" s="1" t="str">
        <f t="shared" si="53"/>
        <v>WHEN CEMPRESA='31' AND CBALCAO='0003' AND CNUMECTA='20705603096' AND ZDEPOSIT='000000000000000' THEN 'A.3.7.'</v>
      </c>
    </row>
    <row r="549" spans="2:13" x14ac:dyDescent="0.25">
      <c r="B549" s="1" t="s">
        <v>45</v>
      </c>
      <c r="C549" s="1" t="s">
        <v>46</v>
      </c>
      <c r="D549" s="1" t="s">
        <v>765</v>
      </c>
      <c r="E549" s="1" t="s">
        <v>48</v>
      </c>
      <c r="F549" s="1">
        <v>1</v>
      </c>
      <c r="G549" s="1" t="s">
        <v>60</v>
      </c>
      <c r="H549" s="1" t="str">
        <f t="shared" si="48"/>
        <v xml:space="preserve">CEMPRESA='31' </v>
      </c>
      <c r="I549" s="1" t="str">
        <f t="shared" si="49"/>
        <v xml:space="preserve">AND CBALCAO='0003' </v>
      </c>
      <c r="J549" s="1" t="str">
        <f t="shared" si="50"/>
        <v xml:space="preserve">AND CNUMECTA='20447115096' </v>
      </c>
      <c r="K549" s="1" t="str">
        <f t="shared" si="51"/>
        <v xml:space="preserve">AND ZDEPOSIT='000000000000000' </v>
      </c>
      <c r="L549" s="1" t="str">
        <f t="shared" si="52"/>
        <v>WHEN CEMPRESA='31' AND CBALCAO='0003' AND CNUMECTA='20447115096' AND ZDEPOSIT='000000000000000' THEN 1</v>
      </c>
      <c r="M549" s="1" t="str">
        <f t="shared" si="53"/>
        <v>WHEN CEMPRESA='31' AND CBALCAO='0003' AND CNUMECTA='20447115096' AND ZDEPOSIT='000000000000000' THEN 'A.3.7.'</v>
      </c>
    </row>
    <row r="550" spans="2:13" x14ac:dyDescent="0.25">
      <c r="B550" s="1" t="s">
        <v>45</v>
      </c>
      <c r="C550" s="1" t="s">
        <v>46</v>
      </c>
      <c r="D550" s="1" t="s">
        <v>766</v>
      </c>
      <c r="E550" s="1" t="s">
        <v>48</v>
      </c>
      <c r="F550" s="1">
        <v>1</v>
      </c>
      <c r="G550" s="1" t="s">
        <v>60</v>
      </c>
      <c r="H550" s="1" t="str">
        <f t="shared" si="48"/>
        <v xml:space="preserve">CEMPRESA='31' </v>
      </c>
      <c r="I550" s="1" t="str">
        <f t="shared" si="49"/>
        <v xml:space="preserve">AND CBALCAO='0003' </v>
      </c>
      <c r="J550" s="1" t="str">
        <f t="shared" si="50"/>
        <v xml:space="preserve">AND CNUMECTA='20477104096' </v>
      </c>
      <c r="K550" s="1" t="str">
        <f t="shared" si="51"/>
        <v xml:space="preserve">AND ZDEPOSIT='000000000000000' </v>
      </c>
      <c r="L550" s="1" t="str">
        <f t="shared" si="52"/>
        <v>WHEN CEMPRESA='31' AND CBALCAO='0003' AND CNUMECTA='20477104096' AND ZDEPOSIT='000000000000000' THEN 1</v>
      </c>
      <c r="M550" s="1" t="str">
        <f t="shared" si="53"/>
        <v>WHEN CEMPRESA='31' AND CBALCAO='0003' AND CNUMECTA='20477104096' AND ZDEPOSIT='000000000000000' THEN 'A.3.7.'</v>
      </c>
    </row>
    <row r="551" spans="2:13" x14ac:dyDescent="0.25">
      <c r="B551" s="1" t="s">
        <v>45</v>
      </c>
      <c r="C551" s="1" t="s">
        <v>46</v>
      </c>
      <c r="D551" s="1" t="s">
        <v>767</v>
      </c>
      <c r="E551" s="1" t="s">
        <v>48</v>
      </c>
      <c r="F551" s="1">
        <v>1</v>
      </c>
      <c r="G551" s="1" t="s">
        <v>60</v>
      </c>
      <c r="H551" s="1" t="str">
        <f t="shared" si="48"/>
        <v xml:space="preserve">CEMPRESA='31' </v>
      </c>
      <c r="I551" s="1" t="str">
        <f t="shared" si="49"/>
        <v xml:space="preserve">AND CBALCAO='0003' </v>
      </c>
      <c r="J551" s="1" t="str">
        <f t="shared" si="50"/>
        <v xml:space="preserve">AND CNUMECTA='20504410096' </v>
      </c>
      <c r="K551" s="1" t="str">
        <f t="shared" si="51"/>
        <v xml:space="preserve">AND ZDEPOSIT='000000000000000' </v>
      </c>
      <c r="L551" s="1" t="str">
        <f t="shared" si="52"/>
        <v>WHEN CEMPRESA='31' AND CBALCAO='0003' AND CNUMECTA='20504410096' AND ZDEPOSIT='000000000000000' THEN 1</v>
      </c>
      <c r="M551" s="1" t="str">
        <f t="shared" si="53"/>
        <v>WHEN CEMPRESA='31' AND CBALCAO='0003' AND CNUMECTA='20504410096' AND ZDEPOSIT='000000000000000' THEN 'A.3.7.'</v>
      </c>
    </row>
    <row r="552" spans="2:13" x14ac:dyDescent="0.25">
      <c r="B552" s="1" t="s">
        <v>54</v>
      </c>
      <c r="C552" s="1" t="s">
        <v>55</v>
      </c>
      <c r="D552" s="1" t="s">
        <v>768</v>
      </c>
      <c r="E552" s="1" t="s">
        <v>769</v>
      </c>
      <c r="F552" s="1">
        <v>1</v>
      </c>
      <c r="G552" s="1" t="s">
        <v>58</v>
      </c>
      <c r="H552" s="1" t="str">
        <f t="shared" si="48"/>
        <v xml:space="preserve">CEMPRESA='89' </v>
      </c>
      <c r="I552" s="1" t="str">
        <f t="shared" si="49"/>
        <v xml:space="preserve">AND CBALCAO='0000' </v>
      </c>
      <c r="J552" s="1" t="str">
        <f t="shared" si="50"/>
        <v xml:space="preserve">AND CNUMECTA='00000250216' </v>
      </c>
      <c r="K552" s="1" t="str">
        <f t="shared" si="51"/>
        <v xml:space="preserve">AND ZDEPOSIT='000450000693152' </v>
      </c>
      <c r="L552" s="1" t="str">
        <f t="shared" si="52"/>
        <v>WHEN CEMPRESA='89' AND CBALCAO='0000' AND CNUMECTA='00000250216' AND ZDEPOSIT='000450000693152' THEN 1</v>
      </c>
      <c r="M552" s="1" t="str">
        <f t="shared" si="53"/>
        <v>WHEN CEMPRESA='89' AND CBALCAO='0000' AND CNUMECTA='00000250216' AND ZDEPOSIT='000450000693152' THEN 'A.2.5.'</v>
      </c>
    </row>
    <row r="553" spans="2:13" x14ac:dyDescent="0.25">
      <c r="B553" s="1" t="s">
        <v>45</v>
      </c>
      <c r="C553" s="1" t="s">
        <v>46</v>
      </c>
      <c r="D553" s="1" t="s">
        <v>770</v>
      </c>
      <c r="E553" s="1" t="s">
        <v>48</v>
      </c>
      <c r="F553" s="1">
        <v>1</v>
      </c>
      <c r="G553" s="1" t="s">
        <v>60</v>
      </c>
      <c r="H553" s="1" t="str">
        <f t="shared" si="48"/>
        <v xml:space="preserve">CEMPRESA='31' </v>
      </c>
      <c r="I553" s="1" t="str">
        <f t="shared" si="49"/>
        <v xml:space="preserve">AND CBALCAO='0003' </v>
      </c>
      <c r="J553" s="1" t="str">
        <f t="shared" si="50"/>
        <v xml:space="preserve">AND CNUMECTA='20477070096' </v>
      </c>
      <c r="K553" s="1" t="str">
        <f t="shared" si="51"/>
        <v xml:space="preserve">AND ZDEPOSIT='000000000000000' </v>
      </c>
      <c r="L553" s="1" t="str">
        <f t="shared" si="52"/>
        <v>WHEN CEMPRESA='31' AND CBALCAO='0003' AND CNUMECTA='20477070096' AND ZDEPOSIT='000000000000000' THEN 1</v>
      </c>
      <c r="M553" s="1" t="str">
        <f t="shared" si="53"/>
        <v>WHEN CEMPRESA='31' AND CBALCAO='0003' AND CNUMECTA='20477070096' AND ZDEPOSIT='000000000000000' THEN 'A.3.7.'</v>
      </c>
    </row>
    <row r="554" spans="2:13" x14ac:dyDescent="0.25">
      <c r="B554" s="1" t="s">
        <v>45</v>
      </c>
      <c r="C554" s="1" t="s">
        <v>46</v>
      </c>
      <c r="D554" s="1" t="s">
        <v>771</v>
      </c>
      <c r="E554" s="1" t="s">
        <v>48</v>
      </c>
      <c r="F554" s="1">
        <v>1</v>
      </c>
      <c r="G554" s="1" t="s">
        <v>60</v>
      </c>
      <c r="H554" s="1" t="str">
        <f t="shared" si="48"/>
        <v xml:space="preserve">CEMPRESA='31' </v>
      </c>
      <c r="I554" s="1" t="str">
        <f t="shared" si="49"/>
        <v xml:space="preserve">AND CBALCAO='0003' </v>
      </c>
      <c r="J554" s="1" t="str">
        <f t="shared" si="50"/>
        <v xml:space="preserve">AND CNUMECTA='20575246096' </v>
      </c>
      <c r="K554" s="1" t="str">
        <f t="shared" si="51"/>
        <v xml:space="preserve">AND ZDEPOSIT='000000000000000' </v>
      </c>
      <c r="L554" s="1" t="str">
        <f t="shared" si="52"/>
        <v>WHEN CEMPRESA='31' AND CBALCAO='0003' AND CNUMECTA='20575246096' AND ZDEPOSIT='000000000000000' THEN 1</v>
      </c>
      <c r="M554" s="1" t="str">
        <f t="shared" si="53"/>
        <v>WHEN CEMPRESA='31' AND CBALCAO='0003' AND CNUMECTA='20575246096' AND ZDEPOSIT='000000000000000' THEN 'A.3.7.'</v>
      </c>
    </row>
    <row r="555" spans="2:13" x14ac:dyDescent="0.25">
      <c r="B555" s="1" t="s">
        <v>54</v>
      </c>
      <c r="C555" s="1" t="s">
        <v>55</v>
      </c>
      <c r="D555" s="1" t="s">
        <v>772</v>
      </c>
      <c r="E555" s="1" t="s">
        <v>773</v>
      </c>
      <c r="F555" s="1">
        <v>1</v>
      </c>
      <c r="G555" s="1" t="s">
        <v>58</v>
      </c>
      <c r="H555" s="1" t="str">
        <f t="shared" si="48"/>
        <v xml:space="preserve">CEMPRESA='89' </v>
      </c>
      <c r="I555" s="1" t="str">
        <f t="shared" si="49"/>
        <v xml:space="preserve">AND CBALCAO='0000' </v>
      </c>
      <c r="J555" s="1" t="str">
        <f t="shared" si="50"/>
        <v xml:space="preserve">AND CNUMECTA='00000249035' </v>
      </c>
      <c r="K555" s="1" t="str">
        <f t="shared" si="51"/>
        <v xml:space="preserve">AND ZDEPOSIT='000450000757852' </v>
      </c>
      <c r="L555" s="1" t="str">
        <f t="shared" si="52"/>
        <v>WHEN CEMPRESA='89' AND CBALCAO='0000' AND CNUMECTA='00000249035' AND ZDEPOSIT='000450000757852' THEN 1</v>
      </c>
      <c r="M555" s="1" t="str">
        <f t="shared" si="53"/>
        <v>WHEN CEMPRESA='89' AND CBALCAO='0000' AND CNUMECTA='00000249035' AND ZDEPOSIT='000450000757852' THEN 'A.2.5.'</v>
      </c>
    </row>
    <row r="556" spans="2:13" x14ac:dyDescent="0.25">
      <c r="B556" s="1" t="s">
        <v>54</v>
      </c>
      <c r="C556" s="1" t="s">
        <v>55</v>
      </c>
      <c r="D556" s="1" t="s">
        <v>774</v>
      </c>
      <c r="E556" s="1" t="s">
        <v>155</v>
      </c>
      <c r="F556" s="1">
        <v>1</v>
      </c>
      <c r="G556" s="1" t="s">
        <v>58</v>
      </c>
      <c r="H556" s="1" t="str">
        <f t="shared" si="48"/>
        <v xml:space="preserve">CEMPRESA='89' </v>
      </c>
      <c r="I556" s="1" t="str">
        <f t="shared" si="49"/>
        <v xml:space="preserve">AND CBALCAO='0000' </v>
      </c>
      <c r="J556" s="1" t="str">
        <f t="shared" si="50"/>
        <v xml:space="preserve">AND CNUMECTA='00000250398' </v>
      </c>
      <c r="K556" s="1" t="str">
        <f t="shared" si="51"/>
        <v xml:space="preserve">AND ZDEPOSIT='000450000479263' </v>
      </c>
      <c r="L556" s="1" t="str">
        <f t="shared" si="52"/>
        <v>WHEN CEMPRESA='89' AND CBALCAO='0000' AND CNUMECTA='00000250398' AND ZDEPOSIT='000450000479263' THEN 1</v>
      </c>
      <c r="M556" s="1" t="str">
        <f t="shared" si="53"/>
        <v>WHEN CEMPRESA='89' AND CBALCAO='0000' AND CNUMECTA='00000250398' AND ZDEPOSIT='000450000479263' THEN 'A.2.5.'</v>
      </c>
    </row>
    <row r="557" spans="2:13" x14ac:dyDescent="0.25">
      <c r="B557" s="1" t="s">
        <v>45</v>
      </c>
      <c r="C557" s="1" t="s">
        <v>46</v>
      </c>
      <c r="D557" s="1" t="s">
        <v>775</v>
      </c>
      <c r="E557" s="1" t="s">
        <v>48</v>
      </c>
      <c r="F557" s="1">
        <v>1</v>
      </c>
      <c r="G557" s="1" t="s">
        <v>60</v>
      </c>
      <c r="H557" s="1" t="str">
        <f t="shared" si="48"/>
        <v xml:space="preserve">CEMPRESA='31' </v>
      </c>
      <c r="I557" s="1" t="str">
        <f t="shared" si="49"/>
        <v xml:space="preserve">AND CBALCAO='0003' </v>
      </c>
      <c r="J557" s="1" t="str">
        <f t="shared" si="50"/>
        <v xml:space="preserve">AND CNUMECTA='20540588096' </v>
      </c>
      <c r="K557" s="1" t="str">
        <f t="shared" si="51"/>
        <v xml:space="preserve">AND ZDEPOSIT='000000000000000' </v>
      </c>
      <c r="L557" s="1" t="str">
        <f t="shared" si="52"/>
        <v>WHEN CEMPRESA='31' AND CBALCAO='0003' AND CNUMECTA='20540588096' AND ZDEPOSIT='000000000000000' THEN 1</v>
      </c>
      <c r="M557" s="1" t="str">
        <f t="shared" si="53"/>
        <v>WHEN CEMPRESA='31' AND CBALCAO='0003' AND CNUMECTA='20540588096' AND ZDEPOSIT='000000000000000' THEN 'A.3.7.'</v>
      </c>
    </row>
    <row r="558" spans="2:13" x14ac:dyDescent="0.25">
      <c r="B558" s="1" t="s">
        <v>45</v>
      </c>
      <c r="C558" s="1" t="s">
        <v>46</v>
      </c>
      <c r="D558" s="1" t="s">
        <v>776</v>
      </c>
      <c r="E558" s="1" t="s">
        <v>48</v>
      </c>
      <c r="F558" s="1">
        <v>1</v>
      </c>
      <c r="G558" s="1" t="s">
        <v>76</v>
      </c>
      <c r="H558" s="1" t="str">
        <f t="shared" si="48"/>
        <v xml:space="preserve">CEMPRESA='31' </v>
      </c>
      <c r="I558" s="1" t="str">
        <f t="shared" si="49"/>
        <v xml:space="preserve">AND CBALCAO='0003' </v>
      </c>
      <c r="J558" s="1" t="str">
        <f t="shared" si="50"/>
        <v xml:space="preserve">AND CNUMECTA='18610376097' </v>
      </c>
      <c r="K558" s="1" t="str">
        <f t="shared" si="51"/>
        <v xml:space="preserve">AND ZDEPOSIT='000000000000000' </v>
      </c>
      <c r="L558" s="1" t="str">
        <f t="shared" si="52"/>
        <v>WHEN CEMPRESA='31' AND CBALCAO='0003' AND CNUMECTA='18610376097' AND ZDEPOSIT='000000000000000' THEN 1</v>
      </c>
      <c r="M558" s="1" t="str">
        <f t="shared" si="53"/>
        <v>WHEN CEMPRESA='31' AND CBALCAO='0003' AND CNUMECTA='18610376097' AND ZDEPOSIT='000000000000000' THEN 'A.7.7.'</v>
      </c>
    </row>
    <row r="559" spans="2:13" x14ac:dyDescent="0.25">
      <c r="B559" s="1" t="s">
        <v>45</v>
      </c>
      <c r="C559" s="1" t="s">
        <v>46</v>
      </c>
      <c r="D559" s="1" t="s">
        <v>777</v>
      </c>
      <c r="E559" s="1" t="s">
        <v>48</v>
      </c>
      <c r="F559" s="1">
        <v>1</v>
      </c>
      <c r="G559" s="1" t="s">
        <v>60</v>
      </c>
      <c r="H559" s="1" t="str">
        <f t="shared" si="48"/>
        <v xml:space="preserve">CEMPRESA='31' </v>
      </c>
      <c r="I559" s="1" t="str">
        <f t="shared" si="49"/>
        <v xml:space="preserve">AND CBALCAO='0003' </v>
      </c>
      <c r="J559" s="1" t="str">
        <f t="shared" si="50"/>
        <v xml:space="preserve">AND CNUMECTA='20519087096' </v>
      </c>
      <c r="K559" s="1" t="str">
        <f t="shared" si="51"/>
        <v xml:space="preserve">AND ZDEPOSIT='000000000000000' </v>
      </c>
      <c r="L559" s="1" t="str">
        <f t="shared" si="52"/>
        <v>WHEN CEMPRESA='31' AND CBALCAO='0003' AND CNUMECTA='20519087096' AND ZDEPOSIT='000000000000000' THEN 1</v>
      </c>
      <c r="M559" s="1" t="str">
        <f t="shared" si="53"/>
        <v>WHEN CEMPRESA='31' AND CBALCAO='0003' AND CNUMECTA='20519087096' AND ZDEPOSIT='000000000000000' THEN 'A.3.7.'</v>
      </c>
    </row>
    <row r="560" spans="2:13" x14ac:dyDescent="0.25">
      <c r="B560" s="1" t="s">
        <v>45</v>
      </c>
      <c r="C560" s="1" t="s">
        <v>46</v>
      </c>
      <c r="D560" s="1" t="s">
        <v>778</v>
      </c>
      <c r="E560" s="1" t="s">
        <v>48</v>
      </c>
      <c r="F560" s="1">
        <v>1</v>
      </c>
      <c r="G560" s="1" t="s">
        <v>60</v>
      </c>
      <c r="H560" s="1" t="str">
        <f t="shared" si="48"/>
        <v xml:space="preserve">CEMPRESA='31' </v>
      </c>
      <c r="I560" s="1" t="str">
        <f t="shared" si="49"/>
        <v xml:space="preserve">AND CBALCAO='0003' </v>
      </c>
      <c r="J560" s="1" t="str">
        <f t="shared" si="50"/>
        <v xml:space="preserve">AND CNUMECTA='20513528096' </v>
      </c>
      <c r="K560" s="1" t="str">
        <f t="shared" si="51"/>
        <v xml:space="preserve">AND ZDEPOSIT='000000000000000' </v>
      </c>
      <c r="L560" s="1" t="str">
        <f t="shared" si="52"/>
        <v>WHEN CEMPRESA='31' AND CBALCAO='0003' AND CNUMECTA='20513528096' AND ZDEPOSIT='000000000000000' THEN 1</v>
      </c>
      <c r="M560" s="1" t="str">
        <f t="shared" si="53"/>
        <v>WHEN CEMPRESA='31' AND CBALCAO='0003' AND CNUMECTA='20513528096' AND ZDEPOSIT='000000000000000' THEN 'A.3.7.'</v>
      </c>
    </row>
    <row r="561" spans="2:13" x14ac:dyDescent="0.25">
      <c r="B561" s="1" t="s">
        <v>45</v>
      </c>
      <c r="C561" s="1" t="s">
        <v>46</v>
      </c>
      <c r="D561" s="1" t="s">
        <v>779</v>
      </c>
      <c r="E561" s="1" t="s">
        <v>48</v>
      </c>
      <c r="F561" s="1">
        <v>1</v>
      </c>
      <c r="G561" s="1" t="s">
        <v>60</v>
      </c>
      <c r="H561" s="1" t="str">
        <f t="shared" si="48"/>
        <v xml:space="preserve">CEMPRESA='31' </v>
      </c>
      <c r="I561" s="1" t="str">
        <f t="shared" si="49"/>
        <v xml:space="preserve">AND CBALCAO='0003' </v>
      </c>
      <c r="J561" s="1" t="str">
        <f t="shared" si="50"/>
        <v xml:space="preserve">AND CNUMECTA='20410469096' </v>
      </c>
      <c r="K561" s="1" t="str">
        <f t="shared" si="51"/>
        <v xml:space="preserve">AND ZDEPOSIT='000000000000000' </v>
      </c>
      <c r="L561" s="1" t="str">
        <f t="shared" si="52"/>
        <v>WHEN CEMPRESA='31' AND CBALCAO='0003' AND CNUMECTA='20410469096' AND ZDEPOSIT='000000000000000' THEN 1</v>
      </c>
      <c r="M561" s="1" t="str">
        <f t="shared" si="53"/>
        <v>WHEN CEMPRESA='31' AND CBALCAO='0003' AND CNUMECTA='20410469096' AND ZDEPOSIT='000000000000000' THEN 'A.3.7.'</v>
      </c>
    </row>
    <row r="562" spans="2:13" x14ac:dyDescent="0.25">
      <c r="B562" s="1" t="s">
        <v>45</v>
      </c>
      <c r="C562" s="1" t="s">
        <v>46</v>
      </c>
      <c r="D562" s="1" t="s">
        <v>780</v>
      </c>
      <c r="E562" s="1" t="s">
        <v>48</v>
      </c>
      <c r="F562" s="1">
        <v>1</v>
      </c>
      <c r="G562" s="1" t="s">
        <v>60</v>
      </c>
      <c r="H562" s="1" t="str">
        <f t="shared" si="48"/>
        <v xml:space="preserve">CEMPRESA='31' </v>
      </c>
      <c r="I562" s="1" t="str">
        <f t="shared" si="49"/>
        <v xml:space="preserve">AND CBALCAO='0003' </v>
      </c>
      <c r="J562" s="1" t="str">
        <f t="shared" si="50"/>
        <v xml:space="preserve">AND CNUMECTA='20709480096' </v>
      </c>
      <c r="K562" s="1" t="str">
        <f t="shared" si="51"/>
        <v xml:space="preserve">AND ZDEPOSIT='000000000000000' </v>
      </c>
      <c r="L562" s="1" t="str">
        <f t="shared" si="52"/>
        <v>WHEN CEMPRESA='31' AND CBALCAO='0003' AND CNUMECTA='20709480096' AND ZDEPOSIT='000000000000000' THEN 1</v>
      </c>
      <c r="M562" s="1" t="str">
        <f t="shared" si="53"/>
        <v>WHEN CEMPRESA='31' AND CBALCAO='0003' AND CNUMECTA='20709480096' AND ZDEPOSIT='000000000000000' THEN 'A.3.7.'</v>
      </c>
    </row>
    <row r="563" spans="2:13" x14ac:dyDescent="0.25">
      <c r="B563" s="1" t="s">
        <v>45</v>
      </c>
      <c r="C563" s="1" t="s">
        <v>46</v>
      </c>
      <c r="D563" s="1" t="s">
        <v>781</v>
      </c>
      <c r="E563" s="1" t="s">
        <v>48</v>
      </c>
      <c r="F563" s="1">
        <v>1</v>
      </c>
      <c r="G563" s="1" t="s">
        <v>60</v>
      </c>
      <c r="H563" s="1" t="str">
        <f t="shared" si="48"/>
        <v xml:space="preserve">CEMPRESA='31' </v>
      </c>
      <c r="I563" s="1" t="str">
        <f t="shared" si="49"/>
        <v xml:space="preserve">AND CBALCAO='0003' </v>
      </c>
      <c r="J563" s="1" t="str">
        <f t="shared" si="50"/>
        <v xml:space="preserve">AND CNUMECTA='20507355096' </v>
      </c>
      <c r="K563" s="1" t="str">
        <f t="shared" si="51"/>
        <v xml:space="preserve">AND ZDEPOSIT='000000000000000' </v>
      </c>
      <c r="L563" s="1" t="str">
        <f t="shared" si="52"/>
        <v>WHEN CEMPRESA='31' AND CBALCAO='0003' AND CNUMECTA='20507355096' AND ZDEPOSIT='000000000000000' THEN 1</v>
      </c>
      <c r="M563" s="1" t="str">
        <f t="shared" si="53"/>
        <v>WHEN CEMPRESA='31' AND CBALCAO='0003' AND CNUMECTA='20507355096' AND ZDEPOSIT='000000000000000' THEN 'A.3.7.'</v>
      </c>
    </row>
    <row r="564" spans="2:13" x14ac:dyDescent="0.25">
      <c r="B564" s="1" t="s">
        <v>54</v>
      </c>
      <c r="C564" s="1" t="s">
        <v>55</v>
      </c>
      <c r="D564" s="1" t="s">
        <v>782</v>
      </c>
      <c r="E564" s="1" t="s">
        <v>783</v>
      </c>
      <c r="F564" s="1">
        <v>1</v>
      </c>
      <c r="G564" s="1" t="s">
        <v>58</v>
      </c>
      <c r="H564" s="1" t="str">
        <f t="shared" si="48"/>
        <v xml:space="preserve">CEMPRESA='89' </v>
      </c>
      <c r="I564" s="1" t="str">
        <f t="shared" si="49"/>
        <v xml:space="preserve">AND CBALCAO='0000' </v>
      </c>
      <c r="J564" s="1" t="str">
        <f t="shared" si="50"/>
        <v xml:space="preserve">AND CNUMECTA='00008046590' </v>
      </c>
      <c r="K564" s="1" t="str">
        <f t="shared" si="51"/>
        <v xml:space="preserve">AND ZDEPOSIT='000530000778327' </v>
      </c>
      <c r="L564" s="1" t="str">
        <f t="shared" si="52"/>
        <v>WHEN CEMPRESA='89' AND CBALCAO='0000' AND CNUMECTA='00008046590' AND ZDEPOSIT='000530000778327' THEN 1</v>
      </c>
      <c r="M564" s="1" t="str">
        <f t="shared" si="53"/>
        <v>WHEN CEMPRESA='89' AND CBALCAO='0000' AND CNUMECTA='00008046590' AND ZDEPOSIT='000530000778327' THEN 'A.2.5.'</v>
      </c>
    </row>
    <row r="565" spans="2:13" x14ac:dyDescent="0.25">
      <c r="B565" s="1" t="s">
        <v>45</v>
      </c>
      <c r="C565" s="1" t="s">
        <v>46</v>
      </c>
      <c r="D565" s="1" t="s">
        <v>784</v>
      </c>
      <c r="E565" s="1" t="s">
        <v>48</v>
      </c>
      <c r="F565" s="1">
        <v>1</v>
      </c>
      <c r="G565" s="1" t="s">
        <v>60</v>
      </c>
      <c r="H565" s="1" t="str">
        <f t="shared" si="48"/>
        <v xml:space="preserve">CEMPRESA='31' </v>
      </c>
      <c r="I565" s="1" t="str">
        <f t="shared" si="49"/>
        <v xml:space="preserve">AND CBALCAO='0003' </v>
      </c>
      <c r="J565" s="1" t="str">
        <f t="shared" si="50"/>
        <v xml:space="preserve">AND CNUMECTA='20717962096' </v>
      </c>
      <c r="K565" s="1" t="str">
        <f t="shared" si="51"/>
        <v xml:space="preserve">AND ZDEPOSIT='000000000000000' </v>
      </c>
      <c r="L565" s="1" t="str">
        <f t="shared" si="52"/>
        <v>WHEN CEMPRESA='31' AND CBALCAO='0003' AND CNUMECTA='20717962096' AND ZDEPOSIT='000000000000000' THEN 1</v>
      </c>
      <c r="M565" s="1" t="str">
        <f t="shared" si="53"/>
        <v>WHEN CEMPRESA='31' AND CBALCAO='0003' AND CNUMECTA='20717962096' AND ZDEPOSIT='000000000000000' THEN 'A.3.7.'</v>
      </c>
    </row>
    <row r="566" spans="2:13" x14ac:dyDescent="0.25">
      <c r="B566" s="1" t="s">
        <v>45</v>
      </c>
      <c r="C566" s="1" t="s">
        <v>46</v>
      </c>
      <c r="D566" s="1" t="s">
        <v>785</v>
      </c>
      <c r="E566" s="1" t="s">
        <v>48</v>
      </c>
      <c r="F566" s="1">
        <v>1</v>
      </c>
      <c r="G566" s="1" t="s">
        <v>60</v>
      </c>
      <c r="H566" s="1" t="str">
        <f t="shared" si="48"/>
        <v xml:space="preserve">CEMPRESA='31' </v>
      </c>
      <c r="I566" s="1" t="str">
        <f t="shared" si="49"/>
        <v xml:space="preserve">AND CBALCAO='0003' </v>
      </c>
      <c r="J566" s="1" t="str">
        <f t="shared" si="50"/>
        <v xml:space="preserve">AND CNUMECTA='20455837096' </v>
      </c>
      <c r="K566" s="1" t="str">
        <f t="shared" si="51"/>
        <v xml:space="preserve">AND ZDEPOSIT='000000000000000' </v>
      </c>
      <c r="L566" s="1" t="str">
        <f t="shared" si="52"/>
        <v>WHEN CEMPRESA='31' AND CBALCAO='0003' AND CNUMECTA='20455837096' AND ZDEPOSIT='000000000000000' THEN 1</v>
      </c>
      <c r="M566" s="1" t="str">
        <f t="shared" si="53"/>
        <v>WHEN CEMPRESA='31' AND CBALCAO='0003' AND CNUMECTA='20455837096' AND ZDEPOSIT='000000000000000' THEN 'A.3.7.'</v>
      </c>
    </row>
    <row r="567" spans="2:13" x14ac:dyDescent="0.25">
      <c r="B567" s="1" t="s">
        <v>45</v>
      </c>
      <c r="C567" s="1" t="s">
        <v>46</v>
      </c>
      <c r="D567" s="1" t="s">
        <v>786</v>
      </c>
      <c r="E567" s="1" t="s">
        <v>48</v>
      </c>
      <c r="F567" s="1">
        <v>1</v>
      </c>
      <c r="G567" s="1" t="s">
        <v>209</v>
      </c>
      <c r="H567" s="1" t="str">
        <f t="shared" si="48"/>
        <v xml:space="preserve">CEMPRESA='31' </v>
      </c>
      <c r="I567" s="1" t="str">
        <f t="shared" si="49"/>
        <v xml:space="preserve">AND CBALCAO='0003' </v>
      </c>
      <c r="J567" s="1" t="str">
        <f t="shared" si="50"/>
        <v xml:space="preserve">AND CNUMECTA='20417563096' </v>
      </c>
      <c r="K567" s="1" t="str">
        <f t="shared" si="51"/>
        <v xml:space="preserve">AND ZDEPOSIT='000000000000000' </v>
      </c>
      <c r="L567" s="1" t="str">
        <f t="shared" si="52"/>
        <v>WHEN CEMPRESA='31' AND CBALCAO='0003' AND CNUMECTA='20417563096' AND ZDEPOSIT='000000000000000' THEN 1</v>
      </c>
      <c r="M567" s="1" t="str">
        <f t="shared" si="53"/>
        <v>WHEN CEMPRESA='31' AND CBALCAO='0003' AND CNUMECTA='20417563096' AND ZDEPOSIT='000000000000000' THEN 'A.3.1.'</v>
      </c>
    </row>
    <row r="568" spans="2:13" x14ac:dyDescent="0.25">
      <c r="B568" s="1" t="s">
        <v>54</v>
      </c>
      <c r="C568" s="1" t="s">
        <v>55</v>
      </c>
      <c r="D568" s="1" t="s">
        <v>787</v>
      </c>
      <c r="E568" s="1" t="s">
        <v>788</v>
      </c>
      <c r="F568" s="1">
        <v>1</v>
      </c>
      <c r="G568" s="1" t="s">
        <v>58</v>
      </c>
      <c r="H568" s="1" t="str">
        <f t="shared" si="48"/>
        <v xml:space="preserve">CEMPRESA='89' </v>
      </c>
      <c r="I568" s="1" t="str">
        <f t="shared" si="49"/>
        <v xml:space="preserve">AND CBALCAO='0000' </v>
      </c>
      <c r="J568" s="1" t="str">
        <f t="shared" si="50"/>
        <v xml:space="preserve">AND CNUMECTA='00000250236' </v>
      </c>
      <c r="K568" s="1" t="str">
        <f t="shared" si="51"/>
        <v xml:space="preserve">AND ZDEPOSIT='000450000777267' </v>
      </c>
      <c r="L568" s="1" t="str">
        <f t="shared" si="52"/>
        <v>WHEN CEMPRESA='89' AND CBALCAO='0000' AND CNUMECTA='00000250236' AND ZDEPOSIT='000450000777267' THEN 1</v>
      </c>
      <c r="M568" s="1" t="str">
        <f t="shared" si="53"/>
        <v>WHEN CEMPRESA='89' AND CBALCAO='0000' AND CNUMECTA='00000250236' AND ZDEPOSIT='000450000777267' THEN 'A.2.5.'</v>
      </c>
    </row>
    <row r="569" spans="2:13" x14ac:dyDescent="0.25">
      <c r="B569" s="1" t="s">
        <v>45</v>
      </c>
      <c r="C569" s="1" t="s">
        <v>46</v>
      </c>
      <c r="D569" s="1" t="s">
        <v>789</v>
      </c>
      <c r="E569" s="1" t="s">
        <v>48</v>
      </c>
      <c r="F569" s="1">
        <v>1</v>
      </c>
      <c r="G569" s="1" t="s">
        <v>51</v>
      </c>
      <c r="H569" s="1" t="str">
        <f t="shared" si="48"/>
        <v xml:space="preserve">CEMPRESA='31' </v>
      </c>
      <c r="I569" s="1" t="str">
        <f t="shared" si="49"/>
        <v xml:space="preserve">AND CBALCAO='0003' </v>
      </c>
      <c r="J569" s="1" t="str">
        <f t="shared" si="50"/>
        <v xml:space="preserve">AND CNUMECTA='20710751096' </v>
      </c>
      <c r="K569" s="1" t="str">
        <f t="shared" si="51"/>
        <v xml:space="preserve">AND ZDEPOSIT='000000000000000' </v>
      </c>
      <c r="L569" s="1" t="str">
        <f t="shared" si="52"/>
        <v>WHEN CEMPRESA='31' AND CBALCAO='0003' AND CNUMECTA='20710751096' AND ZDEPOSIT='000000000000000' THEN 1</v>
      </c>
      <c r="M569" s="1" t="str">
        <f t="shared" si="53"/>
        <v>WHEN CEMPRESA='31' AND CBALCAO='0003' AND CNUMECTA='20710751096' AND ZDEPOSIT='000000000000000' THEN 'B.1.'</v>
      </c>
    </row>
    <row r="570" spans="2:13" x14ac:dyDescent="0.25">
      <c r="B570" s="1" t="s">
        <v>45</v>
      </c>
      <c r="C570" s="1" t="s">
        <v>46</v>
      </c>
      <c r="D570" s="1" t="s">
        <v>790</v>
      </c>
      <c r="E570" s="1" t="s">
        <v>48</v>
      </c>
      <c r="F570" s="1">
        <v>1</v>
      </c>
      <c r="G570" s="1" t="s">
        <v>60</v>
      </c>
      <c r="H570" s="1" t="str">
        <f t="shared" si="48"/>
        <v xml:space="preserve">CEMPRESA='31' </v>
      </c>
      <c r="I570" s="1" t="str">
        <f t="shared" si="49"/>
        <v xml:space="preserve">AND CBALCAO='0003' </v>
      </c>
      <c r="J570" s="1" t="str">
        <f t="shared" si="50"/>
        <v xml:space="preserve">AND CNUMECTA='20619036096' </v>
      </c>
      <c r="K570" s="1" t="str">
        <f t="shared" si="51"/>
        <v xml:space="preserve">AND ZDEPOSIT='000000000000000' </v>
      </c>
      <c r="L570" s="1" t="str">
        <f t="shared" si="52"/>
        <v>WHEN CEMPRESA='31' AND CBALCAO='0003' AND CNUMECTA='20619036096' AND ZDEPOSIT='000000000000000' THEN 1</v>
      </c>
      <c r="M570" s="1" t="str">
        <f t="shared" si="53"/>
        <v>WHEN CEMPRESA='31' AND CBALCAO='0003' AND CNUMECTA='20619036096' AND ZDEPOSIT='000000000000000' THEN 'A.3.7.'</v>
      </c>
    </row>
    <row r="571" spans="2:13" x14ac:dyDescent="0.25">
      <c r="B571" s="1" t="s">
        <v>45</v>
      </c>
      <c r="C571" s="1" t="s">
        <v>46</v>
      </c>
      <c r="D571" s="1" t="s">
        <v>791</v>
      </c>
      <c r="E571" s="1" t="s">
        <v>48</v>
      </c>
      <c r="F571" s="1">
        <v>1</v>
      </c>
      <c r="G571" s="1" t="s">
        <v>60</v>
      </c>
      <c r="H571" s="1" t="str">
        <f t="shared" si="48"/>
        <v xml:space="preserve">CEMPRESA='31' </v>
      </c>
      <c r="I571" s="1" t="str">
        <f t="shared" si="49"/>
        <v xml:space="preserve">AND CBALCAO='0003' </v>
      </c>
      <c r="J571" s="1" t="str">
        <f t="shared" si="50"/>
        <v xml:space="preserve">AND CNUMECTA='20604624096' </v>
      </c>
      <c r="K571" s="1" t="str">
        <f t="shared" si="51"/>
        <v xml:space="preserve">AND ZDEPOSIT='000000000000000' </v>
      </c>
      <c r="L571" s="1" t="str">
        <f t="shared" si="52"/>
        <v>WHEN CEMPRESA='31' AND CBALCAO='0003' AND CNUMECTA='20604624096' AND ZDEPOSIT='000000000000000' THEN 1</v>
      </c>
      <c r="M571" s="1" t="str">
        <f t="shared" si="53"/>
        <v>WHEN CEMPRESA='31' AND CBALCAO='0003' AND CNUMECTA='20604624096' AND ZDEPOSIT='000000000000000' THEN 'A.3.7.'</v>
      </c>
    </row>
    <row r="572" spans="2:13" x14ac:dyDescent="0.25">
      <c r="B572" s="1" t="s">
        <v>45</v>
      </c>
      <c r="C572" s="1" t="s">
        <v>46</v>
      </c>
      <c r="D572" s="1" t="s">
        <v>792</v>
      </c>
      <c r="E572" s="1" t="s">
        <v>48</v>
      </c>
      <c r="F572" s="1">
        <v>1</v>
      </c>
      <c r="G572" s="1" t="s">
        <v>60</v>
      </c>
      <c r="H572" s="1" t="str">
        <f t="shared" si="48"/>
        <v xml:space="preserve">CEMPRESA='31' </v>
      </c>
      <c r="I572" s="1" t="str">
        <f t="shared" si="49"/>
        <v xml:space="preserve">AND CBALCAO='0003' </v>
      </c>
      <c r="J572" s="1" t="str">
        <f t="shared" si="50"/>
        <v xml:space="preserve">AND CNUMECTA='20745146096' </v>
      </c>
      <c r="K572" s="1" t="str">
        <f t="shared" si="51"/>
        <v xml:space="preserve">AND ZDEPOSIT='000000000000000' </v>
      </c>
      <c r="L572" s="1" t="str">
        <f t="shared" si="52"/>
        <v>WHEN CEMPRESA='31' AND CBALCAO='0003' AND CNUMECTA='20745146096' AND ZDEPOSIT='000000000000000' THEN 1</v>
      </c>
      <c r="M572" s="1" t="str">
        <f t="shared" si="53"/>
        <v>WHEN CEMPRESA='31' AND CBALCAO='0003' AND CNUMECTA='20745146096' AND ZDEPOSIT='000000000000000' THEN 'A.3.7.'</v>
      </c>
    </row>
    <row r="573" spans="2:13" x14ac:dyDescent="0.25">
      <c r="B573" s="1" t="s">
        <v>45</v>
      </c>
      <c r="C573" s="1" t="s">
        <v>46</v>
      </c>
      <c r="D573" s="1" t="s">
        <v>793</v>
      </c>
      <c r="E573" s="1" t="s">
        <v>48</v>
      </c>
      <c r="F573" s="1">
        <v>1</v>
      </c>
      <c r="G573" s="1" t="s">
        <v>60</v>
      </c>
      <c r="H573" s="1" t="str">
        <f t="shared" si="48"/>
        <v xml:space="preserve">CEMPRESA='31' </v>
      </c>
      <c r="I573" s="1" t="str">
        <f t="shared" si="49"/>
        <v xml:space="preserve">AND CBALCAO='0003' </v>
      </c>
      <c r="J573" s="1" t="str">
        <f t="shared" si="50"/>
        <v xml:space="preserve">AND CNUMECTA='20524145096' </v>
      </c>
      <c r="K573" s="1" t="str">
        <f t="shared" si="51"/>
        <v xml:space="preserve">AND ZDEPOSIT='000000000000000' </v>
      </c>
      <c r="L573" s="1" t="str">
        <f t="shared" si="52"/>
        <v>WHEN CEMPRESA='31' AND CBALCAO='0003' AND CNUMECTA='20524145096' AND ZDEPOSIT='000000000000000' THEN 1</v>
      </c>
      <c r="M573" s="1" t="str">
        <f t="shared" si="53"/>
        <v>WHEN CEMPRESA='31' AND CBALCAO='0003' AND CNUMECTA='20524145096' AND ZDEPOSIT='000000000000000' THEN 'A.3.7.'</v>
      </c>
    </row>
    <row r="574" spans="2:13" x14ac:dyDescent="0.25">
      <c r="B574" s="1" t="s">
        <v>45</v>
      </c>
      <c r="C574" s="1" t="s">
        <v>46</v>
      </c>
      <c r="D574" s="1" t="s">
        <v>794</v>
      </c>
      <c r="E574" s="1" t="s">
        <v>48</v>
      </c>
      <c r="F574" s="1">
        <v>1</v>
      </c>
      <c r="G574" s="1" t="s">
        <v>60</v>
      </c>
      <c r="H574" s="1" t="str">
        <f t="shared" si="48"/>
        <v xml:space="preserve">CEMPRESA='31' </v>
      </c>
      <c r="I574" s="1" t="str">
        <f t="shared" si="49"/>
        <v xml:space="preserve">AND CBALCAO='0003' </v>
      </c>
      <c r="J574" s="1" t="str">
        <f t="shared" si="50"/>
        <v xml:space="preserve">AND CNUMECTA='20703012096' </v>
      </c>
      <c r="K574" s="1" t="str">
        <f t="shared" si="51"/>
        <v xml:space="preserve">AND ZDEPOSIT='000000000000000' </v>
      </c>
      <c r="L574" s="1" t="str">
        <f t="shared" si="52"/>
        <v>WHEN CEMPRESA='31' AND CBALCAO='0003' AND CNUMECTA='20703012096' AND ZDEPOSIT='000000000000000' THEN 1</v>
      </c>
      <c r="M574" s="1" t="str">
        <f t="shared" si="53"/>
        <v>WHEN CEMPRESA='31' AND CBALCAO='0003' AND CNUMECTA='20703012096' AND ZDEPOSIT='000000000000000' THEN 'A.3.7.'</v>
      </c>
    </row>
    <row r="575" spans="2:13" x14ac:dyDescent="0.25">
      <c r="B575" s="1" t="s">
        <v>45</v>
      </c>
      <c r="C575" s="1" t="s">
        <v>46</v>
      </c>
      <c r="D575" s="1" t="s">
        <v>795</v>
      </c>
      <c r="E575" s="1" t="s">
        <v>48</v>
      </c>
      <c r="F575" s="1">
        <v>1</v>
      </c>
      <c r="G575" s="1" t="s">
        <v>60</v>
      </c>
      <c r="H575" s="1" t="str">
        <f t="shared" si="48"/>
        <v xml:space="preserve">CEMPRESA='31' </v>
      </c>
      <c r="I575" s="1" t="str">
        <f t="shared" si="49"/>
        <v xml:space="preserve">AND CBALCAO='0003' </v>
      </c>
      <c r="J575" s="1" t="str">
        <f t="shared" si="50"/>
        <v xml:space="preserve">AND CNUMECTA='20440375096' </v>
      </c>
      <c r="K575" s="1" t="str">
        <f t="shared" si="51"/>
        <v xml:space="preserve">AND ZDEPOSIT='000000000000000' </v>
      </c>
      <c r="L575" s="1" t="str">
        <f t="shared" si="52"/>
        <v>WHEN CEMPRESA='31' AND CBALCAO='0003' AND CNUMECTA='20440375096' AND ZDEPOSIT='000000000000000' THEN 1</v>
      </c>
      <c r="M575" s="1" t="str">
        <f t="shared" si="53"/>
        <v>WHEN CEMPRESA='31' AND CBALCAO='0003' AND CNUMECTA='20440375096' AND ZDEPOSIT='000000000000000' THEN 'A.3.7.'</v>
      </c>
    </row>
    <row r="576" spans="2:13" x14ac:dyDescent="0.25">
      <c r="B576" s="1" t="s">
        <v>45</v>
      </c>
      <c r="C576" s="1" t="s">
        <v>46</v>
      </c>
      <c r="D576" s="1" t="s">
        <v>796</v>
      </c>
      <c r="E576" s="1" t="s">
        <v>48</v>
      </c>
      <c r="F576" s="1">
        <v>1</v>
      </c>
      <c r="G576" s="1" t="s">
        <v>60</v>
      </c>
      <c r="H576" s="1" t="str">
        <f t="shared" si="48"/>
        <v xml:space="preserve">CEMPRESA='31' </v>
      </c>
      <c r="I576" s="1" t="str">
        <f t="shared" si="49"/>
        <v xml:space="preserve">AND CBALCAO='0003' </v>
      </c>
      <c r="J576" s="1" t="str">
        <f t="shared" si="50"/>
        <v xml:space="preserve">AND CNUMECTA='20417258096' </v>
      </c>
      <c r="K576" s="1" t="str">
        <f t="shared" si="51"/>
        <v xml:space="preserve">AND ZDEPOSIT='000000000000000' </v>
      </c>
      <c r="L576" s="1" t="str">
        <f t="shared" si="52"/>
        <v>WHEN CEMPRESA='31' AND CBALCAO='0003' AND CNUMECTA='20417258096' AND ZDEPOSIT='000000000000000' THEN 1</v>
      </c>
      <c r="M576" s="1" t="str">
        <f t="shared" si="53"/>
        <v>WHEN CEMPRESA='31' AND CBALCAO='0003' AND CNUMECTA='20417258096' AND ZDEPOSIT='000000000000000' THEN 'A.3.7.'</v>
      </c>
    </row>
    <row r="577" spans="2:13" x14ac:dyDescent="0.25">
      <c r="B577" s="1" t="s">
        <v>45</v>
      </c>
      <c r="C577" s="1" t="s">
        <v>46</v>
      </c>
      <c r="D577" s="1" t="s">
        <v>797</v>
      </c>
      <c r="E577" s="1" t="s">
        <v>48</v>
      </c>
      <c r="F577" s="1">
        <v>1</v>
      </c>
      <c r="G577" s="1" t="s">
        <v>60</v>
      </c>
      <c r="H577" s="1" t="str">
        <f t="shared" si="48"/>
        <v xml:space="preserve">CEMPRESA='31' </v>
      </c>
      <c r="I577" s="1" t="str">
        <f t="shared" si="49"/>
        <v xml:space="preserve">AND CBALCAO='0003' </v>
      </c>
      <c r="J577" s="1" t="str">
        <f t="shared" si="50"/>
        <v xml:space="preserve">AND CNUMECTA='20456157096' </v>
      </c>
      <c r="K577" s="1" t="str">
        <f t="shared" si="51"/>
        <v xml:space="preserve">AND ZDEPOSIT='000000000000000' </v>
      </c>
      <c r="L577" s="1" t="str">
        <f t="shared" si="52"/>
        <v>WHEN CEMPRESA='31' AND CBALCAO='0003' AND CNUMECTA='20456157096' AND ZDEPOSIT='000000000000000' THEN 1</v>
      </c>
      <c r="M577" s="1" t="str">
        <f t="shared" si="53"/>
        <v>WHEN CEMPRESA='31' AND CBALCAO='0003' AND CNUMECTA='20456157096' AND ZDEPOSIT='000000000000000' THEN 'A.3.7.'</v>
      </c>
    </row>
    <row r="578" spans="2:13" x14ac:dyDescent="0.25">
      <c r="B578" s="1" t="s">
        <v>54</v>
      </c>
      <c r="C578" s="1" t="s">
        <v>55</v>
      </c>
      <c r="D578" s="1" t="s">
        <v>798</v>
      </c>
      <c r="E578" s="1" t="s">
        <v>799</v>
      </c>
      <c r="F578" s="1">
        <v>1</v>
      </c>
      <c r="G578" s="1" t="s">
        <v>58</v>
      </c>
      <c r="H578" s="1" t="str">
        <f t="shared" si="48"/>
        <v xml:space="preserve">CEMPRESA='89' </v>
      </c>
      <c r="I578" s="1" t="str">
        <f t="shared" si="49"/>
        <v xml:space="preserve">AND CBALCAO='0000' </v>
      </c>
      <c r="J578" s="1" t="str">
        <f t="shared" si="50"/>
        <v xml:space="preserve">AND CNUMECTA='00000249743' </v>
      </c>
      <c r="K578" s="1" t="str">
        <f t="shared" si="51"/>
        <v xml:space="preserve">AND ZDEPOSIT='000450000470349' </v>
      </c>
      <c r="L578" s="1" t="str">
        <f t="shared" si="52"/>
        <v>WHEN CEMPRESA='89' AND CBALCAO='0000' AND CNUMECTA='00000249743' AND ZDEPOSIT='000450000470349' THEN 1</v>
      </c>
      <c r="M578" s="1" t="str">
        <f t="shared" si="53"/>
        <v>WHEN CEMPRESA='89' AND CBALCAO='0000' AND CNUMECTA='00000249743' AND ZDEPOSIT='000450000470349' THEN 'A.2.5.'</v>
      </c>
    </row>
    <row r="579" spans="2:13" x14ac:dyDescent="0.25">
      <c r="B579" s="1" t="s">
        <v>45</v>
      </c>
      <c r="C579" s="1" t="s">
        <v>46</v>
      </c>
      <c r="D579" s="1" t="s">
        <v>800</v>
      </c>
      <c r="E579" s="1" t="s">
        <v>48</v>
      </c>
      <c r="F579" s="1">
        <v>1</v>
      </c>
      <c r="G579" s="1" t="s">
        <v>60</v>
      </c>
      <c r="H579" s="1" t="str">
        <f t="shared" si="48"/>
        <v xml:space="preserve">CEMPRESA='31' </v>
      </c>
      <c r="I579" s="1" t="str">
        <f t="shared" si="49"/>
        <v xml:space="preserve">AND CBALCAO='0003' </v>
      </c>
      <c r="J579" s="1" t="str">
        <f t="shared" si="50"/>
        <v xml:space="preserve">AND CNUMECTA='20679055096' </v>
      </c>
      <c r="K579" s="1" t="str">
        <f t="shared" si="51"/>
        <v xml:space="preserve">AND ZDEPOSIT='000000000000000' </v>
      </c>
      <c r="L579" s="1" t="str">
        <f t="shared" si="52"/>
        <v>WHEN CEMPRESA='31' AND CBALCAO='0003' AND CNUMECTA='20679055096' AND ZDEPOSIT='000000000000000' THEN 1</v>
      </c>
      <c r="M579" s="1" t="str">
        <f t="shared" si="53"/>
        <v>WHEN CEMPRESA='31' AND CBALCAO='0003' AND CNUMECTA='20679055096' AND ZDEPOSIT='000000000000000' THEN 'A.3.7.'</v>
      </c>
    </row>
    <row r="580" spans="2:13" x14ac:dyDescent="0.25">
      <c r="B580" s="1" t="s">
        <v>54</v>
      </c>
      <c r="C580" s="1" t="s">
        <v>55</v>
      </c>
      <c r="D580" s="1" t="s">
        <v>801</v>
      </c>
      <c r="E580" s="1" t="s">
        <v>802</v>
      </c>
      <c r="F580" s="1">
        <v>1</v>
      </c>
      <c r="G580" s="1" t="s">
        <v>58</v>
      </c>
      <c r="H580" s="1" t="str">
        <f t="shared" ref="H580:H643" si="54">+IF(LEN(TRIM(B580))&gt;0,UPPER($B$2)&amp;"='"&amp;TRIM(B580)&amp;"' ","")</f>
        <v xml:space="preserve">CEMPRESA='89' </v>
      </c>
      <c r="I580" s="1" t="str">
        <f t="shared" ref="I580:I643" si="55">+IF(LEN(TRIM(C580))&gt;0,UPPER($C$2)&amp;"='"&amp;TRIM(C580)&amp;"' ","")</f>
        <v xml:space="preserve">AND CBALCAO='0000' </v>
      </c>
      <c r="J580" s="1" t="str">
        <f t="shared" ref="J580:J643" si="56">+IF(LEN(TRIM(D580))&gt;0,UPPER($D$2)&amp;"='"&amp;TRIM(D580)&amp;"' ","")</f>
        <v xml:space="preserve">AND CNUMECTA='00000250166' </v>
      </c>
      <c r="K580" s="1" t="str">
        <f t="shared" ref="K580:K643" si="57">+IF(LEN(TRIM(E580))&gt;0,UPPER($E$2)&amp;"='"&amp;TRIM(E580)&amp;"' ","")</f>
        <v xml:space="preserve">AND ZDEPOSIT='000450000679140' </v>
      </c>
      <c r="L580" s="1" t="str">
        <f t="shared" ref="L580:L643" si="58">+"WHEN "&amp;H580&amp;I580&amp;J580&amp;K580&amp;"THEN "&amp;F580</f>
        <v>WHEN CEMPRESA='89' AND CBALCAO='0000' AND CNUMECTA='00000250166' AND ZDEPOSIT='000450000679140' THEN 1</v>
      </c>
      <c r="M580" s="1" t="str">
        <f t="shared" ref="M580:M643" si="59">+"WHEN "&amp;H580&amp;I580&amp;J580&amp;K580&amp;"THEN "&amp;G580</f>
        <v>WHEN CEMPRESA='89' AND CBALCAO='0000' AND CNUMECTA='00000250166' AND ZDEPOSIT='000450000679140' THEN 'A.2.5.'</v>
      </c>
    </row>
    <row r="581" spans="2:13" x14ac:dyDescent="0.25">
      <c r="B581" s="1" t="s">
        <v>45</v>
      </c>
      <c r="C581" s="1" t="s">
        <v>46</v>
      </c>
      <c r="D581" s="1" t="s">
        <v>803</v>
      </c>
      <c r="E581" s="1" t="s">
        <v>48</v>
      </c>
      <c r="F581" s="1">
        <v>1</v>
      </c>
      <c r="G581" s="1" t="s">
        <v>76</v>
      </c>
      <c r="H581" s="1" t="str">
        <f t="shared" si="54"/>
        <v xml:space="preserve">CEMPRESA='31' </v>
      </c>
      <c r="I581" s="1" t="str">
        <f t="shared" si="55"/>
        <v xml:space="preserve">AND CBALCAO='0003' </v>
      </c>
      <c r="J581" s="1" t="str">
        <f t="shared" si="56"/>
        <v xml:space="preserve">AND CNUMECTA='18599454097' </v>
      </c>
      <c r="K581" s="1" t="str">
        <f t="shared" si="57"/>
        <v xml:space="preserve">AND ZDEPOSIT='000000000000000' </v>
      </c>
      <c r="L581" s="1" t="str">
        <f t="shared" si="58"/>
        <v>WHEN CEMPRESA='31' AND CBALCAO='0003' AND CNUMECTA='18599454097' AND ZDEPOSIT='000000000000000' THEN 1</v>
      </c>
      <c r="M581" s="1" t="str">
        <f t="shared" si="59"/>
        <v>WHEN CEMPRESA='31' AND CBALCAO='0003' AND CNUMECTA='18599454097' AND ZDEPOSIT='000000000000000' THEN 'A.7.7.'</v>
      </c>
    </row>
    <row r="582" spans="2:13" x14ac:dyDescent="0.25">
      <c r="B582" s="1" t="s">
        <v>45</v>
      </c>
      <c r="C582" s="1" t="s">
        <v>46</v>
      </c>
      <c r="D582" s="1" t="s">
        <v>804</v>
      </c>
      <c r="E582" s="1" t="s">
        <v>48</v>
      </c>
      <c r="F582" s="1">
        <v>1</v>
      </c>
      <c r="G582" s="1" t="s">
        <v>60</v>
      </c>
      <c r="H582" s="1" t="str">
        <f t="shared" si="54"/>
        <v xml:space="preserve">CEMPRESA='31' </v>
      </c>
      <c r="I582" s="1" t="str">
        <f t="shared" si="55"/>
        <v xml:space="preserve">AND CBALCAO='0003' </v>
      </c>
      <c r="J582" s="1" t="str">
        <f t="shared" si="56"/>
        <v xml:space="preserve">AND CNUMECTA='20540786096' </v>
      </c>
      <c r="K582" s="1" t="str">
        <f t="shared" si="57"/>
        <v xml:space="preserve">AND ZDEPOSIT='000000000000000' </v>
      </c>
      <c r="L582" s="1" t="str">
        <f t="shared" si="58"/>
        <v>WHEN CEMPRESA='31' AND CBALCAO='0003' AND CNUMECTA='20540786096' AND ZDEPOSIT='000000000000000' THEN 1</v>
      </c>
      <c r="M582" s="1" t="str">
        <f t="shared" si="59"/>
        <v>WHEN CEMPRESA='31' AND CBALCAO='0003' AND CNUMECTA='20540786096' AND ZDEPOSIT='000000000000000' THEN 'A.3.7.'</v>
      </c>
    </row>
    <row r="583" spans="2:13" x14ac:dyDescent="0.25">
      <c r="B583" s="1" t="s">
        <v>45</v>
      </c>
      <c r="C583" s="1" t="s">
        <v>46</v>
      </c>
      <c r="D583" s="1" t="s">
        <v>805</v>
      </c>
      <c r="E583" s="1" t="s">
        <v>48</v>
      </c>
      <c r="F583" s="1">
        <v>1</v>
      </c>
      <c r="G583" s="1" t="s">
        <v>60</v>
      </c>
      <c r="H583" s="1" t="str">
        <f t="shared" si="54"/>
        <v xml:space="preserve">CEMPRESA='31' </v>
      </c>
      <c r="I583" s="1" t="str">
        <f t="shared" si="55"/>
        <v xml:space="preserve">AND CBALCAO='0003' </v>
      </c>
      <c r="J583" s="1" t="str">
        <f t="shared" si="56"/>
        <v xml:space="preserve">AND CNUMECTA='20522214096' </v>
      </c>
      <c r="K583" s="1" t="str">
        <f t="shared" si="57"/>
        <v xml:space="preserve">AND ZDEPOSIT='000000000000000' </v>
      </c>
      <c r="L583" s="1" t="str">
        <f t="shared" si="58"/>
        <v>WHEN CEMPRESA='31' AND CBALCAO='0003' AND CNUMECTA='20522214096' AND ZDEPOSIT='000000000000000' THEN 1</v>
      </c>
      <c r="M583" s="1" t="str">
        <f t="shared" si="59"/>
        <v>WHEN CEMPRESA='31' AND CBALCAO='0003' AND CNUMECTA='20522214096' AND ZDEPOSIT='000000000000000' THEN 'A.3.7.'</v>
      </c>
    </row>
    <row r="584" spans="2:13" x14ac:dyDescent="0.25">
      <c r="B584" s="1" t="s">
        <v>54</v>
      </c>
      <c r="C584" s="1" t="s">
        <v>55</v>
      </c>
      <c r="D584" s="1" t="s">
        <v>806</v>
      </c>
      <c r="E584" s="1" t="s">
        <v>807</v>
      </c>
      <c r="F584" s="1">
        <v>1</v>
      </c>
      <c r="G584" s="1" t="s">
        <v>58</v>
      </c>
      <c r="H584" s="1" t="str">
        <f t="shared" si="54"/>
        <v xml:space="preserve">CEMPRESA='89' </v>
      </c>
      <c r="I584" s="1" t="str">
        <f t="shared" si="55"/>
        <v xml:space="preserve">AND CBALCAO='0000' </v>
      </c>
      <c r="J584" s="1" t="str">
        <f t="shared" si="56"/>
        <v xml:space="preserve">AND CNUMECTA='00000250270' </v>
      </c>
      <c r="K584" s="1" t="str">
        <f t="shared" si="57"/>
        <v xml:space="preserve">AND ZDEPOSIT='000450000756441' </v>
      </c>
      <c r="L584" s="1" t="str">
        <f t="shared" si="58"/>
        <v>WHEN CEMPRESA='89' AND CBALCAO='0000' AND CNUMECTA='00000250270' AND ZDEPOSIT='000450000756441' THEN 1</v>
      </c>
      <c r="M584" s="1" t="str">
        <f t="shared" si="59"/>
        <v>WHEN CEMPRESA='89' AND CBALCAO='0000' AND CNUMECTA='00000250270' AND ZDEPOSIT='000450000756441' THEN 'A.2.5.'</v>
      </c>
    </row>
    <row r="585" spans="2:13" x14ac:dyDescent="0.25">
      <c r="B585" s="1" t="s">
        <v>45</v>
      </c>
      <c r="C585" s="1" t="s">
        <v>46</v>
      </c>
      <c r="D585" s="1" t="s">
        <v>808</v>
      </c>
      <c r="E585" s="1" t="s">
        <v>48</v>
      </c>
      <c r="F585" s="1">
        <v>1</v>
      </c>
      <c r="G585" s="1" t="s">
        <v>60</v>
      </c>
      <c r="H585" s="1" t="str">
        <f t="shared" si="54"/>
        <v xml:space="preserve">CEMPRESA='31' </v>
      </c>
      <c r="I585" s="1" t="str">
        <f t="shared" si="55"/>
        <v xml:space="preserve">AND CBALCAO='0003' </v>
      </c>
      <c r="J585" s="1" t="str">
        <f t="shared" si="56"/>
        <v xml:space="preserve">AND CNUMECTA='20570684096' </v>
      </c>
      <c r="K585" s="1" t="str">
        <f t="shared" si="57"/>
        <v xml:space="preserve">AND ZDEPOSIT='000000000000000' </v>
      </c>
      <c r="L585" s="1" t="str">
        <f t="shared" si="58"/>
        <v>WHEN CEMPRESA='31' AND CBALCAO='0003' AND CNUMECTA='20570684096' AND ZDEPOSIT='000000000000000' THEN 1</v>
      </c>
      <c r="M585" s="1" t="str">
        <f t="shared" si="59"/>
        <v>WHEN CEMPRESA='31' AND CBALCAO='0003' AND CNUMECTA='20570684096' AND ZDEPOSIT='000000000000000' THEN 'A.3.7.'</v>
      </c>
    </row>
    <row r="586" spans="2:13" x14ac:dyDescent="0.25">
      <c r="B586" s="1" t="s">
        <v>45</v>
      </c>
      <c r="C586" s="1" t="s">
        <v>46</v>
      </c>
      <c r="D586" s="1" t="s">
        <v>809</v>
      </c>
      <c r="E586" s="1" t="s">
        <v>48</v>
      </c>
      <c r="F586" s="1">
        <v>1</v>
      </c>
      <c r="G586" s="1" t="s">
        <v>60</v>
      </c>
      <c r="H586" s="1" t="str">
        <f t="shared" si="54"/>
        <v xml:space="preserve">CEMPRESA='31' </v>
      </c>
      <c r="I586" s="1" t="str">
        <f t="shared" si="55"/>
        <v xml:space="preserve">AND CBALCAO='0003' </v>
      </c>
      <c r="J586" s="1" t="str">
        <f t="shared" si="56"/>
        <v xml:space="preserve">AND CNUMECTA='20663414096' </v>
      </c>
      <c r="K586" s="1" t="str">
        <f t="shared" si="57"/>
        <v xml:space="preserve">AND ZDEPOSIT='000000000000000' </v>
      </c>
      <c r="L586" s="1" t="str">
        <f t="shared" si="58"/>
        <v>WHEN CEMPRESA='31' AND CBALCAO='0003' AND CNUMECTA='20663414096' AND ZDEPOSIT='000000000000000' THEN 1</v>
      </c>
      <c r="M586" s="1" t="str">
        <f t="shared" si="59"/>
        <v>WHEN CEMPRESA='31' AND CBALCAO='0003' AND CNUMECTA='20663414096' AND ZDEPOSIT='000000000000000' THEN 'A.3.7.'</v>
      </c>
    </row>
    <row r="587" spans="2:13" x14ac:dyDescent="0.25">
      <c r="B587" s="1" t="s">
        <v>54</v>
      </c>
      <c r="C587" s="1" t="s">
        <v>55</v>
      </c>
      <c r="D587" s="1" t="s">
        <v>810</v>
      </c>
      <c r="E587" s="1" t="s">
        <v>811</v>
      </c>
      <c r="F587" s="1">
        <v>1</v>
      </c>
      <c r="G587" s="1" t="s">
        <v>58</v>
      </c>
      <c r="H587" s="1" t="str">
        <f t="shared" si="54"/>
        <v xml:space="preserve">CEMPRESA='89' </v>
      </c>
      <c r="I587" s="1" t="str">
        <f t="shared" si="55"/>
        <v xml:space="preserve">AND CBALCAO='0000' </v>
      </c>
      <c r="J587" s="1" t="str">
        <f t="shared" si="56"/>
        <v xml:space="preserve">AND CNUMECTA='00008046473' </v>
      </c>
      <c r="K587" s="1" t="str">
        <f t="shared" si="57"/>
        <v xml:space="preserve">AND ZDEPOSIT='000530000777658' </v>
      </c>
      <c r="L587" s="1" t="str">
        <f t="shared" si="58"/>
        <v>WHEN CEMPRESA='89' AND CBALCAO='0000' AND CNUMECTA='00008046473' AND ZDEPOSIT='000530000777658' THEN 1</v>
      </c>
      <c r="M587" s="1" t="str">
        <f t="shared" si="59"/>
        <v>WHEN CEMPRESA='89' AND CBALCAO='0000' AND CNUMECTA='00008046473' AND ZDEPOSIT='000530000777658' THEN 'A.2.5.'</v>
      </c>
    </row>
    <row r="588" spans="2:13" x14ac:dyDescent="0.25">
      <c r="B588" s="1" t="s">
        <v>45</v>
      </c>
      <c r="C588" s="1" t="s">
        <v>46</v>
      </c>
      <c r="D588" s="1" t="s">
        <v>812</v>
      </c>
      <c r="E588" s="1" t="s">
        <v>48</v>
      </c>
      <c r="F588" s="1">
        <v>1</v>
      </c>
      <c r="G588" s="1" t="s">
        <v>60</v>
      </c>
      <c r="H588" s="1" t="str">
        <f t="shared" si="54"/>
        <v xml:space="preserve">CEMPRESA='31' </v>
      </c>
      <c r="I588" s="1" t="str">
        <f t="shared" si="55"/>
        <v xml:space="preserve">AND CBALCAO='0003' </v>
      </c>
      <c r="J588" s="1" t="str">
        <f t="shared" si="56"/>
        <v xml:space="preserve">AND CNUMECTA='20654413096' </v>
      </c>
      <c r="K588" s="1" t="str">
        <f t="shared" si="57"/>
        <v xml:space="preserve">AND ZDEPOSIT='000000000000000' </v>
      </c>
      <c r="L588" s="1" t="str">
        <f t="shared" si="58"/>
        <v>WHEN CEMPRESA='31' AND CBALCAO='0003' AND CNUMECTA='20654413096' AND ZDEPOSIT='000000000000000' THEN 1</v>
      </c>
      <c r="M588" s="1" t="str">
        <f t="shared" si="59"/>
        <v>WHEN CEMPRESA='31' AND CBALCAO='0003' AND CNUMECTA='20654413096' AND ZDEPOSIT='000000000000000' THEN 'A.3.7.'</v>
      </c>
    </row>
    <row r="589" spans="2:13" x14ac:dyDescent="0.25">
      <c r="B589" s="1" t="s">
        <v>45</v>
      </c>
      <c r="C589" s="1" t="s">
        <v>46</v>
      </c>
      <c r="D589" s="1" t="s">
        <v>813</v>
      </c>
      <c r="E589" s="1" t="s">
        <v>48</v>
      </c>
      <c r="F589" s="1">
        <v>1</v>
      </c>
      <c r="G589" s="1" t="s">
        <v>60</v>
      </c>
      <c r="H589" s="1" t="str">
        <f t="shared" si="54"/>
        <v xml:space="preserve">CEMPRESA='31' </v>
      </c>
      <c r="I589" s="1" t="str">
        <f t="shared" si="55"/>
        <v xml:space="preserve">AND CBALCAO='0003' </v>
      </c>
      <c r="J589" s="1" t="str">
        <f t="shared" si="56"/>
        <v xml:space="preserve">AND CNUMECTA='20739487096' </v>
      </c>
      <c r="K589" s="1" t="str">
        <f t="shared" si="57"/>
        <v xml:space="preserve">AND ZDEPOSIT='000000000000000' </v>
      </c>
      <c r="L589" s="1" t="str">
        <f t="shared" si="58"/>
        <v>WHEN CEMPRESA='31' AND CBALCAO='0003' AND CNUMECTA='20739487096' AND ZDEPOSIT='000000000000000' THEN 1</v>
      </c>
      <c r="M589" s="1" t="str">
        <f t="shared" si="59"/>
        <v>WHEN CEMPRESA='31' AND CBALCAO='0003' AND CNUMECTA='20739487096' AND ZDEPOSIT='000000000000000' THEN 'A.3.7.'</v>
      </c>
    </row>
    <row r="590" spans="2:13" x14ac:dyDescent="0.25">
      <c r="B590" s="1" t="s">
        <v>45</v>
      </c>
      <c r="C590" s="1" t="s">
        <v>46</v>
      </c>
      <c r="D590" s="1" t="s">
        <v>814</v>
      </c>
      <c r="E590" s="1" t="s">
        <v>48</v>
      </c>
      <c r="F590" s="1">
        <v>1</v>
      </c>
      <c r="G590" s="1" t="s">
        <v>60</v>
      </c>
      <c r="H590" s="1" t="str">
        <f t="shared" si="54"/>
        <v xml:space="preserve">CEMPRESA='31' </v>
      </c>
      <c r="I590" s="1" t="str">
        <f t="shared" si="55"/>
        <v xml:space="preserve">AND CBALCAO='0003' </v>
      </c>
      <c r="J590" s="1" t="str">
        <f t="shared" si="56"/>
        <v xml:space="preserve">AND CNUMECTA='20557921096' </v>
      </c>
      <c r="K590" s="1" t="str">
        <f t="shared" si="57"/>
        <v xml:space="preserve">AND ZDEPOSIT='000000000000000' </v>
      </c>
      <c r="L590" s="1" t="str">
        <f t="shared" si="58"/>
        <v>WHEN CEMPRESA='31' AND CBALCAO='0003' AND CNUMECTA='20557921096' AND ZDEPOSIT='000000000000000' THEN 1</v>
      </c>
      <c r="M590" s="1" t="str">
        <f t="shared" si="59"/>
        <v>WHEN CEMPRESA='31' AND CBALCAO='0003' AND CNUMECTA='20557921096' AND ZDEPOSIT='000000000000000' THEN 'A.3.7.'</v>
      </c>
    </row>
    <row r="591" spans="2:13" x14ac:dyDescent="0.25">
      <c r="B591" s="1" t="s">
        <v>54</v>
      </c>
      <c r="C591" s="1" t="s">
        <v>55</v>
      </c>
      <c r="D591" s="1" t="s">
        <v>815</v>
      </c>
      <c r="E591" s="1" t="s">
        <v>816</v>
      </c>
      <c r="F591" s="1">
        <v>1</v>
      </c>
      <c r="G591" s="1" t="s">
        <v>58</v>
      </c>
      <c r="H591" s="1" t="str">
        <f t="shared" si="54"/>
        <v xml:space="preserve">CEMPRESA='89' </v>
      </c>
      <c r="I591" s="1" t="str">
        <f t="shared" si="55"/>
        <v xml:space="preserve">AND CBALCAO='0000' </v>
      </c>
      <c r="J591" s="1" t="str">
        <f t="shared" si="56"/>
        <v xml:space="preserve">AND CNUMECTA='00008046384' </v>
      </c>
      <c r="K591" s="1" t="str">
        <f t="shared" si="57"/>
        <v xml:space="preserve">AND ZDEPOSIT='000530000776939' </v>
      </c>
      <c r="L591" s="1" t="str">
        <f t="shared" si="58"/>
        <v>WHEN CEMPRESA='89' AND CBALCAO='0000' AND CNUMECTA='00008046384' AND ZDEPOSIT='000530000776939' THEN 1</v>
      </c>
      <c r="M591" s="1" t="str">
        <f t="shared" si="59"/>
        <v>WHEN CEMPRESA='89' AND CBALCAO='0000' AND CNUMECTA='00008046384' AND ZDEPOSIT='000530000776939' THEN 'A.2.5.'</v>
      </c>
    </row>
    <row r="592" spans="2:13" x14ac:dyDescent="0.25">
      <c r="B592" s="1" t="s">
        <v>45</v>
      </c>
      <c r="C592" s="1" t="s">
        <v>46</v>
      </c>
      <c r="D592" s="1" t="s">
        <v>817</v>
      </c>
      <c r="E592" s="1" t="s">
        <v>48</v>
      </c>
      <c r="F592" s="1">
        <v>1</v>
      </c>
      <c r="G592" s="1" t="s">
        <v>60</v>
      </c>
      <c r="H592" s="1" t="str">
        <f t="shared" si="54"/>
        <v xml:space="preserve">CEMPRESA='31' </v>
      </c>
      <c r="I592" s="1" t="str">
        <f t="shared" si="55"/>
        <v xml:space="preserve">AND CBALCAO='0003' </v>
      </c>
      <c r="J592" s="1" t="str">
        <f t="shared" si="56"/>
        <v xml:space="preserve">AND CNUMECTA='20449525096' </v>
      </c>
      <c r="K592" s="1" t="str">
        <f t="shared" si="57"/>
        <v xml:space="preserve">AND ZDEPOSIT='000000000000000' </v>
      </c>
      <c r="L592" s="1" t="str">
        <f t="shared" si="58"/>
        <v>WHEN CEMPRESA='31' AND CBALCAO='0003' AND CNUMECTA='20449525096' AND ZDEPOSIT='000000000000000' THEN 1</v>
      </c>
      <c r="M592" s="1" t="str">
        <f t="shared" si="59"/>
        <v>WHEN CEMPRESA='31' AND CBALCAO='0003' AND CNUMECTA='20449525096' AND ZDEPOSIT='000000000000000' THEN 'A.3.7.'</v>
      </c>
    </row>
    <row r="593" spans="2:13" x14ac:dyDescent="0.25">
      <c r="B593" s="1" t="s">
        <v>45</v>
      </c>
      <c r="C593" s="1" t="s">
        <v>46</v>
      </c>
      <c r="D593" s="1" t="s">
        <v>818</v>
      </c>
      <c r="E593" s="1" t="s">
        <v>48</v>
      </c>
      <c r="F593" s="1">
        <v>1</v>
      </c>
      <c r="G593" s="1" t="s">
        <v>60</v>
      </c>
      <c r="H593" s="1" t="str">
        <f t="shared" si="54"/>
        <v xml:space="preserve">CEMPRESA='31' </v>
      </c>
      <c r="I593" s="1" t="str">
        <f t="shared" si="55"/>
        <v xml:space="preserve">AND CBALCAO='0003' </v>
      </c>
      <c r="J593" s="1" t="str">
        <f t="shared" si="56"/>
        <v xml:space="preserve">AND CNUMECTA='20476791096' </v>
      </c>
      <c r="K593" s="1" t="str">
        <f t="shared" si="57"/>
        <v xml:space="preserve">AND ZDEPOSIT='000000000000000' </v>
      </c>
      <c r="L593" s="1" t="str">
        <f t="shared" si="58"/>
        <v>WHEN CEMPRESA='31' AND CBALCAO='0003' AND CNUMECTA='20476791096' AND ZDEPOSIT='000000000000000' THEN 1</v>
      </c>
      <c r="M593" s="1" t="str">
        <f t="shared" si="59"/>
        <v>WHEN CEMPRESA='31' AND CBALCAO='0003' AND CNUMECTA='20476791096' AND ZDEPOSIT='000000000000000' THEN 'A.3.7.'</v>
      </c>
    </row>
    <row r="594" spans="2:13" x14ac:dyDescent="0.25">
      <c r="B594" s="1" t="s">
        <v>45</v>
      </c>
      <c r="C594" s="1" t="s">
        <v>46</v>
      </c>
      <c r="D594" s="1" t="s">
        <v>819</v>
      </c>
      <c r="E594" s="1" t="s">
        <v>48</v>
      </c>
      <c r="F594" s="1">
        <v>1</v>
      </c>
      <c r="G594" s="1" t="s">
        <v>60</v>
      </c>
      <c r="H594" s="1" t="str">
        <f t="shared" si="54"/>
        <v xml:space="preserve">CEMPRESA='31' </v>
      </c>
      <c r="I594" s="1" t="str">
        <f t="shared" si="55"/>
        <v xml:space="preserve">AND CBALCAO='0003' </v>
      </c>
      <c r="J594" s="1" t="str">
        <f t="shared" si="56"/>
        <v xml:space="preserve">AND CNUMECTA='20515135096' </v>
      </c>
      <c r="K594" s="1" t="str">
        <f t="shared" si="57"/>
        <v xml:space="preserve">AND ZDEPOSIT='000000000000000' </v>
      </c>
      <c r="L594" s="1" t="str">
        <f t="shared" si="58"/>
        <v>WHEN CEMPRESA='31' AND CBALCAO='0003' AND CNUMECTA='20515135096' AND ZDEPOSIT='000000000000000' THEN 1</v>
      </c>
      <c r="M594" s="1" t="str">
        <f t="shared" si="59"/>
        <v>WHEN CEMPRESA='31' AND CBALCAO='0003' AND CNUMECTA='20515135096' AND ZDEPOSIT='000000000000000' THEN 'A.3.7.'</v>
      </c>
    </row>
    <row r="595" spans="2:13" x14ac:dyDescent="0.25">
      <c r="B595" s="1" t="s">
        <v>54</v>
      </c>
      <c r="C595" s="1" t="s">
        <v>55</v>
      </c>
      <c r="D595" s="1" t="s">
        <v>820</v>
      </c>
      <c r="E595" s="1" t="s">
        <v>821</v>
      </c>
      <c r="F595" s="1">
        <v>1</v>
      </c>
      <c r="G595" s="1" t="s">
        <v>58</v>
      </c>
      <c r="H595" s="1" t="str">
        <f t="shared" si="54"/>
        <v xml:space="preserve">CEMPRESA='89' </v>
      </c>
      <c r="I595" s="1" t="str">
        <f t="shared" si="55"/>
        <v xml:space="preserve">AND CBALCAO='0000' </v>
      </c>
      <c r="J595" s="1" t="str">
        <f t="shared" si="56"/>
        <v xml:space="preserve">AND CNUMECTA='00008046466' </v>
      </c>
      <c r="K595" s="1" t="str">
        <f t="shared" si="57"/>
        <v xml:space="preserve">AND ZDEPOSIT='000530000740306' </v>
      </c>
      <c r="L595" s="1" t="str">
        <f t="shared" si="58"/>
        <v>WHEN CEMPRESA='89' AND CBALCAO='0000' AND CNUMECTA='00008046466' AND ZDEPOSIT='000530000740306' THEN 1</v>
      </c>
      <c r="M595" s="1" t="str">
        <f t="shared" si="59"/>
        <v>WHEN CEMPRESA='89' AND CBALCAO='0000' AND CNUMECTA='00008046466' AND ZDEPOSIT='000530000740306' THEN 'A.2.5.'</v>
      </c>
    </row>
    <row r="596" spans="2:13" x14ac:dyDescent="0.25">
      <c r="B596" s="1" t="s">
        <v>45</v>
      </c>
      <c r="C596" s="1" t="s">
        <v>46</v>
      </c>
      <c r="D596" s="1" t="s">
        <v>822</v>
      </c>
      <c r="E596" s="1" t="s">
        <v>48</v>
      </c>
      <c r="F596" s="1">
        <v>1</v>
      </c>
      <c r="G596" s="1" t="s">
        <v>60</v>
      </c>
      <c r="H596" s="1" t="str">
        <f t="shared" si="54"/>
        <v xml:space="preserve">CEMPRESA='31' </v>
      </c>
      <c r="I596" s="1" t="str">
        <f t="shared" si="55"/>
        <v xml:space="preserve">AND CBALCAO='0003' </v>
      </c>
      <c r="J596" s="1" t="str">
        <f t="shared" si="56"/>
        <v xml:space="preserve">AND CNUMECTA='20611017096' </v>
      </c>
      <c r="K596" s="1" t="str">
        <f t="shared" si="57"/>
        <v xml:space="preserve">AND ZDEPOSIT='000000000000000' </v>
      </c>
      <c r="L596" s="1" t="str">
        <f t="shared" si="58"/>
        <v>WHEN CEMPRESA='31' AND CBALCAO='0003' AND CNUMECTA='20611017096' AND ZDEPOSIT='000000000000000' THEN 1</v>
      </c>
      <c r="M596" s="1" t="str">
        <f t="shared" si="59"/>
        <v>WHEN CEMPRESA='31' AND CBALCAO='0003' AND CNUMECTA='20611017096' AND ZDEPOSIT='000000000000000' THEN 'A.3.7.'</v>
      </c>
    </row>
    <row r="597" spans="2:13" x14ac:dyDescent="0.25">
      <c r="B597" s="1" t="s">
        <v>54</v>
      </c>
      <c r="C597" s="1" t="s">
        <v>55</v>
      </c>
      <c r="D597" s="1" t="s">
        <v>823</v>
      </c>
      <c r="E597" s="1" t="s">
        <v>824</v>
      </c>
      <c r="F597" s="1">
        <v>1</v>
      </c>
      <c r="G597" s="1" t="s">
        <v>58</v>
      </c>
      <c r="H597" s="1" t="str">
        <f t="shared" si="54"/>
        <v xml:space="preserve">CEMPRESA='89' </v>
      </c>
      <c r="I597" s="1" t="str">
        <f t="shared" si="55"/>
        <v xml:space="preserve">AND CBALCAO='0000' </v>
      </c>
      <c r="J597" s="1" t="str">
        <f t="shared" si="56"/>
        <v xml:space="preserve">AND CNUMECTA='00008046637' </v>
      </c>
      <c r="K597" s="1" t="str">
        <f t="shared" si="57"/>
        <v xml:space="preserve">AND ZDEPOSIT='000530000753461' </v>
      </c>
      <c r="L597" s="1" t="str">
        <f t="shared" si="58"/>
        <v>WHEN CEMPRESA='89' AND CBALCAO='0000' AND CNUMECTA='00008046637' AND ZDEPOSIT='000530000753461' THEN 1</v>
      </c>
      <c r="M597" s="1" t="str">
        <f t="shared" si="59"/>
        <v>WHEN CEMPRESA='89' AND CBALCAO='0000' AND CNUMECTA='00008046637' AND ZDEPOSIT='000530000753461' THEN 'A.2.5.'</v>
      </c>
    </row>
    <row r="598" spans="2:13" x14ac:dyDescent="0.25">
      <c r="B598" s="1" t="s">
        <v>45</v>
      </c>
      <c r="C598" s="1" t="s">
        <v>46</v>
      </c>
      <c r="D598" s="1" t="s">
        <v>825</v>
      </c>
      <c r="E598" s="1" t="s">
        <v>48</v>
      </c>
      <c r="F598" s="1">
        <v>1</v>
      </c>
      <c r="G598" s="1" t="s">
        <v>60</v>
      </c>
      <c r="H598" s="1" t="str">
        <f t="shared" si="54"/>
        <v xml:space="preserve">CEMPRESA='31' </v>
      </c>
      <c r="I598" s="1" t="str">
        <f t="shared" si="55"/>
        <v xml:space="preserve">AND CBALCAO='0003' </v>
      </c>
      <c r="J598" s="1" t="str">
        <f t="shared" si="56"/>
        <v xml:space="preserve">AND CNUMECTA='20506589096' </v>
      </c>
      <c r="K598" s="1" t="str">
        <f t="shared" si="57"/>
        <v xml:space="preserve">AND ZDEPOSIT='000000000000000' </v>
      </c>
      <c r="L598" s="1" t="str">
        <f t="shared" si="58"/>
        <v>WHEN CEMPRESA='31' AND CBALCAO='0003' AND CNUMECTA='20506589096' AND ZDEPOSIT='000000000000000' THEN 1</v>
      </c>
      <c r="M598" s="1" t="str">
        <f t="shared" si="59"/>
        <v>WHEN CEMPRESA='31' AND CBALCAO='0003' AND CNUMECTA='20506589096' AND ZDEPOSIT='000000000000000' THEN 'A.3.7.'</v>
      </c>
    </row>
    <row r="599" spans="2:13" x14ac:dyDescent="0.25">
      <c r="B599" s="1" t="s">
        <v>45</v>
      </c>
      <c r="C599" s="1" t="s">
        <v>46</v>
      </c>
      <c r="D599" s="1" t="s">
        <v>826</v>
      </c>
      <c r="E599" s="1" t="s">
        <v>48</v>
      </c>
      <c r="F599" s="1">
        <v>1</v>
      </c>
      <c r="G599" s="1" t="s">
        <v>60</v>
      </c>
      <c r="H599" s="1" t="str">
        <f t="shared" si="54"/>
        <v xml:space="preserve">CEMPRESA='31' </v>
      </c>
      <c r="I599" s="1" t="str">
        <f t="shared" si="55"/>
        <v xml:space="preserve">AND CBALCAO='0003' </v>
      </c>
      <c r="J599" s="1" t="str">
        <f t="shared" si="56"/>
        <v xml:space="preserve">AND CNUMECTA='20746458096' </v>
      </c>
      <c r="K599" s="1" t="str">
        <f t="shared" si="57"/>
        <v xml:space="preserve">AND ZDEPOSIT='000000000000000' </v>
      </c>
      <c r="L599" s="1" t="str">
        <f t="shared" si="58"/>
        <v>WHEN CEMPRESA='31' AND CBALCAO='0003' AND CNUMECTA='20746458096' AND ZDEPOSIT='000000000000000' THEN 1</v>
      </c>
      <c r="M599" s="1" t="str">
        <f t="shared" si="59"/>
        <v>WHEN CEMPRESA='31' AND CBALCAO='0003' AND CNUMECTA='20746458096' AND ZDEPOSIT='000000000000000' THEN 'A.3.7.'</v>
      </c>
    </row>
    <row r="600" spans="2:13" x14ac:dyDescent="0.25">
      <c r="B600" s="1" t="s">
        <v>54</v>
      </c>
      <c r="C600" s="1" t="s">
        <v>55</v>
      </c>
      <c r="D600" s="1" t="s">
        <v>827</v>
      </c>
      <c r="E600" s="1" t="s">
        <v>828</v>
      </c>
      <c r="F600" s="1">
        <v>1</v>
      </c>
      <c r="G600" s="1" t="s">
        <v>58</v>
      </c>
      <c r="H600" s="1" t="str">
        <f t="shared" si="54"/>
        <v xml:space="preserve">CEMPRESA='89' </v>
      </c>
      <c r="I600" s="1" t="str">
        <f t="shared" si="55"/>
        <v xml:space="preserve">AND CBALCAO='0000' </v>
      </c>
      <c r="J600" s="1" t="str">
        <f t="shared" si="56"/>
        <v xml:space="preserve">AND CNUMECTA='00008046441' </v>
      </c>
      <c r="K600" s="1" t="str">
        <f t="shared" si="57"/>
        <v xml:space="preserve">AND ZDEPOSIT='000530000478830' </v>
      </c>
      <c r="L600" s="1" t="str">
        <f t="shared" si="58"/>
        <v>WHEN CEMPRESA='89' AND CBALCAO='0000' AND CNUMECTA='00008046441' AND ZDEPOSIT='000530000478830' THEN 1</v>
      </c>
      <c r="M600" s="1" t="str">
        <f t="shared" si="59"/>
        <v>WHEN CEMPRESA='89' AND CBALCAO='0000' AND CNUMECTA='00008046441' AND ZDEPOSIT='000530000478830' THEN 'A.2.5.'</v>
      </c>
    </row>
    <row r="601" spans="2:13" x14ac:dyDescent="0.25">
      <c r="B601" s="1" t="s">
        <v>45</v>
      </c>
      <c r="C601" s="1" t="s">
        <v>46</v>
      </c>
      <c r="D601" s="1" t="s">
        <v>829</v>
      </c>
      <c r="E601" s="1" t="s">
        <v>48</v>
      </c>
      <c r="F601" s="1">
        <v>1</v>
      </c>
      <c r="G601" s="1" t="s">
        <v>60</v>
      </c>
      <c r="H601" s="1" t="str">
        <f t="shared" si="54"/>
        <v xml:space="preserve">CEMPRESA='31' </v>
      </c>
      <c r="I601" s="1" t="str">
        <f t="shared" si="55"/>
        <v xml:space="preserve">AND CBALCAO='0003' </v>
      </c>
      <c r="J601" s="1" t="str">
        <f t="shared" si="56"/>
        <v xml:space="preserve">AND CNUMECTA='20611082096' </v>
      </c>
      <c r="K601" s="1" t="str">
        <f t="shared" si="57"/>
        <v xml:space="preserve">AND ZDEPOSIT='000000000000000' </v>
      </c>
      <c r="L601" s="1" t="str">
        <f t="shared" si="58"/>
        <v>WHEN CEMPRESA='31' AND CBALCAO='0003' AND CNUMECTA='20611082096' AND ZDEPOSIT='000000000000000' THEN 1</v>
      </c>
      <c r="M601" s="1" t="str">
        <f t="shared" si="59"/>
        <v>WHEN CEMPRESA='31' AND CBALCAO='0003' AND CNUMECTA='20611082096' AND ZDEPOSIT='000000000000000' THEN 'A.3.7.'</v>
      </c>
    </row>
    <row r="602" spans="2:13" x14ac:dyDescent="0.25">
      <c r="B602" s="1" t="s">
        <v>45</v>
      </c>
      <c r="C602" s="1" t="s">
        <v>114</v>
      </c>
      <c r="D602" s="1" t="s">
        <v>115</v>
      </c>
      <c r="E602" s="1" t="s">
        <v>830</v>
      </c>
      <c r="F602" s="1">
        <v>1</v>
      </c>
      <c r="G602" s="1" t="s">
        <v>117</v>
      </c>
      <c r="H602" s="1" t="str">
        <f t="shared" si="54"/>
        <v xml:space="preserve">CEMPRESA='31' </v>
      </c>
      <c r="I602" s="1" t="str">
        <f t="shared" si="55"/>
        <v xml:space="preserve">AND CBALCAO='6416' </v>
      </c>
      <c r="J602" s="1" t="str">
        <f t="shared" si="56"/>
        <v xml:space="preserve">AND CNUMECTA='00000001085' </v>
      </c>
      <c r="K602" s="1" t="str">
        <f t="shared" si="57"/>
        <v xml:space="preserve">AND ZDEPOSIT='000007400192000' </v>
      </c>
      <c r="L602" s="1" t="str">
        <f t="shared" si="58"/>
        <v>WHEN CEMPRESA='31' AND CBALCAO='6416' AND CNUMECTA='00000001085' AND ZDEPOSIT='000007400192000' THEN 1</v>
      </c>
      <c r="M602" s="1" t="str">
        <f t="shared" si="59"/>
        <v>WHEN CEMPRESA='31' AND CBALCAO='6416' AND CNUMECTA='00000001085' AND ZDEPOSIT='000007400192000' THEN 'Sustainability Linked Finance - Default'</v>
      </c>
    </row>
    <row r="603" spans="2:13" x14ac:dyDescent="0.25">
      <c r="B603" s="1" t="s">
        <v>54</v>
      </c>
      <c r="C603" s="1" t="s">
        <v>55</v>
      </c>
      <c r="D603" s="1" t="s">
        <v>831</v>
      </c>
      <c r="E603" s="1" t="s">
        <v>832</v>
      </c>
      <c r="F603" s="1">
        <v>1</v>
      </c>
      <c r="G603" s="1" t="s">
        <v>58</v>
      </c>
      <c r="H603" s="1" t="str">
        <f t="shared" si="54"/>
        <v xml:space="preserve">CEMPRESA='89' </v>
      </c>
      <c r="I603" s="1" t="str">
        <f t="shared" si="55"/>
        <v xml:space="preserve">AND CBALCAO='0000' </v>
      </c>
      <c r="J603" s="1" t="str">
        <f t="shared" si="56"/>
        <v xml:space="preserve">AND CNUMECTA='00008046607' </v>
      </c>
      <c r="K603" s="1" t="str">
        <f t="shared" si="57"/>
        <v xml:space="preserve">AND ZDEPOSIT='000530000777884' </v>
      </c>
      <c r="L603" s="1" t="str">
        <f t="shared" si="58"/>
        <v>WHEN CEMPRESA='89' AND CBALCAO='0000' AND CNUMECTA='00008046607' AND ZDEPOSIT='000530000777884' THEN 1</v>
      </c>
      <c r="M603" s="1" t="str">
        <f t="shared" si="59"/>
        <v>WHEN CEMPRESA='89' AND CBALCAO='0000' AND CNUMECTA='00008046607' AND ZDEPOSIT='000530000777884' THEN 'A.2.5.'</v>
      </c>
    </row>
    <row r="604" spans="2:13" x14ac:dyDescent="0.25">
      <c r="B604" s="1" t="s">
        <v>45</v>
      </c>
      <c r="C604" s="1" t="s">
        <v>46</v>
      </c>
      <c r="D604" s="1" t="s">
        <v>833</v>
      </c>
      <c r="E604" s="1" t="s">
        <v>48</v>
      </c>
      <c r="F604" s="1">
        <v>1</v>
      </c>
      <c r="G604" s="1" t="s">
        <v>76</v>
      </c>
      <c r="H604" s="1" t="str">
        <f t="shared" si="54"/>
        <v xml:space="preserve">CEMPRESA='31' </v>
      </c>
      <c r="I604" s="1" t="str">
        <f t="shared" si="55"/>
        <v xml:space="preserve">AND CBALCAO='0003' </v>
      </c>
      <c r="J604" s="1" t="str">
        <f t="shared" si="56"/>
        <v xml:space="preserve">AND CNUMECTA='18611192097' </v>
      </c>
      <c r="K604" s="1" t="str">
        <f t="shared" si="57"/>
        <v xml:space="preserve">AND ZDEPOSIT='000000000000000' </v>
      </c>
      <c r="L604" s="1" t="str">
        <f t="shared" si="58"/>
        <v>WHEN CEMPRESA='31' AND CBALCAO='0003' AND CNUMECTA='18611192097' AND ZDEPOSIT='000000000000000' THEN 1</v>
      </c>
      <c r="M604" s="1" t="str">
        <f t="shared" si="59"/>
        <v>WHEN CEMPRESA='31' AND CBALCAO='0003' AND CNUMECTA='18611192097' AND ZDEPOSIT='000000000000000' THEN 'A.7.7.'</v>
      </c>
    </row>
    <row r="605" spans="2:13" x14ac:dyDescent="0.25">
      <c r="B605" s="1" t="s">
        <v>45</v>
      </c>
      <c r="C605" s="1" t="s">
        <v>46</v>
      </c>
      <c r="D605" s="1" t="s">
        <v>834</v>
      </c>
      <c r="E605" s="1" t="s">
        <v>48</v>
      </c>
      <c r="F605" s="1">
        <v>1</v>
      </c>
      <c r="G605" s="1" t="s">
        <v>60</v>
      </c>
      <c r="H605" s="1" t="str">
        <f t="shared" si="54"/>
        <v xml:space="preserve">CEMPRESA='31' </v>
      </c>
      <c r="I605" s="1" t="str">
        <f t="shared" si="55"/>
        <v xml:space="preserve">AND CBALCAO='0003' </v>
      </c>
      <c r="J605" s="1" t="str">
        <f t="shared" si="56"/>
        <v xml:space="preserve">AND CNUMECTA='20490750096' </v>
      </c>
      <c r="K605" s="1" t="str">
        <f t="shared" si="57"/>
        <v xml:space="preserve">AND ZDEPOSIT='000000000000000' </v>
      </c>
      <c r="L605" s="1" t="str">
        <f t="shared" si="58"/>
        <v>WHEN CEMPRESA='31' AND CBALCAO='0003' AND CNUMECTA='20490750096' AND ZDEPOSIT='000000000000000' THEN 1</v>
      </c>
      <c r="M605" s="1" t="str">
        <f t="shared" si="59"/>
        <v>WHEN CEMPRESA='31' AND CBALCAO='0003' AND CNUMECTA='20490750096' AND ZDEPOSIT='000000000000000' THEN 'A.3.7.'</v>
      </c>
    </row>
    <row r="606" spans="2:13" x14ac:dyDescent="0.25">
      <c r="B606" s="1" t="s">
        <v>54</v>
      </c>
      <c r="C606" s="1" t="s">
        <v>55</v>
      </c>
      <c r="D606" s="1" t="s">
        <v>835</v>
      </c>
      <c r="E606" s="1" t="s">
        <v>836</v>
      </c>
      <c r="F606" s="1">
        <v>1</v>
      </c>
      <c r="G606" s="1" t="s">
        <v>58</v>
      </c>
      <c r="H606" s="1" t="str">
        <f t="shared" si="54"/>
        <v xml:space="preserve">CEMPRESA='89' </v>
      </c>
      <c r="I606" s="1" t="str">
        <f t="shared" si="55"/>
        <v xml:space="preserve">AND CBALCAO='0000' </v>
      </c>
      <c r="J606" s="1" t="str">
        <f t="shared" si="56"/>
        <v xml:space="preserve">AND CNUMECTA='00000250457' </v>
      </c>
      <c r="K606" s="1" t="str">
        <f t="shared" si="57"/>
        <v xml:space="preserve">AND ZDEPOSIT='000450000778175' </v>
      </c>
      <c r="L606" s="1" t="str">
        <f t="shared" si="58"/>
        <v>WHEN CEMPRESA='89' AND CBALCAO='0000' AND CNUMECTA='00000250457' AND ZDEPOSIT='000450000778175' THEN 1</v>
      </c>
      <c r="M606" s="1" t="str">
        <f t="shared" si="59"/>
        <v>WHEN CEMPRESA='89' AND CBALCAO='0000' AND CNUMECTA='00000250457' AND ZDEPOSIT='000450000778175' THEN 'A.2.5.'</v>
      </c>
    </row>
    <row r="607" spans="2:13" x14ac:dyDescent="0.25">
      <c r="B607" s="1" t="s">
        <v>45</v>
      </c>
      <c r="C607" s="1" t="s">
        <v>46</v>
      </c>
      <c r="D607" s="1" t="s">
        <v>837</v>
      </c>
      <c r="E607" s="1" t="s">
        <v>48</v>
      </c>
      <c r="F607" s="1">
        <v>1</v>
      </c>
      <c r="G607" s="1" t="s">
        <v>60</v>
      </c>
      <c r="H607" s="1" t="str">
        <f t="shared" si="54"/>
        <v xml:space="preserve">CEMPRESA='31' </v>
      </c>
      <c r="I607" s="1" t="str">
        <f t="shared" si="55"/>
        <v xml:space="preserve">AND CBALCAO='0003' </v>
      </c>
      <c r="J607" s="1" t="str">
        <f t="shared" si="56"/>
        <v xml:space="preserve">AND CNUMECTA='20471289096' </v>
      </c>
      <c r="K607" s="1" t="str">
        <f t="shared" si="57"/>
        <v xml:space="preserve">AND ZDEPOSIT='000000000000000' </v>
      </c>
      <c r="L607" s="1" t="str">
        <f t="shared" si="58"/>
        <v>WHEN CEMPRESA='31' AND CBALCAO='0003' AND CNUMECTA='20471289096' AND ZDEPOSIT='000000000000000' THEN 1</v>
      </c>
      <c r="M607" s="1" t="str">
        <f t="shared" si="59"/>
        <v>WHEN CEMPRESA='31' AND CBALCAO='0003' AND CNUMECTA='20471289096' AND ZDEPOSIT='000000000000000' THEN 'A.3.7.'</v>
      </c>
    </row>
    <row r="608" spans="2:13" x14ac:dyDescent="0.25">
      <c r="B608" s="1" t="s">
        <v>45</v>
      </c>
      <c r="C608" s="1" t="s">
        <v>46</v>
      </c>
      <c r="D608" s="1" t="s">
        <v>838</v>
      </c>
      <c r="E608" s="1" t="s">
        <v>48</v>
      </c>
      <c r="F608" s="1">
        <v>1</v>
      </c>
      <c r="G608" s="1" t="s">
        <v>60</v>
      </c>
      <c r="H608" s="1" t="str">
        <f t="shared" si="54"/>
        <v xml:space="preserve">CEMPRESA='31' </v>
      </c>
      <c r="I608" s="1" t="str">
        <f t="shared" si="55"/>
        <v xml:space="preserve">AND CBALCAO='0003' </v>
      </c>
      <c r="J608" s="1" t="str">
        <f t="shared" si="56"/>
        <v xml:space="preserve">AND CNUMECTA='20418884096' </v>
      </c>
      <c r="K608" s="1" t="str">
        <f t="shared" si="57"/>
        <v xml:space="preserve">AND ZDEPOSIT='000000000000000' </v>
      </c>
      <c r="L608" s="1" t="str">
        <f t="shared" si="58"/>
        <v>WHEN CEMPRESA='31' AND CBALCAO='0003' AND CNUMECTA='20418884096' AND ZDEPOSIT='000000000000000' THEN 1</v>
      </c>
      <c r="M608" s="1" t="str">
        <f t="shared" si="59"/>
        <v>WHEN CEMPRESA='31' AND CBALCAO='0003' AND CNUMECTA='20418884096' AND ZDEPOSIT='000000000000000' THEN 'A.3.7.'</v>
      </c>
    </row>
    <row r="609" spans="2:13" x14ac:dyDescent="0.25">
      <c r="B609" s="1" t="s">
        <v>45</v>
      </c>
      <c r="C609" s="1" t="s">
        <v>46</v>
      </c>
      <c r="D609" s="1" t="s">
        <v>839</v>
      </c>
      <c r="E609" s="1" t="s">
        <v>48</v>
      </c>
      <c r="F609" s="1">
        <v>1</v>
      </c>
      <c r="G609" s="1" t="s">
        <v>60</v>
      </c>
      <c r="H609" s="1" t="str">
        <f t="shared" si="54"/>
        <v xml:space="preserve">CEMPRESA='31' </v>
      </c>
      <c r="I609" s="1" t="str">
        <f t="shared" si="55"/>
        <v xml:space="preserve">AND CBALCAO='0003' </v>
      </c>
      <c r="J609" s="1" t="str">
        <f t="shared" si="56"/>
        <v xml:space="preserve">AND CNUMECTA='20410832096' </v>
      </c>
      <c r="K609" s="1" t="str">
        <f t="shared" si="57"/>
        <v xml:space="preserve">AND ZDEPOSIT='000000000000000' </v>
      </c>
      <c r="L609" s="1" t="str">
        <f t="shared" si="58"/>
        <v>WHEN CEMPRESA='31' AND CBALCAO='0003' AND CNUMECTA='20410832096' AND ZDEPOSIT='000000000000000' THEN 1</v>
      </c>
      <c r="M609" s="1" t="str">
        <f t="shared" si="59"/>
        <v>WHEN CEMPRESA='31' AND CBALCAO='0003' AND CNUMECTA='20410832096' AND ZDEPOSIT='000000000000000' THEN 'A.3.7.'</v>
      </c>
    </row>
    <row r="610" spans="2:13" x14ac:dyDescent="0.25">
      <c r="B610" s="1" t="s">
        <v>45</v>
      </c>
      <c r="C610" s="1" t="s">
        <v>46</v>
      </c>
      <c r="D610" s="1" t="s">
        <v>840</v>
      </c>
      <c r="E610" s="1" t="s">
        <v>48</v>
      </c>
      <c r="F610" s="1">
        <v>1</v>
      </c>
      <c r="G610" s="1" t="s">
        <v>76</v>
      </c>
      <c r="H610" s="1" t="str">
        <f t="shared" si="54"/>
        <v xml:space="preserve">CEMPRESA='31' </v>
      </c>
      <c r="I610" s="1" t="str">
        <f t="shared" si="55"/>
        <v xml:space="preserve">AND CBALCAO='0003' </v>
      </c>
      <c r="J610" s="1" t="str">
        <f t="shared" si="56"/>
        <v xml:space="preserve">AND CNUMECTA='18611929097' </v>
      </c>
      <c r="K610" s="1" t="str">
        <f t="shared" si="57"/>
        <v xml:space="preserve">AND ZDEPOSIT='000000000000000' </v>
      </c>
      <c r="L610" s="1" t="str">
        <f t="shared" si="58"/>
        <v>WHEN CEMPRESA='31' AND CBALCAO='0003' AND CNUMECTA='18611929097' AND ZDEPOSIT='000000000000000' THEN 1</v>
      </c>
      <c r="M610" s="1" t="str">
        <f t="shared" si="59"/>
        <v>WHEN CEMPRESA='31' AND CBALCAO='0003' AND CNUMECTA='18611929097' AND ZDEPOSIT='000000000000000' THEN 'A.7.7.'</v>
      </c>
    </row>
    <row r="611" spans="2:13" x14ac:dyDescent="0.25">
      <c r="B611" s="1" t="s">
        <v>45</v>
      </c>
      <c r="C611" s="1" t="s">
        <v>46</v>
      </c>
      <c r="D611" s="1" t="s">
        <v>841</v>
      </c>
      <c r="E611" s="1" t="s">
        <v>48</v>
      </c>
      <c r="F611" s="1">
        <v>1</v>
      </c>
      <c r="G611" s="1" t="s">
        <v>60</v>
      </c>
      <c r="H611" s="1" t="str">
        <f t="shared" si="54"/>
        <v xml:space="preserve">CEMPRESA='31' </v>
      </c>
      <c r="I611" s="1" t="str">
        <f t="shared" si="55"/>
        <v xml:space="preserve">AND CBALCAO='0003' </v>
      </c>
      <c r="J611" s="1" t="str">
        <f t="shared" si="56"/>
        <v xml:space="preserve">AND CNUMECTA='20466750096' </v>
      </c>
      <c r="K611" s="1" t="str">
        <f t="shared" si="57"/>
        <v xml:space="preserve">AND ZDEPOSIT='000000000000000' </v>
      </c>
      <c r="L611" s="1" t="str">
        <f t="shared" si="58"/>
        <v>WHEN CEMPRESA='31' AND CBALCAO='0003' AND CNUMECTA='20466750096' AND ZDEPOSIT='000000000000000' THEN 1</v>
      </c>
      <c r="M611" s="1" t="str">
        <f t="shared" si="59"/>
        <v>WHEN CEMPRESA='31' AND CBALCAO='0003' AND CNUMECTA='20466750096' AND ZDEPOSIT='000000000000000' THEN 'A.3.7.'</v>
      </c>
    </row>
    <row r="612" spans="2:13" x14ac:dyDescent="0.25">
      <c r="B612" s="1" t="s">
        <v>45</v>
      </c>
      <c r="C612" s="1" t="s">
        <v>46</v>
      </c>
      <c r="D612" s="1" t="s">
        <v>842</v>
      </c>
      <c r="E612" s="1" t="s">
        <v>48</v>
      </c>
      <c r="F612" s="1">
        <v>1</v>
      </c>
      <c r="G612" s="1" t="s">
        <v>60</v>
      </c>
      <c r="H612" s="1" t="str">
        <f t="shared" si="54"/>
        <v xml:space="preserve">CEMPRESA='31' </v>
      </c>
      <c r="I612" s="1" t="str">
        <f t="shared" si="55"/>
        <v xml:space="preserve">AND CBALCAO='0003' </v>
      </c>
      <c r="J612" s="1" t="str">
        <f t="shared" si="56"/>
        <v xml:space="preserve">AND CNUMECTA='20625173096' </v>
      </c>
      <c r="K612" s="1" t="str">
        <f t="shared" si="57"/>
        <v xml:space="preserve">AND ZDEPOSIT='000000000000000' </v>
      </c>
      <c r="L612" s="1" t="str">
        <f t="shared" si="58"/>
        <v>WHEN CEMPRESA='31' AND CBALCAO='0003' AND CNUMECTA='20625173096' AND ZDEPOSIT='000000000000000' THEN 1</v>
      </c>
      <c r="M612" s="1" t="str">
        <f t="shared" si="59"/>
        <v>WHEN CEMPRESA='31' AND CBALCAO='0003' AND CNUMECTA='20625173096' AND ZDEPOSIT='000000000000000' THEN 'A.3.7.'</v>
      </c>
    </row>
    <row r="613" spans="2:13" x14ac:dyDescent="0.25">
      <c r="B613" s="1" t="s">
        <v>45</v>
      </c>
      <c r="C613" s="1" t="s">
        <v>46</v>
      </c>
      <c r="D613" s="1" t="s">
        <v>843</v>
      </c>
      <c r="E613" s="1" t="s">
        <v>48</v>
      </c>
      <c r="F613" s="1">
        <v>1</v>
      </c>
      <c r="G613" s="1" t="s">
        <v>60</v>
      </c>
      <c r="H613" s="1" t="str">
        <f t="shared" si="54"/>
        <v xml:space="preserve">CEMPRESA='31' </v>
      </c>
      <c r="I613" s="1" t="str">
        <f t="shared" si="55"/>
        <v xml:space="preserve">AND CBALCAO='0003' </v>
      </c>
      <c r="J613" s="1" t="str">
        <f t="shared" si="56"/>
        <v xml:space="preserve">AND CNUMECTA='20653092096' </v>
      </c>
      <c r="K613" s="1" t="str">
        <f t="shared" si="57"/>
        <v xml:space="preserve">AND ZDEPOSIT='000000000000000' </v>
      </c>
      <c r="L613" s="1" t="str">
        <f t="shared" si="58"/>
        <v>WHEN CEMPRESA='31' AND CBALCAO='0003' AND CNUMECTA='20653092096' AND ZDEPOSIT='000000000000000' THEN 1</v>
      </c>
      <c r="M613" s="1" t="str">
        <f t="shared" si="59"/>
        <v>WHEN CEMPRESA='31' AND CBALCAO='0003' AND CNUMECTA='20653092096' AND ZDEPOSIT='000000000000000' THEN 'A.3.7.'</v>
      </c>
    </row>
    <row r="614" spans="2:13" x14ac:dyDescent="0.25">
      <c r="B614" s="1" t="s">
        <v>45</v>
      </c>
      <c r="C614" s="1" t="s">
        <v>46</v>
      </c>
      <c r="D614" s="1" t="s">
        <v>844</v>
      </c>
      <c r="E614" s="1" t="s">
        <v>48</v>
      </c>
      <c r="F614" s="1">
        <v>1</v>
      </c>
      <c r="G614" s="1" t="s">
        <v>60</v>
      </c>
      <c r="H614" s="1" t="str">
        <f t="shared" si="54"/>
        <v xml:space="preserve">CEMPRESA='31' </v>
      </c>
      <c r="I614" s="1" t="str">
        <f t="shared" si="55"/>
        <v xml:space="preserve">AND CBALCAO='0003' </v>
      </c>
      <c r="J614" s="1" t="str">
        <f t="shared" si="56"/>
        <v xml:space="preserve">AND CNUMECTA='20711403096' </v>
      </c>
      <c r="K614" s="1" t="str">
        <f t="shared" si="57"/>
        <v xml:space="preserve">AND ZDEPOSIT='000000000000000' </v>
      </c>
      <c r="L614" s="1" t="str">
        <f t="shared" si="58"/>
        <v>WHEN CEMPRESA='31' AND CBALCAO='0003' AND CNUMECTA='20711403096' AND ZDEPOSIT='000000000000000' THEN 1</v>
      </c>
      <c r="M614" s="1" t="str">
        <f t="shared" si="59"/>
        <v>WHEN CEMPRESA='31' AND CBALCAO='0003' AND CNUMECTA='20711403096' AND ZDEPOSIT='000000000000000' THEN 'A.3.7.'</v>
      </c>
    </row>
    <row r="615" spans="2:13" x14ac:dyDescent="0.25">
      <c r="B615" s="1" t="s">
        <v>45</v>
      </c>
      <c r="C615" s="1" t="s">
        <v>114</v>
      </c>
      <c r="D615" s="1" t="s">
        <v>115</v>
      </c>
      <c r="E615" s="1" t="s">
        <v>845</v>
      </c>
      <c r="F615" s="1">
        <v>1</v>
      </c>
      <c r="G615" s="1" t="s">
        <v>117</v>
      </c>
      <c r="H615" s="1" t="str">
        <f t="shared" si="54"/>
        <v xml:space="preserve">CEMPRESA='31' </v>
      </c>
      <c r="I615" s="1" t="str">
        <f t="shared" si="55"/>
        <v xml:space="preserve">AND CBALCAO='6416' </v>
      </c>
      <c r="J615" s="1" t="str">
        <f t="shared" si="56"/>
        <v xml:space="preserve">AND CNUMECTA='00000001085' </v>
      </c>
      <c r="K615" s="1" t="str">
        <f t="shared" si="57"/>
        <v xml:space="preserve">AND ZDEPOSIT='PC0657588000000' </v>
      </c>
      <c r="L615" s="1" t="str">
        <f t="shared" si="58"/>
        <v>WHEN CEMPRESA='31' AND CBALCAO='6416' AND CNUMECTA='00000001085' AND ZDEPOSIT='PC0657588000000' THEN 1</v>
      </c>
      <c r="M615" s="1" t="str">
        <f t="shared" si="59"/>
        <v>WHEN CEMPRESA='31' AND CBALCAO='6416' AND CNUMECTA='00000001085' AND ZDEPOSIT='PC0657588000000' THEN 'Sustainability Linked Finance - Default'</v>
      </c>
    </row>
    <row r="616" spans="2:13" x14ac:dyDescent="0.25">
      <c r="B616" s="1" t="s">
        <v>45</v>
      </c>
      <c r="C616" s="1" t="s">
        <v>46</v>
      </c>
      <c r="D616" s="1" t="s">
        <v>846</v>
      </c>
      <c r="E616" s="1" t="s">
        <v>48</v>
      </c>
      <c r="F616" s="1">
        <v>1</v>
      </c>
      <c r="G616" s="1" t="s">
        <v>60</v>
      </c>
      <c r="H616" s="1" t="str">
        <f t="shared" si="54"/>
        <v xml:space="preserve">CEMPRESA='31' </v>
      </c>
      <c r="I616" s="1" t="str">
        <f t="shared" si="55"/>
        <v xml:space="preserve">AND CBALCAO='0003' </v>
      </c>
      <c r="J616" s="1" t="str">
        <f t="shared" si="56"/>
        <v xml:space="preserve">AND CNUMECTA='20599741096' </v>
      </c>
      <c r="K616" s="1" t="str">
        <f t="shared" si="57"/>
        <v xml:space="preserve">AND ZDEPOSIT='000000000000000' </v>
      </c>
      <c r="L616" s="1" t="str">
        <f t="shared" si="58"/>
        <v>WHEN CEMPRESA='31' AND CBALCAO='0003' AND CNUMECTA='20599741096' AND ZDEPOSIT='000000000000000' THEN 1</v>
      </c>
      <c r="M616" s="1" t="str">
        <f t="shared" si="59"/>
        <v>WHEN CEMPRESA='31' AND CBALCAO='0003' AND CNUMECTA='20599741096' AND ZDEPOSIT='000000000000000' THEN 'A.3.7.'</v>
      </c>
    </row>
    <row r="617" spans="2:13" x14ac:dyDescent="0.25">
      <c r="B617" s="1" t="s">
        <v>45</v>
      </c>
      <c r="C617" s="1" t="s">
        <v>46</v>
      </c>
      <c r="D617" s="1" t="s">
        <v>847</v>
      </c>
      <c r="E617" s="1" t="s">
        <v>48</v>
      </c>
      <c r="F617" s="1">
        <v>1</v>
      </c>
      <c r="G617" s="1" t="s">
        <v>60</v>
      </c>
      <c r="H617" s="1" t="str">
        <f t="shared" si="54"/>
        <v xml:space="preserve">CEMPRESA='31' </v>
      </c>
      <c r="I617" s="1" t="str">
        <f t="shared" si="55"/>
        <v xml:space="preserve">AND CBALCAO='0003' </v>
      </c>
      <c r="J617" s="1" t="str">
        <f t="shared" si="56"/>
        <v xml:space="preserve">AND CNUMECTA='20524111096' </v>
      </c>
      <c r="K617" s="1" t="str">
        <f t="shared" si="57"/>
        <v xml:space="preserve">AND ZDEPOSIT='000000000000000' </v>
      </c>
      <c r="L617" s="1" t="str">
        <f t="shared" si="58"/>
        <v>WHEN CEMPRESA='31' AND CBALCAO='0003' AND CNUMECTA='20524111096' AND ZDEPOSIT='000000000000000' THEN 1</v>
      </c>
      <c r="M617" s="1" t="str">
        <f t="shared" si="59"/>
        <v>WHEN CEMPRESA='31' AND CBALCAO='0003' AND CNUMECTA='20524111096' AND ZDEPOSIT='000000000000000' THEN 'A.3.7.'</v>
      </c>
    </row>
    <row r="618" spans="2:13" x14ac:dyDescent="0.25">
      <c r="B618" s="1" t="s">
        <v>45</v>
      </c>
      <c r="C618" s="1" t="s">
        <v>46</v>
      </c>
      <c r="D618" s="1" t="s">
        <v>848</v>
      </c>
      <c r="E618" s="1" t="s">
        <v>48</v>
      </c>
      <c r="F618" s="1">
        <v>1</v>
      </c>
      <c r="G618" s="1" t="s">
        <v>60</v>
      </c>
      <c r="H618" s="1" t="str">
        <f t="shared" si="54"/>
        <v xml:space="preserve">CEMPRESA='31' </v>
      </c>
      <c r="I618" s="1" t="str">
        <f t="shared" si="55"/>
        <v xml:space="preserve">AND CBALCAO='0003' </v>
      </c>
      <c r="J618" s="1" t="str">
        <f t="shared" si="56"/>
        <v xml:space="preserve">AND CNUMECTA='20691274096' </v>
      </c>
      <c r="K618" s="1" t="str">
        <f t="shared" si="57"/>
        <v xml:space="preserve">AND ZDEPOSIT='000000000000000' </v>
      </c>
      <c r="L618" s="1" t="str">
        <f t="shared" si="58"/>
        <v>WHEN CEMPRESA='31' AND CBALCAO='0003' AND CNUMECTA='20691274096' AND ZDEPOSIT='000000000000000' THEN 1</v>
      </c>
      <c r="M618" s="1" t="str">
        <f t="shared" si="59"/>
        <v>WHEN CEMPRESA='31' AND CBALCAO='0003' AND CNUMECTA='20691274096' AND ZDEPOSIT='000000000000000' THEN 'A.3.7.'</v>
      </c>
    </row>
    <row r="619" spans="2:13" x14ac:dyDescent="0.25">
      <c r="B619" s="1" t="s">
        <v>45</v>
      </c>
      <c r="C619" s="1" t="s">
        <v>46</v>
      </c>
      <c r="D619" s="1" t="s">
        <v>849</v>
      </c>
      <c r="E619" s="1" t="s">
        <v>48</v>
      </c>
      <c r="F619" s="1">
        <v>1</v>
      </c>
      <c r="G619" s="1" t="s">
        <v>209</v>
      </c>
      <c r="H619" s="1" t="str">
        <f t="shared" si="54"/>
        <v xml:space="preserve">CEMPRESA='31' </v>
      </c>
      <c r="I619" s="1" t="str">
        <f t="shared" si="55"/>
        <v xml:space="preserve">AND CBALCAO='0003' </v>
      </c>
      <c r="J619" s="1" t="str">
        <f t="shared" si="56"/>
        <v xml:space="preserve">AND CNUMECTA='20659784096' </v>
      </c>
      <c r="K619" s="1" t="str">
        <f t="shared" si="57"/>
        <v xml:space="preserve">AND ZDEPOSIT='000000000000000' </v>
      </c>
      <c r="L619" s="1" t="str">
        <f t="shared" si="58"/>
        <v>WHEN CEMPRESA='31' AND CBALCAO='0003' AND CNUMECTA='20659784096' AND ZDEPOSIT='000000000000000' THEN 1</v>
      </c>
      <c r="M619" s="1" t="str">
        <f t="shared" si="59"/>
        <v>WHEN CEMPRESA='31' AND CBALCAO='0003' AND CNUMECTA='20659784096' AND ZDEPOSIT='000000000000000' THEN 'A.3.1.'</v>
      </c>
    </row>
    <row r="620" spans="2:13" x14ac:dyDescent="0.25">
      <c r="B620" s="1" t="s">
        <v>54</v>
      </c>
      <c r="C620" s="1" t="s">
        <v>55</v>
      </c>
      <c r="D620" s="1" t="s">
        <v>850</v>
      </c>
      <c r="E620" s="1" t="s">
        <v>851</v>
      </c>
      <c r="F620" s="1">
        <v>1</v>
      </c>
      <c r="G620" s="1" t="s">
        <v>58</v>
      </c>
      <c r="H620" s="1" t="str">
        <f t="shared" si="54"/>
        <v xml:space="preserve">CEMPRESA='89' </v>
      </c>
      <c r="I620" s="1" t="str">
        <f t="shared" si="55"/>
        <v xml:space="preserve">AND CBALCAO='0000' </v>
      </c>
      <c r="J620" s="1" t="str">
        <f t="shared" si="56"/>
        <v xml:space="preserve">AND CNUMECTA='00008046605' </v>
      </c>
      <c r="K620" s="1" t="str">
        <f t="shared" si="57"/>
        <v xml:space="preserve">AND ZDEPOSIT='000530000751301' </v>
      </c>
      <c r="L620" s="1" t="str">
        <f t="shared" si="58"/>
        <v>WHEN CEMPRESA='89' AND CBALCAO='0000' AND CNUMECTA='00008046605' AND ZDEPOSIT='000530000751301' THEN 1</v>
      </c>
      <c r="M620" s="1" t="str">
        <f t="shared" si="59"/>
        <v>WHEN CEMPRESA='89' AND CBALCAO='0000' AND CNUMECTA='00008046605' AND ZDEPOSIT='000530000751301' THEN 'A.2.5.'</v>
      </c>
    </row>
    <row r="621" spans="2:13" x14ac:dyDescent="0.25">
      <c r="B621" s="1" t="s">
        <v>45</v>
      </c>
      <c r="C621" s="1" t="s">
        <v>46</v>
      </c>
      <c r="D621" s="1" t="s">
        <v>852</v>
      </c>
      <c r="E621" s="1" t="s">
        <v>48</v>
      </c>
      <c r="F621" s="1">
        <v>1</v>
      </c>
      <c r="G621" s="1" t="s">
        <v>76</v>
      </c>
      <c r="H621" s="1" t="str">
        <f t="shared" si="54"/>
        <v xml:space="preserve">CEMPRESA='31' </v>
      </c>
      <c r="I621" s="1" t="str">
        <f t="shared" si="55"/>
        <v xml:space="preserve">AND CBALCAO='0003' </v>
      </c>
      <c r="J621" s="1" t="str">
        <f t="shared" si="56"/>
        <v xml:space="preserve">AND CNUMECTA='18611135097' </v>
      </c>
      <c r="K621" s="1" t="str">
        <f t="shared" si="57"/>
        <v xml:space="preserve">AND ZDEPOSIT='000000000000000' </v>
      </c>
      <c r="L621" s="1" t="str">
        <f t="shared" si="58"/>
        <v>WHEN CEMPRESA='31' AND CBALCAO='0003' AND CNUMECTA='18611135097' AND ZDEPOSIT='000000000000000' THEN 1</v>
      </c>
      <c r="M621" s="1" t="str">
        <f t="shared" si="59"/>
        <v>WHEN CEMPRESA='31' AND CBALCAO='0003' AND CNUMECTA='18611135097' AND ZDEPOSIT='000000000000000' THEN 'A.7.7.'</v>
      </c>
    </row>
    <row r="622" spans="2:13" x14ac:dyDescent="0.25">
      <c r="B622" s="1" t="s">
        <v>45</v>
      </c>
      <c r="C622" s="1" t="s">
        <v>46</v>
      </c>
      <c r="D622" s="1" t="s">
        <v>853</v>
      </c>
      <c r="E622" s="1" t="s">
        <v>48</v>
      </c>
      <c r="F622" s="1">
        <v>1</v>
      </c>
      <c r="G622" s="1" t="s">
        <v>60</v>
      </c>
      <c r="H622" s="1" t="str">
        <f t="shared" si="54"/>
        <v xml:space="preserve">CEMPRESA='31' </v>
      </c>
      <c r="I622" s="1" t="str">
        <f t="shared" si="55"/>
        <v xml:space="preserve">AND CBALCAO='0003' </v>
      </c>
      <c r="J622" s="1" t="str">
        <f t="shared" si="56"/>
        <v xml:space="preserve">AND CNUMECTA='20728142096' </v>
      </c>
      <c r="K622" s="1" t="str">
        <f t="shared" si="57"/>
        <v xml:space="preserve">AND ZDEPOSIT='000000000000000' </v>
      </c>
      <c r="L622" s="1" t="str">
        <f t="shared" si="58"/>
        <v>WHEN CEMPRESA='31' AND CBALCAO='0003' AND CNUMECTA='20728142096' AND ZDEPOSIT='000000000000000' THEN 1</v>
      </c>
      <c r="M622" s="1" t="str">
        <f t="shared" si="59"/>
        <v>WHEN CEMPRESA='31' AND CBALCAO='0003' AND CNUMECTA='20728142096' AND ZDEPOSIT='000000000000000' THEN 'A.3.7.'</v>
      </c>
    </row>
    <row r="623" spans="2:13" x14ac:dyDescent="0.25">
      <c r="B623" s="1" t="s">
        <v>45</v>
      </c>
      <c r="C623" s="1" t="s">
        <v>46</v>
      </c>
      <c r="D623" s="1" t="s">
        <v>854</v>
      </c>
      <c r="E623" s="1" t="s">
        <v>48</v>
      </c>
      <c r="F623" s="1">
        <v>1</v>
      </c>
      <c r="G623" s="1" t="s">
        <v>51</v>
      </c>
      <c r="H623" s="1" t="str">
        <f t="shared" si="54"/>
        <v xml:space="preserve">CEMPRESA='31' </v>
      </c>
      <c r="I623" s="1" t="str">
        <f t="shared" si="55"/>
        <v xml:space="preserve">AND CBALCAO='0003' </v>
      </c>
      <c r="J623" s="1" t="str">
        <f t="shared" si="56"/>
        <v xml:space="preserve">AND CNUMECTA='20659792096' </v>
      </c>
      <c r="K623" s="1" t="str">
        <f t="shared" si="57"/>
        <v xml:space="preserve">AND ZDEPOSIT='000000000000000' </v>
      </c>
      <c r="L623" s="1" t="str">
        <f t="shared" si="58"/>
        <v>WHEN CEMPRESA='31' AND CBALCAO='0003' AND CNUMECTA='20659792096' AND ZDEPOSIT='000000000000000' THEN 1</v>
      </c>
      <c r="M623" s="1" t="str">
        <f t="shared" si="59"/>
        <v>WHEN CEMPRESA='31' AND CBALCAO='0003' AND CNUMECTA='20659792096' AND ZDEPOSIT='000000000000000' THEN 'B.1.'</v>
      </c>
    </row>
    <row r="624" spans="2:13" x14ac:dyDescent="0.25">
      <c r="B624" s="1" t="s">
        <v>45</v>
      </c>
      <c r="C624" s="1" t="s">
        <v>46</v>
      </c>
      <c r="D624" s="1" t="s">
        <v>855</v>
      </c>
      <c r="E624" s="1" t="s">
        <v>48</v>
      </c>
      <c r="F624" s="1">
        <v>1</v>
      </c>
      <c r="G624" s="1" t="s">
        <v>60</v>
      </c>
      <c r="H624" s="1" t="str">
        <f t="shared" si="54"/>
        <v xml:space="preserve">CEMPRESA='31' </v>
      </c>
      <c r="I624" s="1" t="str">
        <f t="shared" si="55"/>
        <v xml:space="preserve">AND CBALCAO='0003' </v>
      </c>
      <c r="J624" s="1" t="str">
        <f t="shared" si="56"/>
        <v xml:space="preserve">AND CNUMECTA='20652078096' </v>
      </c>
      <c r="K624" s="1" t="str">
        <f t="shared" si="57"/>
        <v xml:space="preserve">AND ZDEPOSIT='000000000000000' </v>
      </c>
      <c r="L624" s="1" t="str">
        <f t="shared" si="58"/>
        <v>WHEN CEMPRESA='31' AND CBALCAO='0003' AND CNUMECTA='20652078096' AND ZDEPOSIT='000000000000000' THEN 1</v>
      </c>
      <c r="M624" s="1" t="str">
        <f t="shared" si="59"/>
        <v>WHEN CEMPRESA='31' AND CBALCAO='0003' AND CNUMECTA='20652078096' AND ZDEPOSIT='000000000000000' THEN 'A.3.7.'</v>
      </c>
    </row>
    <row r="625" spans="2:13" x14ac:dyDescent="0.25">
      <c r="B625" s="1" t="s">
        <v>45</v>
      </c>
      <c r="C625" s="1" t="s">
        <v>46</v>
      </c>
      <c r="D625" s="1" t="s">
        <v>856</v>
      </c>
      <c r="E625" s="1" t="s">
        <v>48</v>
      </c>
      <c r="F625" s="1">
        <v>1</v>
      </c>
      <c r="G625" s="1" t="s">
        <v>209</v>
      </c>
      <c r="H625" s="1" t="str">
        <f t="shared" si="54"/>
        <v xml:space="preserve">CEMPRESA='31' </v>
      </c>
      <c r="I625" s="1" t="str">
        <f t="shared" si="55"/>
        <v xml:space="preserve">AND CBALCAO='0003' </v>
      </c>
      <c r="J625" s="1" t="str">
        <f t="shared" si="56"/>
        <v xml:space="preserve">AND CNUMECTA='20432703096' </v>
      </c>
      <c r="K625" s="1" t="str">
        <f t="shared" si="57"/>
        <v xml:space="preserve">AND ZDEPOSIT='000000000000000' </v>
      </c>
      <c r="L625" s="1" t="str">
        <f t="shared" si="58"/>
        <v>WHEN CEMPRESA='31' AND CBALCAO='0003' AND CNUMECTA='20432703096' AND ZDEPOSIT='000000000000000' THEN 1</v>
      </c>
      <c r="M625" s="1" t="str">
        <f t="shared" si="59"/>
        <v>WHEN CEMPRESA='31' AND CBALCAO='0003' AND CNUMECTA='20432703096' AND ZDEPOSIT='000000000000000' THEN 'A.3.1.'</v>
      </c>
    </row>
    <row r="626" spans="2:13" x14ac:dyDescent="0.25">
      <c r="B626" s="1" t="s">
        <v>45</v>
      </c>
      <c r="C626" s="1" t="s">
        <v>46</v>
      </c>
      <c r="D626" s="1" t="s">
        <v>857</v>
      </c>
      <c r="E626" s="1" t="s">
        <v>48</v>
      </c>
      <c r="F626" s="1">
        <v>1</v>
      </c>
      <c r="G626" s="1" t="s">
        <v>60</v>
      </c>
      <c r="H626" s="1" t="str">
        <f t="shared" si="54"/>
        <v xml:space="preserve">CEMPRESA='31' </v>
      </c>
      <c r="I626" s="1" t="str">
        <f t="shared" si="55"/>
        <v xml:space="preserve">AND CBALCAO='0003' </v>
      </c>
      <c r="J626" s="1" t="str">
        <f t="shared" si="56"/>
        <v xml:space="preserve">AND CNUMECTA='20629233096' </v>
      </c>
      <c r="K626" s="1" t="str">
        <f t="shared" si="57"/>
        <v xml:space="preserve">AND ZDEPOSIT='000000000000000' </v>
      </c>
      <c r="L626" s="1" t="str">
        <f t="shared" si="58"/>
        <v>WHEN CEMPRESA='31' AND CBALCAO='0003' AND CNUMECTA='20629233096' AND ZDEPOSIT='000000000000000' THEN 1</v>
      </c>
      <c r="M626" s="1" t="str">
        <f t="shared" si="59"/>
        <v>WHEN CEMPRESA='31' AND CBALCAO='0003' AND CNUMECTA='20629233096' AND ZDEPOSIT='000000000000000' THEN 'A.3.7.'</v>
      </c>
    </row>
    <row r="627" spans="2:13" x14ac:dyDescent="0.25">
      <c r="B627" s="1" t="s">
        <v>45</v>
      </c>
      <c r="C627" s="1" t="s">
        <v>46</v>
      </c>
      <c r="D627" s="1" t="s">
        <v>858</v>
      </c>
      <c r="E627" s="1" t="s">
        <v>48</v>
      </c>
      <c r="F627" s="1">
        <v>1</v>
      </c>
      <c r="G627" s="1" t="s">
        <v>60</v>
      </c>
      <c r="H627" s="1" t="str">
        <f t="shared" si="54"/>
        <v xml:space="preserve">CEMPRESA='31' </v>
      </c>
      <c r="I627" s="1" t="str">
        <f t="shared" si="55"/>
        <v xml:space="preserve">AND CBALCAO='0003' </v>
      </c>
      <c r="J627" s="1" t="str">
        <f t="shared" si="56"/>
        <v xml:space="preserve">AND CNUMECTA='20520226096' </v>
      </c>
      <c r="K627" s="1" t="str">
        <f t="shared" si="57"/>
        <v xml:space="preserve">AND ZDEPOSIT='000000000000000' </v>
      </c>
      <c r="L627" s="1" t="str">
        <f t="shared" si="58"/>
        <v>WHEN CEMPRESA='31' AND CBALCAO='0003' AND CNUMECTA='20520226096' AND ZDEPOSIT='000000000000000' THEN 1</v>
      </c>
      <c r="M627" s="1" t="str">
        <f t="shared" si="59"/>
        <v>WHEN CEMPRESA='31' AND CBALCAO='0003' AND CNUMECTA='20520226096' AND ZDEPOSIT='000000000000000' THEN 'A.3.7.'</v>
      </c>
    </row>
    <row r="628" spans="2:13" x14ac:dyDescent="0.25">
      <c r="B628" s="1" t="s">
        <v>45</v>
      </c>
      <c r="C628" s="1" t="s">
        <v>46</v>
      </c>
      <c r="D628" s="1" t="s">
        <v>859</v>
      </c>
      <c r="E628" s="1" t="s">
        <v>48</v>
      </c>
      <c r="F628" s="1">
        <v>1</v>
      </c>
      <c r="G628" s="1" t="s">
        <v>51</v>
      </c>
      <c r="H628" s="1" t="str">
        <f t="shared" si="54"/>
        <v xml:space="preserve">CEMPRESA='31' </v>
      </c>
      <c r="I628" s="1" t="str">
        <f t="shared" si="55"/>
        <v xml:space="preserve">AND CBALCAO='0003' </v>
      </c>
      <c r="J628" s="1" t="str">
        <f t="shared" si="56"/>
        <v xml:space="preserve">AND CNUMECTA='20590187096' </v>
      </c>
      <c r="K628" s="1" t="str">
        <f t="shared" si="57"/>
        <v xml:space="preserve">AND ZDEPOSIT='000000000000000' </v>
      </c>
      <c r="L628" s="1" t="str">
        <f t="shared" si="58"/>
        <v>WHEN CEMPRESA='31' AND CBALCAO='0003' AND CNUMECTA='20590187096' AND ZDEPOSIT='000000000000000' THEN 1</v>
      </c>
      <c r="M628" s="1" t="str">
        <f t="shared" si="59"/>
        <v>WHEN CEMPRESA='31' AND CBALCAO='0003' AND CNUMECTA='20590187096' AND ZDEPOSIT='000000000000000' THEN 'B.1.'</v>
      </c>
    </row>
    <row r="629" spans="2:13" x14ac:dyDescent="0.25">
      <c r="B629" s="1" t="s">
        <v>45</v>
      </c>
      <c r="C629" s="1" t="s">
        <v>46</v>
      </c>
      <c r="D629" s="1" t="s">
        <v>860</v>
      </c>
      <c r="E629" s="1" t="s">
        <v>48</v>
      </c>
      <c r="F629" s="1">
        <v>1</v>
      </c>
      <c r="G629" s="1" t="s">
        <v>60</v>
      </c>
      <c r="H629" s="1" t="str">
        <f t="shared" si="54"/>
        <v xml:space="preserve">CEMPRESA='31' </v>
      </c>
      <c r="I629" s="1" t="str">
        <f t="shared" si="55"/>
        <v xml:space="preserve">AND CBALCAO='0003' </v>
      </c>
      <c r="J629" s="1" t="str">
        <f t="shared" si="56"/>
        <v xml:space="preserve">AND CNUMECTA='20551361096' </v>
      </c>
      <c r="K629" s="1" t="str">
        <f t="shared" si="57"/>
        <v xml:space="preserve">AND ZDEPOSIT='000000000000000' </v>
      </c>
      <c r="L629" s="1" t="str">
        <f t="shared" si="58"/>
        <v>WHEN CEMPRESA='31' AND CBALCAO='0003' AND CNUMECTA='20551361096' AND ZDEPOSIT='000000000000000' THEN 1</v>
      </c>
      <c r="M629" s="1" t="str">
        <f t="shared" si="59"/>
        <v>WHEN CEMPRESA='31' AND CBALCAO='0003' AND CNUMECTA='20551361096' AND ZDEPOSIT='000000000000000' THEN 'A.3.7.'</v>
      </c>
    </row>
    <row r="630" spans="2:13" x14ac:dyDescent="0.25">
      <c r="B630" s="1" t="s">
        <v>45</v>
      </c>
      <c r="C630" s="1" t="s">
        <v>46</v>
      </c>
      <c r="D630" s="1" t="s">
        <v>861</v>
      </c>
      <c r="E630" s="1" t="s">
        <v>48</v>
      </c>
      <c r="F630" s="1">
        <v>1</v>
      </c>
      <c r="G630" s="1" t="s">
        <v>209</v>
      </c>
      <c r="H630" s="1" t="str">
        <f t="shared" si="54"/>
        <v xml:space="preserve">CEMPRESA='31' </v>
      </c>
      <c r="I630" s="1" t="str">
        <f t="shared" si="55"/>
        <v xml:space="preserve">AND CBALCAO='0003' </v>
      </c>
      <c r="J630" s="1" t="str">
        <f t="shared" si="56"/>
        <v xml:space="preserve">AND CNUMECTA='20537519096' </v>
      </c>
      <c r="K630" s="1" t="str">
        <f t="shared" si="57"/>
        <v xml:space="preserve">AND ZDEPOSIT='000000000000000' </v>
      </c>
      <c r="L630" s="1" t="str">
        <f t="shared" si="58"/>
        <v>WHEN CEMPRESA='31' AND CBALCAO='0003' AND CNUMECTA='20537519096' AND ZDEPOSIT='000000000000000' THEN 1</v>
      </c>
      <c r="M630" s="1" t="str">
        <f t="shared" si="59"/>
        <v>WHEN CEMPRESA='31' AND CBALCAO='0003' AND CNUMECTA='20537519096' AND ZDEPOSIT='000000000000000' THEN 'A.3.1.'</v>
      </c>
    </row>
    <row r="631" spans="2:13" x14ac:dyDescent="0.25">
      <c r="B631" s="1" t="s">
        <v>54</v>
      </c>
      <c r="C631" s="1" t="s">
        <v>55</v>
      </c>
      <c r="D631" s="1" t="s">
        <v>862</v>
      </c>
      <c r="E631" s="1" t="s">
        <v>863</v>
      </c>
      <c r="F631" s="1">
        <v>1</v>
      </c>
      <c r="G631" s="1" t="s">
        <v>58</v>
      </c>
      <c r="H631" s="1" t="str">
        <f t="shared" si="54"/>
        <v xml:space="preserve">CEMPRESA='89' </v>
      </c>
      <c r="I631" s="1" t="str">
        <f t="shared" si="55"/>
        <v xml:space="preserve">AND CBALCAO='0000' </v>
      </c>
      <c r="J631" s="1" t="str">
        <f t="shared" si="56"/>
        <v xml:space="preserve">AND CNUMECTA='00008046616' </v>
      </c>
      <c r="K631" s="1" t="str">
        <f t="shared" si="57"/>
        <v xml:space="preserve">AND ZDEPOSIT='000530000776714' </v>
      </c>
      <c r="L631" s="1" t="str">
        <f t="shared" si="58"/>
        <v>WHEN CEMPRESA='89' AND CBALCAO='0000' AND CNUMECTA='00008046616' AND ZDEPOSIT='000530000776714' THEN 1</v>
      </c>
      <c r="M631" s="1" t="str">
        <f t="shared" si="59"/>
        <v>WHEN CEMPRESA='89' AND CBALCAO='0000' AND CNUMECTA='00008046616' AND ZDEPOSIT='000530000776714' THEN 'A.2.5.'</v>
      </c>
    </row>
    <row r="632" spans="2:13" x14ac:dyDescent="0.25">
      <c r="B632" s="1" t="s">
        <v>54</v>
      </c>
      <c r="C632" s="1" t="s">
        <v>55</v>
      </c>
      <c r="D632" s="1" t="s">
        <v>864</v>
      </c>
      <c r="E632" s="1" t="s">
        <v>865</v>
      </c>
      <c r="F632" s="1">
        <v>1</v>
      </c>
      <c r="G632" s="1" t="s">
        <v>58</v>
      </c>
      <c r="H632" s="1" t="str">
        <f t="shared" si="54"/>
        <v xml:space="preserve">CEMPRESA='89' </v>
      </c>
      <c r="I632" s="1" t="str">
        <f t="shared" si="55"/>
        <v xml:space="preserve">AND CBALCAO='0000' </v>
      </c>
      <c r="J632" s="1" t="str">
        <f t="shared" si="56"/>
        <v xml:space="preserve">AND CNUMECTA='00008046621' </v>
      </c>
      <c r="K632" s="1" t="str">
        <f t="shared" si="57"/>
        <v xml:space="preserve">AND ZDEPOSIT='000530000778470' </v>
      </c>
      <c r="L632" s="1" t="str">
        <f t="shared" si="58"/>
        <v>WHEN CEMPRESA='89' AND CBALCAO='0000' AND CNUMECTA='00008046621' AND ZDEPOSIT='000530000778470' THEN 1</v>
      </c>
      <c r="M632" s="1" t="str">
        <f t="shared" si="59"/>
        <v>WHEN CEMPRESA='89' AND CBALCAO='0000' AND CNUMECTA='00008046621' AND ZDEPOSIT='000530000778470' THEN 'A.2.5.'</v>
      </c>
    </row>
    <row r="633" spans="2:13" x14ac:dyDescent="0.25">
      <c r="B633" s="1" t="s">
        <v>45</v>
      </c>
      <c r="C633" s="1" t="s">
        <v>46</v>
      </c>
      <c r="D633" s="1" t="s">
        <v>866</v>
      </c>
      <c r="E633" s="1" t="s">
        <v>48</v>
      </c>
      <c r="F633" s="1">
        <v>1</v>
      </c>
      <c r="G633" s="1" t="s">
        <v>60</v>
      </c>
      <c r="H633" s="1" t="str">
        <f t="shared" si="54"/>
        <v xml:space="preserve">CEMPRESA='31' </v>
      </c>
      <c r="I633" s="1" t="str">
        <f t="shared" si="55"/>
        <v xml:space="preserve">AND CBALCAO='0003' </v>
      </c>
      <c r="J633" s="1" t="str">
        <f t="shared" si="56"/>
        <v xml:space="preserve">AND CNUMECTA='20728829096' </v>
      </c>
      <c r="K633" s="1" t="str">
        <f t="shared" si="57"/>
        <v xml:space="preserve">AND ZDEPOSIT='000000000000000' </v>
      </c>
      <c r="L633" s="1" t="str">
        <f t="shared" si="58"/>
        <v>WHEN CEMPRESA='31' AND CBALCAO='0003' AND CNUMECTA='20728829096' AND ZDEPOSIT='000000000000000' THEN 1</v>
      </c>
      <c r="M633" s="1" t="str">
        <f t="shared" si="59"/>
        <v>WHEN CEMPRESA='31' AND CBALCAO='0003' AND CNUMECTA='20728829096' AND ZDEPOSIT='000000000000000' THEN 'A.3.7.'</v>
      </c>
    </row>
    <row r="634" spans="2:13" x14ac:dyDescent="0.25">
      <c r="B634" s="1" t="s">
        <v>54</v>
      </c>
      <c r="C634" s="1" t="s">
        <v>55</v>
      </c>
      <c r="D634" s="1" t="s">
        <v>867</v>
      </c>
      <c r="E634" s="1" t="s">
        <v>868</v>
      </c>
      <c r="F634" s="1">
        <v>1</v>
      </c>
      <c r="G634" s="1" t="s">
        <v>58</v>
      </c>
      <c r="H634" s="1" t="str">
        <f t="shared" si="54"/>
        <v xml:space="preserve">CEMPRESA='89' </v>
      </c>
      <c r="I634" s="1" t="str">
        <f t="shared" si="55"/>
        <v xml:space="preserve">AND CBALCAO='0000' </v>
      </c>
      <c r="J634" s="1" t="str">
        <f t="shared" si="56"/>
        <v xml:space="preserve">AND CNUMECTA='00000249937' </v>
      </c>
      <c r="K634" s="1" t="str">
        <f t="shared" si="57"/>
        <v xml:space="preserve">AND ZDEPOSIT='000450000776704' </v>
      </c>
      <c r="L634" s="1" t="str">
        <f t="shared" si="58"/>
        <v>WHEN CEMPRESA='89' AND CBALCAO='0000' AND CNUMECTA='00000249937' AND ZDEPOSIT='000450000776704' THEN 1</v>
      </c>
      <c r="M634" s="1" t="str">
        <f t="shared" si="59"/>
        <v>WHEN CEMPRESA='89' AND CBALCAO='0000' AND CNUMECTA='00000249937' AND ZDEPOSIT='000450000776704' THEN 'A.2.5.'</v>
      </c>
    </row>
    <row r="635" spans="2:13" x14ac:dyDescent="0.25">
      <c r="B635" s="1" t="s">
        <v>45</v>
      </c>
      <c r="C635" s="1" t="s">
        <v>46</v>
      </c>
      <c r="D635" s="1" t="s">
        <v>869</v>
      </c>
      <c r="E635" s="1" t="s">
        <v>48</v>
      </c>
      <c r="F635" s="1">
        <v>1</v>
      </c>
      <c r="G635" s="1" t="s">
        <v>51</v>
      </c>
      <c r="H635" s="1" t="str">
        <f t="shared" si="54"/>
        <v xml:space="preserve">CEMPRESA='31' </v>
      </c>
      <c r="I635" s="1" t="str">
        <f t="shared" si="55"/>
        <v xml:space="preserve">AND CBALCAO='0003' </v>
      </c>
      <c r="J635" s="1" t="str">
        <f t="shared" si="56"/>
        <v xml:space="preserve">AND CNUMECTA='20535414096' </v>
      </c>
      <c r="K635" s="1" t="str">
        <f t="shared" si="57"/>
        <v xml:space="preserve">AND ZDEPOSIT='000000000000000' </v>
      </c>
      <c r="L635" s="1" t="str">
        <f t="shared" si="58"/>
        <v>WHEN CEMPRESA='31' AND CBALCAO='0003' AND CNUMECTA='20535414096' AND ZDEPOSIT='000000000000000' THEN 1</v>
      </c>
      <c r="M635" s="1" t="str">
        <f t="shared" si="59"/>
        <v>WHEN CEMPRESA='31' AND CBALCAO='0003' AND CNUMECTA='20535414096' AND ZDEPOSIT='000000000000000' THEN 'B.1.'</v>
      </c>
    </row>
    <row r="636" spans="2:13" x14ac:dyDescent="0.25">
      <c r="B636" s="1" t="s">
        <v>54</v>
      </c>
      <c r="C636" s="1" t="s">
        <v>55</v>
      </c>
      <c r="D636" s="1" t="s">
        <v>870</v>
      </c>
      <c r="E636" s="1" t="s">
        <v>871</v>
      </c>
      <c r="F636" s="1">
        <v>1</v>
      </c>
      <c r="G636" s="1" t="s">
        <v>58</v>
      </c>
      <c r="H636" s="1" t="str">
        <f t="shared" si="54"/>
        <v xml:space="preserve">CEMPRESA='89' </v>
      </c>
      <c r="I636" s="1" t="str">
        <f t="shared" si="55"/>
        <v xml:space="preserve">AND CBALCAO='0000' </v>
      </c>
      <c r="J636" s="1" t="str">
        <f t="shared" si="56"/>
        <v xml:space="preserve">AND CNUMECTA='00008046512' </v>
      </c>
      <c r="K636" s="1" t="str">
        <f t="shared" si="57"/>
        <v xml:space="preserve">AND ZDEPOSIT='000530000771105' </v>
      </c>
      <c r="L636" s="1" t="str">
        <f t="shared" si="58"/>
        <v>WHEN CEMPRESA='89' AND CBALCAO='0000' AND CNUMECTA='00008046512' AND ZDEPOSIT='000530000771105' THEN 1</v>
      </c>
      <c r="M636" s="1" t="str">
        <f t="shared" si="59"/>
        <v>WHEN CEMPRESA='89' AND CBALCAO='0000' AND CNUMECTA='00008046512' AND ZDEPOSIT='000530000771105' THEN 'A.2.5.'</v>
      </c>
    </row>
    <row r="637" spans="2:13" x14ac:dyDescent="0.25">
      <c r="B637" s="1" t="s">
        <v>45</v>
      </c>
      <c r="C637" s="1" t="s">
        <v>46</v>
      </c>
      <c r="D637" s="1" t="s">
        <v>872</v>
      </c>
      <c r="E637" s="1" t="s">
        <v>48</v>
      </c>
      <c r="F637" s="1">
        <v>1</v>
      </c>
      <c r="G637" s="1" t="s">
        <v>60</v>
      </c>
      <c r="H637" s="1" t="str">
        <f t="shared" si="54"/>
        <v xml:space="preserve">CEMPRESA='31' </v>
      </c>
      <c r="I637" s="1" t="str">
        <f t="shared" si="55"/>
        <v xml:space="preserve">AND CBALCAO='0003' </v>
      </c>
      <c r="J637" s="1" t="str">
        <f t="shared" si="56"/>
        <v xml:space="preserve">AND CNUMECTA='20553110096' </v>
      </c>
      <c r="K637" s="1" t="str">
        <f t="shared" si="57"/>
        <v xml:space="preserve">AND ZDEPOSIT='000000000000000' </v>
      </c>
      <c r="L637" s="1" t="str">
        <f t="shared" si="58"/>
        <v>WHEN CEMPRESA='31' AND CBALCAO='0003' AND CNUMECTA='20553110096' AND ZDEPOSIT='000000000000000' THEN 1</v>
      </c>
      <c r="M637" s="1" t="str">
        <f t="shared" si="59"/>
        <v>WHEN CEMPRESA='31' AND CBALCAO='0003' AND CNUMECTA='20553110096' AND ZDEPOSIT='000000000000000' THEN 'A.3.7.'</v>
      </c>
    </row>
    <row r="638" spans="2:13" x14ac:dyDescent="0.25">
      <c r="B638" s="1" t="s">
        <v>45</v>
      </c>
      <c r="C638" s="1" t="s">
        <v>46</v>
      </c>
      <c r="D638" s="1" t="s">
        <v>873</v>
      </c>
      <c r="E638" s="1" t="s">
        <v>48</v>
      </c>
      <c r="F638" s="1">
        <v>1</v>
      </c>
      <c r="G638" s="1" t="s">
        <v>60</v>
      </c>
      <c r="H638" s="1" t="str">
        <f t="shared" si="54"/>
        <v xml:space="preserve">CEMPRESA='31' </v>
      </c>
      <c r="I638" s="1" t="str">
        <f t="shared" si="55"/>
        <v xml:space="preserve">AND CBALCAO='0003' </v>
      </c>
      <c r="J638" s="1" t="str">
        <f t="shared" si="56"/>
        <v xml:space="preserve">AND CNUMECTA='20525480096' </v>
      </c>
      <c r="K638" s="1" t="str">
        <f t="shared" si="57"/>
        <v xml:space="preserve">AND ZDEPOSIT='000000000000000' </v>
      </c>
      <c r="L638" s="1" t="str">
        <f t="shared" si="58"/>
        <v>WHEN CEMPRESA='31' AND CBALCAO='0003' AND CNUMECTA='20525480096' AND ZDEPOSIT='000000000000000' THEN 1</v>
      </c>
      <c r="M638" s="1" t="str">
        <f t="shared" si="59"/>
        <v>WHEN CEMPRESA='31' AND CBALCAO='0003' AND CNUMECTA='20525480096' AND ZDEPOSIT='000000000000000' THEN 'A.3.7.'</v>
      </c>
    </row>
    <row r="639" spans="2:13" x14ac:dyDescent="0.25">
      <c r="B639" s="1" t="s">
        <v>45</v>
      </c>
      <c r="C639" s="1" t="s">
        <v>46</v>
      </c>
      <c r="D639" s="1" t="s">
        <v>874</v>
      </c>
      <c r="E639" s="1" t="s">
        <v>48</v>
      </c>
      <c r="F639" s="1">
        <v>1</v>
      </c>
      <c r="G639" s="1" t="s">
        <v>60</v>
      </c>
      <c r="H639" s="1" t="str">
        <f t="shared" si="54"/>
        <v xml:space="preserve">CEMPRESA='31' </v>
      </c>
      <c r="I639" s="1" t="str">
        <f t="shared" si="55"/>
        <v xml:space="preserve">AND CBALCAO='0003' </v>
      </c>
      <c r="J639" s="1" t="str">
        <f t="shared" si="56"/>
        <v xml:space="preserve">AND CNUMECTA='20711635096' </v>
      </c>
      <c r="K639" s="1" t="str">
        <f t="shared" si="57"/>
        <v xml:space="preserve">AND ZDEPOSIT='000000000000000' </v>
      </c>
      <c r="L639" s="1" t="str">
        <f t="shared" si="58"/>
        <v>WHEN CEMPRESA='31' AND CBALCAO='0003' AND CNUMECTA='20711635096' AND ZDEPOSIT='000000000000000' THEN 1</v>
      </c>
      <c r="M639" s="1" t="str">
        <f t="shared" si="59"/>
        <v>WHEN CEMPRESA='31' AND CBALCAO='0003' AND CNUMECTA='20711635096' AND ZDEPOSIT='000000000000000' THEN 'A.3.7.'</v>
      </c>
    </row>
    <row r="640" spans="2:13" x14ac:dyDescent="0.25">
      <c r="B640" s="1" t="s">
        <v>54</v>
      </c>
      <c r="C640" s="1" t="s">
        <v>55</v>
      </c>
      <c r="D640" s="1" t="s">
        <v>875</v>
      </c>
      <c r="E640" s="1" t="s">
        <v>876</v>
      </c>
      <c r="F640" s="1">
        <v>1</v>
      </c>
      <c r="G640" s="1" t="s">
        <v>58</v>
      </c>
      <c r="H640" s="1" t="str">
        <f t="shared" si="54"/>
        <v xml:space="preserve">CEMPRESA='89' </v>
      </c>
      <c r="I640" s="1" t="str">
        <f t="shared" si="55"/>
        <v xml:space="preserve">AND CBALCAO='0000' </v>
      </c>
      <c r="J640" s="1" t="str">
        <f t="shared" si="56"/>
        <v xml:space="preserve">AND CNUMECTA='00008046503' </v>
      </c>
      <c r="K640" s="1" t="str">
        <f t="shared" si="57"/>
        <v xml:space="preserve">AND ZDEPOSIT='000530000775589' </v>
      </c>
      <c r="L640" s="1" t="str">
        <f t="shared" si="58"/>
        <v>WHEN CEMPRESA='89' AND CBALCAO='0000' AND CNUMECTA='00008046503' AND ZDEPOSIT='000530000775589' THEN 1</v>
      </c>
      <c r="M640" s="1" t="str">
        <f t="shared" si="59"/>
        <v>WHEN CEMPRESA='89' AND CBALCAO='0000' AND CNUMECTA='00008046503' AND ZDEPOSIT='000530000775589' THEN 'A.2.5.'</v>
      </c>
    </row>
    <row r="641" spans="2:13" x14ac:dyDescent="0.25">
      <c r="B641" s="1" t="s">
        <v>45</v>
      </c>
      <c r="C641" s="1" t="s">
        <v>46</v>
      </c>
      <c r="D641" s="1" t="s">
        <v>877</v>
      </c>
      <c r="E641" s="1" t="s">
        <v>48</v>
      </c>
      <c r="F641" s="1">
        <v>1</v>
      </c>
      <c r="G641" s="1" t="s">
        <v>60</v>
      </c>
      <c r="H641" s="1" t="str">
        <f t="shared" si="54"/>
        <v xml:space="preserve">CEMPRESA='31' </v>
      </c>
      <c r="I641" s="1" t="str">
        <f t="shared" si="55"/>
        <v xml:space="preserve">AND CBALCAO='0003' </v>
      </c>
      <c r="J641" s="1" t="str">
        <f t="shared" si="56"/>
        <v xml:space="preserve">AND CNUMECTA='20574223096' </v>
      </c>
      <c r="K641" s="1" t="str">
        <f t="shared" si="57"/>
        <v xml:space="preserve">AND ZDEPOSIT='000000000000000' </v>
      </c>
      <c r="L641" s="1" t="str">
        <f t="shared" si="58"/>
        <v>WHEN CEMPRESA='31' AND CBALCAO='0003' AND CNUMECTA='20574223096' AND ZDEPOSIT='000000000000000' THEN 1</v>
      </c>
      <c r="M641" s="1" t="str">
        <f t="shared" si="59"/>
        <v>WHEN CEMPRESA='31' AND CBALCAO='0003' AND CNUMECTA='20574223096' AND ZDEPOSIT='000000000000000' THEN 'A.3.7.'</v>
      </c>
    </row>
    <row r="642" spans="2:13" x14ac:dyDescent="0.25">
      <c r="B642" s="1" t="s">
        <v>45</v>
      </c>
      <c r="C642" s="1" t="s">
        <v>46</v>
      </c>
      <c r="D642" s="1" t="s">
        <v>878</v>
      </c>
      <c r="E642" s="1" t="s">
        <v>48</v>
      </c>
      <c r="F642" s="1">
        <v>1</v>
      </c>
      <c r="G642" s="1" t="s">
        <v>60</v>
      </c>
      <c r="H642" s="1" t="str">
        <f t="shared" si="54"/>
        <v xml:space="preserve">CEMPRESA='31' </v>
      </c>
      <c r="I642" s="1" t="str">
        <f t="shared" si="55"/>
        <v xml:space="preserve">AND CBALCAO='0003' </v>
      </c>
      <c r="J642" s="1" t="str">
        <f t="shared" si="56"/>
        <v xml:space="preserve">AND CNUMECTA='20721592096' </v>
      </c>
      <c r="K642" s="1" t="str">
        <f t="shared" si="57"/>
        <v xml:space="preserve">AND ZDEPOSIT='000000000000000' </v>
      </c>
      <c r="L642" s="1" t="str">
        <f t="shared" si="58"/>
        <v>WHEN CEMPRESA='31' AND CBALCAO='0003' AND CNUMECTA='20721592096' AND ZDEPOSIT='000000000000000' THEN 1</v>
      </c>
      <c r="M642" s="1" t="str">
        <f t="shared" si="59"/>
        <v>WHEN CEMPRESA='31' AND CBALCAO='0003' AND CNUMECTA='20721592096' AND ZDEPOSIT='000000000000000' THEN 'A.3.7.'</v>
      </c>
    </row>
    <row r="643" spans="2:13" x14ac:dyDescent="0.25">
      <c r="B643" s="1" t="s">
        <v>54</v>
      </c>
      <c r="C643" s="1" t="s">
        <v>55</v>
      </c>
      <c r="D643" s="1" t="s">
        <v>879</v>
      </c>
      <c r="E643" s="1" t="s">
        <v>880</v>
      </c>
      <c r="F643" s="1">
        <v>1</v>
      </c>
      <c r="G643" s="1" t="s">
        <v>58</v>
      </c>
      <c r="H643" s="1" t="str">
        <f t="shared" si="54"/>
        <v xml:space="preserve">CEMPRESA='89' </v>
      </c>
      <c r="I643" s="1" t="str">
        <f t="shared" si="55"/>
        <v xml:space="preserve">AND CBALCAO='0000' </v>
      </c>
      <c r="J643" s="1" t="str">
        <f t="shared" si="56"/>
        <v xml:space="preserve">AND CNUMECTA='00000250093' </v>
      </c>
      <c r="K643" s="1" t="str">
        <f t="shared" si="57"/>
        <v xml:space="preserve">AND ZDEPOSIT='000450000769333' </v>
      </c>
      <c r="L643" s="1" t="str">
        <f t="shared" si="58"/>
        <v>WHEN CEMPRESA='89' AND CBALCAO='0000' AND CNUMECTA='00000250093' AND ZDEPOSIT='000450000769333' THEN 1</v>
      </c>
      <c r="M643" s="1" t="str">
        <f t="shared" si="59"/>
        <v>WHEN CEMPRESA='89' AND CBALCAO='0000' AND CNUMECTA='00000250093' AND ZDEPOSIT='000450000769333' THEN 'A.2.5.'</v>
      </c>
    </row>
    <row r="644" spans="2:13" x14ac:dyDescent="0.25">
      <c r="B644" s="1" t="s">
        <v>45</v>
      </c>
      <c r="C644" s="1" t="s">
        <v>46</v>
      </c>
      <c r="D644" s="1" t="s">
        <v>881</v>
      </c>
      <c r="E644" s="1" t="s">
        <v>48</v>
      </c>
      <c r="F644" s="1">
        <v>1</v>
      </c>
      <c r="G644" s="1" t="s">
        <v>60</v>
      </c>
      <c r="H644" s="1" t="str">
        <f t="shared" ref="H644:H707" si="60">+IF(LEN(TRIM(B644))&gt;0,UPPER($B$2)&amp;"='"&amp;TRIM(B644)&amp;"' ","")</f>
        <v xml:space="preserve">CEMPRESA='31' </v>
      </c>
      <c r="I644" s="1" t="str">
        <f t="shared" ref="I644:I707" si="61">+IF(LEN(TRIM(C644))&gt;0,UPPER($C$2)&amp;"='"&amp;TRIM(C644)&amp;"' ","")</f>
        <v xml:space="preserve">AND CBALCAO='0003' </v>
      </c>
      <c r="J644" s="1" t="str">
        <f t="shared" ref="J644:J707" si="62">+IF(LEN(TRIM(D644))&gt;0,UPPER($D$2)&amp;"='"&amp;TRIM(D644)&amp;"' ","")</f>
        <v xml:space="preserve">AND CNUMECTA='20745351096' </v>
      </c>
      <c r="K644" s="1" t="str">
        <f t="shared" ref="K644:K707" si="63">+IF(LEN(TRIM(E644))&gt;0,UPPER($E$2)&amp;"='"&amp;TRIM(E644)&amp;"' ","")</f>
        <v xml:space="preserve">AND ZDEPOSIT='000000000000000' </v>
      </c>
      <c r="L644" s="1" t="str">
        <f t="shared" ref="L644:L707" si="64">+"WHEN "&amp;H644&amp;I644&amp;J644&amp;K644&amp;"THEN "&amp;F644</f>
        <v>WHEN CEMPRESA='31' AND CBALCAO='0003' AND CNUMECTA='20745351096' AND ZDEPOSIT='000000000000000' THEN 1</v>
      </c>
      <c r="M644" s="1" t="str">
        <f t="shared" ref="M644:M707" si="65">+"WHEN "&amp;H644&amp;I644&amp;J644&amp;K644&amp;"THEN "&amp;G644</f>
        <v>WHEN CEMPRESA='31' AND CBALCAO='0003' AND CNUMECTA='20745351096' AND ZDEPOSIT='000000000000000' THEN 'A.3.7.'</v>
      </c>
    </row>
    <row r="645" spans="2:13" x14ac:dyDescent="0.25">
      <c r="B645" s="1" t="s">
        <v>45</v>
      </c>
      <c r="C645" s="1" t="s">
        <v>46</v>
      </c>
      <c r="D645" s="1" t="s">
        <v>882</v>
      </c>
      <c r="E645" s="1" t="s">
        <v>48</v>
      </c>
      <c r="F645" s="1">
        <v>1</v>
      </c>
      <c r="G645" s="1" t="s">
        <v>60</v>
      </c>
      <c r="H645" s="1" t="str">
        <f t="shared" si="60"/>
        <v xml:space="preserve">CEMPRESA='31' </v>
      </c>
      <c r="I645" s="1" t="str">
        <f t="shared" si="61"/>
        <v xml:space="preserve">AND CBALCAO='0003' </v>
      </c>
      <c r="J645" s="1" t="str">
        <f t="shared" si="62"/>
        <v xml:space="preserve">AND CNUMECTA='20415054096' </v>
      </c>
      <c r="K645" s="1" t="str">
        <f t="shared" si="63"/>
        <v xml:space="preserve">AND ZDEPOSIT='000000000000000' </v>
      </c>
      <c r="L645" s="1" t="str">
        <f t="shared" si="64"/>
        <v>WHEN CEMPRESA='31' AND CBALCAO='0003' AND CNUMECTA='20415054096' AND ZDEPOSIT='000000000000000' THEN 1</v>
      </c>
      <c r="M645" s="1" t="str">
        <f t="shared" si="65"/>
        <v>WHEN CEMPRESA='31' AND CBALCAO='0003' AND CNUMECTA='20415054096' AND ZDEPOSIT='000000000000000' THEN 'A.3.7.'</v>
      </c>
    </row>
    <row r="646" spans="2:13" x14ac:dyDescent="0.25">
      <c r="B646" s="1" t="s">
        <v>54</v>
      </c>
      <c r="C646" s="1" t="s">
        <v>55</v>
      </c>
      <c r="D646" s="1" t="s">
        <v>883</v>
      </c>
      <c r="E646" s="1" t="s">
        <v>884</v>
      </c>
      <c r="F646" s="1">
        <v>1</v>
      </c>
      <c r="G646" s="1" t="s">
        <v>58</v>
      </c>
      <c r="H646" s="1" t="str">
        <f t="shared" si="60"/>
        <v xml:space="preserve">CEMPRESA='89' </v>
      </c>
      <c r="I646" s="1" t="str">
        <f t="shared" si="61"/>
        <v xml:space="preserve">AND CBALCAO='0000' </v>
      </c>
      <c r="J646" s="1" t="str">
        <f t="shared" si="62"/>
        <v xml:space="preserve">AND CNUMECTA='00000250498' </v>
      </c>
      <c r="K646" s="1" t="str">
        <f t="shared" si="63"/>
        <v xml:space="preserve">AND ZDEPOSIT='000450000615853' </v>
      </c>
      <c r="L646" s="1" t="str">
        <f t="shared" si="64"/>
        <v>WHEN CEMPRESA='89' AND CBALCAO='0000' AND CNUMECTA='00000250498' AND ZDEPOSIT='000450000615853' THEN 1</v>
      </c>
      <c r="M646" s="1" t="str">
        <f t="shared" si="65"/>
        <v>WHEN CEMPRESA='89' AND CBALCAO='0000' AND CNUMECTA='00000250498' AND ZDEPOSIT='000450000615853' THEN 'A.2.5.'</v>
      </c>
    </row>
    <row r="647" spans="2:13" x14ac:dyDescent="0.25">
      <c r="B647" s="1" t="s">
        <v>45</v>
      </c>
      <c r="C647" s="1" t="s">
        <v>46</v>
      </c>
      <c r="D647" s="1" t="s">
        <v>885</v>
      </c>
      <c r="E647" s="1" t="s">
        <v>48</v>
      </c>
      <c r="F647" s="1">
        <v>1</v>
      </c>
      <c r="G647" s="1" t="s">
        <v>51</v>
      </c>
      <c r="H647" s="1" t="str">
        <f t="shared" si="60"/>
        <v xml:space="preserve">CEMPRESA='31' </v>
      </c>
      <c r="I647" s="1" t="str">
        <f t="shared" si="61"/>
        <v xml:space="preserve">AND CBALCAO='0003' </v>
      </c>
      <c r="J647" s="1" t="str">
        <f t="shared" si="62"/>
        <v xml:space="preserve">AND CNUMECTA='20662648096' </v>
      </c>
      <c r="K647" s="1" t="str">
        <f t="shared" si="63"/>
        <v xml:space="preserve">AND ZDEPOSIT='000000000000000' </v>
      </c>
      <c r="L647" s="1" t="str">
        <f t="shared" si="64"/>
        <v>WHEN CEMPRESA='31' AND CBALCAO='0003' AND CNUMECTA='20662648096' AND ZDEPOSIT='000000000000000' THEN 1</v>
      </c>
      <c r="M647" s="1" t="str">
        <f t="shared" si="65"/>
        <v>WHEN CEMPRESA='31' AND CBALCAO='0003' AND CNUMECTA='20662648096' AND ZDEPOSIT='000000000000000' THEN 'B.1.'</v>
      </c>
    </row>
    <row r="648" spans="2:13" x14ac:dyDescent="0.25">
      <c r="B648" s="1" t="s">
        <v>45</v>
      </c>
      <c r="C648" s="1" t="s">
        <v>46</v>
      </c>
      <c r="D648" s="1" t="s">
        <v>886</v>
      </c>
      <c r="E648" s="1" t="s">
        <v>48</v>
      </c>
      <c r="F648" s="1">
        <v>1</v>
      </c>
      <c r="G648" s="1" t="s">
        <v>76</v>
      </c>
      <c r="H648" s="1" t="str">
        <f t="shared" si="60"/>
        <v xml:space="preserve">CEMPRESA='31' </v>
      </c>
      <c r="I648" s="1" t="str">
        <f t="shared" si="61"/>
        <v xml:space="preserve">AND CBALCAO='0003' </v>
      </c>
      <c r="J648" s="1" t="str">
        <f t="shared" si="62"/>
        <v xml:space="preserve">AND CNUMECTA='18613388097' </v>
      </c>
      <c r="K648" s="1" t="str">
        <f t="shared" si="63"/>
        <v xml:space="preserve">AND ZDEPOSIT='000000000000000' </v>
      </c>
      <c r="L648" s="1" t="str">
        <f t="shared" si="64"/>
        <v>WHEN CEMPRESA='31' AND CBALCAO='0003' AND CNUMECTA='18613388097' AND ZDEPOSIT='000000000000000' THEN 1</v>
      </c>
      <c r="M648" s="1" t="str">
        <f t="shared" si="65"/>
        <v>WHEN CEMPRESA='31' AND CBALCAO='0003' AND CNUMECTA='18613388097' AND ZDEPOSIT='000000000000000' THEN 'A.7.7.'</v>
      </c>
    </row>
    <row r="649" spans="2:13" x14ac:dyDescent="0.25">
      <c r="B649" s="1" t="s">
        <v>45</v>
      </c>
      <c r="C649" s="1" t="s">
        <v>46</v>
      </c>
      <c r="D649" s="1" t="s">
        <v>887</v>
      </c>
      <c r="E649" s="1" t="s">
        <v>48</v>
      </c>
      <c r="F649" s="1">
        <v>1</v>
      </c>
      <c r="G649" s="1" t="s">
        <v>53</v>
      </c>
      <c r="H649" s="1" t="str">
        <f t="shared" si="60"/>
        <v xml:space="preserve">CEMPRESA='31' </v>
      </c>
      <c r="I649" s="1" t="str">
        <f t="shared" si="61"/>
        <v xml:space="preserve">AND CBALCAO='0003' </v>
      </c>
      <c r="J649" s="1" t="str">
        <f t="shared" si="62"/>
        <v xml:space="preserve">AND CNUMECTA='20559505096' </v>
      </c>
      <c r="K649" s="1" t="str">
        <f t="shared" si="63"/>
        <v xml:space="preserve">AND ZDEPOSIT='000000000000000' </v>
      </c>
      <c r="L649" s="1" t="str">
        <f t="shared" si="64"/>
        <v>WHEN CEMPRESA='31' AND CBALCAO='0003' AND CNUMECTA='20559505096' AND ZDEPOSIT='000000000000000' THEN 1</v>
      </c>
      <c r="M649" s="1" t="str">
        <f t="shared" si="65"/>
        <v>WHEN CEMPRESA='31' AND CBALCAO='0003' AND CNUMECTA='20559505096' AND ZDEPOSIT='000000000000000' THEN 'A.1.1.'</v>
      </c>
    </row>
    <row r="650" spans="2:13" x14ac:dyDescent="0.25">
      <c r="B650" s="1" t="s">
        <v>54</v>
      </c>
      <c r="C650" s="1" t="s">
        <v>55</v>
      </c>
      <c r="D650" s="1" t="s">
        <v>888</v>
      </c>
      <c r="E650" s="1" t="s">
        <v>889</v>
      </c>
      <c r="F650" s="1">
        <v>1</v>
      </c>
      <c r="G650" s="1" t="s">
        <v>58</v>
      </c>
      <c r="H650" s="1" t="str">
        <f t="shared" si="60"/>
        <v xml:space="preserve">CEMPRESA='89' </v>
      </c>
      <c r="I650" s="1" t="str">
        <f t="shared" si="61"/>
        <v xml:space="preserve">AND CBALCAO='0000' </v>
      </c>
      <c r="J650" s="1" t="str">
        <f t="shared" si="62"/>
        <v xml:space="preserve">AND CNUMECTA='00008046531' </v>
      </c>
      <c r="K650" s="1" t="str">
        <f t="shared" si="63"/>
        <v xml:space="preserve">AND ZDEPOSIT='000530000778105' </v>
      </c>
      <c r="L650" s="1" t="str">
        <f t="shared" si="64"/>
        <v>WHEN CEMPRESA='89' AND CBALCAO='0000' AND CNUMECTA='00008046531' AND ZDEPOSIT='000530000778105' THEN 1</v>
      </c>
      <c r="M650" s="1" t="str">
        <f t="shared" si="65"/>
        <v>WHEN CEMPRESA='89' AND CBALCAO='0000' AND CNUMECTA='00008046531' AND ZDEPOSIT='000530000778105' THEN 'A.2.5.'</v>
      </c>
    </row>
    <row r="651" spans="2:13" x14ac:dyDescent="0.25">
      <c r="B651" s="1" t="s">
        <v>54</v>
      </c>
      <c r="C651" s="1" t="s">
        <v>55</v>
      </c>
      <c r="D651" s="1" t="s">
        <v>369</v>
      </c>
      <c r="E651" s="1" t="s">
        <v>208</v>
      </c>
      <c r="F651" s="1">
        <v>1</v>
      </c>
      <c r="G651" s="1" t="s">
        <v>209</v>
      </c>
      <c r="H651" s="1" t="str">
        <f t="shared" si="60"/>
        <v xml:space="preserve">CEMPRESA='89' </v>
      </c>
      <c r="I651" s="1" t="str">
        <f t="shared" si="61"/>
        <v xml:space="preserve">AND CBALCAO='0000' </v>
      </c>
      <c r="J651" s="1" t="str">
        <f t="shared" si="62"/>
        <v xml:space="preserve">AND CNUMECTA='20240000369' </v>
      </c>
      <c r="K651" s="1" t="str">
        <f t="shared" si="63"/>
        <v xml:space="preserve">AND ZDEPOSIT='0004900C59640I1' </v>
      </c>
      <c r="L651" s="1" t="str">
        <f t="shared" si="64"/>
        <v>WHEN CEMPRESA='89' AND CBALCAO='0000' AND CNUMECTA='20240000369' AND ZDEPOSIT='0004900C59640I1' THEN 1</v>
      </c>
      <c r="M651" s="1" t="str">
        <f t="shared" si="65"/>
        <v>WHEN CEMPRESA='89' AND CBALCAO='0000' AND CNUMECTA='20240000369' AND ZDEPOSIT='0004900C59640I1' THEN 'A.3.1.'</v>
      </c>
    </row>
    <row r="652" spans="2:13" x14ac:dyDescent="0.25">
      <c r="B652" s="1" t="s">
        <v>45</v>
      </c>
      <c r="C652" s="1" t="s">
        <v>46</v>
      </c>
      <c r="D652" s="1" t="s">
        <v>890</v>
      </c>
      <c r="E652" s="1" t="s">
        <v>48</v>
      </c>
      <c r="F652" s="1">
        <v>1</v>
      </c>
      <c r="G652" s="1" t="s">
        <v>209</v>
      </c>
      <c r="H652" s="1" t="str">
        <f t="shared" si="60"/>
        <v xml:space="preserve">CEMPRESA='31' </v>
      </c>
      <c r="I652" s="1" t="str">
        <f t="shared" si="61"/>
        <v xml:space="preserve">AND CBALCAO='0003' </v>
      </c>
      <c r="J652" s="1" t="str">
        <f t="shared" si="62"/>
        <v xml:space="preserve">AND CNUMECTA='20695523096' </v>
      </c>
      <c r="K652" s="1" t="str">
        <f t="shared" si="63"/>
        <v xml:space="preserve">AND ZDEPOSIT='000000000000000' </v>
      </c>
      <c r="L652" s="1" t="str">
        <f t="shared" si="64"/>
        <v>WHEN CEMPRESA='31' AND CBALCAO='0003' AND CNUMECTA='20695523096' AND ZDEPOSIT='000000000000000' THEN 1</v>
      </c>
      <c r="M652" s="1" t="str">
        <f t="shared" si="65"/>
        <v>WHEN CEMPRESA='31' AND CBALCAO='0003' AND CNUMECTA='20695523096' AND ZDEPOSIT='000000000000000' THEN 'A.3.1.'</v>
      </c>
    </row>
    <row r="653" spans="2:13" x14ac:dyDescent="0.25">
      <c r="B653" s="1" t="s">
        <v>45</v>
      </c>
      <c r="C653" s="1" t="s">
        <v>46</v>
      </c>
      <c r="D653" s="1" t="s">
        <v>891</v>
      </c>
      <c r="E653" s="1" t="s">
        <v>48</v>
      </c>
      <c r="F653" s="1">
        <v>1</v>
      </c>
      <c r="G653" s="1" t="s">
        <v>60</v>
      </c>
      <c r="H653" s="1" t="str">
        <f t="shared" si="60"/>
        <v xml:space="preserve">CEMPRESA='31' </v>
      </c>
      <c r="I653" s="1" t="str">
        <f t="shared" si="61"/>
        <v xml:space="preserve">AND CBALCAO='0003' </v>
      </c>
      <c r="J653" s="1" t="str">
        <f t="shared" si="62"/>
        <v xml:space="preserve">AND CNUMECTA='20451158096' </v>
      </c>
      <c r="K653" s="1" t="str">
        <f t="shared" si="63"/>
        <v xml:space="preserve">AND ZDEPOSIT='000000000000000' </v>
      </c>
      <c r="L653" s="1" t="str">
        <f t="shared" si="64"/>
        <v>WHEN CEMPRESA='31' AND CBALCAO='0003' AND CNUMECTA='20451158096' AND ZDEPOSIT='000000000000000' THEN 1</v>
      </c>
      <c r="M653" s="1" t="str">
        <f t="shared" si="65"/>
        <v>WHEN CEMPRESA='31' AND CBALCAO='0003' AND CNUMECTA='20451158096' AND ZDEPOSIT='000000000000000' THEN 'A.3.7.'</v>
      </c>
    </row>
    <row r="654" spans="2:13" x14ac:dyDescent="0.25">
      <c r="B654" s="1" t="s">
        <v>45</v>
      </c>
      <c r="C654" s="1" t="s">
        <v>46</v>
      </c>
      <c r="D654" s="1" t="s">
        <v>892</v>
      </c>
      <c r="E654" s="1" t="s">
        <v>48</v>
      </c>
      <c r="F654" s="1">
        <v>1</v>
      </c>
      <c r="G654" s="1" t="s">
        <v>60</v>
      </c>
      <c r="H654" s="1" t="str">
        <f t="shared" si="60"/>
        <v xml:space="preserve">CEMPRESA='31' </v>
      </c>
      <c r="I654" s="1" t="str">
        <f t="shared" si="61"/>
        <v xml:space="preserve">AND CBALCAO='0003' </v>
      </c>
      <c r="J654" s="1" t="str">
        <f t="shared" si="62"/>
        <v xml:space="preserve">AND CNUMECTA='20423413096' </v>
      </c>
      <c r="K654" s="1" t="str">
        <f t="shared" si="63"/>
        <v xml:space="preserve">AND ZDEPOSIT='000000000000000' </v>
      </c>
      <c r="L654" s="1" t="str">
        <f t="shared" si="64"/>
        <v>WHEN CEMPRESA='31' AND CBALCAO='0003' AND CNUMECTA='20423413096' AND ZDEPOSIT='000000000000000' THEN 1</v>
      </c>
      <c r="M654" s="1" t="str">
        <f t="shared" si="65"/>
        <v>WHEN CEMPRESA='31' AND CBALCAO='0003' AND CNUMECTA='20423413096' AND ZDEPOSIT='000000000000000' THEN 'A.3.7.'</v>
      </c>
    </row>
    <row r="655" spans="2:13" x14ac:dyDescent="0.25">
      <c r="B655" s="1" t="s">
        <v>45</v>
      </c>
      <c r="C655" s="1" t="s">
        <v>46</v>
      </c>
      <c r="D655" s="1" t="s">
        <v>893</v>
      </c>
      <c r="E655" s="1" t="s">
        <v>48</v>
      </c>
      <c r="F655" s="1">
        <v>1</v>
      </c>
      <c r="G655" s="1" t="s">
        <v>60</v>
      </c>
      <c r="H655" s="1" t="str">
        <f t="shared" si="60"/>
        <v xml:space="preserve">CEMPRESA='31' </v>
      </c>
      <c r="I655" s="1" t="str">
        <f t="shared" si="61"/>
        <v xml:space="preserve">AND CBALCAO='0003' </v>
      </c>
      <c r="J655" s="1" t="str">
        <f t="shared" si="62"/>
        <v xml:space="preserve">AND CNUMECTA='20705330096' </v>
      </c>
      <c r="K655" s="1" t="str">
        <f t="shared" si="63"/>
        <v xml:space="preserve">AND ZDEPOSIT='000000000000000' </v>
      </c>
      <c r="L655" s="1" t="str">
        <f t="shared" si="64"/>
        <v>WHEN CEMPRESA='31' AND CBALCAO='0003' AND CNUMECTA='20705330096' AND ZDEPOSIT='000000000000000' THEN 1</v>
      </c>
      <c r="M655" s="1" t="str">
        <f t="shared" si="65"/>
        <v>WHEN CEMPRESA='31' AND CBALCAO='0003' AND CNUMECTA='20705330096' AND ZDEPOSIT='000000000000000' THEN 'A.3.7.'</v>
      </c>
    </row>
    <row r="656" spans="2:13" x14ac:dyDescent="0.25">
      <c r="B656" s="1" t="s">
        <v>45</v>
      </c>
      <c r="C656" s="1" t="s">
        <v>46</v>
      </c>
      <c r="D656" s="1" t="s">
        <v>894</v>
      </c>
      <c r="E656" s="1" t="s">
        <v>48</v>
      </c>
      <c r="F656" s="1">
        <v>1</v>
      </c>
      <c r="G656" s="1" t="s">
        <v>60</v>
      </c>
      <c r="H656" s="1" t="str">
        <f t="shared" si="60"/>
        <v xml:space="preserve">CEMPRESA='31' </v>
      </c>
      <c r="I656" s="1" t="str">
        <f t="shared" si="61"/>
        <v xml:space="preserve">AND CBALCAO='0003' </v>
      </c>
      <c r="J656" s="1" t="str">
        <f t="shared" si="62"/>
        <v xml:space="preserve">AND CNUMECTA='20516463096' </v>
      </c>
      <c r="K656" s="1" t="str">
        <f t="shared" si="63"/>
        <v xml:space="preserve">AND ZDEPOSIT='000000000000000' </v>
      </c>
      <c r="L656" s="1" t="str">
        <f t="shared" si="64"/>
        <v>WHEN CEMPRESA='31' AND CBALCAO='0003' AND CNUMECTA='20516463096' AND ZDEPOSIT='000000000000000' THEN 1</v>
      </c>
      <c r="M656" s="1" t="str">
        <f t="shared" si="65"/>
        <v>WHEN CEMPRESA='31' AND CBALCAO='0003' AND CNUMECTA='20516463096' AND ZDEPOSIT='000000000000000' THEN 'A.3.7.'</v>
      </c>
    </row>
    <row r="657" spans="2:13" x14ac:dyDescent="0.25">
      <c r="B657" s="1" t="s">
        <v>45</v>
      </c>
      <c r="C657" s="1" t="s">
        <v>46</v>
      </c>
      <c r="D657" s="1" t="s">
        <v>895</v>
      </c>
      <c r="E657" s="1" t="s">
        <v>48</v>
      </c>
      <c r="F657" s="1">
        <v>1</v>
      </c>
      <c r="G657" s="1" t="s">
        <v>60</v>
      </c>
      <c r="H657" s="1" t="str">
        <f t="shared" si="60"/>
        <v xml:space="preserve">CEMPRESA='31' </v>
      </c>
      <c r="I657" s="1" t="str">
        <f t="shared" si="61"/>
        <v xml:space="preserve">AND CBALCAO='0003' </v>
      </c>
      <c r="J657" s="1" t="str">
        <f t="shared" si="62"/>
        <v xml:space="preserve">AND CNUMECTA='20428958096' </v>
      </c>
      <c r="K657" s="1" t="str">
        <f t="shared" si="63"/>
        <v xml:space="preserve">AND ZDEPOSIT='000000000000000' </v>
      </c>
      <c r="L657" s="1" t="str">
        <f t="shared" si="64"/>
        <v>WHEN CEMPRESA='31' AND CBALCAO='0003' AND CNUMECTA='20428958096' AND ZDEPOSIT='000000000000000' THEN 1</v>
      </c>
      <c r="M657" s="1" t="str">
        <f t="shared" si="65"/>
        <v>WHEN CEMPRESA='31' AND CBALCAO='0003' AND CNUMECTA='20428958096' AND ZDEPOSIT='000000000000000' THEN 'A.3.7.'</v>
      </c>
    </row>
    <row r="658" spans="2:13" x14ac:dyDescent="0.25">
      <c r="B658" s="1" t="s">
        <v>54</v>
      </c>
      <c r="C658" s="1" t="s">
        <v>55</v>
      </c>
      <c r="D658" s="1" t="s">
        <v>896</v>
      </c>
      <c r="E658" s="1" t="s">
        <v>897</v>
      </c>
      <c r="F658" s="1">
        <v>1</v>
      </c>
      <c r="G658" s="1" t="s">
        <v>58</v>
      </c>
      <c r="H658" s="1" t="str">
        <f t="shared" si="60"/>
        <v xml:space="preserve">CEMPRESA='89' </v>
      </c>
      <c r="I658" s="1" t="str">
        <f t="shared" si="61"/>
        <v xml:space="preserve">AND CBALCAO='0000' </v>
      </c>
      <c r="J658" s="1" t="str">
        <f t="shared" si="62"/>
        <v xml:space="preserve">AND CNUMECTA='00008046491' </v>
      </c>
      <c r="K658" s="1" t="str">
        <f t="shared" si="63"/>
        <v xml:space="preserve">AND ZDEPOSIT='000530000777763' </v>
      </c>
      <c r="L658" s="1" t="str">
        <f t="shared" si="64"/>
        <v>WHEN CEMPRESA='89' AND CBALCAO='0000' AND CNUMECTA='00008046491' AND ZDEPOSIT='000530000777763' THEN 1</v>
      </c>
      <c r="M658" s="1" t="str">
        <f t="shared" si="65"/>
        <v>WHEN CEMPRESA='89' AND CBALCAO='0000' AND CNUMECTA='00008046491' AND ZDEPOSIT='000530000777763' THEN 'A.2.5.'</v>
      </c>
    </row>
    <row r="659" spans="2:13" x14ac:dyDescent="0.25">
      <c r="B659" s="1" t="s">
        <v>45</v>
      </c>
      <c r="C659" s="1" t="s">
        <v>46</v>
      </c>
      <c r="D659" s="1" t="s">
        <v>898</v>
      </c>
      <c r="E659" s="1" t="s">
        <v>48</v>
      </c>
      <c r="F659" s="1">
        <v>1</v>
      </c>
      <c r="G659" s="1" t="s">
        <v>51</v>
      </c>
      <c r="H659" s="1" t="str">
        <f t="shared" si="60"/>
        <v xml:space="preserve">CEMPRESA='31' </v>
      </c>
      <c r="I659" s="1" t="str">
        <f t="shared" si="61"/>
        <v xml:space="preserve">AND CBALCAO='0003' </v>
      </c>
      <c r="J659" s="1" t="str">
        <f t="shared" si="62"/>
        <v xml:space="preserve">AND CNUMECTA='20480074096' </v>
      </c>
      <c r="K659" s="1" t="str">
        <f t="shared" si="63"/>
        <v xml:space="preserve">AND ZDEPOSIT='000000000000000' </v>
      </c>
      <c r="L659" s="1" t="str">
        <f t="shared" si="64"/>
        <v>WHEN CEMPRESA='31' AND CBALCAO='0003' AND CNUMECTA='20480074096' AND ZDEPOSIT='000000000000000' THEN 1</v>
      </c>
      <c r="M659" s="1" t="str">
        <f t="shared" si="65"/>
        <v>WHEN CEMPRESA='31' AND CBALCAO='0003' AND CNUMECTA='20480074096' AND ZDEPOSIT='000000000000000' THEN 'B.1.'</v>
      </c>
    </row>
    <row r="660" spans="2:13" x14ac:dyDescent="0.25">
      <c r="B660" s="1" t="s">
        <v>45</v>
      </c>
      <c r="C660" s="1" t="s">
        <v>46</v>
      </c>
      <c r="D660" s="1" t="s">
        <v>899</v>
      </c>
      <c r="E660" s="1" t="s">
        <v>48</v>
      </c>
      <c r="F660" s="1">
        <v>1</v>
      </c>
      <c r="G660" s="1" t="s">
        <v>60</v>
      </c>
      <c r="H660" s="1" t="str">
        <f t="shared" si="60"/>
        <v xml:space="preserve">CEMPRESA='31' </v>
      </c>
      <c r="I660" s="1" t="str">
        <f t="shared" si="61"/>
        <v xml:space="preserve">AND CBALCAO='0003' </v>
      </c>
      <c r="J660" s="1" t="str">
        <f t="shared" si="62"/>
        <v xml:space="preserve">AND CNUMECTA='20498746096' </v>
      </c>
      <c r="K660" s="1" t="str">
        <f t="shared" si="63"/>
        <v xml:space="preserve">AND ZDEPOSIT='000000000000000' </v>
      </c>
      <c r="L660" s="1" t="str">
        <f t="shared" si="64"/>
        <v>WHEN CEMPRESA='31' AND CBALCAO='0003' AND CNUMECTA='20498746096' AND ZDEPOSIT='000000000000000' THEN 1</v>
      </c>
      <c r="M660" s="1" t="str">
        <f t="shared" si="65"/>
        <v>WHEN CEMPRESA='31' AND CBALCAO='0003' AND CNUMECTA='20498746096' AND ZDEPOSIT='000000000000000' THEN 'A.3.7.'</v>
      </c>
    </row>
    <row r="661" spans="2:13" x14ac:dyDescent="0.25">
      <c r="B661" s="1" t="s">
        <v>54</v>
      </c>
      <c r="C661" s="1" t="s">
        <v>55</v>
      </c>
      <c r="D661" s="1" t="s">
        <v>900</v>
      </c>
      <c r="E661" s="1" t="s">
        <v>901</v>
      </c>
      <c r="F661" s="1">
        <v>1</v>
      </c>
      <c r="G661" s="1" t="s">
        <v>58</v>
      </c>
      <c r="H661" s="1" t="str">
        <f t="shared" si="60"/>
        <v xml:space="preserve">CEMPRESA='89' </v>
      </c>
      <c r="I661" s="1" t="str">
        <f t="shared" si="61"/>
        <v xml:space="preserve">AND CBALCAO='0000' </v>
      </c>
      <c r="J661" s="1" t="str">
        <f t="shared" si="62"/>
        <v xml:space="preserve">AND CNUMECTA='00000250322' </v>
      </c>
      <c r="K661" s="1" t="str">
        <f t="shared" si="63"/>
        <v xml:space="preserve">AND ZDEPOSIT='000450000582346' </v>
      </c>
      <c r="L661" s="1" t="str">
        <f t="shared" si="64"/>
        <v>WHEN CEMPRESA='89' AND CBALCAO='0000' AND CNUMECTA='00000250322' AND ZDEPOSIT='000450000582346' THEN 1</v>
      </c>
      <c r="M661" s="1" t="str">
        <f t="shared" si="65"/>
        <v>WHEN CEMPRESA='89' AND CBALCAO='0000' AND CNUMECTA='00000250322' AND ZDEPOSIT='000450000582346' THEN 'A.2.5.'</v>
      </c>
    </row>
    <row r="662" spans="2:13" x14ac:dyDescent="0.25">
      <c r="B662" s="1" t="s">
        <v>45</v>
      </c>
      <c r="C662" s="1" t="s">
        <v>46</v>
      </c>
      <c r="D662" s="1" t="s">
        <v>902</v>
      </c>
      <c r="E662" s="1" t="s">
        <v>48</v>
      </c>
      <c r="F662" s="1">
        <v>1</v>
      </c>
      <c r="G662" s="1" t="s">
        <v>60</v>
      </c>
      <c r="H662" s="1" t="str">
        <f t="shared" si="60"/>
        <v xml:space="preserve">CEMPRESA='31' </v>
      </c>
      <c r="I662" s="1" t="str">
        <f t="shared" si="61"/>
        <v xml:space="preserve">AND CBALCAO='0003' </v>
      </c>
      <c r="J662" s="1" t="str">
        <f t="shared" si="62"/>
        <v xml:space="preserve">AND CNUMECTA='20734223096' </v>
      </c>
      <c r="K662" s="1" t="str">
        <f t="shared" si="63"/>
        <v xml:space="preserve">AND ZDEPOSIT='000000000000000' </v>
      </c>
      <c r="L662" s="1" t="str">
        <f t="shared" si="64"/>
        <v>WHEN CEMPRESA='31' AND CBALCAO='0003' AND CNUMECTA='20734223096' AND ZDEPOSIT='000000000000000' THEN 1</v>
      </c>
      <c r="M662" s="1" t="str">
        <f t="shared" si="65"/>
        <v>WHEN CEMPRESA='31' AND CBALCAO='0003' AND CNUMECTA='20734223096' AND ZDEPOSIT='000000000000000' THEN 'A.3.7.'</v>
      </c>
    </row>
    <row r="663" spans="2:13" x14ac:dyDescent="0.25">
      <c r="B663" s="1" t="s">
        <v>54</v>
      </c>
      <c r="C663" s="1" t="s">
        <v>55</v>
      </c>
      <c r="D663" s="1" t="s">
        <v>903</v>
      </c>
      <c r="E663" s="1" t="s">
        <v>904</v>
      </c>
      <c r="F663" s="1">
        <v>1</v>
      </c>
      <c r="G663" s="1" t="s">
        <v>58</v>
      </c>
      <c r="H663" s="1" t="str">
        <f t="shared" si="60"/>
        <v xml:space="preserve">CEMPRESA='89' </v>
      </c>
      <c r="I663" s="1" t="str">
        <f t="shared" si="61"/>
        <v xml:space="preserve">AND CBALCAO='0000' </v>
      </c>
      <c r="J663" s="1" t="str">
        <f t="shared" si="62"/>
        <v xml:space="preserve">AND CNUMECTA='00008046494' </v>
      </c>
      <c r="K663" s="1" t="str">
        <f t="shared" si="63"/>
        <v xml:space="preserve">AND ZDEPOSIT='000530000771644' </v>
      </c>
      <c r="L663" s="1" t="str">
        <f t="shared" si="64"/>
        <v>WHEN CEMPRESA='89' AND CBALCAO='0000' AND CNUMECTA='00008046494' AND ZDEPOSIT='000530000771644' THEN 1</v>
      </c>
      <c r="M663" s="1" t="str">
        <f t="shared" si="65"/>
        <v>WHEN CEMPRESA='89' AND CBALCAO='0000' AND CNUMECTA='00008046494' AND ZDEPOSIT='000530000771644' THEN 'A.2.5.'</v>
      </c>
    </row>
    <row r="664" spans="2:13" x14ac:dyDescent="0.25">
      <c r="B664" s="1" t="s">
        <v>45</v>
      </c>
      <c r="C664" s="1" t="s">
        <v>46</v>
      </c>
      <c r="D664" s="1" t="s">
        <v>905</v>
      </c>
      <c r="E664" s="1" t="s">
        <v>48</v>
      </c>
      <c r="F664" s="1">
        <v>1</v>
      </c>
      <c r="G664" s="1" t="s">
        <v>60</v>
      </c>
      <c r="H664" s="1" t="str">
        <f t="shared" si="60"/>
        <v xml:space="preserve">CEMPRESA='31' </v>
      </c>
      <c r="I664" s="1" t="str">
        <f t="shared" si="61"/>
        <v xml:space="preserve">AND CBALCAO='0003' </v>
      </c>
      <c r="J664" s="1" t="str">
        <f t="shared" si="62"/>
        <v xml:space="preserve">AND CNUMECTA='20441381096' </v>
      </c>
      <c r="K664" s="1" t="str">
        <f t="shared" si="63"/>
        <v xml:space="preserve">AND ZDEPOSIT='000000000000000' </v>
      </c>
      <c r="L664" s="1" t="str">
        <f t="shared" si="64"/>
        <v>WHEN CEMPRESA='31' AND CBALCAO='0003' AND CNUMECTA='20441381096' AND ZDEPOSIT='000000000000000' THEN 1</v>
      </c>
      <c r="M664" s="1" t="str">
        <f t="shared" si="65"/>
        <v>WHEN CEMPRESA='31' AND CBALCAO='0003' AND CNUMECTA='20441381096' AND ZDEPOSIT='000000000000000' THEN 'A.3.7.'</v>
      </c>
    </row>
    <row r="665" spans="2:13" x14ac:dyDescent="0.25">
      <c r="B665" s="1" t="s">
        <v>45</v>
      </c>
      <c r="C665" s="1" t="s">
        <v>46</v>
      </c>
      <c r="D665" s="1" t="s">
        <v>906</v>
      </c>
      <c r="E665" s="1" t="s">
        <v>48</v>
      </c>
      <c r="F665" s="1">
        <v>1</v>
      </c>
      <c r="G665" s="1" t="s">
        <v>60</v>
      </c>
      <c r="H665" s="1" t="str">
        <f t="shared" si="60"/>
        <v xml:space="preserve">CEMPRESA='31' </v>
      </c>
      <c r="I665" s="1" t="str">
        <f t="shared" si="61"/>
        <v xml:space="preserve">AND CBALCAO='0003' </v>
      </c>
      <c r="J665" s="1" t="str">
        <f t="shared" si="62"/>
        <v xml:space="preserve">AND CNUMECTA='20514849096' </v>
      </c>
      <c r="K665" s="1" t="str">
        <f t="shared" si="63"/>
        <v xml:space="preserve">AND ZDEPOSIT='000000000000000' </v>
      </c>
      <c r="L665" s="1" t="str">
        <f t="shared" si="64"/>
        <v>WHEN CEMPRESA='31' AND CBALCAO='0003' AND CNUMECTA='20514849096' AND ZDEPOSIT='000000000000000' THEN 1</v>
      </c>
      <c r="M665" s="1" t="str">
        <f t="shared" si="65"/>
        <v>WHEN CEMPRESA='31' AND CBALCAO='0003' AND CNUMECTA='20514849096' AND ZDEPOSIT='000000000000000' THEN 'A.3.7.'</v>
      </c>
    </row>
    <row r="666" spans="2:13" x14ac:dyDescent="0.25">
      <c r="B666" s="1" t="s">
        <v>45</v>
      </c>
      <c r="C666" s="1" t="s">
        <v>46</v>
      </c>
      <c r="D666" s="1" t="s">
        <v>907</v>
      </c>
      <c r="E666" s="1" t="s">
        <v>48</v>
      </c>
      <c r="F666" s="1">
        <v>1</v>
      </c>
      <c r="G666" s="1" t="s">
        <v>209</v>
      </c>
      <c r="H666" s="1" t="str">
        <f t="shared" si="60"/>
        <v xml:space="preserve">CEMPRESA='31' </v>
      </c>
      <c r="I666" s="1" t="str">
        <f t="shared" si="61"/>
        <v xml:space="preserve">AND CBALCAO='0003' </v>
      </c>
      <c r="J666" s="1" t="str">
        <f t="shared" si="62"/>
        <v xml:space="preserve">AND CNUMECTA='20394531096' </v>
      </c>
      <c r="K666" s="1" t="str">
        <f t="shared" si="63"/>
        <v xml:space="preserve">AND ZDEPOSIT='000000000000000' </v>
      </c>
      <c r="L666" s="1" t="str">
        <f t="shared" si="64"/>
        <v>WHEN CEMPRESA='31' AND CBALCAO='0003' AND CNUMECTA='20394531096' AND ZDEPOSIT='000000000000000' THEN 1</v>
      </c>
      <c r="M666" s="1" t="str">
        <f t="shared" si="65"/>
        <v>WHEN CEMPRESA='31' AND CBALCAO='0003' AND CNUMECTA='20394531096' AND ZDEPOSIT='000000000000000' THEN 'A.3.1.'</v>
      </c>
    </row>
    <row r="667" spans="2:13" x14ac:dyDescent="0.25">
      <c r="B667" s="1" t="s">
        <v>45</v>
      </c>
      <c r="C667" s="1" t="s">
        <v>46</v>
      </c>
      <c r="D667" s="1" t="s">
        <v>908</v>
      </c>
      <c r="E667" s="1" t="s">
        <v>48</v>
      </c>
      <c r="F667" s="1">
        <v>1</v>
      </c>
      <c r="G667" s="1" t="s">
        <v>60</v>
      </c>
      <c r="H667" s="1" t="str">
        <f t="shared" si="60"/>
        <v xml:space="preserve">CEMPRESA='31' </v>
      </c>
      <c r="I667" s="1" t="str">
        <f t="shared" si="61"/>
        <v xml:space="preserve">AND CBALCAO='0003' </v>
      </c>
      <c r="J667" s="1" t="str">
        <f t="shared" si="62"/>
        <v xml:space="preserve">AND CNUMECTA='20557913096' </v>
      </c>
      <c r="K667" s="1" t="str">
        <f t="shared" si="63"/>
        <v xml:space="preserve">AND ZDEPOSIT='000000000000000' </v>
      </c>
      <c r="L667" s="1" t="str">
        <f t="shared" si="64"/>
        <v>WHEN CEMPRESA='31' AND CBALCAO='0003' AND CNUMECTA='20557913096' AND ZDEPOSIT='000000000000000' THEN 1</v>
      </c>
      <c r="M667" s="1" t="str">
        <f t="shared" si="65"/>
        <v>WHEN CEMPRESA='31' AND CBALCAO='0003' AND CNUMECTA='20557913096' AND ZDEPOSIT='000000000000000' THEN 'A.3.7.'</v>
      </c>
    </row>
    <row r="668" spans="2:13" x14ac:dyDescent="0.25">
      <c r="B668" s="1" t="s">
        <v>45</v>
      </c>
      <c r="C668" s="1" t="s">
        <v>46</v>
      </c>
      <c r="D668" s="1" t="s">
        <v>909</v>
      </c>
      <c r="E668" s="1" t="s">
        <v>48</v>
      </c>
      <c r="F668" s="1">
        <v>1</v>
      </c>
      <c r="G668" s="1" t="s">
        <v>60</v>
      </c>
      <c r="H668" s="1" t="str">
        <f t="shared" si="60"/>
        <v xml:space="preserve">CEMPRESA='31' </v>
      </c>
      <c r="I668" s="1" t="str">
        <f t="shared" si="61"/>
        <v xml:space="preserve">AND CBALCAO='0003' </v>
      </c>
      <c r="J668" s="1" t="str">
        <f t="shared" si="62"/>
        <v xml:space="preserve">AND CNUMECTA='20430087096' </v>
      </c>
      <c r="K668" s="1" t="str">
        <f t="shared" si="63"/>
        <v xml:space="preserve">AND ZDEPOSIT='000000000000000' </v>
      </c>
      <c r="L668" s="1" t="str">
        <f t="shared" si="64"/>
        <v>WHEN CEMPRESA='31' AND CBALCAO='0003' AND CNUMECTA='20430087096' AND ZDEPOSIT='000000000000000' THEN 1</v>
      </c>
      <c r="M668" s="1" t="str">
        <f t="shared" si="65"/>
        <v>WHEN CEMPRESA='31' AND CBALCAO='0003' AND CNUMECTA='20430087096' AND ZDEPOSIT='000000000000000' THEN 'A.3.7.'</v>
      </c>
    </row>
    <row r="669" spans="2:13" x14ac:dyDescent="0.25">
      <c r="B669" s="1" t="s">
        <v>54</v>
      </c>
      <c r="C669" s="1" t="s">
        <v>55</v>
      </c>
      <c r="D669" s="1" t="s">
        <v>910</v>
      </c>
      <c r="E669" s="1" t="s">
        <v>911</v>
      </c>
      <c r="F669" s="1">
        <v>1</v>
      </c>
      <c r="G669" s="1" t="s">
        <v>58</v>
      </c>
      <c r="H669" s="1" t="str">
        <f t="shared" si="60"/>
        <v xml:space="preserve">CEMPRESA='89' </v>
      </c>
      <c r="I669" s="1" t="str">
        <f t="shared" si="61"/>
        <v xml:space="preserve">AND CBALCAO='0000' </v>
      </c>
      <c r="J669" s="1" t="str">
        <f t="shared" si="62"/>
        <v xml:space="preserve">AND CNUMECTA='00008046431' </v>
      </c>
      <c r="K669" s="1" t="str">
        <f t="shared" si="63"/>
        <v xml:space="preserve">AND ZDEPOSIT='000530000479569' </v>
      </c>
      <c r="L669" s="1" t="str">
        <f t="shared" si="64"/>
        <v>WHEN CEMPRESA='89' AND CBALCAO='0000' AND CNUMECTA='00008046431' AND ZDEPOSIT='000530000479569' THEN 1</v>
      </c>
      <c r="M669" s="1" t="str">
        <f t="shared" si="65"/>
        <v>WHEN CEMPRESA='89' AND CBALCAO='0000' AND CNUMECTA='00008046431' AND ZDEPOSIT='000530000479569' THEN 'A.2.5.'</v>
      </c>
    </row>
    <row r="670" spans="2:13" x14ac:dyDescent="0.25">
      <c r="B670" s="1" t="s">
        <v>45</v>
      </c>
      <c r="C670" s="1" t="s">
        <v>46</v>
      </c>
      <c r="D670" s="1" t="s">
        <v>912</v>
      </c>
      <c r="E670" s="1" t="s">
        <v>48</v>
      </c>
      <c r="F670" s="1" t="s">
        <v>715</v>
      </c>
      <c r="G670" s="1" t="s">
        <v>60</v>
      </c>
      <c r="H670" s="1" t="str">
        <f t="shared" si="60"/>
        <v xml:space="preserve">CEMPRESA='31' </v>
      </c>
      <c r="I670" s="1" t="str">
        <f t="shared" si="61"/>
        <v xml:space="preserve">AND CBALCAO='0003' </v>
      </c>
      <c r="J670" s="1" t="str">
        <f t="shared" si="62"/>
        <v xml:space="preserve">AND CNUMECTA='20416466096' </v>
      </c>
      <c r="K670" s="1" t="str">
        <f t="shared" si="63"/>
        <v xml:space="preserve">AND ZDEPOSIT='000000000000000' </v>
      </c>
      <c r="L670" s="1" t="str">
        <f t="shared" si="64"/>
        <v>WHEN CEMPRESA='31' AND CBALCAO='0003' AND CNUMECTA='20416466096' AND ZDEPOSIT='000000000000000' THEN 0.6</v>
      </c>
      <c r="M670" s="1" t="str">
        <f t="shared" si="65"/>
        <v>WHEN CEMPRESA='31' AND CBALCAO='0003' AND CNUMECTA='20416466096' AND ZDEPOSIT='000000000000000' THEN 'A.3.7.'</v>
      </c>
    </row>
    <row r="671" spans="2:13" x14ac:dyDescent="0.25">
      <c r="B671" s="1" t="s">
        <v>54</v>
      </c>
      <c r="C671" s="1" t="s">
        <v>55</v>
      </c>
      <c r="D671" s="1" t="s">
        <v>913</v>
      </c>
      <c r="E671" s="1" t="s">
        <v>914</v>
      </c>
      <c r="F671" s="1">
        <v>1</v>
      </c>
      <c r="G671" s="1" t="s">
        <v>58</v>
      </c>
      <c r="H671" s="1" t="str">
        <f t="shared" si="60"/>
        <v xml:space="preserve">CEMPRESA='89' </v>
      </c>
      <c r="I671" s="1" t="str">
        <f t="shared" si="61"/>
        <v xml:space="preserve">AND CBALCAO='0000' </v>
      </c>
      <c r="J671" s="1" t="str">
        <f t="shared" si="62"/>
        <v xml:space="preserve">AND CNUMECTA='00000250158' </v>
      </c>
      <c r="K671" s="1" t="str">
        <f t="shared" si="63"/>
        <v xml:space="preserve">AND ZDEPOSIT='000450000777542' </v>
      </c>
      <c r="L671" s="1" t="str">
        <f t="shared" si="64"/>
        <v>WHEN CEMPRESA='89' AND CBALCAO='0000' AND CNUMECTA='00000250158' AND ZDEPOSIT='000450000777542' THEN 1</v>
      </c>
      <c r="M671" s="1" t="str">
        <f t="shared" si="65"/>
        <v>WHEN CEMPRESA='89' AND CBALCAO='0000' AND CNUMECTA='00000250158' AND ZDEPOSIT='000450000777542' THEN 'A.2.5.'</v>
      </c>
    </row>
    <row r="672" spans="2:13" x14ac:dyDescent="0.25">
      <c r="B672" s="1" t="s">
        <v>54</v>
      </c>
      <c r="C672" s="1" t="s">
        <v>55</v>
      </c>
      <c r="D672" s="1" t="s">
        <v>915</v>
      </c>
      <c r="E672" s="1" t="s">
        <v>916</v>
      </c>
      <c r="F672" s="1">
        <v>1</v>
      </c>
      <c r="G672" s="1" t="s">
        <v>58</v>
      </c>
      <c r="H672" s="1" t="str">
        <f t="shared" si="60"/>
        <v xml:space="preserve">CEMPRESA='89' </v>
      </c>
      <c r="I672" s="1" t="str">
        <f t="shared" si="61"/>
        <v xml:space="preserve">AND CBALCAO='0000' </v>
      </c>
      <c r="J672" s="1" t="str">
        <f t="shared" si="62"/>
        <v xml:space="preserve">AND CNUMECTA='00008046423' </v>
      </c>
      <c r="K672" s="1" t="str">
        <f t="shared" si="63"/>
        <v xml:space="preserve">AND ZDEPOSIT='000530000761678' </v>
      </c>
      <c r="L672" s="1" t="str">
        <f t="shared" si="64"/>
        <v>WHEN CEMPRESA='89' AND CBALCAO='0000' AND CNUMECTA='00008046423' AND ZDEPOSIT='000530000761678' THEN 1</v>
      </c>
      <c r="M672" s="1" t="str">
        <f t="shared" si="65"/>
        <v>WHEN CEMPRESA='89' AND CBALCAO='0000' AND CNUMECTA='00008046423' AND ZDEPOSIT='000530000761678' THEN 'A.2.5.'</v>
      </c>
    </row>
    <row r="673" spans="2:13" x14ac:dyDescent="0.25">
      <c r="B673" s="1" t="s">
        <v>54</v>
      </c>
      <c r="C673" s="1" t="s">
        <v>55</v>
      </c>
      <c r="D673" s="1" t="s">
        <v>917</v>
      </c>
      <c r="E673" s="1" t="s">
        <v>918</v>
      </c>
      <c r="F673" s="1">
        <v>1</v>
      </c>
      <c r="G673" s="1" t="s">
        <v>58</v>
      </c>
      <c r="H673" s="1" t="str">
        <f t="shared" si="60"/>
        <v xml:space="preserve">CEMPRESA='89' </v>
      </c>
      <c r="I673" s="1" t="str">
        <f t="shared" si="61"/>
        <v xml:space="preserve">AND CBALCAO='0000' </v>
      </c>
      <c r="J673" s="1" t="str">
        <f t="shared" si="62"/>
        <v xml:space="preserve">AND CNUMECTA='00000250118' </v>
      </c>
      <c r="K673" s="1" t="str">
        <f t="shared" si="63"/>
        <v xml:space="preserve">AND ZDEPOSIT='000450000465865' </v>
      </c>
      <c r="L673" s="1" t="str">
        <f t="shared" si="64"/>
        <v>WHEN CEMPRESA='89' AND CBALCAO='0000' AND CNUMECTA='00000250118' AND ZDEPOSIT='000450000465865' THEN 1</v>
      </c>
      <c r="M673" s="1" t="str">
        <f t="shared" si="65"/>
        <v>WHEN CEMPRESA='89' AND CBALCAO='0000' AND CNUMECTA='00000250118' AND ZDEPOSIT='000450000465865' THEN 'A.2.5.'</v>
      </c>
    </row>
    <row r="674" spans="2:13" x14ac:dyDescent="0.25">
      <c r="B674" s="1" t="s">
        <v>45</v>
      </c>
      <c r="C674" s="1" t="s">
        <v>46</v>
      </c>
      <c r="D674" s="1" t="s">
        <v>919</v>
      </c>
      <c r="E674" s="1" t="s">
        <v>48</v>
      </c>
      <c r="F674" s="1">
        <v>1</v>
      </c>
      <c r="G674" s="1" t="s">
        <v>60</v>
      </c>
      <c r="H674" s="1" t="str">
        <f t="shared" si="60"/>
        <v xml:space="preserve">CEMPRESA='31' </v>
      </c>
      <c r="I674" s="1" t="str">
        <f t="shared" si="61"/>
        <v xml:space="preserve">AND CBALCAO='0003' </v>
      </c>
      <c r="J674" s="1" t="str">
        <f t="shared" si="62"/>
        <v xml:space="preserve">AND CNUMECTA='20594148096' </v>
      </c>
      <c r="K674" s="1" t="str">
        <f t="shared" si="63"/>
        <v xml:space="preserve">AND ZDEPOSIT='000000000000000' </v>
      </c>
      <c r="L674" s="1" t="str">
        <f t="shared" si="64"/>
        <v>WHEN CEMPRESA='31' AND CBALCAO='0003' AND CNUMECTA='20594148096' AND ZDEPOSIT='000000000000000' THEN 1</v>
      </c>
      <c r="M674" s="1" t="str">
        <f t="shared" si="65"/>
        <v>WHEN CEMPRESA='31' AND CBALCAO='0003' AND CNUMECTA='20594148096' AND ZDEPOSIT='000000000000000' THEN 'A.3.7.'</v>
      </c>
    </row>
    <row r="675" spans="2:13" x14ac:dyDescent="0.25">
      <c r="B675" s="1" t="s">
        <v>45</v>
      </c>
      <c r="C675" s="1" t="s">
        <v>46</v>
      </c>
      <c r="D675" s="1" t="s">
        <v>920</v>
      </c>
      <c r="E675" s="1" t="s">
        <v>48</v>
      </c>
      <c r="F675" s="1">
        <v>1</v>
      </c>
      <c r="G675" s="1" t="s">
        <v>76</v>
      </c>
      <c r="H675" s="1" t="str">
        <f t="shared" si="60"/>
        <v xml:space="preserve">CEMPRESA='31' </v>
      </c>
      <c r="I675" s="1" t="str">
        <f t="shared" si="61"/>
        <v xml:space="preserve">AND CBALCAO='0003' </v>
      </c>
      <c r="J675" s="1" t="str">
        <f t="shared" si="62"/>
        <v xml:space="preserve">AND CNUMECTA='18611812097' </v>
      </c>
      <c r="K675" s="1" t="str">
        <f t="shared" si="63"/>
        <v xml:space="preserve">AND ZDEPOSIT='000000000000000' </v>
      </c>
      <c r="L675" s="1" t="str">
        <f t="shared" si="64"/>
        <v>WHEN CEMPRESA='31' AND CBALCAO='0003' AND CNUMECTA='18611812097' AND ZDEPOSIT='000000000000000' THEN 1</v>
      </c>
      <c r="M675" s="1" t="str">
        <f t="shared" si="65"/>
        <v>WHEN CEMPRESA='31' AND CBALCAO='0003' AND CNUMECTA='18611812097' AND ZDEPOSIT='000000000000000' THEN 'A.7.7.'</v>
      </c>
    </row>
    <row r="676" spans="2:13" x14ac:dyDescent="0.25">
      <c r="B676" s="1" t="s">
        <v>45</v>
      </c>
      <c r="C676" s="1" t="s">
        <v>46</v>
      </c>
      <c r="D676" s="1" t="s">
        <v>921</v>
      </c>
      <c r="E676" s="1" t="s">
        <v>48</v>
      </c>
      <c r="F676" s="1">
        <v>1</v>
      </c>
      <c r="G676" s="1" t="s">
        <v>76</v>
      </c>
      <c r="H676" s="1" t="str">
        <f t="shared" si="60"/>
        <v xml:space="preserve">CEMPRESA='31' </v>
      </c>
      <c r="I676" s="1" t="str">
        <f t="shared" si="61"/>
        <v xml:space="preserve">AND CBALCAO='0003' </v>
      </c>
      <c r="J676" s="1" t="str">
        <f t="shared" si="62"/>
        <v xml:space="preserve">AND CNUMECTA='18606952097' </v>
      </c>
      <c r="K676" s="1" t="str">
        <f t="shared" si="63"/>
        <v xml:space="preserve">AND ZDEPOSIT='000000000000000' </v>
      </c>
      <c r="L676" s="1" t="str">
        <f t="shared" si="64"/>
        <v>WHEN CEMPRESA='31' AND CBALCAO='0003' AND CNUMECTA='18606952097' AND ZDEPOSIT='000000000000000' THEN 1</v>
      </c>
      <c r="M676" s="1" t="str">
        <f t="shared" si="65"/>
        <v>WHEN CEMPRESA='31' AND CBALCAO='0003' AND CNUMECTA='18606952097' AND ZDEPOSIT='000000000000000' THEN 'A.7.7.'</v>
      </c>
    </row>
    <row r="677" spans="2:13" x14ac:dyDescent="0.25">
      <c r="B677" s="1" t="s">
        <v>45</v>
      </c>
      <c r="C677" s="1" t="s">
        <v>46</v>
      </c>
      <c r="D677" s="1" t="s">
        <v>922</v>
      </c>
      <c r="E677" s="1" t="s">
        <v>48</v>
      </c>
      <c r="F677" s="1">
        <v>1</v>
      </c>
      <c r="G677" s="1" t="s">
        <v>76</v>
      </c>
      <c r="H677" s="1" t="str">
        <f t="shared" si="60"/>
        <v xml:space="preserve">CEMPRESA='31' </v>
      </c>
      <c r="I677" s="1" t="str">
        <f t="shared" si="61"/>
        <v xml:space="preserve">AND CBALCAO='0003' </v>
      </c>
      <c r="J677" s="1" t="str">
        <f t="shared" si="62"/>
        <v xml:space="preserve">AND CNUMECTA='18611127097' </v>
      </c>
      <c r="K677" s="1" t="str">
        <f t="shared" si="63"/>
        <v xml:space="preserve">AND ZDEPOSIT='000000000000000' </v>
      </c>
      <c r="L677" s="1" t="str">
        <f t="shared" si="64"/>
        <v>WHEN CEMPRESA='31' AND CBALCAO='0003' AND CNUMECTA='18611127097' AND ZDEPOSIT='000000000000000' THEN 1</v>
      </c>
      <c r="M677" s="1" t="str">
        <f t="shared" si="65"/>
        <v>WHEN CEMPRESA='31' AND CBALCAO='0003' AND CNUMECTA='18611127097' AND ZDEPOSIT='000000000000000' THEN 'A.7.7.'</v>
      </c>
    </row>
    <row r="678" spans="2:13" x14ac:dyDescent="0.25">
      <c r="B678" s="1" t="s">
        <v>54</v>
      </c>
      <c r="C678" s="1" t="s">
        <v>55</v>
      </c>
      <c r="D678" s="1" t="s">
        <v>923</v>
      </c>
      <c r="E678" s="1" t="s">
        <v>924</v>
      </c>
      <c r="F678" s="1">
        <v>1</v>
      </c>
      <c r="G678" s="1" t="s">
        <v>58</v>
      </c>
      <c r="H678" s="1" t="str">
        <f t="shared" si="60"/>
        <v xml:space="preserve">CEMPRESA='89' </v>
      </c>
      <c r="I678" s="1" t="str">
        <f t="shared" si="61"/>
        <v xml:space="preserve">AND CBALCAO='0000' </v>
      </c>
      <c r="J678" s="1" t="str">
        <f t="shared" si="62"/>
        <v xml:space="preserve">AND CNUMECTA='00008046565' </v>
      </c>
      <c r="K678" s="1" t="str">
        <f t="shared" si="63"/>
        <v xml:space="preserve">AND ZDEPOSIT='000530000776977' </v>
      </c>
      <c r="L678" s="1" t="str">
        <f t="shared" si="64"/>
        <v>WHEN CEMPRESA='89' AND CBALCAO='0000' AND CNUMECTA='00008046565' AND ZDEPOSIT='000530000776977' THEN 1</v>
      </c>
      <c r="M678" s="1" t="str">
        <f t="shared" si="65"/>
        <v>WHEN CEMPRESA='89' AND CBALCAO='0000' AND CNUMECTA='00008046565' AND ZDEPOSIT='000530000776977' THEN 'A.2.5.'</v>
      </c>
    </row>
    <row r="679" spans="2:13" x14ac:dyDescent="0.25">
      <c r="B679" s="1" t="s">
        <v>45</v>
      </c>
      <c r="C679" s="1" t="s">
        <v>46</v>
      </c>
      <c r="D679" s="1" t="s">
        <v>925</v>
      </c>
      <c r="E679" s="1" t="s">
        <v>48</v>
      </c>
      <c r="F679" s="1">
        <v>1</v>
      </c>
      <c r="G679" s="1" t="s">
        <v>60</v>
      </c>
      <c r="H679" s="1" t="str">
        <f t="shared" si="60"/>
        <v xml:space="preserve">CEMPRESA='31' </v>
      </c>
      <c r="I679" s="1" t="str">
        <f t="shared" si="61"/>
        <v xml:space="preserve">AND CBALCAO='0003' </v>
      </c>
      <c r="J679" s="1" t="str">
        <f t="shared" si="62"/>
        <v xml:space="preserve">AND CNUMECTA='20574512096' </v>
      </c>
      <c r="K679" s="1" t="str">
        <f t="shared" si="63"/>
        <v xml:space="preserve">AND ZDEPOSIT='000000000000000' </v>
      </c>
      <c r="L679" s="1" t="str">
        <f t="shared" si="64"/>
        <v>WHEN CEMPRESA='31' AND CBALCAO='0003' AND CNUMECTA='20574512096' AND ZDEPOSIT='000000000000000' THEN 1</v>
      </c>
      <c r="M679" s="1" t="str">
        <f t="shared" si="65"/>
        <v>WHEN CEMPRESA='31' AND CBALCAO='0003' AND CNUMECTA='20574512096' AND ZDEPOSIT='000000000000000' THEN 'A.3.7.'</v>
      </c>
    </row>
    <row r="680" spans="2:13" x14ac:dyDescent="0.25">
      <c r="B680" s="1" t="s">
        <v>45</v>
      </c>
      <c r="C680" s="1" t="s">
        <v>46</v>
      </c>
      <c r="D680" s="1" t="s">
        <v>926</v>
      </c>
      <c r="E680" s="1" t="s">
        <v>48</v>
      </c>
      <c r="F680" s="1">
        <v>1</v>
      </c>
      <c r="G680" s="1" t="s">
        <v>60</v>
      </c>
      <c r="H680" s="1" t="str">
        <f t="shared" si="60"/>
        <v xml:space="preserve">CEMPRESA='31' </v>
      </c>
      <c r="I680" s="1" t="str">
        <f t="shared" si="61"/>
        <v xml:space="preserve">AND CBALCAO='0003' </v>
      </c>
      <c r="J680" s="1" t="str">
        <f t="shared" si="62"/>
        <v xml:space="preserve">AND CNUMECTA='20573845096' </v>
      </c>
      <c r="K680" s="1" t="str">
        <f t="shared" si="63"/>
        <v xml:space="preserve">AND ZDEPOSIT='000000000000000' </v>
      </c>
      <c r="L680" s="1" t="str">
        <f t="shared" si="64"/>
        <v>WHEN CEMPRESA='31' AND CBALCAO='0003' AND CNUMECTA='20573845096' AND ZDEPOSIT='000000000000000' THEN 1</v>
      </c>
      <c r="M680" s="1" t="str">
        <f t="shared" si="65"/>
        <v>WHEN CEMPRESA='31' AND CBALCAO='0003' AND CNUMECTA='20573845096' AND ZDEPOSIT='000000000000000' THEN 'A.3.7.'</v>
      </c>
    </row>
    <row r="681" spans="2:13" x14ac:dyDescent="0.25">
      <c r="B681" s="1" t="s">
        <v>54</v>
      </c>
      <c r="C681" s="1" t="s">
        <v>55</v>
      </c>
      <c r="D681" s="1" t="s">
        <v>927</v>
      </c>
      <c r="E681" s="1" t="s">
        <v>928</v>
      </c>
      <c r="F681" s="1">
        <v>1</v>
      </c>
      <c r="G681" s="1" t="s">
        <v>58</v>
      </c>
      <c r="H681" s="1" t="str">
        <f t="shared" si="60"/>
        <v xml:space="preserve">CEMPRESA='89' </v>
      </c>
      <c r="I681" s="1" t="str">
        <f t="shared" si="61"/>
        <v xml:space="preserve">AND CBALCAO='0000' </v>
      </c>
      <c r="J681" s="1" t="str">
        <f t="shared" si="62"/>
        <v xml:space="preserve">AND CNUMECTA='00000250100' </v>
      </c>
      <c r="K681" s="1" t="str">
        <f t="shared" si="63"/>
        <v xml:space="preserve">AND ZDEPOSIT='000450000605797' </v>
      </c>
      <c r="L681" s="1" t="str">
        <f t="shared" si="64"/>
        <v>WHEN CEMPRESA='89' AND CBALCAO='0000' AND CNUMECTA='00000250100' AND ZDEPOSIT='000450000605797' THEN 1</v>
      </c>
      <c r="M681" s="1" t="str">
        <f t="shared" si="65"/>
        <v>WHEN CEMPRESA='89' AND CBALCAO='0000' AND CNUMECTA='00000250100' AND ZDEPOSIT='000450000605797' THEN 'A.2.5.'</v>
      </c>
    </row>
    <row r="682" spans="2:13" x14ac:dyDescent="0.25">
      <c r="B682" s="1" t="s">
        <v>45</v>
      </c>
      <c r="C682" s="1" t="s">
        <v>46</v>
      </c>
      <c r="D682" s="1" t="s">
        <v>929</v>
      </c>
      <c r="E682" s="1" t="s">
        <v>48</v>
      </c>
      <c r="F682" s="1">
        <v>1</v>
      </c>
      <c r="G682" s="1" t="s">
        <v>60</v>
      </c>
      <c r="H682" s="1" t="str">
        <f t="shared" si="60"/>
        <v xml:space="preserve">CEMPRESA='31' </v>
      </c>
      <c r="I682" s="1" t="str">
        <f t="shared" si="61"/>
        <v xml:space="preserve">AND CBALCAO='0003' </v>
      </c>
      <c r="J682" s="1" t="str">
        <f t="shared" si="62"/>
        <v xml:space="preserve">AND CNUMECTA='20728944096' </v>
      </c>
      <c r="K682" s="1" t="str">
        <f t="shared" si="63"/>
        <v xml:space="preserve">AND ZDEPOSIT='000000000000000' </v>
      </c>
      <c r="L682" s="1" t="str">
        <f t="shared" si="64"/>
        <v>WHEN CEMPRESA='31' AND CBALCAO='0003' AND CNUMECTA='20728944096' AND ZDEPOSIT='000000000000000' THEN 1</v>
      </c>
      <c r="M682" s="1" t="str">
        <f t="shared" si="65"/>
        <v>WHEN CEMPRESA='31' AND CBALCAO='0003' AND CNUMECTA='20728944096' AND ZDEPOSIT='000000000000000' THEN 'A.3.7.'</v>
      </c>
    </row>
    <row r="683" spans="2:13" x14ac:dyDescent="0.25">
      <c r="B683" s="1" t="s">
        <v>45</v>
      </c>
      <c r="C683" s="1" t="s">
        <v>46</v>
      </c>
      <c r="D683" s="1" t="s">
        <v>930</v>
      </c>
      <c r="E683" s="1" t="s">
        <v>48</v>
      </c>
      <c r="F683" s="1">
        <v>1</v>
      </c>
      <c r="G683" s="1" t="s">
        <v>60</v>
      </c>
      <c r="H683" s="1" t="str">
        <f t="shared" si="60"/>
        <v xml:space="preserve">CEMPRESA='31' </v>
      </c>
      <c r="I683" s="1" t="str">
        <f t="shared" si="61"/>
        <v xml:space="preserve">AND CBALCAO='0003' </v>
      </c>
      <c r="J683" s="1" t="str">
        <f t="shared" si="62"/>
        <v xml:space="preserve">AND CNUMECTA='20545306096' </v>
      </c>
      <c r="K683" s="1" t="str">
        <f t="shared" si="63"/>
        <v xml:space="preserve">AND ZDEPOSIT='000000000000000' </v>
      </c>
      <c r="L683" s="1" t="str">
        <f t="shared" si="64"/>
        <v>WHEN CEMPRESA='31' AND CBALCAO='0003' AND CNUMECTA='20545306096' AND ZDEPOSIT='000000000000000' THEN 1</v>
      </c>
      <c r="M683" s="1" t="str">
        <f t="shared" si="65"/>
        <v>WHEN CEMPRESA='31' AND CBALCAO='0003' AND CNUMECTA='20545306096' AND ZDEPOSIT='000000000000000' THEN 'A.3.7.'</v>
      </c>
    </row>
    <row r="684" spans="2:13" x14ac:dyDescent="0.25">
      <c r="B684" s="1" t="s">
        <v>54</v>
      </c>
      <c r="C684" s="1" t="s">
        <v>55</v>
      </c>
      <c r="D684" s="1" t="s">
        <v>931</v>
      </c>
      <c r="E684" s="1" t="s">
        <v>932</v>
      </c>
      <c r="F684" s="1">
        <v>1</v>
      </c>
      <c r="G684" s="1" t="s">
        <v>58</v>
      </c>
      <c r="H684" s="1" t="str">
        <f t="shared" si="60"/>
        <v xml:space="preserve">CEMPRESA='89' </v>
      </c>
      <c r="I684" s="1" t="str">
        <f t="shared" si="61"/>
        <v xml:space="preserve">AND CBALCAO='0000' </v>
      </c>
      <c r="J684" s="1" t="str">
        <f t="shared" si="62"/>
        <v xml:space="preserve">AND CNUMECTA='00008046504' </v>
      </c>
      <c r="K684" s="1" t="str">
        <f t="shared" si="63"/>
        <v xml:space="preserve">AND ZDEPOSIT='000530000764463' </v>
      </c>
      <c r="L684" s="1" t="str">
        <f t="shared" si="64"/>
        <v>WHEN CEMPRESA='89' AND CBALCAO='0000' AND CNUMECTA='00008046504' AND ZDEPOSIT='000530000764463' THEN 1</v>
      </c>
      <c r="M684" s="1" t="str">
        <f t="shared" si="65"/>
        <v>WHEN CEMPRESA='89' AND CBALCAO='0000' AND CNUMECTA='00008046504' AND ZDEPOSIT='000530000764463' THEN 'A.2.5.'</v>
      </c>
    </row>
    <row r="685" spans="2:13" x14ac:dyDescent="0.25">
      <c r="B685" s="1" t="s">
        <v>45</v>
      </c>
      <c r="C685" s="1" t="s">
        <v>46</v>
      </c>
      <c r="D685" s="1" t="s">
        <v>933</v>
      </c>
      <c r="E685" s="1" t="s">
        <v>48</v>
      </c>
      <c r="F685" s="1">
        <v>1</v>
      </c>
      <c r="G685" s="1" t="s">
        <v>60</v>
      </c>
      <c r="H685" s="1" t="str">
        <f t="shared" si="60"/>
        <v xml:space="preserve">CEMPRESA='31' </v>
      </c>
      <c r="I685" s="1" t="str">
        <f t="shared" si="61"/>
        <v xml:space="preserve">AND CBALCAO='0003' </v>
      </c>
      <c r="J685" s="1" t="str">
        <f t="shared" si="62"/>
        <v xml:space="preserve">AND CNUMECTA='20729439096' </v>
      </c>
      <c r="K685" s="1" t="str">
        <f t="shared" si="63"/>
        <v xml:space="preserve">AND ZDEPOSIT='000000000000000' </v>
      </c>
      <c r="L685" s="1" t="str">
        <f t="shared" si="64"/>
        <v>WHEN CEMPRESA='31' AND CBALCAO='0003' AND CNUMECTA='20729439096' AND ZDEPOSIT='000000000000000' THEN 1</v>
      </c>
      <c r="M685" s="1" t="str">
        <f t="shared" si="65"/>
        <v>WHEN CEMPRESA='31' AND CBALCAO='0003' AND CNUMECTA='20729439096' AND ZDEPOSIT='000000000000000' THEN 'A.3.7.'</v>
      </c>
    </row>
    <row r="686" spans="2:13" x14ac:dyDescent="0.25">
      <c r="B686" s="1" t="s">
        <v>45</v>
      </c>
      <c r="C686" s="1" t="s">
        <v>46</v>
      </c>
      <c r="D686" s="1" t="s">
        <v>934</v>
      </c>
      <c r="E686" s="1" t="s">
        <v>48</v>
      </c>
      <c r="F686" s="1">
        <v>1</v>
      </c>
      <c r="G686" s="1" t="s">
        <v>60</v>
      </c>
      <c r="H686" s="1" t="str">
        <f t="shared" si="60"/>
        <v xml:space="preserve">CEMPRESA='31' </v>
      </c>
      <c r="I686" s="1" t="str">
        <f t="shared" si="61"/>
        <v xml:space="preserve">AND CBALCAO='0003' </v>
      </c>
      <c r="J686" s="1" t="str">
        <f t="shared" si="62"/>
        <v xml:space="preserve">AND CNUMECTA='20613872096' </v>
      </c>
      <c r="K686" s="1" t="str">
        <f t="shared" si="63"/>
        <v xml:space="preserve">AND ZDEPOSIT='000000000000000' </v>
      </c>
      <c r="L686" s="1" t="str">
        <f t="shared" si="64"/>
        <v>WHEN CEMPRESA='31' AND CBALCAO='0003' AND CNUMECTA='20613872096' AND ZDEPOSIT='000000000000000' THEN 1</v>
      </c>
      <c r="M686" s="1" t="str">
        <f t="shared" si="65"/>
        <v>WHEN CEMPRESA='31' AND CBALCAO='0003' AND CNUMECTA='20613872096' AND ZDEPOSIT='000000000000000' THEN 'A.3.7.'</v>
      </c>
    </row>
    <row r="687" spans="2:13" x14ac:dyDescent="0.25">
      <c r="B687" s="1" t="s">
        <v>54</v>
      </c>
      <c r="C687" s="1" t="s">
        <v>55</v>
      </c>
      <c r="D687" s="1" t="s">
        <v>935</v>
      </c>
      <c r="E687" s="1" t="s">
        <v>936</v>
      </c>
      <c r="F687" s="1">
        <v>1</v>
      </c>
      <c r="G687" s="1" t="s">
        <v>58</v>
      </c>
      <c r="H687" s="1" t="str">
        <f t="shared" si="60"/>
        <v xml:space="preserve">CEMPRESA='89' </v>
      </c>
      <c r="I687" s="1" t="str">
        <f t="shared" si="61"/>
        <v xml:space="preserve">AND CBALCAO='0000' </v>
      </c>
      <c r="J687" s="1" t="str">
        <f t="shared" si="62"/>
        <v xml:space="preserve">AND CNUMECTA='00000250287' </v>
      </c>
      <c r="K687" s="1" t="str">
        <f t="shared" si="63"/>
        <v xml:space="preserve">AND ZDEPOSIT='000450000693659' </v>
      </c>
      <c r="L687" s="1" t="str">
        <f t="shared" si="64"/>
        <v>WHEN CEMPRESA='89' AND CBALCAO='0000' AND CNUMECTA='00000250287' AND ZDEPOSIT='000450000693659' THEN 1</v>
      </c>
      <c r="M687" s="1" t="str">
        <f t="shared" si="65"/>
        <v>WHEN CEMPRESA='89' AND CBALCAO='0000' AND CNUMECTA='00000250287' AND ZDEPOSIT='000450000693659' THEN 'A.2.5.'</v>
      </c>
    </row>
    <row r="688" spans="2:13" x14ac:dyDescent="0.25">
      <c r="B688" s="1" t="s">
        <v>45</v>
      </c>
      <c r="C688" s="1" t="s">
        <v>46</v>
      </c>
      <c r="D688" s="1" t="s">
        <v>937</v>
      </c>
      <c r="E688" s="1" t="s">
        <v>48</v>
      </c>
      <c r="F688" s="1">
        <v>1</v>
      </c>
      <c r="G688" s="1" t="s">
        <v>51</v>
      </c>
      <c r="H688" s="1" t="str">
        <f t="shared" si="60"/>
        <v xml:space="preserve">CEMPRESA='31' </v>
      </c>
      <c r="I688" s="1" t="str">
        <f t="shared" si="61"/>
        <v xml:space="preserve">AND CBALCAO='0003' </v>
      </c>
      <c r="J688" s="1" t="str">
        <f t="shared" si="62"/>
        <v xml:space="preserve">AND CNUMECTA='20561527096' </v>
      </c>
      <c r="K688" s="1" t="str">
        <f t="shared" si="63"/>
        <v xml:space="preserve">AND ZDEPOSIT='000000000000000' </v>
      </c>
      <c r="L688" s="1" t="str">
        <f t="shared" si="64"/>
        <v>WHEN CEMPRESA='31' AND CBALCAO='0003' AND CNUMECTA='20561527096' AND ZDEPOSIT='000000000000000' THEN 1</v>
      </c>
      <c r="M688" s="1" t="str">
        <f t="shared" si="65"/>
        <v>WHEN CEMPRESA='31' AND CBALCAO='0003' AND CNUMECTA='20561527096' AND ZDEPOSIT='000000000000000' THEN 'B.1.'</v>
      </c>
    </row>
    <row r="689" spans="2:13" x14ac:dyDescent="0.25">
      <c r="B689" s="1" t="s">
        <v>54</v>
      </c>
      <c r="C689" s="1" t="s">
        <v>55</v>
      </c>
      <c r="D689" s="1" t="s">
        <v>938</v>
      </c>
      <c r="E689" s="1" t="s">
        <v>939</v>
      </c>
      <c r="F689" s="1">
        <v>1</v>
      </c>
      <c r="G689" s="1" t="s">
        <v>58</v>
      </c>
      <c r="H689" s="1" t="str">
        <f t="shared" si="60"/>
        <v xml:space="preserve">CEMPRESA='89' </v>
      </c>
      <c r="I689" s="1" t="str">
        <f t="shared" si="61"/>
        <v xml:space="preserve">AND CBALCAO='0000' </v>
      </c>
      <c r="J689" s="1" t="str">
        <f t="shared" si="62"/>
        <v xml:space="preserve">AND CNUMECTA='00000250425' </v>
      </c>
      <c r="K689" s="1" t="str">
        <f t="shared" si="63"/>
        <v xml:space="preserve">AND ZDEPOSIT='000450000778229' </v>
      </c>
      <c r="L689" s="1" t="str">
        <f t="shared" si="64"/>
        <v>WHEN CEMPRESA='89' AND CBALCAO='0000' AND CNUMECTA='00000250425' AND ZDEPOSIT='000450000778229' THEN 1</v>
      </c>
      <c r="M689" s="1" t="str">
        <f t="shared" si="65"/>
        <v>WHEN CEMPRESA='89' AND CBALCAO='0000' AND CNUMECTA='00000250425' AND ZDEPOSIT='000450000778229' THEN 'A.2.5.'</v>
      </c>
    </row>
    <row r="690" spans="2:13" x14ac:dyDescent="0.25">
      <c r="B690" s="1" t="s">
        <v>45</v>
      </c>
      <c r="C690" s="1" t="s">
        <v>46</v>
      </c>
      <c r="D690" s="1" t="s">
        <v>940</v>
      </c>
      <c r="E690" s="1" t="s">
        <v>48</v>
      </c>
      <c r="F690" s="1">
        <v>1</v>
      </c>
      <c r="G690" s="1" t="s">
        <v>60</v>
      </c>
      <c r="H690" s="1" t="str">
        <f t="shared" si="60"/>
        <v xml:space="preserve">CEMPRESA='31' </v>
      </c>
      <c r="I690" s="1" t="str">
        <f t="shared" si="61"/>
        <v xml:space="preserve">AND CBALCAO='0003' </v>
      </c>
      <c r="J690" s="1" t="str">
        <f t="shared" si="62"/>
        <v xml:space="preserve">AND CNUMECTA='20464904096' </v>
      </c>
      <c r="K690" s="1" t="str">
        <f t="shared" si="63"/>
        <v xml:space="preserve">AND ZDEPOSIT='000000000000000' </v>
      </c>
      <c r="L690" s="1" t="str">
        <f t="shared" si="64"/>
        <v>WHEN CEMPRESA='31' AND CBALCAO='0003' AND CNUMECTA='20464904096' AND ZDEPOSIT='000000000000000' THEN 1</v>
      </c>
      <c r="M690" s="1" t="str">
        <f t="shared" si="65"/>
        <v>WHEN CEMPRESA='31' AND CBALCAO='0003' AND CNUMECTA='20464904096' AND ZDEPOSIT='000000000000000' THEN 'A.3.7.'</v>
      </c>
    </row>
    <row r="691" spans="2:13" x14ac:dyDescent="0.25">
      <c r="B691" s="1" t="s">
        <v>45</v>
      </c>
      <c r="C691" s="1" t="s">
        <v>46</v>
      </c>
      <c r="D691" s="1" t="s">
        <v>941</v>
      </c>
      <c r="E691" s="1" t="s">
        <v>48</v>
      </c>
      <c r="F691" s="1">
        <v>1</v>
      </c>
      <c r="G691" s="1" t="s">
        <v>60</v>
      </c>
      <c r="H691" s="1" t="str">
        <f t="shared" si="60"/>
        <v xml:space="preserve">CEMPRESA='31' </v>
      </c>
      <c r="I691" s="1" t="str">
        <f t="shared" si="61"/>
        <v xml:space="preserve">AND CBALCAO='0003' </v>
      </c>
      <c r="J691" s="1" t="str">
        <f t="shared" si="62"/>
        <v xml:space="preserve">AND CNUMECTA='20531215096' </v>
      </c>
      <c r="K691" s="1" t="str">
        <f t="shared" si="63"/>
        <v xml:space="preserve">AND ZDEPOSIT='000000000000000' </v>
      </c>
      <c r="L691" s="1" t="str">
        <f t="shared" si="64"/>
        <v>WHEN CEMPRESA='31' AND CBALCAO='0003' AND CNUMECTA='20531215096' AND ZDEPOSIT='000000000000000' THEN 1</v>
      </c>
      <c r="M691" s="1" t="str">
        <f t="shared" si="65"/>
        <v>WHEN CEMPRESA='31' AND CBALCAO='0003' AND CNUMECTA='20531215096' AND ZDEPOSIT='000000000000000' THEN 'A.3.7.'</v>
      </c>
    </row>
    <row r="692" spans="2:13" x14ac:dyDescent="0.25">
      <c r="B692" s="1" t="s">
        <v>45</v>
      </c>
      <c r="C692" s="1" t="s">
        <v>46</v>
      </c>
      <c r="D692" s="1" t="s">
        <v>942</v>
      </c>
      <c r="E692" s="1" t="s">
        <v>48</v>
      </c>
      <c r="F692" s="1">
        <v>1</v>
      </c>
      <c r="G692" s="1" t="s">
        <v>60</v>
      </c>
      <c r="H692" s="1" t="str">
        <f t="shared" si="60"/>
        <v xml:space="preserve">CEMPRESA='31' </v>
      </c>
      <c r="I692" s="1" t="str">
        <f t="shared" si="61"/>
        <v xml:space="preserve">AND CBALCAO='0003' </v>
      </c>
      <c r="J692" s="1" t="str">
        <f t="shared" si="62"/>
        <v xml:space="preserve">AND CNUMECTA='20593421096' </v>
      </c>
      <c r="K692" s="1" t="str">
        <f t="shared" si="63"/>
        <v xml:space="preserve">AND ZDEPOSIT='000000000000000' </v>
      </c>
      <c r="L692" s="1" t="str">
        <f t="shared" si="64"/>
        <v>WHEN CEMPRESA='31' AND CBALCAO='0003' AND CNUMECTA='20593421096' AND ZDEPOSIT='000000000000000' THEN 1</v>
      </c>
      <c r="M692" s="1" t="str">
        <f t="shared" si="65"/>
        <v>WHEN CEMPRESA='31' AND CBALCAO='0003' AND CNUMECTA='20593421096' AND ZDEPOSIT='000000000000000' THEN 'A.3.7.'</v>
      </c>
    </row>
    <row r="693" spans="2:13" x14ac:dyDescent="0.25">
      <c r="B693" s="1" t="s">
        <v>54</v>
      </c>
      <c r="C693" s="1" t="s">
        <v>55</v>
      </c>
      <c r="D693" s="1" t="s">
        <v>943</v>
      </c>
      <c r="E693" s="1" t="s">
        <v>944</v>
      </c>
      <c r="F693" s="1">
        <v>1</v>
      </c>
      <c r="G693" s="1" t="s">
        <v>58</v>
      </c>
      <c r="H693" s="1" t="str">
        <f t="shared" si="60"/>
        <v xml:space="preserve">CEMPRESA='89' </v>
      </c>
      <c r="I693" s="1" t="str">
        <f t="shared" si="61"/>
        <v xml:space="preserve">AND CBALCAO='0000' </v>
      </c>
      <c r="J693" s="1" t="str">
        <f t="shared" si="62"/>
        <v xml:space="preserve">AND CNUMECTA='00008046501' </v>
      </c>
      <c r="K693" s="1" t="str">
        <f t="shared" si="63"/>
        <v xml:space="preserve">AND ZDEPOSIT='000530000601814' </v>
      </c>
      <c r="L693" s="1" t="str">
        <f t="shared" si="64"/>
        <v>WHEN CEMPRESA='89' AND CBALCAO='0000' AND CNUMECTA='00008046501' AND ZDEPOSIT='000530000601814' THEN 1</v>
      </c>
      <c r="M693" s="1" t="str">
        <f t="shared" si="65"/>
        <v>WHEN CEMPRESA='89' AND CBALCAO='0000' AND CNUMECTA='00008046501' AND ZDEPOSIT='000530000601814' THEN 'A.2.5.'</v>
      </c>
    </row>
    <row r="694" spans="2:13" x14ac:dyDescent="0.25">
      <c r="B694" s="1" t="s">
        <v>45</v>
      </c>
      <c r="C694" s="1" t="s">
        <v>46</v>
      </c>
      <c r="D694" s="1" t="s">
        <v>945</v>
      </c>
      <c r="E694" s="1" t="s">
        <v>48</v>
      </c>
      <c r="F694" s="1">
        <v>1</v>
      </c>
      <c r="G694" s="1" t="s">
        <v>946</v>
      </c>
      <c r="H694" s="1" t="str">
        <f t="shared" si="60"/>
        <v xml:space="preserve">CEMPRESA='31' </v>
      </c>
      <c r="I694" s="1" t="str">
        <f t="shared" si="61"/>
        <v xml:space="preserve">AND CBALCAO='0003' </v>
      </c>
      <c r="J694" s="1" t="str">
        <f t="shared" si="62"/>
        <v xml:space="preserve">AND CNUMECTA='20646864096' </v>
      </c>
      <c r="K694" s="1" t="str">
        <f t="shared" si="63"/>
        <v xml:space="preserve">AND ZDEPOSIT='000000000000000' </v>
      </c>
      <c r="L694" s="1" t="str">
        <f t="shared" si="64"/>
        <v>WHEN CEMPRESA='31' AND CBALCAO='0003' AND CNUMECTA='20646864096' AND ZDEPOSIT='000000000000000' THEN 1</v>
      </c>
      <c r="M694" s="1" t="str">
        <f t="shared" si="65"/>
        <v>WHEN CEMPRESA='31' AND CBALCAO='0003' AND CNUMECTA='20646864096' AND ZDEPOSIT='000000000000000' THEN 'A.3.2.'</v>
      </c>
    </row>
    <row r="695" spans="2:13" x14ac:dyDescent="0.25">
      <c r="B695" s="1" t="s">
        <v>54</v>
      </c>
      <c r="C695" s="1" t="s">
        <v>55</v>
      </c>
      <c r="D695" s="1" t="s">
        <v>947</v>
      </c>
      <c r="E695" s="1" t="s">
        <v>948</v>
      </c>
      <c r="F695" s="1">
        <v>1</v>
      </c>
      <c r="G695" s="1" t="s">
        <v>58</v>
      </c>
      <c r="H695" s="1" t="str">
        <f t="shared" si="60"/>
        <v xml:space="preserve">CEMPRESA='89' </v>
      </c>
      <c r="I695" s="1" t="str">
        <f t="shared" si="61"/>
        <v xml:space="preserve">AND CBALCAO='0000' </v>
      </c>
      <c r="J695" s="1" t="str">
        <f t="shared" si="62"/>
        <v xml:space="preserve">AND CNUMECTA='00000250338' </v>
      </c>
      <c r="K695" s="1" t="str">
        <f t="shared" si="63"/>
        <v xml:space="preserve">AND ZDEPOSIT='000450000665310' </v>
      </c>
      <c r="L695" s="1" t="str">
        <f t="shared" si="64"/>
        <v>WHEN CEMPRESA='89' AND CBALCAO='0000' AND CNUMECTA='00000250338' AND ZDEPOSIT='000450000665310' THEN 1</v>
      </c>
      <c r="M695" s="1" t="str">
        <f t="shared" si="65"/>
        <v>WHEN CEMPRESA='89' AND CBALCAO='0000' AND CNUMECTA='00000250338' AND ZDEPOSIT='000450000665310' THEN 'A.2.5.'</v>
      </c>
    </row>
    <row r="696" spans="2:13" x14ac:dyDescent="0.25">
      <c r="B696" s="1" t="s">
        <v>45</v>
      </c>
      <c r="C696" s="1" t="s">
        <v>46</v>
      </c>
      <c r="D696" s="1" t="s">
        <v>949</v>
      </c>
      <c r="E696" s="1" t="s">
        <v>48</v>
      </c>
      <c r="F696" s="1">
        <v>1</v>
      </c>
      <c r="G696" s="1" t="s">
        <v>60</v>
      </c>
      <c r="H696" s="1" t="str">
        <f t="shared" si="60"/>
        <v xml:space="preserve">CEMPRESA='31' </v>
      </c>
      <c r="I696" s="1" t="str">
        <f t="shared" si="61"/>
        <v xml:space="preserve">AND CBALCAO='0003' </v>
      </c>
      <c r="J696" s="1" t="str">
        <f t="shared" si="62"/>
        <v xml:space="preserve">AND CNUMECTA='20519525096' </v>
      </c>
      <c r="K696" s="1" t="str">
        <f t="shared" si="63"/>
        <v xml:space="preserve">AND ZDEPOSIT='000000000000000' </v>
      </c>
      <c r="L696" s="1" t="str">
        <f t="shared" si="64"/>
        <v>WHEN CEMPRESA='31' AND CBALCAO='0003' AND CNUMECTA='20519525096' AND ZDEPOSIT='000000000000000' THEN 1</v>
      </c>
      <c r="M696" s="1" t="str">
        <f t="shared" si="65"/>
        <v>WHEN CEMPRESA='31' AND CBALCAO='0003' AND CNUMECTA='20519525096' AND ZDEPOSIT='000000000000000' THEN 'A.3.7.'</v>
      </c>
    </row>
    <row r="697" spans="2:13" x14ac:dyDescent="0.25">
      <c r="B697" s="1" t="s">
        <v>45</v>
      </c>
      <c r="C697" s="1" t="s">
        <v>46</v>
      </c>
      <c r="D697" s="1" t="s">
        <v>950</v>
      </c>
      <c r="E697" s="1" t="s">
        <v>48</v>
      </c>
      <c r="F697" s="1">
        <v>1</v>
      </c>
      <c r="G697" s="1" t="s">
        <v>60</v>
      </c>
      <c r="H697" s="1" t="str">
        <f t="shared" si="60"/>
        <v xml:space="preserve">CEMPRESA='31' </v>
      </c>
      <c r="I697" s="1" t="str">
        <f t="shared" si="61"/>
        <v xml:space="preserve">AND CBALCAO='0003' </v>
      </c>
      <c r="J697" s="1" t="str">
        <f t="shared" si="62"/>
        <v xml:space="preserve">AND CNUMECTA='20651989096' </v>
      </c>
      <c r="K697" s="1" t="str">
        <f t="shared" si="63"/>
        <v xml:space="preserve">AND ZDEPOSIT='000000000000000' </v>
      </c>
      <c r="L697" s="1" t="str">
        <f t="shared" si="64"/>
        <v>WHEN CEMPRESA='31' AND CBALCAO='0003' AND CNUMECTA='20651989096' AND ZDEPOSIT='000000000000000' THEN 1</v>
      </c>
      <c r="M697" s="1" t="str">
        <f t="shared" si="65"/>
        <v>WHEN CEMPRESA='31' AND CBALCAO='0003' AND CNUMECTA='20651989096' AND ZDEPOSIT='000000000000000' THEN 'A.3.7.'</v>
      </c>
    </row>
    <row r="698" spans="2:13" x14ac:dyDescent="0.25">
      <c r="B698" s="1" t="s">
        <v>45</v>
      </c>
      <c r="C698" s="1" t="s">
        <v>46</v>
      </c>
      <c r="D698" s="1" t="s">
        <v>951</v>
      </c>
      <c r="E698" s="1" t="s">
        <v>48</v>
      </c>
      <c r="F698" s="1">
        <v>1</v>
      </c>
      <c r="G698" s="1" t="s">
        <v>60</v>
      </c>
      <c r="H698" s="1" t="str">
        <f t="shared" si="60"/>
        <v xml:space="preserve">CEMPRESA='31' </v>
      </c>
      <c r="I698" s="1" t="str">
        <f t="shared" si="61"/>
        <v xml:space="preserve">AND CBALCAO='0003' </v>
      </c>
      <c r="J698" s="1" t="str">
        <f t="shared" si="62"/>
        <v xml:space="preserve">AND CNUMECTA='20612726096' </v>
      </c>
      <c r="K698" s="1" t="str">
        <f t="shared" si="63"/>
        <v xml:space="preserve">AND ZDEPOSIT='000000000000000' </v>
      </c>
      <c r="L698" s="1" t="str">
        <f t="shared" si="64"/>
        <v>WHEN CEMPRESA='31' AND CBALCAO='0003' AND CNUMECTA='20612726096' AND ZDEPOSIT='000000000000000' THEN 1</v>
      </c>
      <c r="M698" s="1" t="str">
        <f t="shared" si="65"/>
        <v>WHEN CEMPRESA='31' AND CBALCAO='0003' AND CNUMECTA='20612726096' AND ZDEPOSIT='000000000000000' THEN 'A.3.7.'</v>
      </c>
    </row>
    <row r="699" spans="2:13" x14ac:dyDescent="0.25">
      <c r="B699" s="1" t="s">
        <v>54</v>
      </c>
      <c r="C699" s="1" t="s">
        <v>55</v>
      </c>
      <c r="D699" s="1" t="s">
        <v>952</v>
      </c>
      <c r="E699" s="1" t="s">
        <v>953</v>
      </c>
      <c r="F699" s="1">
        <v>1</v>
      </c>
      <c r="G699" s="1" t="s">
        <v>58</v>
      </c>
      <c r="H699" s="1" t="str">
        <f t="shared" si="60"/>
        <v xml:space="preserve">CEMPRESA='89' </v>
      </c>
      <c r="I699" s="1" t="str">
        <f t="shared" si="61"/>
        <v xml:space="preserve">AND CBALCAO='0000' </v>
      </c>
      <c r="J699" s="1" t="str">
        <f t="shared" si="62"/>
        <v xml:space="preserve">AND CNUMECTA='00000250041' </v>
      </c>
      <c r="K699" s="1" t="str">
        <f t="shared" si="63"/>
        <v xml:space="preserve">AND ZDEPOSIT='000450000677689' </v>
      </c>
      <c r="L699" s="1" t="str">
        <f t="shared" si="64"/>
        <v>WHEN CEMPRESA='89' AND CBALCAO='0000' AND CNUMECTA='00000250041' AND ZDEPOSIT='000450000677689' THEN 1</v>
      </c>
      <c r="M699" s="1" t="str">
        <f t="shared" si="65"/>
        <v>WHEN CEMPRESA='89' AND CBALCAO='0000' AND CNUMECTA='00000250041' AND ZDEPOSIT='000450000677689' THEN 'A.2.5.'</v>
      </c>
    </row>
    <row r="700" spans="2:13" x14ac:dyDescent="0.25">
      <c r="B700" s="1" t="s">
        <v>45</v>
      </c>
      <c r="C700" s="1" t="s">
        <v>46</v>
      </c>
      <c r="D700" s="1" t="s">
        <v>954</v>
      </c>
      <c r="E700" s="1" t="s">
        <v>48</v>
      </c>
      <c r="F700" s="1">
        <v>1</v>
      </c>
      <c r="G700" s="1" t="s">
        <v>51</v>
      </c>
      <c r="H700" s="1" t="str">
        <f t="shared" si="60"/>
        <v xml:space="preserve">CEMPRESA='31' </v>
      </c>
      <c r="I700" s="1" t="str">
        <f t="shared" si="61"/>
        <v xml:space="preserve">AND CBALCAO='0003' </v>
      </c>
      <c r="J700" s="1" t="str">
        <f t="shared" si="62"/>
        <v xml:space="preserve">AND CNUMECTA='20590153096' </v>
      </c>
      <c r="K700" s="1" t="str">
        <f t="shared" si="63"/>
        <v xml:space="preserve">AND ZDEPOSIT='000000000000000' </v>
      </c>
      <c r="L700" s="1" t="str">
        <f t="shared" si="64"/>
        <v>WHEN CEMPRESA='31' AND CBALCAO='0003' AND CNUMECTA='20590153096' AND ZDEPOSIT='000000000000000' THEN 1</v>
      </c>
      <c r="M700" s="1" t="str">
        <f t="shared" si="65"/>
        <v>WHEN CEMPRESA='31' AND CBALCAO='0003' AND CNUMECTA='20590153096' AND ZDEPOSIT='000000000000000' THEN 'B.1.'</v>
      </c>
    </row>
    <row r="701" spans="2:13" x14ac:dyDescent="0.25">
      <c r="B701" s="1" t="s">
        <v>45</v>
      </c>
      <c r="C701" s="1" t="s">
        <v>46</v>
      </c>
      <c r="D701" s="1" t="s">
        <v>955</v>
      </c>
      <c r="E701" s="1" t="s">
        <v>48</v>
      </c>
      <c r="F701" s="1">
        <v>1</v>
      </c>
      <c r="G701" s="1" t="s">
        <v>76</v>
      </c>
      <c r="H701" s="1" t="str">
        <f t="shared" si="60"/>
        <v xml:space="preserve">CEMPRESA='31' </v>
      </c>
      <c r="I701" s="1" t="str">
        <f t="shared" si="61"/>
        <v xml:space="preserve">AND CBALCAO='0003' </v>
      </c>
      <c r="J701" s="1" t="str">
        <f t="shared" si="62"/>
        <v xml:space="preserve">AND CNUMECTA='18603504097' </v>
      </c>
      <c r="K701" s="1" t="str">
        <f t="shared" si="63"/>
        <v xml:space="preserve">AND ZDEPOSIT='000000000000000' </v>
      </c>
      <c r="L701" s="1" t="str">
        <f t="shared" si="64"/>
        <v>WHEN CEMPRESA='31' AND CBALCAO='0003' AND CNUMECTA='18603504097' AND ZDEPOSIT='000000000000000' THEN 1</v>
      </c>
      <c r="M701" s="1" t="str">
        <f t="shared" si="65"/>
        <v>WHEN CEMPRESA='31' AND CBALCAO='0003' AND CNUMECTA='18603504097' AND ZDEPOSIT='000000000000000' THEN 'A.7.7.'</v>
      </c>
    </row>
    <row r="702" spans="2:13" x14ac:dyDescent="0.25">
      <c r="B702" s="1" t="s">
        <v>45</v>
      </c>
      <c r="C702" s="1" t="s">
        <v>46</v>
      </c>
      <c r="D702" s="1" t="s">
        <v>956</v>
      </c>
      <c r="E702" s="1" t="s">
        <v>48</v>
      </c>
      <c r="F702" s="1">
        <v>1</v>
      </c>
      <c r="G702" s="1" t="s">
        <v>60</v>
      </c>
      <c r="H702" s="1" t="str">
        <f t="shared" si="60"/>
        <v xml:space="preserve">CEMPRESA='31' </v>
      </c>
      <c r="I702" s="1" t="str">
        <f t="shared" si="61"/>
        <v xml:space="preserve">AND CBALCAO='0003' </v>
      </c>
      <c r="J702" s="1" t="str">
        <f t="shared" si="62"/>
        <v xml:space="preserve">AND CNUMECTA='20704796096' </v>
      </c>
      <c r="K702" s="1" t="str">
        <f t="shared" si="63"/>
        <v xml:space="preserve">AND ZDEPOSIT='000000000000000' </v>
      </c>
      <c r="L702" s="1" t="str">
        <f t="shared" si="64"/>
        <v>WHEN CEMPRESA='31' AND CBALCAO='0003' AND CNUMECTA='20704796096' AND ZDEPOSIT='000000000000000' THEN 1</v>
      </c>
      <c r="M702" s="1" t="str">
        <f t="shared" si="65"/>
        <v>WHEN CEMPRESA='31' AND CBALCAO='0003' AND CNUMECTA='20704796096' AND ZDEPOSIT='000000000000000' THEN 'A.3.7.'</v>
      </c>
    </row>
    <row r="703" spans="2:13" x14ac:dyDescent="0.25">
      <c r="B703" s="1" t="s">
        <v>45</v>
      </c>
      <c r="C703" s="1" t="s">
        <v>46</v>
      </c>
      <c r="D703" s="1" t="s">
        <v>957</v>
      </c>
      <c r="E703" s="1" t="s">
        <v>48</v>
      </c>
      <c r="F703" s="1">
        <v>1</v>
      </c>
      <c r="G703" s="1" t="s">
        <v>60</v>
      </c>
      <c r="H703" s="1" t="str">
        <f t="shared" si="60"/>
        <v xml:space="preserve">CEMPRESA='31' </v>
      </c>
      <c r="I703" s="1" t="str">
        <f t="shared" si="61"/>
        <v xml:space="preserve">AND CBALCAO='0003' </v>
      </c>
      <c r="J703" s="1" t="str">
        <f t="shared" si="62"/>
        <v xml:space="preserve">AND CNUMECTA='20709803096' </v>
      </c>
      <c r="K703" s="1" t="str">
        <f t="shared" si="63"/>
        <v xml:space="preserve">AND ZDEPOSIT='000000000000000' </v>
      </c>
      <c r="L703" s="1" t="str">
        <f t="shared" si="64"/>
        <v>WHEN CEMPRESA='31' AND CBALCAO='0003' AND CNUMECTA='20709803096' AND ZDEPOSIT='000000000000000' THEN 1</v>
      </c>
      <c r="M703" s="1" t="str">
        <f t="shared" si="65"/>
        <v>WHEN CEMPRESA='31' AND CBALCAO='0003' AND CNUMECTA='20709803096' AND ZDEPOSIT='000000000000000' THEN 'A.3.7.'</v>
      </c>
    </row>
    <row r="704" spans="2:13" x14ac:dyDescent="0.25">
      <c r="B704" s="1" t="s">
        <v>45</v>
      </c>
      <c r="C704" s="1" t="s">
        <v>46</v>
      </c>
      <c r="D704" s="1" t="s">
        <v>958</v>
      </c>
      <c r="E704" s="1" t="s">
        <v>48</v>
      </c>
      <c r="F704" s="1">
        <v>1</v>
      </c>
      <c r="G704" s="1" t="s">
        <v>60</v>
      </c>
      <c r="H704" s="1" t="str">
        <f t="shared" si="60"/>
        <v xml:space="preserve">CEMPRESA='31' </v>
      </c>
      <c r="I704" s="1" t="str">
        <f t="shared" si="61"/>
        <v xml:space="preserve">AND CBALCAO='0003' </v>
      </c>
      <c r="J704" s="1" t="str">
        <f t="shared" si="62"/>
        <v xml:space="preserve">AND CNUMECTA='20489281096' </v>
      </c>
      <c r="K704" s="1" t="str">
        <f t="shared" si="63"/>
        <v xml:space="preserve">AND ZDEPOSIT='000000000000000' </v>
      </c>
      <c r="L704" s="1" t="str">
        <f t="shared" si="64"/>
        <v>WHEN CEMPRESA='31' AND CBALCAO='0003' AND CNUMECTA='20489281096' AND ZDEPOSIT='000000000000000' THEN 1</v>
      </c>
      <c r="M704" s="1" t="str">
        <f t="shared" si="65"/>
        <v>WHEN CEMPRESA='31' AND CBALCAO='0003' AND CNUMECTA='20489281096' AND ZDEPOSIT='000000000000000' THEN 'A.3.7.'</v>
      </c>
    </row>
    <row r="705" spans="2:13" x14ac:dyDescent="0.25">
      <c r="B705" s="1" t="s">
        <v>45</v>
      </c>
      <c r="C705" s="1" t="s">
        <v>46</v>
      </c>
      <c r="D705" s="1" t="s">
        <v>959</v>
      </c>
      <c r="E705" s="1" t="s">
        <v>48</v>
      </c>
      <c r="F705" s="1">
        <v>1</v>
      </c>
      <c r="G705" s="1" t="s">
        <v>60</v>
      </c>
      <c r="H705" s="1" t="str">
        <f t="shared" si="60"/>
        <v xml:space="preserve">CEMPRESA='31' </v>
      </c>
      <c r="I705" s="1" t="str">
        <f t="shared" si="61"/>
        <v xml:space="preserve">AND CBALCAO='0003' </v>
      </c>
      <c r="J705" s="1" t="str">
        <f t="shared" si="62"/>
        <v xml:space="preserve">AND CNUMECTA='20739594096' </v>
      </c>
      <c r="K705" s="1" t="str">
        <f t="shared" si="63"/>
        <v xml:space="preserve">AND ZDEPOSIT='000000000000000' </v>
      </c>
      <c r="L705" s="1" t="str">
        <f t="shared" si="64"/>
        <v>WHEN CEMPRESA='31' AND CBALCAO='0003' AND CNUMECTA='20739594096' AND ZDEPOSIT='000000000000000' THEN 1</v>
      </c>
      <c r="M705" s="1" t="str">
        <f t="shared" si="65"/>
        <v>WHEN CEMPRESA='31' AND CBALCAO='0003' AND CNUMECTA='20739594096' AND ZDEPOSIT='000000000000000' THEN 'A.3.7.'</v>
      </c>
    </row>
    <row r="706" spans="2:13" x14ac:dyDescent="0.25">
      <c r="B706" s="1" t="s">
        <v>45</v>
      </c>
      <c r="C706" s="1" t="s">
        <v>46</v>
      </c>
      <c r="D706" s="1" t="s">
        <v>960</v>
      </c>
      <c r="E706" s="1" t="s">
        <v>48</v>
      </c>
      <c r="F706" s="1">
        <v>1</v>
      </c>
      <c r="G706" s="1" t="s">
        <v>60</v>
      </c>
      <c r="H706" s="1" t="str">
        <f t="shared" si="60"/>
        <v xml:space="preserve">CEMPRESA='31' </v>
      </c>
      <c r="I706" s="1" t="str">
        <f t="shared" si="61"/>
        <v xml:space="preserve">AND CBALCAO='0003' </v>
      </c>
      <c r="J706" s="1" t="str">
        <f t="shared" si="62"/>
        <v xml:space="preserve">AND CNUMECTA='20717830096' </v>
      </c>
      <c r="K706" s="1" t="str">
        <f t="shared" si="63"/>
        <v xml:space="preserve">AND ZDEPOSIT='000000000000000' </v>
      </c>
      <c r="L706" s="1" t="str">
        <f t="shared" si="64"/>
        <v>WHEN CEMPRESA='31' AND CBALCAO='0003' AND CNUMECTA='20717830096' AND ZDEPOSIT='000000000000000' THEN 1</v>
      </c>
      <c r="M706" s="1" t="str">
        <f t="shared" si="65"/>
        <v>WHEN CEMPRESA='31' AND CBALCAO='0003' AND CNUMECTA='20717830096' AND ZDEPOSIT='000000000000000' THEN 'A.3.7.'</v>
      </c>
    </row>
    <row r="707" spans="2:13" x14ac:dyDescent="0.25">
      <c r="B707" s="1" t="s">
        <v>45</v>
      </c>
      <c r="C707" s="1" t="s">
        <v>46</v>
      </c>
      <c r="D707" s="1" t="s">
        <v>961</v>
      </c>
      <c r="E707" s="1" t="s">
        <v>48</v>
      </c>
      <c r="F707" s="1">
        <v>1</v>
      </c>
      <c r="G707" s="1" t="s">
        <v>60</v>
      </c>
      <c r="H707" s="1" t="str">
        <f t="shared" si="60"/>
        <v xml:space="preserve">CEMPRESA='31' </v>
      </c>
      <c r="I707" s="1" t="str">
        <f t="shared" si="61"/>
        <v xml:space="preserve">AND CBALCAO='0003' </v>
      </c>
      <c r="J707" s="1" t="str">
        <f t="shared" si="62"/>
        <v xml:space="preserve">AND CNUMECTA='20725650096' </v>
      </c>
      <c r="K707" s="1" t="str">
        <f t="shared" si="63"/>
        <v xml:space="preserve">AND ZDEPOSIT='000000000000000' </v>
      </c>
      <c r="L707" s="1" t="str">
        <f t="shared" si="64"/>
        <v>WHEN CEMPRESA='31' AND CBALCAO='0003' AND CNUMECTA='20725650096' AND ZDEPOSIT='000000000000000' THEN 1</v>
      </c>
      <c r="M707" s="1" t="str">
        <f t="shared" si="65"/>
        <v>WHEN CEMPRESA='31' AND CBALCAO='0003' AND CNUMECTA='20725650096' AND ZDEPOSIT='000000000000000' THEN 'A.3.7.'</v>
      </c>
    </row>
    <row r="708" spans="2:13" x14ac:dyDescent="0.25">
      <c r="B708" s="1" t="s">
        <v>54</v>
      </c>
      <c r="C708" s="1" t="s">
        <v>55</v>
      </c>
      <c r="D708" s="1" t="s">
        <v>962</v>
      </c>
      <c r="E708" s="1" t="s">
        <v>963</v>
      </c>
      <c r="F708" s="1">
        <v>1</v>
      </c>
      <c r="G708" s="1" t="s">
        <v>58</v>
      </c>
      <c r="H708" s="1" t="str">
        <f t="shared" ref="H708:H771" si="66">+IF(LEN(TRIM(B708))&gt;0,UPPER($B$2)&amp;"='"&amp;TRIM(B708)&amp;"' ","")</f>
        <v xml:space="preserve">CEMPRESA='89' </v>
      </c>
      <c r="I708" s="1" t="str">
        <f t="shared" ref="I708:I771" si="67">+IF(LEN(TRIM(C708))&gt;0,UPPER($C$2)&amp;"='"&amp;TRIM(C708)&amp;"' ","")</f>
        <v xml:space="preserve">AND CBALCAO='0000' </v>
      </c>
      <c r="J708" s="1" t="str">
        <f t="shared" ref="J708:J771" si="68">+IF(LEN(TRIM(D708))&gt;0,UPPER($D$2)&amp;"='"&amp;TRIM(D708)&amp;"' ","")</f>
        <v xml:space="preserve">AND CNUMECTA='00000250103' </v>
      </c>
      <c r="K708" s="1" t="str">
        <f t="shared" ref="K708:K771" si="69">+IF(LEN(TRIM(E708))&gt;0,UPPER($E$2)&amp;"='"&amp;TRIM(E708)&amp;"' ","")</f>
        <v xml:space="preserve">AND ZDEPOSIT='000450000645721' </v>
      </c>
      <c r="L708" s="1" t="str">
        <f t="shared" ref="L708:L771" si="70">+"WHEN "&amp;H708&amp;I708&amp;J708&amp;K708&amp;"THEN "&amp;F708</f>
        <v>WHEN CEMPRESA='89' AND CBALCAO='0000' AND CNUMECTA='00000250103' AND ZDEPOSIT='000450000645721' THEN 1</v>
      </c>
      <c r="M708" s="1" t="str">
        <f t="shared" ref="M708:M771" si="71">+"WHEN "&amp;H708&amp;I708&amp;J708&amp;K708&amp;"THEN "&amp;G708</f>
        <v>WHEN CEMPRESA='89' AND CBALCAO='0000' AND CNUMECTA='00000250103' AND ZDEPOSIT='000450000645721' THEN 'A.2.5.'</v>
      </c>
    </row>
    <row r="709" spans="2:13" x14ac:dyDescent="0.25">
      <c r="B709" s="1" t="s">
        <v>45</v>
      </c>
      <c r="C709" s="1" t="s">
        <v>46</v>
      </c>
      <c r="D709" s="1" t="s">
        <v>964</v>
      </c>
      <c r="E709" s="1" t="s">
        <v>48</v>
      </c>
      <c r="F709" s="1">
        <v>1</v>
      </c>
      <c r="G709" s="1" t="s">
        <v>76</v>
      </c>
      <c r="H709" s="1" t="str">
        <f t="shared" si="66"/>
        <v xml:space="preserve">CEMPRESA='31' </v>
      </c>
      <c r="I709" s="1" t="str">
        <f t="shared" si="67"/>
        <v xml:space="preserve">AND CBALCAO='0003' </v>
      </c>
      <c r="J709" s="1" t="str">
        <f t="shared" si="68"/>
        <v xml:space="preserve">AND CNUMECTA='18608263097' </v>
      </c>
      <c r="K709" s="1" t="str">
        <f t="shared" si="69"/>
        <v xml:space="preserve">AND ZDEPOSIT='000000000000000' </v>
      </c>
      <c r="L709" s="1" t="str">
        <f t="shared" si="70"/>
        <v>WHEN CEMPRESA='31' AND CBALCAO='0003' AND CNUMECTA='18608263097' AND ZDEPOSIT='000000000000000' THEN 1</v>
      </c>
      <c r="M709" s="1" t="str">
        <f t="shared" si="71"/>
        <v>WHEN CEMPRESA='31' AND CBALCAO='0003' AND CNUMECTA='18608263097' AND ZDEPOSIT='000000000000000' THEN 'A.7.7.'</v>
      </c>
    </row>
    <row r="710" spans="2:13" x14ac:dyDescent="0.25">
      <c r="B710" s="1" t="s">
        <v>54</v>
      </c>
      <c r="C710" s="1" t="s">
        <v>55</v>
      </c>
      <c r="D710" s="1" t="s">
        <v>965</v>
      </c>
      <c r="E710" s="1" t="s">
        <v>966</v>
      </c>
      <c r="F710" s="1">
        <v>1</v>
      </c>
      <c r="G710" s="1" t="s">
        <v>58</v>
      </c>
      <c r="H710" s="1" t="str">
        <f t="shared" si="66"/>
        <v xml:space="preserve">CEMPRESA='89' </v>
      </c>
      <c r="I710" s="1" t="str">
        <f t="shared" si="67"/>
        <v xml:space="preserve">AND CBALCAO='0000' </v>
      </c>
      <c r="J710" s="1" t="str">
        <f t="shared" si="68"/>
        <v xml:space="preserve">AND CNUMECTA='00000250525' </v>
      </c>
      <c r="K710" s="1" t="str">
        <f t="shared" si="69"/>
        <v xml:space="preserve">AND ZDEPOSIT='000450000772607' </v>
      </c>
      <c r="L710" s="1" t="str">
        <f t="shared" si="70"/>
        <v>WHEN CEMPRESA='89' AND CBALCAO='0000' AND CNUMECTA='00000250525' AND ZDEPOSIT='000450000772607' THEN 1</v>
      </c>
      <c r="M710" s="1" t="str">
        <f t="shared" si="71"/>
        <v>WHEN CEMPRESA='89' AND CBALCAO='0000' AND CNUMECTA='00000250525' AND ZDEPOSIT='000450000772607' THEN 'A.2.5.'</v>
      </c>
    </row>
    <row r="711" spans="2:13" x14ac:dyDescent="0.25">
      <c r="B711" s="1" t="s">
        <v>45</v>
      </c>
      <c r="C711" s="1" t="s">
        <v>46</v>
      </c>
      <c r="D711" s="1" t="s">
        <v>967</v>
      </c>
      <c r="E711" s="1" t="s">
        <v>48</v>
      </c>
      <c r="F711" s="1">
        <v>1</v>
      </c>
      <c r="G711" s="1" t="s">
        <v>60</v>
      </c>
      <c r="H711" s="1" t="str">
        <f t="shared" si="66"/>
        <v xml:space="preserve">CEMPRESA='31' </v>
      </c>
      <c r="I711" s="1" t="str">
        <f t="shared" si="67"/>
        <v xml:space="preserve">AND CBALCAO='0003' </v>
      </c>
      <c r="J711" s="1" t="str">
        <f t="shared" si="68"/>
        <v xml:space="preserve">AND CNUMECTA='20437694096' </v>
      </c>
      <c r="K711" s="1" t="str">
        <f t="shared" si="69"/>
        <v xml:space="preserve">AND ZDEPOSIT='000000000000000' </v>
      </c>
      <c r="L711" s="1" t="str">
        <f t="shared" si="70"/>
        <v>WHEN CEMPRESA='31' AND CBALCAO='0003' AND CNUMECTA='20437694096' AND ZDEPOSIT='000000000000000' THEN 1</v>
      </c>
      <c r="M711" s="1" t="str">
        <f t="shared" si="71"/>
        <v>WHEN CEMPRESA='31' AND CBALCAO='0003' AND CNUMECTA='20437694096' AND ZDEPOSIT='000000000000000' THEN 'A.3.7.'</v>
      </c>
    </row>
    <row r="712" spans="2:13" x14ac:dyDescent="0.25">
      <c r="B712" s="1" t="s">
        <v>45</v>
      </c>
      <c r="C712" s="1" t="s">
        <v>46</v>
      </c>
      <c r="D712" s="1" t="s">
        <v>968</v>
      </c>
      <c r="E712" s="1" t="s">
        <v>48</v>
      </c>
      <c r="F712" s="1">
        <v>1</v>
      </c>
      <c r="G712" s="1" t="s">
        <v>60</v>
      </c>
      <c r="H712" s="1" t="str">
        <f t="shared" si="66"/>
        <v xml:space="preserve">CEMPRESA='31' </v>
      </c>
      <c r="I712" s="1" t="str">
        <f t="shared" si="67"/>
        <v xml:space="preserve">AND CBALCAO='0003' </v>
      </c>
      <c r="J712" s="1" t="str">
        <f t="shared" si="68"/>
        <v xml:space="preserve">AND CNUMECTA='20627922096' </v>
      </c>
      <c r="K712" s="1" t="str">
        <f t="shared" si="69"/>
        <v xml:space="preserve">AND ZDEPOSIT='000000000000000' </v>
      </c>
      <c r="L712" s="1" t="str">
        <f t="shared" si="70"/>
        <v>WHEN CEMPRESA='31' AND CBALCAO='0003' AND CNUMECTA='20627922096' AND ZDEPOSIT='000000000000000' THEN 1</v>
      </c>
      <c r="M712" s="1" t="str">
        <f t="shared" si="71"/>
        <v>WHEN CEMPRESA='31' AND CBALCAO='0003' AND CNUMECTA='20627922096' AND ZDEPOSIT='000000000000000' THEN 'A.3.7.'</v>
      </c>
    </row>
    <row r="713" spans="2:13" x14ac:dyDescent="0.25">
      <c r="B713" s="1" t="s">
        <v>45</v>
      </c>
      <c r="C713" s="1" t="s">
        <v>46</v>
      </c>
      <c r="D713" s="1" t="s">
        <v>969</v>
      </c>
      <c r="E713" s="1" t="s">
        <v>48</v>
      </c>
      <c r="F713" s="1">
        <v>1</v>
      </c>
      <c r="G713" s="1" t="s">
        <v>60</v>
      </c>
      <c r="H713" s="1" t="str">
        <f t="shared" si="66"/>
        <v xml:space="preserve">CEMPRESA='31' </v>
      </c>
      <c r="I713" s="1" t="str">
        <f t="shared" si="67"/>
        <v xml:space="preserve">AND CBALCAO='0003' </v>
      </c>
      <c r="J713" s="1" t="str">
        <f t="shared" si="68"/>
        <v xml:space="preserve">AND CNUMECTA='20561659096' </v>
      </c>
      <c r="K713" s="1" t="str">
        <f t="shared" si="69"/>
        <v xml:space="preserve">AND ZDEPOSIT='000000000000000' </v>
      </c>
      <c r="L713" s="1" t="str">
        <f t="shared" si="70"/>
        <v>WHEN CEMPRESA='31' AND CBALCAO='0003' AND CNUMECTA='20561659096' AND ZDEPOSIT='000000000000000' THEN 1</v>
      </c>
      <c r="M713" s="1" t="str">
        <f t="shared" si="71"/>
        <v>WHEN CEMPRESA='31' AND CBALCAO='0003' AND CNUMECTA='20561659096' AND ZDEPOSIT='000000000000000' THEN 'A.3.7.'</v>
      </c>
    </row>
    <row r="714" spans="2:13" x14ac:dyDescent="0.25">
      <c r="B714" s="1" t="s">
        <v>45</v>
      </c>
      <c r="C714" s="1" t="s">
        <v>46</v>
      </c>
      <c r="D714" s="1" t="s">
        <v>970</v>
      </c>
      <c r="E714" s="1" t="s">
        <v>48</v>
      </c>
      <c r="F714" s="1">
        <v>1</v>
      </c>
      <c r="G714" s="1" t="s">
        <v>60</v>
      </c>
      <c r="H714" s="1" t="str">
        <f t="shared" si="66"/>
        <v xml:space="preserve">CEMPRESA='31' </v>
      </c>
      <c r="I714" s="1" t="str">
        <f t="shared" si="67"/>
        <v xml:space="preserve">AND CBALCAO='0003' </v>
      </c>
      <c r="J714" s="1" t="str">
        <f t="shared" si="68"/>
        <v xml:space="preserve">AND CNUMECTA='20648753096' </v>
      </c>
      <c r="K714" s="1" t="str">
        <f t="shared" si="69"/>
        <v xml:space="preserve">AND ZDEPOSIT='000000000000000' </v>
      </c>
      <c r="L714" s="1" t="str">
        <f t="shared" si="70"/>
        <v>WHEN CEMPRESA='31' AND CBALCAO='0003' AND CNUMECTA='20648753096' AND ZDEPOSIT='000000000000000' THEN 1</v>
      </c>
      <c r="M714" s="1" t="str">
        <f t="shared" si="71"/>
        <v>WHEN CEMPRESA='31' AND CBALCAO='0003' AND CNUMECTA='20648753096' AND ZDEPOSIT='000000000000000' THEN 'A.3.7.'</v>
      </c>
    </row>
    <row r="715" spans="2:13" x14ac:dyDescent="0.25">
      <c r="B715" s="1" t="s">
        <v>45</v>
      </c>
      <c r="C715" s="1" t="s">
        <v>46</v>
      </c>
      <c r="D715" s="1" t="s">
        <v>971</v>
      </c>
      <c r="E715" s="1" t="s">
        <v>48</v>
      </c>
      <c r="F715" s="1">
        <v>1</v>
      </c>
      <c r="G715" s="1" t="s">
        <v>51</v>
      </c>
      <c r="H715" s="1" t="str">
        <f t="shared" si="66"/>
        <v xml:space="preserve">CEMPRESA='31' </v>
      </c>
      <c r="I715" s="1" t="str">
        <f t="shared" si="67"/>
        <v xml:space="preserve">AND CBALCAO='0003' </v>
      </c>
      <c r="J715" s="1" t="str">
        <f t="shared" si="68"/>
        <v xml:space="preserve">AND CNUMECTA='20718598096' </v>
      </c>
      <c r="K715" s="1" t="str">
        <f t="shared" si="69"/>
        <v xml:space="preserve">AND ZDEPOSIT='000000000000000' </v>
      </c>
      <c r="L715" s="1" t="str">
        <f t="shared" si="70"/>
        <v>WHEN CEMPRESA='31' AND CBALCAO='0003' AND CNUMECTA='20718598096' AND ZDEPOSIT='000000000000000' THEN 1</v>
      </c>
      <c r="M715" s="1" t="str">
        <f t="shared" si="71"/>
        <v>WHEN CEMPRESA='31' AND CBALCAO='0003' AND CNUMECTA='20718598096' AND ZDEPOSIT='000000000000000' THEN 'B.1.'</v>
      </c>
    </row>
    <row r="716" spans="2:13" x14ac:dyDescent="0.25">
      <c r="B716" s="1" t="s">
        <v>54</v>
      </c>
      <c r="C716" s="1" t="s">
        <v>55</v>
      </c>
      <c r="D716" s="1" t="s">
        <v>972</v>
      </c>
      <c r="E716" s="1" t="s">
        <v>973</v>
      </c>
      <c r="F716" s="1">
        <v>1</v>
      </c>
      <c r="G716" s="1" t="s">
        <v>58</v>
      </c>
      <c r="H716" s="1" t="str">
        <f t="shared" si="66"/>
        <v xml:space="preserve">CEMPRESA='89' </v>
      </c>
      <c r="I716" s="1" t="str">
        <f t="shared" si="67"/>
        <v xml:space="preserve">AND CBALCAO='0000' </v>
      </c>
      <c r="J716" s="1" t="str">
        <f t="shared" si="68"/>
        <v xml:space="preserve">AND CNUMECTA='00000250313' </v>
      </c>
      <c r="K716" s="1" t="str">
        <f t="shared" si="69"/>
        <v xml:space="preserve">AND ZDEPOSIT='000450000661942' </v>
      </c>
      <c r="L716" s="1" t="str">
        <f t="shared" si="70"/>
        <v>WHEN CEMPRESA='89' AND CBALCAO='0000' AND CNUMECTA='00000250313' AND ZDEPOSIT='000450000661942' THEN 1</v>
      </c>
      <c r="M716" s="1" t="str">
        <f t="shared" si="71"/>
        <v>WHEN CEMPRESA='89' AND CBALCAO='0000' AND CNUMECTA='00000250313' AND ZDEPOSIT='000450000661942' THEN 'A.2.5.'</v>
      </c>
    </row>
    <row r="717" spans="2:13" x14ac:dyDescent="0.25">
      <c r="B717" s="1" t="s">
        <v>45</v>
      </c>
      <c r="C717" s="1" t="s">
        <v>46</v>
      </c>
      <c r="D717" s="1" t="s">
        <v>974</v>
      </c>
      <c r="E717" s="1" t="s">
        <v>48</v>
      </c>
      <c r="F717" s="1">
        <v>1</v>
      </c>
      <c r="G717" s="1" t="s">
        <v>60</v>
      </c>
      <c r="H717" s="1" t="str">
        <f t="shared" si="66"/>
        <v xml:space="preserve">CEMPRESA='31' </v>
      </c>
      <c r="I717" s="1" t="str">
        <f t="shared" si="67"/>
        <v xml:space="preserve">AND CBALCAO='0003' </v>
      </c>
      <c r="J717" s="1" t="str">
        <f t="shared" si="68"/>
        <v xml:space="preserve">AND CNUMECTA='20471875096' </v>
      </c>
      <c r="K717" s="1" t="str">
        <f t="shared" si="69"/>
        <v xml:space="preserve">AND ZDEPOSIT='000000000000000' </v>
      </c>
      <c r="L717" s="1" t="str">
        <f t="shared" si="70"/>
        <v>WHEN CEMPRESA='31' AND CBALCAO='0003' AND CNUMECTA='20471875096' AND ZDEPOSIT='000000000000000' THEN 1</v>
      </c>
      <c r="M717" s="1" t="str">
        <f t="shared" si="71"/>
        <v>WHEN CEMPRESA='31' AND CBALCAO='0003' AND CNUMECTA='20471875096' AND ZDEPOSIT='000000000000000' THEN 'A.3.7.'</v>
      </c>
    </row>
    <row r="718" spans="2:13" x14ac:dyDescent="0.25">
      <c r="B718" s="1" t="s">
        <v>45</v>
      </c>
      <c r="C718" s="1" t="s">
        <v>46</v>
      </c>
      <c r="D718" s="1" t="s">
        <v>975</v>
      </c>
      <c r="E718" s="1" t="s">
        <v>48</v>
      </c>
      <c r="F718" s="1">
        <v>1</v>
      </c>
      <c r="G718" s="1" t="s">
        <v>60</v>
      </c>
      <c r="H718" s="1" t="str">
        <f t="shared" si="66"/>
        <v xml:space="preserve">CEMPRESA='31' </v>
      </c>
      <c r="I718" s="1" t="str">
        <f t="shared" si="67"/>
        <v xml:space="preserve">AND CBALCAO='0003' </v>
      </c>
      <c r="J718" s="1" t="str">
        <f t="shared" si="68"/>
        <v xml:space="preserve">AND CNUMECTA='20714571096' </v>
      </c>
      <c r="K718" s="1" t="str">
        <f t="shared" si="69"/>
        <v xml:space="preserve">AND ZDEPOSIT='000000000000000' </v>
      </c>
      <c r="L718" s="1" t="str">
        <f t="shared" si="70"/>
        <v>WHEN CEMPRESA='31' AND CBALCAO='0003' AND CNUMECTA='20714571096' AND ZDEPOSIT='000000000000000' THEN 1</v>
      </c>
      <c r="M718" s="1" t="str">
        <f t="shared" si="71"/>
        <v>WHEN CEMPRESA='31' AND CBALCAO='0003' AND CNUMECTA='20714571096' AND ZDEPOSIT='000000000000000' THEN 'A.3.7.'</v>
      </c>
    </row>
    <row r="719" spans="2:13" x14ac:dyDescent="0.25">
      <c r="B719" s="1" t="s">
        <v>45</v>
      </c>
      <c r="C719" s="1" t="s">
        <v>46</v>
      </c>
      <c r="D719" s="1" t="s">
        <v>976</v>
      </c>
      <c r="E719" s="1" t="s">
        <v>48</v>
      </c>
      <c r="F719" s="1">
        <v>1</v>
      </c>
      <c r="G719" s="1" t="s">
        <v>60</v>
      </c>
      <c r="H719" s="1" t="str">
        <f t="shared" si="66"/>
        <v xml:space="preserve">CEMPRESA='31' </v>
      </c>
      <c r="I719" s="1" t="str">
        <f t="shared" si="67"/>
        <v xml:space="preserve">AND CBALCAO='0003' </v>
      </c>
      <c r="J719" s="1" t="str">
        <f t="shared" si="68"/>
        <v xml:space="preserve">AND CNUMECTA='20568654096' </v>
      </c>
      <c r="K719" s="1" t="str">
        <f t="shared" si="69"/>
        <v xml:space="preserve">AND ZDEPOSIT='000000000000000' </v>
      </c>
      <c r="L719" s="1" t="str">
        <f t="shared" si="70"/>
        <v>WHEN CEMPRESA='31' AND CBALCAO='0003' AND CNUMECTA='20568654096' AND ZDEPOSIT='000000000000000' THEN 1</v>
      </c>
      <c r="M719" s="1" t="str">
        <f t="shared" si="71"/>
        <v>WHEN CEMPRESA='31' AND CBALCAO='0003' AND CNUMECTA='20568654096' AND ZDEPOSIT='000000000000000' THEN 'A.3.7.'</v>
      </c>
    </row>
    <row r="720" spans="2:13" x14ac:dyDescent="0.25">
      <c r="B720" s="1" t="s">
        <v>45</v>
      </c>
      <c r="C720" s="1" t="s">
        <v>46</v>
      </c>
      <c r="D720" s="1" t="s">
        <v>977</v>
      </c>
      <c r="E720" s="1" t="s">
        <v>48</v>
      </c>
      <c r="F720" s="1">
        <v>1</v>
      </c>
      <c r="G720" s="1" t="s">
        <v>209</v>
      </c>
      <c r="H720" s="1" t="str">
        <f t="shared" si="66"/>
        <v xml:space="preserve">CEMPRESA='31' </v>
      </c>
      <c r="I720" s="1" t="str">
        <f t="shared" si="67"/>
        <v xml:space="preserve">AND CBALCAO='0003' </v>
      </c>
      <c r="J720" s="1" t="str">
        <f t="shared" si="68"/>
        <v xml:space="preserve">AND CNUMECTA='20548896096' </v>
      </c>
      <c r="K720" s="1" t="str">
        <f t="shared" si="69"/>
        <v xml:space="preserve">AND ZDEPOSIT='000000000000000' </v>
      </c>
      <c r="L720" s="1" t="str">
        <f t="shared" si="70"/>
        <v>WHEN CEMPRESA='31' AND CBALCAO='0003' AND CNUMECTA='20548896096' AND ZDEPOSIT='000000000000000' THEN 1</v>
      </c>
      <c r="M720" s="1" t="str">
        <f t="shared" si="71"/>
        <v>WHEN CEMPRESA='31' AND CBALCAO='0003' AND CNUMECTA='20548896096' AND ZDEPOSIT='000000000000000' THEN 'A.3.1.'</v>
      </c>
    </row>
    <row r="721" spans="2:13" x14ac:dyDescent="0.25">
      <c r="B721" s="1" t="s">
        <v>45</v>
      </c>
      <c r="C721" s="1" t="s">
        <v>46</v>
      </c>
      <c r="D721" s="1" t="s">
        <v>978</v>
      </c>
      <c r="E721" s="1" t="s">
        <v>48</v>
      </c>
      <c r="F721" s="1">
        <v>1</v>
      </c>
      <c r="G721" s="1" t="s">
        <v>53</v>
      </c>
      <c r="H721" s="1" t="str">
        <f t="shared" si="66"/>
        <v xml:space="preserve">CEMPRESA='31' </v>
      </c>
      <c r="I721" s="1" t="str">
        <f t="shared" si="67"/>
        <v xml:space="preserve">AND CBALCAO='0003' </v>
      </c>
      <c r="J721" s="1" t="str">
        <f t="shared" si="68"/>
        <v xml:space="preserve">AND CNUMECTA='20724851096' </v>
      </c>
      <c r="K721" s="1" t="str">
        <f t="shared" si="69"/>
        <v xml:space="preserve">AND ZDEPOSIT='000000000000000' </v>
      </c>
      <c r="L721" s="1" t="str">
        <f t="shared" si="70"/>
        <v>WHEN CEMPRESA='31' AND CBALCAO='0003' AND CNUMECTA='20724851096' AND ZDEPOSIT='000000000000000' THEN 1</v>
      </c>
      <c r="M721" s="1" t="str">
        <f t="shared" si="71"/>
        <v>WHEN CEMPRESA='31' AND CBALCAO='0003' AND CNUMECTA='20724851096' AND ZDEPOSIT='000000000000000' THEN 'A.1.1.'</v>
      </c>
    </row>
    <row r="722" spans="2:13" x14ac:dyDescent="0.25">
      <c r="B722" s="1" t="s">
        <v>45</v>
      </c>
      <c r="C722" s="1" t="s">
        <v>46</v>
      </c>
      <c r="D722" s="1" t="s">
        <v>979</v>
      </c>
      <c r="E722" s="1" t="s">
        <v>48</v>
      </c>
      <c r="F722" s="1">
        <v>1</v>
      </c>
      <c r="G722" s="1" t="s">
        <v>51</v>
      </c>
      <c r="H722" s="1" t="str">
        <f t="shared" si="66"/>
        <v xml:space="preserve">CEMPRESA='31' </v>
      </c>
      <c r="I722" s="1" t="str">
        <f t="shared" si="67"/>
        <v xml:space="preserve">AND CBALCAO='0003' </v>
      </c>
      <c r="J722" s="1" t="str">
        <f t="shared" si="68"/>
        <v xml:space="preserve">AND CNUMECTA='20517529096' </v>
      </c>
      <c r="K722" s="1" t="str">
        <f t="shared" si="69"/>
        <v xml:space="preserve">AND ZDEPOSIT='000000000000000' </v>
      </c>
      <c r="L722" s="1" t="str">
        <f t="shared" si="70"/>
        <v>WHEN CEMPRESA='31' AND CBALCAO='0003' AND CNUMECTA='20517529096' AND ZDEPOSIT='000000000000000' THEN 1</v>
      </c>
      <c r="M722" s="1" t="str">
        <f t="shared" si="71"/>
        <v>WHEN CEMPRESA='31' AND CBALCAO='0003' AND CNUMECTA='20517529096' AND ZDEPOSIT='000000000000000' THEN 'B.1.'</v>
      </c>
    </row>
    <row r="723" spans="2:13" x14ac:dyDescent="0.25">
      <c r="B723" s="1" t="s">
        <v>54</v>
      </c>
      <c r="C723" s="1" t="s">
        <v>55</v>
      </c>
      <c r="D723" s="1" t="s">
        <v>980</v>
      </c>
      <c r="E723" s="1" t="s">
        <v>981</v>
      </c>
      <c r="F723" s="1">
        <v>1</v>
      </c>
      <c r="G723" s="1" t="s">
        <v>58</v>
      </c>
      <c r="H723" s="1" t="str">
        <f t="shared" si="66"/>
        <v xml:space="preserve">CEMPRESA='89' </v>
      </c>
      <c r="I723" s="1" t="str">
        <f t="shared" si="67"/>
        <v xml:space="preserve">AND CBALCAO='0000' </v>
      </c>
      <c r="J723" s="1" t="str">
        <f t="shared" si="68"/>
        <v xml:space="preserve">AND CNUMECTA='00000250432' </v>
      </c>
      <c r="K723" s="1" t="str">
        <f t="shared" si="69"/>
        <v xml:space="preserve">AND ZDEPOSIT='000450000740236' </v>
      </c>
      <c r="L723" s="1" t="str">
        <f t="shared" si="70"/>
        <v>WHEN CEMPRESA='89' AND CBALCAO='0000' AND CNUMECTA='00000250432' AND ZDEPOSIT='000450000740236' THEN 1</v>
      </c>
      <c r="M723" s="1" t="str">
        <f t="shared" si="71"/>
        <v>WHEN CEMPRESA='89' AND CBALCAO='0000' AND CNUMECTA='00000250432' AND ZDEPOSIT='000450000740236' THEN 'A.2.5.'</v>
      </c>
    </row>
    <row r="724" spans="2:13" x14ac:dyDescent="0.25">
      <c r="B724" s="1" t="s">
        <v>45</v>
      </c>
      <c r="C724" s="1" t="s">
        <v>114</v>
      </c>
      <c r="D724" s="1" t="s">
        <v>519</v>
      </c>
      <c r="E724" s="1" t="s">
        <v>982</v>
      </c>
      <c r="F724" s="1">
        <v>1</v>
      </c>
      <c r="G724" s="1" t="s">
        <v>983</v>
      </c>
      <c r="H724" s="1" t="str">
        <f t="shared" si="66"/>
        <v xml:space="preserve">CEMPRESA='31' </v>
      </c>
      <c r="I724" s="1" t="str">
        <f t="shared" si="67"/>
        <v xml:space="preserve">AND CBALCAO='6416' </v>
      </c>
      <c r="J724" s="1" t="str">
        <f t="shared" si="68"/>
        <v xml:space="preserve">AND CNUMECTA='00005800040' </v>
      </c>
      <c r="K724" s="1" t="str">
        <f t="shared" si="69"/>
        <v xml:space="preserve">AND ZDEPOSIT='PTEDA4OM0001000' </v>
      </c>
      <c r="L724" s="1" t="str">
        <f t="shared" si="70"/>
        <v>WHEN CEMPRESA='31' AND CBALCAO='6416' AND CNUMECTA='00005800040' AND ZDEPOSIT='PTEDA4OM0001000' THEN 1</v>
      </c>
      <c r="M724" s="1" t="str">
        <f t="shared" si="71"/>
        <v>WHEN CEMPRESA='31' AND CBALCAO='6416' AND CNUMECTA='00005800040' AND ZDEPOSIT='PTEDA4OM0001000' THEN 'A.1.6.'</v>
      </c>
    </row>
    <row r="725" spans="2:13" x14ac:dyDescent="0.25">
      <c r="B725" s="1" t="s">
        <v>45</v>
      </c>
      <c r="C725" s="1" t="s">
        <v>46</v>
      </c>
      <c r="D725" s="1" t="s">
        <v>984</v>
      </c>
      <c r="E725" s="1" t="s">
        <v>48</v>
      </c>
      <c r="F725" s="1">
        <v>1</v>
      </c>
      <c r="G725" s="1" t="s">
        <v>51</v>
      </c>
      <c r="H725" s="1" t="str">
        <f t="shared" si="66"/>
        <v xml:space="preserve">CEMPRESA='31' </v>
      </c>
      <c r="I725" s="1" t="str">
        <f t="shared" si="67"/>
        <v xml:space="preserve">AND CBALCAO='0003' </v>
      </c>
      <c r="J725" s="1" t="str">
        <f t="shared" si="68"/>
        <v xml:space="preserve">AND CNUMECTA='20647045096' </v>
      </c>
      <c r="K725" s="1" t="str">
        <f t="shared" si="69"/>
        <v xml:space="preserve">AND ZDEPOSIT='000000000000000' </v>
      </c>
      <c r="L725" s="1" t="str">
        <f t="shared" si="70"/>
        <v>WHEN CEMPRESA='31' AND CBALCAO='0003' AND CNUMECTA='20647045096' AND ZDEPOSIT='000000000000000' THEN 1</v>
      </c>
      <c r="M725" s="1" t="str">
        <f t="shared" si="71"/>
        <v>WHEN CEMPRESA='31' AND CBALCAO='0003' AND CNUMECTA='20647045096' AND ZDEPOSIT='000000000000000' THEN 'B.1.'</v>
      </c>
    </row>
    <row r="726" spans="2:13" x14ac:dyDescent="0.25">
      <c r="B726" s="1" t="s">
        <v>45</v>
      </c>
      <c r="C726" s="1" t="s">
        <v>46</v>
      </c>
      <c r="D726" s="1" t="s">
        <v>985</v>
      </c>
      <c r="E726" s="1" t="s">
        <v>48</v>
      </c>
      <c r="F726" s="1">
        <v>1</v>
      </c>
      <c r="G726" s="1" t="s">
        <v>60</v>
      </c>
      <c r="H726" s="1" t="str">
        <f t="shared" si="66"/>
        <v xml:space="preserve">CEMPRESA='31' </v>
      </c>
      <c r="I726" s="1" t="str">
        <f t="shared" si="67"/>
        <v xml:space="preserve">AND CBALCAO='0003' </v>
      </c>
      <c r="J726" s="1" t="str">
        <f t="shared" si="68"/>
        <v xml:space="preserve">AND CNUMECTA='20429832096' </v>
      </c>
      <c r="K726" s="1" t="str">
        <f t="shared" si="69"/>
        <v xml:space="preserve">AND ZDEPOSIT='000000000000000' </v>
      </c>
      <c r="L726" s="1" t="str">
        <f t="shared" si="70"/>
        <v>WHEN CEMPRESA='31' AND CBALCAO='0003' AND CNUMECTA='20429832096' AND ZDEPOSIT='000000000000000' THEN 1</v>
      </c>
      <c r="M726" s="1" t="str">
        <f t="shared" si="71"/>
        <v>WHEN CEMPRESA='31' AND CBALCAO='0003' AND CNUMECTA='20429832096' AND ZDEPOSIT='000000000000000' THEN 'A.3.7.'</v>
      </c>
    </row>
    <row r="727" spans="2:13" x14ac:dyDescent="0.25">
      <c r="B727" s="1" t="s">
        <v>45</v>
      </c>
      <c r="C727" s="1" t="s">
        <v>46</v>
      </c>
      <c r="D727" s="1" t="s">
        <v>986</v>
      </c>
      <c r="E727" s="1" t="s">
        <v>48</v>
      </c>
      <c r="F727" s="1">
        <v>1</v>
      </c>
      <c r="G727" s="1" t="s">
        <v>60</v>
      </c>
      <c r="H727" s="1" t="str">
        <f t="shared" si="66"/>
        <v xml:space="preserve">CEMPRESA='31' </v>
      </c>
      <c r="I727" s="1" t="str">
        <f t="shared" si="67"/>
        <v xml:space="preserve">AND CBALCAO='0003' </v>
      </c>
      <c r="J727" s="1" t="str">
        <f t="shared" si="68"/>
        <v xml:space="preserve">AND CNUMECTA='20451166096' </v>
      </c>
      <c r="K727" s="1" t="str">
        <f t="shared" si="69"/>
        <v xml:space="preserve">AND ZDEPOSIT='000000000000000' </v>
      </c>
      <c r="L727" s="1" t="str">
        <f t="shared" si="70"/>
        <v>WHEN CEMPRESA='31' AND CBALCAO='0003' AND CNUMECTA='20451166096' AND ZDEPOSIT='000000000000000' THEN 1</v>
      </c>
      <c r="M727" s="1" t="str">
        <f t="shared" si="71"/>
        <v>WHEN CEMPRESA='31' AND CBALCAO='0003' AND CNUMECTA='20451166096' AND ZDEPOSIT='000000000000000' THEN 'A.3.7.'</v>
      </c>
    </row>
    <row r="728" spans="2:13" x14ac:dyDescent="0.25">
      <c r="B728" s="1" t="s">
        <v>45</v>
      </c>
      <c r="C728" s="1" t="s">
        <v>46</v>
      </c>
      <c r="D728" s="1" t="s">
        <v>987</v>
      </c>
      <c r="E728" s="1" t="s">
        <v>48</v>
      </c>
      <c r="F728" s="1">
        <v>1</v>
      </c>
      <c r="G728" s="1" t="s">
        <v>60</v>
      </c>
      <c r="H728" s="1" t="str">
        <f t="shared" si="66"/>
        <v xml:space="preserve">CEMPRESA='31' </v>
      </c>
      <c r="I728" s="1" t="str">
        <f t="shared" si="67"/>
        <v xml:space="preserve">AND CBALCAO='0003' </v>
      </c>
      <c r="J728" s="1" t="str">
        <f t="shared" si="68"/>
        <v xml:space="preserve">AND CNUMECTA='20596911096' </v>
      </c>
      <c r="K728" s="1" t="str">
        <f t="shared" si="69"/>
        <v xml:space="preserve">AND ZDEPOSIT='000000000000000' </v>
      </c>
      <c r="L728" s="1" t="str">
        <f t="shared" si="70"/>
        <v>WHEN CEMPRESA='31' AND CBALCAO='0003' AND CNUMECTA='20596911096' AND ZDEPOSIT='000000000000000' THEN 1</v>
      </c>
      <c r="M728" s="1" t="str">
        <f t="shared" si="71"/>
        <v>WHEN CEMPRESA='31' AND CBALCAO='0003' AND CNUMECTA='20596911096' AND ZDEPOSIT='000000000000000' THEN 'A.3.7.'</v>
      </c>
    </row>
    <row r="729" spans="2:13" x14ac:dyDescent="0.25">
      <c r="B729" s="1" t="s">
        <v>45</v>
      </c>
      <c r="C729" s="1" t="s">
        <v>46</v>
      </c>
      <c r="D729" s="1" t="s">
        <v>988</v>
      </c>
      <c r="E729" s="1" t="s">
        <v>48</v>
      </c>
      <c r="F729" s="1">
        <v>1</v>
      </c>
      <c r="G729" s="1" t="s">
        <v>60</v>
      </c>
      <c r="H729" s="1" t="str">
        <f t="shared" si="66"/>
        <v xml:space="preserve">CEMPRESA='31' </v>
      </c>
      <c r="I729" s="1" t="str">
        <f t="shared" si="67"/>
        <v xml:space="preserve">AND CBALCAO='0003' </v>
      </c>
      <c r="J729" s="1" t="str">
        <f t="shared" si="68"/>
        <v xml:space="preserve">AND CNUMECTA='20721212096' </v>
      </c>
      <c r="K729" s="1" t="str">
        <f t="shared" si="69"/>
        <v xml:space="preserve">AND ZDEPOSIT='000000000000000' </v>
      </c>
      <c r="L729" s="1" t="str">
        <f t="shared" si="70"/>
        <v>WHEN CEMPRESA='31' AND CBALCAO='0003' AND CNUMECTA='20721212096' AND ZDEPOSIT='000000000000000' THEN 1</v>
      </c>
      <c r="M729" s="1" t="str">
        <f t="shared" si="71"/>
        <v>WHEN CEMPRESA='31' AND CBALCAO='0003' AND CNUMECTA='20721212096' AND ZDEPOSIT='000000000000000' THEN 'A.3.7.'</v>
      </c>
    </row>
    <row r="730" spans="2:13" x14ac:dyDescent="0.25">
      <c r="B730" s="1" t="s">
        <v>45</v>
      </c>
      <c r="C730" s="1" t="s">
        <v>46</v>
      </c>
      <c r="D730" s="1" t="s">
        <v>989</v>
      </c>
      <c r="E730" s="1" t="s">
        <v>48</v>
      </c>
      <c r="F730" s="1">
        <v>1</v>
      </c>
      <c r="G730" s="1" t="s">
        <v>60</v>
      </c>
      <c r="H730" s="1" t="str">
        <f t="shared" si="66"/>
        <v xml:space="preserve">CEMPRESA='31' </v>
      </c>
      <c r="I730" s="1" t="str">
        <f t="shared" si="67"/>
        <v xml:space="preserve">AND CBALCAO='0003' </v>
      </c>
      <c r="J730" s="1" t="str">
        <f t="shared" si="68"/>
        <v xml:space="preserve">AND CNUMECTA='20478136096' </v>
      </c>
      <c r="K730" s="1" t="str">
        <f t="shared" si="69"/>
        <v xml:space="preserve">AND ZDEPOSIT='000000000000000' </v>
      </c>
      <c r="L730" s="1" t="str">
        <f t="shared" si="70"/>
        <v>WHEN CEMPRESA='31' AND CBALCAO='0003' AND CNUMECTA='20478136096' AND ZDEPOSIT='000000000000000' THEN 1</v>
      </c>
      <c r="M730" s="1" t="str">
        <f t="shared" si="71"/>
        <v>WHEN CEMPRESA='31' AND CBALCAO='0003' AND CNUMECTA='20478136096' AND ZDEPOSIT='000000000000000' THEN 'A.3.7.'</v>
      </c>
    </row>
    <row r="731" spans="2:13" x14ac:dyDescent="0.25">
      <c r="B731" s="1" t="s">
        <v>54</v>
      </c>
      <c r="C731" s="1" t="s">
        <v>55</v>
      </c>
      <c r="D731" s="1" t="s">
        <v>990</v>
      </c>
      <c r="E731" s="1" t="s">
        <v>991</v>
      </c>
      <c r="F731" s="1">
        <v>1</v>
      </c>
      <c r="G731" s="1" t="s">
        <v>58</v>
      </c>
      <c r="H731" s="1" t="str">
        <f t="shared" si="66"/>
        <v xml:space="preserve">CEMPRESA='89' </v>
      </c>
      <c r="I731" s="1" t="str">
        <f t="shared" si="67"/>
        <v xml:space="preserve">AND CBALCAO='0000' </v>
      </c>
      <c r="J731" s="1" t="str">
        <f t="shared" si="68"/>
        <v xml:space="preserve">AND CNUMECTA='00008046582' </v>
      </c>
      <c r="K731" s="1" t="str">
        <f t="shared" si="69"/>
        <v xml:space="preserve">AND ZDEPOSIT='000530000778576' </v>
      </c>
      <c r="L731" s="1" t="str">
        <f t="shared" si="70"/>
        <v>WHEN CEMPRESA='89' AND CBALCAO='0000' AND CNUMECTA='00008046582' AND ZDEPOSIT='000530000778576' THEN 1</v>
      </c>
      <c r="M731" s="1" t="str">
        <f t="shared" si="71"/>
        <v>WHEN CEMPRESA='89' AND CBALCAO='0000' AND CNUMECTA='00008046582' AND ZDEPOSIT='000530000778576' THEN 'A.2.5.'</v>
      </c>
    </row>
    <row r="732" spans="2:13" x14ac:dyDescent="0.25">
      <c r="B732" s="1" t="s">
        <v>45</v>
      </c>
      <c r="C732" s="1" t="s">
        <v>46</v>
      </c>
      <c r="D732" s="1" t="s">
        <v>992</v>
      </c>
      <c r="E732" s="1" t="s">
        <v>48</v>
      </c>
      <c r="F732" s="1">
        <v>1</v>
      </c>
      <c r="G732" s="1" t="s">
        <v>60</v>
      </c>
      <c r="H732" s="1" t="str">
        <f t="shared" si="66"/>
        <v xml:space="preserve">CEMPRESA='31' </v>
      </c>
      <c r="I732" s="1" t="str">
        <f t="shared" si="67"/>
        <v xml:space="preserve">AND CBALCAO='0003' </v>
      </c>
      <c r="J732" s="1" t="str">
        <f t="shared" si="68"/>
        <v xml:space="preserve">AND CNUMECTA='20417092096' </v>
      </c>
      <c r="K732" s="1" t="str">
        <f t="shared" si="69"/>
        <v xml:space="preserve">AND ZDEPOSIT='000000000000000' </v>
      </c>
      <c r="L732" s="1" t="str">
        <f t="shared" si="70"/>
        <v>WHEN CEMPRESA='31' AND CBALCAO='0003' AND CNUMECTA='20417092096' AND ZDEPOSIT='000000000000000' THEN 1</v>
      </c>
      <c r="M732" s="1" t="str">
        <f t="shared" si="71"/>
        <v>WHEN CEMPRESA='31' AND CBALCAO='0003' AND CNUMECTA='20417092096' AND ZDEPOSIT='000000000000000' THEN 'A.3.7.'</v>
      </c>
    </row>
    <row r="733" spans="2:13" x14ac:dyDescent="0.25">
      <c r="B733" s="1" t="s">
        <v>45</v>
      </c>
      <c r="C733" s="1" t="s">
        <v>46</v>
      </c>
      <c r="D733" s="1" t="s">
        <v>993</v>
      </c>
      <c r="E733" s="1" t="s">
        <v>48</v>
      </c>
      <c r="F733" s="1">
        <v>1</v>
      </c>
      <c r="G733" s="1" t="s">
        <v>60</v>
      </c>
      <c r="H733" s="1" t="str">
        <f t="shared" si="66"/>
        <v xml:space="preserve">CEMPRESA='31' </v>
      </c>
      <c r="I733" s="1" t="str">
        <f t="shared" si="67"/>
        <v xml:space="preserve">AND CBALCAO='0003' </v>
      </c>
      <c r="J733" s="1" t="str">
        <f t="shared" si="68"/>
        <v xml:space="preserve">AND CNUMECTA='20486717096' </v>
      </c>
      <c r="K733" s="1" t="str">
        <f t="shared" si="69"/>
        <v xml:space="preserve">AND ZDEPOSIT='000000000000000' </v>
      </c>
      <c r="L733" s="1" t="str">
        <f t="shared" si="70"/>
        <v>WHEN CEMPRESA='31' AND CBALCAO='0003' AND CNUMECTA='20486717096' AND ZDEPOSIT='000000000000000' THEN 1</v>
      </c>
      <c r="M733" s="1" t="str">
        <f t="shared" si="71"/>
        <v>WHEN CEMPRESA='31' AND CBALCAO='0003' AND CNUMECTA='20486717096' AND ZDEPOSIT='000000000000000' THEN 'A.3.7.'</v>
      </c>
    </row>
    <row r="734" spans="2:13" x14ac:dyDescent="0.25">
      <c r="B734" s="1" t="s">
        <v>45</v>
      </c>
      <c r="C734" s="1" t="s">
        <v>46</v>
      </c>
      <c r="D734" s="1" t="s">
        <v>994</v>
      </c>
      <c r="E734" s="1" t="s">
        <v>48</v>
      </c>
      <c r="F734" s="1">
        <v>1</v>
      </c>
      <c r="G734" s="1" t="s">
        <v>60</v>
      </c>
      <c r="H734" s="1" t="str">
        <f t="shared" si="66"/>
        <v xml:space="preserve">CEMPRESA='31' </v>
      </c>
      <c r="I734" s="1" t="str">
        <f t="shared" si="67"/>
        <v xml:space="preserve">AND CBALCAO='0003' </v>
      </c>
      <c r="J734" s="1" t="str">
        <f t="shared" si="68"/>
        <v xml:space="preserve">AND CNUMECTA='20616164096' </v>
      </c>
      <c r="K734" s="1" t="str">
        <f t="shared" si="69"/>
        <v xml:space="preserve">AND ZDEPOSIT='000000000000000' </v>
      </c>
      <c r="L734" s="1" t="str">
        <f t="shared" si="70"/>
        <v>WHEN CEMPRESA='31' AND CBALCAO='0003' AND CNUMECTA='20616164096' AND ZDEPOSIT='000000000000000' THEN 1</v>
      </c>
      <c r="M734" s="1" t="str">
        <f t="shared" si="71"/>
        <v>WHEN CEMPRESA='31' AND CBALCAO='0003' AND CNUMECTA='20616164096' AND ZDEPOSIT='000000000000000' THEN 'A.3.7.'</v>
      </c>
    </row>
    <row r="735" spans="2:13" x14ac:dyDescent="0.25">
      <c r="B735" s="1" t="s">
        <v>45</v>
      </c>
      <c r="C735" s="1" t="s">
        <v>46</v>
      </c>
      <c r="D735" s="1" t="s">
        <v>995</v>
      </c>
      <c r="E735" s="1" t="s">
        <v>48</v>
      </c>
      <c r="F735" s="1">
        <v>1</v>
      </c>
      <c r="G735" s="1" t="s">
        <v>60</v>
      </c>
      <c r="H735" s="1" t="str">
        <f t="shared" si="66"/>
        <v xml:space="preserve">CEMPRESA='31' </v>
      </c>
      <c r="I735" s="1" t="str">
        <f t="shared" si="67"/>
        <v xml:space="preserve">AND CBALCAO='0003' </v>
      </c>
      <c r="J735" s="1" t="str">
        <f t="shared" si="68"/>
        <v xml:space="preserve">AND CNUMECTA='20464235096' </v>
      </c>
      <c r="K735" s="1" t="str">
        <f t="shared" si="69"/>
        <v xml:space="preserve">AND ZDEPOSIT='000000000000000' </v>
      </c>
      <c r="L735" s="1" t="str">
        <f t="shared" si="70"/>
        <v>WHEN CEMPRESA='31' AND CBALCAO='0003' AND CNUMECTA='20464235096' AND ZDEPOSIT='000000000000000' THEN 1</v>
      </c>
      <c r="M735" s="1" t="str">
        <f t="shared" si="71"/>
        <v>WHEN CEMPRESA='31' AND CBALCAO='0003' AND CNUMECTA='20464235096' AND ZDEPOSIT='000000000000000' THEN 'A.3.7.'</v>
      </c>
    </row>
    <row r="736" spans="2:13" x14ac:dyDescent="0.25">
      <c r="B736" s="1" t="s">
        <v>45</v>
      </c>
      <c r="C736" s="1" t="s">
        <v>46</v>
      </c>
      <c r="D736" s="1" t="s">
        <v>996</v>
      </c>
      <c r="E736" s="1" t="s">
        <v>48</v>
      </c>
      <c r="F736" s="1">
        <v>1</v>
      </c>
      <c r="G736" s="1" t="s">
        <v>60</v>
      </c>
      <c r="H736" s="1" t="str">
        <f t="shared" si="66"/>
        <v xml:space="preserve">CEMPRESA='31' </v>
      </c>
      <c r="I736" s="1" t="str">
        <f t="shared" si="67"/>
        <v xml:space="preserve">AND CBALCAO='0003' </v>
      </c>
      <c r="J736" s="1" t="str">
        <f t="shared" si="68"/>
        <v xml:space="preserve">AND CNUMECTA='20727821096' </v>
      </c>
      <c r="K736" s="1" t="str">
        <f t="shared" si="69"/>
        <v xml:space="preserve">AND ZDEPOSIT='000000000000000' </v>
      </c>
      <c r="L736" s="1" t="str">
        <f t="shared" si="70"/>
        <v>WHEN CEMPRESA='31' AND CBALCAO='0003' AND CNUMECTA='20727821096' AND ZDEPOSIT='000000000000000' THEN 1</v>
      </c>
      <c r="M736" s="1" t="str">
        <f t="shared" si="71"/>
        <v>WHEN CEMPRESA='31' AND CBALCAO='0003' AND CNUMECTA='20727821096' AND ZDEPOSIT='000000000000000' THEN 'A.3.7.'</v>
      </c>
    </row>
    <row r="737" spans="2:13" x14ac:dyDescent="0.25">
      <c r="B737" s="1" t="s">
        <v>45</v>
      </c>
      <c r="C737" s="1" t="s">
        <v>46</v>
      </c>
      <c r="D737" s="1" t="s">
        <v>997</v>
      </c>
      <c r="E737" s="1" t="s">
        <v>48</v>
      </c>
      <c r="F737" s="1">
        <v>1</v>
      </c>
      <c r="G737" s="1" t="s">
        <v>60</v>
      </c>
      <c r="H737" s="1" t="str">
        <f t="shared" si="66"/>
        <v xml:space="preserve">CEMPRESA='31' </v>
      </c>
      <c r="I737" s="1" t="str">
        <f t="shared" si="67"/>
        <v xml:space="preserve">AND CBALCAO='0003' </v>
      </c>
      <c r="J737" s="1" t="str">
        <f t="shared" si="68"/>
        <v xml:space="preserve">AND CNUMECTA='20721071096' </v>
      </c>
      <c r="K737" s="1" t="str">
        <f t="shared" si="69"/>
        <v xml:space="preserve">AND ZDEPOSIT='000000000000000' </v>
      </c>
      <c r="L737" s="1" t="str">
        <f t="shared" si="70"/>
        <v>WHEN CEMPRESA='31' AND CBALCAO='0003' AND CNUMECTA='20721071096' AND ZDEPOSIT='000000000000000' THEN 1</v>
      </c>
      <c r="M737" s="1" t="str">
        <f t="shared" si="71"/>
        <v>WHEN CEMPRESA='31' AND CBALCAO='0003' AND CNUMECTA='20721071096' AND ZDEPOSIT='000000000000000' THEN 'A.3.7.'</v>
      </c>
    </row>
    <row r="738" spans="2:13" x14ac:dyDescent="0.25">
      <c r="B738" s="1" t="s">
        <v>45</v>
      </c>
      <c r="C738" s="1" t="s">
        <v>46</v>
      </c>
      <c r="D738" s="1" t="s">
        <v>998</v>
      </c>
      <c r="E738" s="1" t="s">
        <v>48</v>
      </c>
      <c r="F738" s="1">
        <v>1</v>
      </c>
      <c r="G738" s="1" t="s">
        <v>60</v>
      </c>
      <c r="H738" s="1" t="str">
        <f t="shared" si="66"/>
        <v xml:space="preserve">CEMPRESA='31' </v>
      </c>
      <c r="I738" s="1" t="str">
        <f t="shared" si="67"/>
        <v xml:space="preserve">AND CBALCAO='0003' </v>
      </c>
      <c r="J738" s="1" t="str">
        <f t="shared" si="68"/>
        <v xml:space="preserve">AND CNUMECTA='20632419096' </v>
      </c>
      <c r="K738" s="1" t="str">
        <f t="shared" si="69"/>
        <v xml:space="preserve">AND ZDEPOSIT='000000000000000' </v>
      </c>
      <c r="L738" s="1" t="str">
        <f t="shared" si="70"/>
        <v>WHEN CEMPRESA='31' AND CBALCAO='0003' AND CNUMECTA='20632419096' AND ZDEPOSIT='000000000000000' THEN 1</v>
      </c>
      <c r="M738" s="1" t="str">
        <f t="shared" si="71"/>
        <v>WHEN CEMPRESA='31' AND CBALCAO='0003' AND CNUMECTA='20632419096' AND ZDEPOSIT='000000000000000' THEN 'A.3.7.'</v>
      </c>
    </row>
    <row r="739" spans="2:13" x14ac:dyDescent="0.25">
      <c r="B739" s="1" t="s">
        <v>45</v>
      </c>
      <c r="C739" s="1" t="s">
        <v>46</v>
      </c>
      <c r="D739" s="1" t="s">
        <v>999</v>
      </c>
      <c r="E739" s="1" t="s">
        <v>48</v>
      </c>
      <c r="F739" s="1">
        <v>1</v>
      </c>
      <c r="G739" s="1" t="s">
        <v>51</v>
      </c>
      <c r="H739" s="1" t="str">
        <f t="shared" si="66"/>
        <v xml:space="preserve">CEMPRESA='31' </v>
      </c>
      <c r="I739" s="1" t="str">
        <f t="shared" si="67"/>
        <v xml:space="preserve">AND CBALCAO='0003' </v>
      </c>
      <c r="J739" s="1" t="str">
        <f t="shared" si="68"/>
        <v xml:space="preserve">AND CNUMECTA='20518055096' </v>
      </c>
      <c r="K739" s="1" t="str">
        <f t="shared" si="69"/>
        <v xml:space="preserve">AND ZDEPOSIT='000000000000000' </v>
      </c>
      <c r="L739" s="1" t="str">
        <f t="shared" si="70"/>
        <v>WHEN CEMPRESA='31' AND CBALCAO='0003' AND CNUMECTA='20518055096' AND ZDEPOSIT='000000000000000' THEN 1</v>
      </c>
      <c r="M739" s="1" t="str">
        <f t="shared" si="71"/>
        <v>WHEN CEMPRESA='31' AND CBALCAO='0003' AND CNUMECTA='20518055096' AND ZDEPOSIT='000000000000000' THEN 'B.1.'</v>
      </c>
    </row>
    <row r="740" spans="2:13" x14ac:dyDescent="0.25">
      <c r="B740" s="1" t="s">
        <v>45</v>
      </c>
      <c r="C740" s="1" t="s">
        <v>46</v>
      </c>
      <c r="D740" s="1" t="s">
        <v>1000</v>
      </c>
      <c r="E740" s="1" t="s">
        <v>48</v>
      </c>
      <c r="F740" s="1">
        <v>1</v>
      </c>
      <c r="G740" s="1" t="s">
        <v>60</v>
      </c>
      <c r="H740" s="1" t="str">
        <f t="shared" si="66"/>
        <v xml:space="preserve">CEMPRESA='31' </v>
      </c>
      <c r="I740" s="1" t="str">
        <f t="shared" si="67"/>
        <v xml:space="preserve">AND CBALCAO='0003' </v>
      </c>
      <c r="J740" s="1" t="str">
        <f t="shared" si="68"/>
        <v xml:space="preserve">AND CNUMECTA='20563002096' </v>
      </c>
      <c r="K740" s="1" t="str">
        <f t="shared" si="69"/>
        <v xml:space="preserve">AND ZDEPOSIT='000000000000000' </v>
      </c>
      <c r="L740" s="1" t="str">
        <f t="shared" si="70"/>
        <v>WHEN CEMPRESA='31' AND CBALCAO='0003' AND CNUMECTA='20563002096' AND ZDEPOSIT='000000000000000' THEN 1</v>
      </c>
      <c r="M740" s="1" t="str">
        <f t="shared" si="71"/>
        <v>WHEN CEMPRESA='31' AND CBALCAO='0003' AND CNUMECTA='20563002096' AND ZDEPOSIT='000000000000000' THEN 'A.3.7.'</v>
      </c>
    </row>
    <row r="741" spans="2:13" x14ac:dyDescent="0.25">
      <c r="B741" s="1" t="s">
        <v>54</v>
      </c>
      <c r="C741" s="1" t="s">
        <v>55</v>
      </c>
      <c r="D741" s="1" t="s">
        <v>1001</v>
      </c>
      <c r="E741" s="1" t="s">
        <v>1002</v>
      </c>
      <c r="F741" s="1">
        <v>1</v>
      </c>
      <c r="G741" s="1" t="s">
        <v>58</v>
      </c>
      <c r="H741" s="1" t="str">
        <f t="shared" si="66"/>
        <v xml:space="preserve">CEMPRESA='89' </v>
      </c>
      <c r="I741" s="1" t="str">
        <f t="shared" si="67"/>
        <v xml:space="preserve">AND CBALCAO='0000' </v>
      </c>
      <c r="J741" s="1" t="str">
        <f t="shared" si="68"/>
        <v xml:space="preserve">AND CNUMECTA='00000250569' </v>
      </c>
      <c r="K741" s="1" t="str">
        <f t="shared" si="69"/>
        <v xml:space="preserve">AND ZDEPOSIT='000450000621375' </v>
      </c>
      <c r="L741" s="1" t="str">
        <f t="shared" si="70"/>
        <v>WHEN CEMPRESA='89' AND CBALCAO='0000' AND CNUMECTA='00000250569' AND ZDEPOSIT='000450000621375' THEN 1</v>
      </c>
      <c r="M741" s="1" t="str">
        <f t="shared" si="71"/>
        <v>WHEN CEMPRESA='89' AND CBALCAO='0000' AND CNUMECTA='00000250569' AND ZDEPOSIT='000450000621375' THEN 'A.2.5.'</v>
      </c>
    </row>
    <row r="742" spans="2:13" x14ac:dyDescent="0.25">
      <c r="B742" s="1" t="s">
        <v>54</v>
      </c>
      <c r="C742" s="1" t="s">
        <v>55</v>
      </c>
      <c r="D742" s="1" t="s">
        <v>1003</v>
      </c>
      <c r="E742" s="1" t="s">
        <v>1004</v>
      </c>
      <c r="F742" s="1">
        <v>1</v>
      </c>
      <c r="G742" s="1" t="s">
        <v>58</v>
      </c>
      <c r="H742" s="1" t="str">
        <f t="shared" si="66"/>
        <v xml:space="preserve">CEMPRESA='89' </v>
      </c>
      <c r="I742" s="1" t="str">
        <f t="shared" si="67"/>
        <v xml:space="preserve">AND CBALCAO='0000' </v>
      </c>
      <c r="J742" s="1" t="str">
        <f t="shared" si="68"/>
        <v xml:space="preserve">AND CNUMECTA='00000250059' </v>
      </c>
      <c r="K742" s="1" t="str">
        <f t="shared" si="69"/>
        <v xml:space="preserve">AND ZDEPOSIT='000450000402549' </v>
      </c>
      <c r="L742" s="1" t="str">
        <f t="shared" si="70"/>
        <v>WHEN CEMPRESA='89' AND CBALCAO='0000' AND CNUMECTA='00000250059' AND ZDEPOSIT='000450000402549' THEN 1</v>
      </c>
      <c r="M742" s="1" t="str">
        <f t="shared" si="71"/>
        <v>WHEN CEMPRESA='89' AND CBALCAO='0000' AND CNUMECTA='00000250059' AND ZDEPOSIT='000450000402549' THEN 'A.2.5.'</v>
      </c>
    </row>
    <row r="743" spans="2:13" x14ac:dyDescent="0.25">
      <c r="B743" s="1" t="s">
        <v>45</v>
      </c>
      <c r="C743" s="1" t="s">
        <v>46</v>
      </c>
      <c r="D743" s="1" t="s">
        <v>1005</v>
      </c>
      <c r="E743" s="1" t="s">
        <v>48</v>
      </c>
      <c r="F743" s="1">
        <v>1</v>
      </c>
      <c r="G743" s="1" t="s">
        <v>76</v>
      </c>
      <c r="H743" s="1" t="str">
        <f t="shared" si="66"/>
        <v xml:space="preserve">CEMPRESA='31' </v>
      </c>
      <c r="I743" s="1" t="str">
        <f t="shared" si="67"/>
        <v xml:space="preserve">AND CBALCAO='0003' </v>
      </c>
      <c r="J743" s="1" t="str">
        <f t="shared" si="68"/>
        <v xml:space="preserve">AND CNUMECTA='18608354097' </v>
      </c>
      <c r="K743" s="1" t="str">
        <f t="shared" si="69"/>
        <v xml:space="preserve">AND ZDEPOSIT='000000000000000' </v>
      </c>
      <c r="L743" s="1" t="str">
        <f t="shared" si="70"/>
        <v>WHEN CEMPRESA='31' AND CBALCAO='0003' AND CNUMECTA='18608354097' AND ZDEPOSIT='000000000000000' THEN 1</v>
      </c>
      <c r="M743" s="1" t="str">
        <f t="shared" si="71"/>
        <v>WHEN CEMPRESA='31' AND CBALCAO='0003' AND CNUMECTA='18608354097' AND ZDEPOSIT='000000000000000' THEN 'A.7.7.'</v>
      </c>
    </row>
    <row r="744" spans="2:13" x14ac:dyDescent="0.25">
      <c r="B744" s="1" t="s">
        <v>54</v>
      </c>
      <c r="C744" s="1" t="s">
        <v>55</v>
      </c>
      <c r="D744" s="1" t="s">
        <v>1006</v>
      </c>
      <c r="E744" s="1" t="s">
        <v>1007</v>
      </c>
      <c r="F744" s="1">
        <v>1</v>
      </c>
      <c r="G744" s="1" t="s">
        <v>58</v>
      </c>
      <c r="H744" s="1" t="str">
        <f t="shared" si="66"/>
        <v xml:space="preserve">CEMPRESA='89' </v>
      </c>
      <c r="I744" s="1" t="str">
        <f t="shared" si="67"/>
        <v xml:space="preserve">AND CBALCAO='0000' </v>
      </c>
      <c r="J744" s="1" t="str">
        <f t="shared" si="68"/>
        <v xml:space="preserve">AND CNUMECTA='00000250044' </v>
      </c>
      <c r="K744" s="1" t="str">
        <f t="shared" si="69"/>
        <v xml:space="preserve">AND ZDEPOSIT='000450000776999' </v>
      </c>
      <c r="L744" s="1" t="str">
        <f t="shared" si="70"/>
        <v>WHEN CEMPRESA='89' AND CBALCAO='0000' AND CNUMECTA='00000250044' AND ZDEPOSIT='000450000776999' THEN 1</v>
      </c>
      <c r="M744" s="1" t="str">
        <f t="shared" si="71"/>
        <v>WHEN CEMPRESA='89' AND CBALCAO='0000' AND CNUMECTA='00000250044' AND ZDEPOSIT='000450000776999' THEN 'A.2.5.'</v>
      </c>
    </row>
    <row r="745" spans="2:13" x14ac:dyDescent="0.25">
      <c r="B745" s="1" t="s">
        <v>45</v>
      </c>
      <c r="C745" s="1" t="s">
        <v>46</v>
      </c>
      <c r="D745" s="1" t="s">
        <v>1008</v>
      </c>
      <c r="E745" s="1" t="s">
        <v>48</v>
      </c>
      <c r="F745" s="1">
        <v>1</v>
      </c>
      <c r="G745" s="1" t="s">
        <v>60</v>
      </c>
      <c r="H745" s="1" t="str">
        <f t="shared" si="66"/>
        <v xml:space="preserve">CEMPRESA='31' </v>
      </c>
      <c r="I745" s="1" t="str">
        <f t="shared" si="67"/>
        <v xml:space="preserve">AND CBALCAO='0003' </v>
      </c>
      <c r="J745" s="1" t="str">
        <f t="shared" si="68"/>
        <v xml:space="preserve">AND CNUMECTA='20609227096' </v>
      </c>
      <c r="K745" s="1" t="str">
        <f t="shared" si="69"/>
        <v xml:space="preserve">AND ZDEPOSIT='000000000000000' </v>
      </c>
      <c r="L745" s="1" t="str">
        <f t="shared" si="70"/>
        <v>WHEN CEMPRESA='31' AND CBALCAO='0003' AND CNUMECTA='20609227096' AND ZDEPOSIT='000000000000000' THEN 1</v>
      </c>
      <c r="M745" s="1" t="str">
        <f t="shared" si="71"/>
        <v>WHEN CEMPRESA='31' AND CBALCAO='0003' AND CNUMECTA='20609227096' AND ZDEPOSIT='000000000000000' THEN 'A.3.7.'</v>
      </c>
    </row>
    <row r="746" spans="2:13" x14ac:dyDescent="0.25">
      <c r="B746" s="1" t="s">
        <v>45</v>
      </c>
      <c r="C746" s="1" t="s">
        <v>46</v>
      </c>
      <c r="D746" s="1" t="s">
        <v>1009</v>
      </c>
      <c r="E746" s="1" t="s">
        <v>48</v>
      </c>
      <c r="F746" s="1">
        <v>1</v>
      </c>
      <c r="G746" s="1" t="s">
        <v>60</v>
      </c>
      <c r="H746" s="1" t="str">
        <f t="shared" si="66"/>
        <v xml:space="preserve">CEMPRESA='31' </v>
      </c>
      <c r="I746" s="1" t="str">
        <f t="shared" si="67"/>
        <v xml:space="preserve">AND CBALCAO='0003' </v>
      </c>
      <c r="J746" s="1" t="str">
        <f t="shared" si="68"/>
        <v xml:space="preserve">AND CNUMECTA='20675509096' </v>
      </c>
      <c r="K746" s="1" t="str">
        <f t="shared" si="69"/>
        <v xml:space="preserve">AND ZDEPOSIT='000000000000000' </v>
      </c>
      <c r="L746" s="1" t="str">
        <f t="shared" si="70"/>
        <v>WHEN CEMPRESA='31' AND CBALCAO='0003' AND CNUMECTA='20675509096' AND ZDEPOSIT='000000000000000' THEN 1</v>
      </c>
      <c r="M746" s="1" t="str">
        <f t="shared" si="71"/>
        <v>WHEN CEMPRESA='31' AND CBALCAO='0003' AND CNUMECTA='20675509096' AND ZDEPOSIT='000000000000000' THEN 'A.3.7.'</v>
      </c>
    </row>
    <row r="747" spans="2:13" x14ac:dyDescent="0.25">
      <c r="B747" s="1" t="s">
        <v>45</v>
      </c>
      <c r="C747" s="1" t="s">
        <v>46</v>
      </c>
      <c r="D747" s="1" t="s">
        <v>1010</v>
      </c>
      <c r="E747" s="1" t="s">
        <v>48</v>
      </c>
      <c r="F747" s="1">
        <v>1</v>
      </c>
      <c r="G747" s="1" t="s">
        <v>60</v>
      </c>
      <c r="H747" s="1" t="str">
        <f t="shared" si="66"/>
        <v xml:space="preserve">CEMPRESA='31' </v>
      </c>
      <c r="I747" s="1" t="str">
        <f t="shared" si="67"/>
        <v xml:space="preserve">AND CBALCAO='0003' </v>
      </c>
      <c r="J747" s="1" t="str">
        <f t="shared" si="68"/>
        <v xml:space="preserve">AND CNUMECTA='20465760096' </v>
      </c>
      <c r="K747" s="1" t="str">
        <f t="shared" si="69"/>
        <v xml:space="preserve">AND ZDEPOSIT='000000000000000' </v>
      </c>
      <c r="L747" s="1" t="str">
        <f t="shared" si="70"/>
        <v>WHEN CEMPRESA='31' AND CBALCAO='0003' AND CNUMECTA='20465760096' AND ZDEPOSIT='000000000000000' THEN 1</v>
      </c>
      <c r="M747" s="1" t="str">
        <f t="shared" si="71"/>
        <v>WHEN CEMPRESA='31' AND CBALCAO='0003' AND CNUMECTA='20465760096' AND ZDEPOSIT='000000000000000' THEN 'A.3.7.'</v>
      </c>
    </row>
    <row r="748" spans="2:13" x14ac:dyDescent="0.25">
      <c r="B748" s="1" t="s">
        <v>45</v>
      </c>
      <c r="C748" s="1" t="s">
        <v>46</v>
      </c>
      <c r="D748" s="1" t="s">
        <v>1011</v>
      </c>
      <c r="E748" s="1" t="s">
        <v>48</v>
      </c>
      <c r="F748" s="1">
        <v>1</v>
      </c>
      <c r="G748" s="1" t="s">
        <v>60</v>
      </c>
      <c r="H748" s="1" t="str">
        <f t="shared" si="66"/>
        <v xml:space="preserve">CEMPRESA='31' </v>
      </c>
      <c r="I748" s="1" t="str">
        <f t="shared" si="67"/>
        <v xml:space="preserve">AND CBALCAO='0003' </v>
      </c>
      <c r="J748" s="1" t="str">
        <f t="shared" si="68"/>
        <v xml:space="preserve">AND CNUMECTA='20638861096' </v>
      </c>
      <c r="K748" s="1" t="str">
        <f t="shared" si="69"/>
        <v xml:space="preserve">AND ZDEPOSIT='000000000000000' </v>
      </c>
      <c r="L748" s="1" t="str">
        <f t="shared" si="70"/>
        <v>WHEN CEMPRESA='31' AND CBALCAO='0003' AND CNUMECTA='20638861096' AND ZDEPOSIT='000000000000000' THEN 1</v>
      </c>
      <c r="M748" s="1" t="str">
        <f t="shared" si="71"/>
        <v>WHEN CEMPRESA='31' AND CBALCAO='0003' AND CNUMECTA='20638861096' AND ZDEPOSIT='000000000000000' THEN 'A.3.7.'</v>
      </c>
    </row>
    <row r="749" spans="2:13" x14ac:dyDescent="0.25">
      <c r="B749" s="1" t="s">
        <v>54</v>
      </c>
      <c r="C749" s="1" t="s">
        <v>55</v>
      </c>
      <c r="D749" s="1" t="s">
        <v>1012</v>
      </c>
      <c r="E749" s="1" t="s">
        <v>1013</v>
      </c>
      <c r="F749" s="1">
        <v>1</v>
      </c>
      <c r="G749" s="1" t="s">
        <v>58</v>
      </c>
      <c r="H749" s="1" t="str">
        <f t="shared" si="66"/>
        <v xml:space="preserve">CEMPRESA='89' </v>
      </c>
      <c r="I749" s="1" t="str">
        <f t="shared" si="67"/>
        <v xml:space="preserve">AND CBALCAO='0000' </v>
      </c>
      <c r="J749" s="1" t="str">
        <f t="shared" si="68"/>
        <v xml:space="preserve">AND CNUMECTA='00008046497' </v>
      </c>
      <c r="K749" s="1" t="str">
        <f t="shared" si="69"/>
        <v xml:space="preserve">AND ZDEPOSIT='000530000104782' </v>
      </c>
      <c r="L749" s="1" t="str">
        <f t="shared" si="70"/>
        <v>WHEN CEMPRESA='89' AND CBALCAO='0000' AND CNUMECTA='00008046497' AND ZDEPOSIT='000530000104782' THEN 1</v>
      </c>
      <c r="M749" s="1" t="str">
        <f t="shared" si="71"/>
        <v>WHEN CEMPRESA='89' AND CBALCAO='0000' AND CNUMECTA='00008046497' AND ZDEPOSIT='000530000104782' THEN 'A.2.5.'</v>
      </c>
    </row>
    <row r="750" spans="2:13" x14ac:dyDescent="0.25">
      <c r="B750" s="1" t="s">
        <v>45</v>
      </c>
      <c r="C750" s="1" t="s">
        <v>46</v>
      </c>
      <c r="D750" s="1" t="s">
        <v>1014</v>
      </c>
      <c r="E750" s="1" t="s">
        <v>48</v>
      </c>
      <c r="F750" s="1">
        <v>1</v>
      </c>
      <c r="G750" s="1" t="s">
        <v>60</v>
      </c>
      <c r="H750" s="1" t="str">
        <f t="shared" si="66"/>
        <v xml:space="preserve">CEMPRESA='31' </v>
      </c>
      <c r="I750" s="1" t="str">
        <f t="shared" si="67"/>
        <v xml:space="preserve">AND CBALCAO='0003' </v>
      </c>
      <c r="J750" s="1" t="str">
        <f t="shared" si="68"/>
        <v xml:space="preserve">AND CNUMECTA='20620828096' </v>
      </c>
      <c r="K750" s="1" t="str">
        <f t="shared" si="69"/>
        <v xml:space="preserve">AND ZDEPOSIT='000000000000000' </v>
      </c>
      <c r="L750" s="1" t="str">
        <f t="shared" si="70"/>
        <v>WHEN CEMPRESA='31' AND CBALCAO='0003' AND CNUMECTA='20620828096' AND ZDEPOSIT='000000000000000' THEN 1</v>
      </c>
      <c r="M750" s="1" t="str">
        <f t="shared" si="71"/>
        <v>WHEN CEMPRESA='31' AND CBALCAO='0003' AND CNUMECTA='20620828096' AND ZDEPOSIT='000000000000000' THEN 'A.3.7.'</v>
      </c>
    </row>
    <row r="751" spans="2:13" x14ac:dyDescent="0.25">
      <c r="B751" s="1" t="s">
        <v>54</v>
      </c>
      <c r="C751" s="1" t="s">
        <v>55</v>
      </c>
      <c r="D751" s="1" t="s">
        <v>1015</v>
      </c>
      <c r="E751" s="1" t="s">
        <v>1016</v>
      </c>
      <c r="F751" s="1">
        <v>1</v>
      </c>
      <c r="G751" s="1" t="s">
        <v>58</v>
      </c>
      <c r="H751" s="1" t="str">
        <f t="shared" si="66"/>
        <v xml:space="preserve">CEMPRESA='89' </v>
      </c>
      <c r="I751" s="1" t="str">
        <f t="shared" si="67"/>
        <v xml:space="preserve">AND CBALCAO='0000' </v>
      </c>
      <c r="J751" s="1" t="str">
        <f t="shared" si="68"/>
        <v xml:space="preserve">AND CNUMECTA='00000249975' </v>
      </c>
      <c r="K751" s="1" t="str">
        <f t="shared" si="69"/>
        <v xml:space="preserve">AND ZDEPOSIT='000450000773031' </v>
      </c>
      <c r="L751" s="1" t="str">
        <f t="shared" si="70"/>
        <v>WHEN CEMPRESA='89' AND CBALCAO='0000' AND CNUMECTA='00000249975' AND ZDEPOSIT='000450000773031' THEN 1</v>
      </c>
      <c r="M751" s="1" t="str">
        <f t="shared" si="71"/>
        <v>WHEN CEMPRESA='89' AND CBALCAO='0000' AND CNUMECTA='00000249975' AND ZDEPOSIT='000450000773031' THEN 'A.2.5.'</v>
      </c>
    </row>
    <row r="752" spans="2:13" x14ac:dyDescent="0.25">
      <c r="B752" s="1" t="s">
        <v>45</v>
      </c>
      <c r="C752" s="1" t="s">
        <v>46</v>
      </c>
      <c r="D752" s="1" t="s">
        <v>1017</v>
      </c>
      <c r="E752" s="1" t="s">
        <v>48</v>
      </c>
      <c r="F752" s="1">
        <v>1</v>
      </c>
      <c r="G752" s="1" t="s">
        <v>60</v>
      </c>
      <c r="H752" s="1" t="str">
        <f t="shared" si="66"/>
        <v xml:space="preserve">CEMPRESA='31' </v>
      </c>
      <c r="I752" s="1" t="str">
        <f t="shared" si="67"/>
        <v xml:space="preserve">AND CBALCAO='0003' </v>
      </c>
      <c r="J752" s="1" t="str">
        <f t="shared" si="68"/>
        <v xml:space="preserve">AND CNUMECTA='20448824096' </v>
      </c>
      <c r="K752" s="1" t="str">
        <f t="shared" si="69"/>
        <v xml:space="preserve">AND ZDEPOSIT='000000000000000' </v>
      </c>
      <c r="L752" s="1" t="str">
        <f t="shared" si="70"/>
        <v>WHEN CEMPRESA='31' AND CBALCAO='0003' AND CNUMECTA='20448824096' AND ZDEPOSIT='000000000000000' THEN 1</v>
      </c>
      <c r="M752" s="1" t="str">
        <f t="shared" si="71"/>
        <v>WHEN CEMPRESA='31' AND CBALCAO='0003' AND CNUMECTA='20448824096' AND ZDEPOSIT='000000000000000' THEN 'A.3.7.'</v>
      </c>
    </row>
    <row r="753" spans="2:13" x14ac:dyDescent="0.25">
      <c r="B753" s="1" t="s">
        <v>45</v>
      </c>
      <c r="C753" s="1" t="s">
        <v>46</v>
      </c>
      <c r="D753" s="1" t="s">
        <v>1018</v>
      </c>
      <c r="E753" s="1" t="s">
        <v>48</v>
      </c>
      <c r="F753" s="1">
        <v>1</v>
      </c>
      <c r="G753" s="1" t="s">
        <v>60</v>
      </c>
      <c r="H753" s="1" t="str">
        <f t="shared" si="66"/>
        <v xml:space="preserve">CEMPRESA='31' </v>
      </c>
      <c r="I753" s="1" t="str">
        <f t="shared" si="67"/>
        <v xml:space="preserve">AND CBALCAO='0003' </v>
      </c>
      <c r="J753" s="1" t="str">
        <f t="shared" si="68"/>
        <v xml:space="preserve">AND CNUMECTA='20487087096' </v>
      </c>
      <c r="K753" s="1" t="str">
        <f t="shared" si="69"/>
        <v xml:space="preserve">AND ZDEPOSIT='000000000000000' </v>
      </c>
      <c r="L753" s="1" t="str">
        <f t="shared" si="70"/>
        <v>WHEN CEMPRESA='31' AND CBALCAO='0003' AND CNUMECTA='20487087096' AND ZDEPOSIT='000000000000000' THEN 1</v>
      </c>
      <c r="M753" s="1" t="str">
        <f t="shared" si="71"/>
        <v>WHEN CEMPRESA='31' AND CBALCAO='0003' AND CNUMECTA='20487087096' AND ZDEPOSIT='000000000000000' THEN 'A.3.7.'</v>
      </c>
    </row>
    <row r="754" spans="2:13" x14ac:dyDescent="0.25">
      <c r="B754" s="1" t="s">
        <v>45</v>
      </c>
      <c r="C754" s="1" t="s">
        <v>46</v>
      </c>
      <c r="D754" s="1" t="s">
        <v>1019</v>
      </c>
      <c r="E754" s="1" t="s">
        <v>48</v>
      </c>
      <c r="F754" s="1">
        <v>1</v>
      </c>
      <c r="G754" s="1" t="s">
        <v>51</v>
      </c>
      <c r="H754" s="1" t="str">
        <f t="shared" si="66"/>
        <v xml:space="preserve">CEMPRESA='31' </v>
      </c>
      <c r="I754" s="1" t="str">
        <f t="shared" si="67"/>
        <v xml:space="preserve">AND CBALCAO='0003' </v>
      </c>
      <c r="J754" s="1" t="str">
        <f t="shared" si="68"/>
        <v xml:space="preserve">AND CNUMECTA='20469895096' </v>
      </c>
      <c r="K754" s="1" t="str">
        <f t="shared" si="69"/>
        <v xml:space="preserve">AND ZDEPOSIT='000000000000000' </v>
      </c>
      <c r="L754" s="1" t="str">
        <f t="shared" si="70"/>
        <v>WHEN CEMPRESA='31' AND CBALCAO='0003' AND CNUMECTA='20469895096' AND ZDEPOSIT='000000000000000' THEN 1</v>
      </c>
      <c r="M754" s="1" t="str">
        <f t="shared" si="71"/>
        <v>WHEN CEMPRESA='31' AND CBALCAO='0003' AND CNUMECTA='20469895096' AND ZDEPOSIT='000000000000000' THEN 'B.1.'</v>
      </c>
    </row>
    <row r="755" spans="2:13" x14ac:dyDescent="0.25">
      <c r="B755" s="1" t="s">
        <v>45</v>
      </c>
      <c r="C755" s="1" t="s">
        <v>46</v>
      </c>
      <c r="D755" s="1" t="s">
        <v>1020</v>
      </c>
      <c r="E755" s="1" t="s">
        <v>48</v>
      </c>
      <c r="F755" s="1">
        <v>1</v>
      </c>
      <c r="G755" s="1" t="s">
        <v>60</v>
      </c>
      <c r="H755" s="1" t="str">
        <f t="shared" si="66"/>
        <v xml:space="preserve">CEMPRESA='31' </v>
      </c>
      <c r="I755" s="1" t="str">
        <f t="shared" si="67"/>
        <v xml:space="preserve">AND CBALCAO='0003' </v>
      </c>
      <c r="J755" s="1" t="str">
        <f t="shared" si="68"/>
        <v xml:space="preserve">AND CNUMECTA='20607916096' </v>
      </c>
      <c r="K755" s="1" t="str">
        <f t="shared" si="69"/>
        <v xml:space="preserve">AND ZDEPOSIT='000000000000000' </v>
      </c>
      <c r="L755" s="1" t="str">
        <f t="shared" si="70"/>
        <v>WHEN CEMPRESA='31' AND CBALCAO='0003' AND CNUMECTA='20607916096' AND ZDEPOSIT='000000000000000' THEN 1</v>
      </c>
      <c r="M755" s="1" t="str">
        <f t="shared" si="71"/>
        <v>WHEN CEMPRESA='31' AND CBALCAO='0003' AND CNUMECTA='20607916096' AND ZDEPOSIT='000000000000000' THEN 'A.3.7.'</v>
      </c>
    </row>
    <row r="756" spans="2:13" x14ac:dyDescent="0.25">
      <c r="B756" s="1" t="s">
        <v>45</v>
      </c>
      <c r="C756" s="1" t="s">
        <v>46</v>
      </c>
      <c r="D756" s="1" t="s">
        <v>1021</v>
      </c>
      <c r="E756" s="1" t="s">
        <v>48</v>
      </c>
      <c r="F756" s="1">
        <v>1</v>
      </c>
      <c r="G756" s="1" t="s">
        <v>60</v>
      </c>
      <c r="H756" s="1" t="str">
        <f t="shared" si="66"/>
        <v xml:space="preserve">CEMPRESA='31' </v>
      </c>
      <c r="I756" s="1" t="str">
        <f t="shared" si="67"/>
        <v xml:space="preserve">AND CBALCAO='0003' </v>
      </c>
      <c r="J756" s="1" t="str">
        <f t="shared" si="68"/>
        <v xml:space="preserve">AND CNUMECTA='20663208096' </v>
      </c>
      <c r="K756" s="1" t="str">
        <f t="shared" si="69"/>
        <v xml:space="preserve">AND ZDEPOSIT='000000000000000' </v>
      </c>
      <c r="L756" s="1" t="str">
        <f t="shared" si="70"/>
        <v>WHEN CEMPRESA='31' AND CBALCAO='0003' AND CNUMECTA='20663208096' AND ZDEPOSIT='000000000000000' THEN 1</v>
      </c>
      <c r="M756" s="1" t="str">
        <f t="shared" si="71"/>
        <v>WHEN CEMPRESA='31' AND CBALCAO='0003' AND CNUMECTA='20663208096' AND ZDEPOSIT='000000000000000' THEN 'A.3.7.'</v>
      </c>
    </row>
    <row r="757" spans="2:13" x14ac:dyDescent="0.25">
      <c r="B757" s="1" t="s">
        <v>45</v>
      </c>
      <c r="C757" s="1" t="s">
        <v>46</v>
      </c>
      <c r="D757" s="1" t="s">
        <v>1022</v>
      </c>
      <c r="E757" s="1" t="s">
        <v>48</v>
      </c>
      <c r="F757" s="1">
        <v>1</v>
      </c>
      <c r="G757" s="1" t="s">
        <v>60</v>
      </c>
      <c r="H757" s="1" t="str">
        <f t="shared" si="66"/>
        <v xml:space="preserve">CEMPRESA='31' </v>
      </c>
      <c r="I757" s="1" t="str">
        <f t="shared" si="67"/>
        <v xml:space="preserve">AND CBALCAO='0003' </v>
      </c>
      <c r="J757" s="1" t="str">
        <f t="shared" si="68"/>
        <v xml:space="preserve">AND CNUMECTA='20429766096' </v>
      </c>
      <c r="K757" s="1" t="str">
        <f t="shared" si="69"/>
        <v xml:space="preserve">AND ZDEPOSIT='000000000000000' </v>
      </c>
      <c r="L757" s="1" t="str">
        <f t="shared" si="70"/>
        <v>WHEN CEMPRESA='31' AND CBALCAO='0003' AND CNUMECTA='20429766096' AND ZDEPOSIT='000000000000000' THEN 1</v>
      </c>
      <c r="M757" s="1" t="str">
        <f t="shared" si="71"/>
        <v>WHEN CEMPRESA='31' AND CBALCAO='0003' AND CNUMECTA='20429766096' AND ZDEPOSIT='000000000000000' THEN 'A.3.7.'</v>
      </c>
    </row>
    <row r="758" spans="2:13" x14ac:dyDescent="0.25">
      <c r="B758" s="1" t="s">
        <v>45</v>
      </c>
      <c r="C758" s="1" t="s">
        <v>46</v>
      </c>
      <c r="D758" s="1" t="s">
        <v>1023</v>
      </c>
      <c r="E758" s="1" t="s">
        <v>48</v>
      </c>
      <c r="F758" s="1">
        <v>1</v>
      </c>
      <c r="G758" s="1" t="s">
        <v>60</v>
      </c>
      <c r="H758" s="1" t="str">
        <f t="shared" si="66"/>
        <v xml:space="preserve">CEMPRESA='31' </v>
      </c>
      <c r="I758" s="1" t="str">
        <f t="shared" si="67"/>
        <v xml:space="preserve">AND CBALCAO='0003' </v>
      </c>
      <c r="J758" s="1" t="str">
        <f t="shared" si="68"/>
        <v xml:space="preserve">AND CNUMECTA='20569405096' </v>
      </c>
      <c r="K758" s="1" t="str">
        <f t="shared" si="69"/>
        <v xml:space="preserve">AND ZDEPOSIT='000000000000000' </v>
      </c>
      <c r="L758" s="1" t="str">
        <f t="shared" si="70"/>
        <v>WHEN CEMPRESA='31' AND CBALCAO='0003' AND CNUMECTA='20569405096' AND ZDEPOSIT='000000000000000' THEN 1</v>
      </c>
      <c r="M758" s="1" t="str">
        <f t="shared" si="71"/>
        <v>WHEN CEMPRESA='31' AND CBALCAO='0003' AND CNUMECTA='20569405096' AND ZDEPOSIT='000000000000000' THEN 'A.3.7.'</v>
      </c>
    </row>
    <row r="759" spans="2:13" x14ac:dyDescent="0.25">
      <c r="B759" s="1" t="s">
        <v>54</v>
      </c>
      <c r="C759" s="1" t="s">
        <v>55</v>
      </c>
      <c r="D759" s="1" t="s">
        <v>1024</v>
      </c>
      <c r="E759" s="1" t="s">
        <v>1025</v>
      </c>
      <c r="F759" s="1">
        <v>1</v>
      </c>
      <c r="G759" s="1" t="s">
        <v>58</v>
      </c>
      <c r="H759" s="1" t="str">
        <f t="shared" si="66"/>
        <v xml:space="preserve">CEMPRESA='89' </v>
      </c>
      <c r="I759" s="1" t="str">
        <f t="shared" si="67"/>
        <v xml:space="preserve">AND CBALCAO='0000' </v>
      </c>
      <c r="J759" s="1" t="str">
        <f t="shared" si="68"/>
        <v xml:space="preserve">AND CNUMECTA='00000250306' </v>
      </c>
      <c r="K759" s="1" t="str">
        <f t="shared" si="69"/>
        <v xml:space="preserve">AND ZDEPOSIT='000450000777994' </v>
      </c>
      <c r="L759" s="1" t="str">
        <f t="shared" si="70"/>
        <v>WHEN CEMPRESA='89' AND CBALCAO='0000' AND CNUMECTA='00000250306' AND ZDEPOSIT='000450000777994' THEN 1</v>
      </c>
      <c r="M759" s="1" t="str">
        <f t="shared" si="71"/>
        <v>WHEN CEMPRESA='89' AND CBALCAO='0000' AND CNUMECTA='00000250306' AND ZDEPOSIT='000450000777994' THEN 'A.2.5.'</v>
      </c>
    </row>
    <row r="760" spans="2:13" x14ac:dyDescent="0.25">
      <c r="B760" s="1" t="s">
        <v>45</v>
      </c>
      <c r="C760" s="1" t="s">
        <v>46</v>
      </c>
      <c r="D760" s="1" t="s">
        <v>1026</v>
      </c>
      <c r="E760" s="1" t="s">
        <v>48</v>
      </c>
      <c r="F760" s="1">
        <v>1</v>
      </c>
      <c r="G760" s="1" t="s">
        <v>49</v>
      </c>
      <c r="H760" s="1" t="str">
        <f t="shared" si="66"/>
        <v xml:space="preserve">CEMPRESA='31' </v>
      </c>
      <c r="I760" s="1" t="str">
        <f t="shared" si="67"/>
        <v xml:space="preserve">AND CBALCAO='0003' </v>
      </c>
      <c r="J760" s="1" t="str">
        <f t="shared" si="68"/>
        <v xml:space="preserve">AND CNUMECTA='20101258096' </v>
      </c>
      <c r="K760" s="1" t="str">
        <f t="shared" si="69"/>
        <v xml:space="preserve">AND ZDEPOSIT='000000000000000' </v>
      </c>
      <c r="L760" s="1" t="str">
        <f t="shared" si="70"/>
        <v>WHEN CEMPRESA='31' AND CBALCAO='0003' AND CNUMECTA='20101258096' AND ZDEPOSIT='000000000000000' THEN 1</v>
      </c>
      <c r="M760" s="1" t="str">
        <f t="shared" si="71"/>
        <v>WHEN CEMPRESA='31' AND CBALCAO='0003' AND CNUMECTA='20101258096' AND ZDEPOSIT='000000000000000' THEN 'A.2.3.'</v>
      </c>
    </row>
    <row r="761" spans="2:13" x14ac:dyDescent="0.25">
      <c r="B761" s="1" t="s">
        <v>54</v>
      </c>
      <c r="C761" s="1" t="s">
        <v>55</v>
      </c>
      <c r="D761" s="1" t="s">
        <v>1027</v>
      </c>
      <c r="E761" s="1" t="s">
        <v>1028</v>
      </c>
      <c r="F761" s="1">
        <v>1</v>
      </c>
      <c r="G761" s="1" t="s">
        <v>58</v>
      </c>
      <c r="H761" s="1" t="str">
        <f t="shared" si="66"/>
        <v xml:space="preserve">CEMPRESA='89' </v>
      </c>
      <c r="I761" s="1" t="str">
        <f t="shared" si="67"/>
        <v xml:space="preserve">AND CBALCAO='0000' </v>
      </c>
      <c r="J761" s="1" t="str">
        <f t="shared" si="68"/>
        <v xml:space="preserve">AND CNUMECTA='00005118094' </v>
      </c>
      <c r="K761" s="1" t="str">
        <f t="shared" si="69"/>
        <v xml:space="preserve">AND ZDEPOSIT='000510000778293' </v>
      </c>
      <c r="L761" s="1" t="str">
        <f t="shared" si="70"/>
        <v>WHEN CEMPRESA='89' AND CBALCAO='0000' AND CNUMECTA='00005118094' AND ZDEPOSIT='000510000778293' THEN 1</v>
      </c>
      <c r="M761" s="1" t="str">
        <f t="shared" si="71"/>
        <v>WHEN CEMPRESA='89' AND CBALCAO='0000' AND CNUMECTA='00005118094' AND ZDEPOSIT='000510000778293' THEN 'A.2.5.'</v>
      </c>
    </row>
    <row r="762" spans="2:13" x14ac:dyDescent="0.25">
      <c r="B762" s="1" t="s">
        <v>45</v>
      </c>
      <c r="C762" s="1" t="s">
        <v>46</v>
      </c>
      <c r="D762" s="1" t="s">
        <v>1029</v>
      </c>
      <c r="E762" s="1" t="s">
        <v>48</v>
      </c>
      <c r="F762" s="1">
        <v>1</v>
      </c>
      <c r="G762" s="1" t="s">
        <v>60</v>
      </c>
      <c r="H762" s="1" t="str">
        <f t="shared" si="66"/>
        <v xml:space="preserve">CEMPRESA='31' </v>
      </c>
      <c r="I762" s="1" t="str">
        <f t="shared" si="67"/>
        <v xml:space="preserve">AND CBALCAO='0003' </v>
      </c>
      <c r="J762" s="1" t="str">
        <f t="shared" si="68"/>
        <v xml:space="preserve">AND CNUMECTA='20627641096' </v>
      </c>
      <c r="K762" s="1" t="str">
        <f t="shared" si="69"/>
        <v xml:space="preserve">AND ZDEPOSIT='000000000000000' </v>
      </c>
      <c r="L762" s="1" t="str">
        <f t="shared" si="70"/>
        <v>WHEN CEMPRESA='31' AND CBALCAO='0003' AND CNUMECTA='20627641096' AND ZDEPOSIT='000000000000000' THEN 1</v>
      </c>
      <c r="M762" s="1" t="str">
        <f t="shared" si="71"/>
        <v>WHEN CEMPRESA='31' AND CBALCAO='0003' AND CNUMECTA='20627641096' AND ZDEPOSIT='000000000000000' THEN 'A.3.7.'</v>
      </c>
    </row>
    <row r="763" spans="2:13" x14ac:dyDescent="0.25">
      <c r="B763" s="1" t="s">
        <v>45</v>
      </c>
      <c r="C763" s="1" t="s">
        <v>46</v>
      </c>
      <c r="D763" s="1" t="s">
        <v>1030</v>
      </c>
      <c r="E763" s="1" t="s">
        <v>48</v>
      </c>
      <c r="F763" s="1">
        <v>1</v>
      </c>
      <c r="G763" s="1" t="s">
        <v>60</v>
      </c>
      <c r="H763" s="1" t="str">
        <f t="shared" si="66"/>
        <v xml:space="preserve">CEMPRESA='31' </v>
      </c>
      <c r="I763" s="1" t="str">
        <f t="shared" si="67"/>
        <v xml:space="preserve">AND CBALCAO='0003' </v>
      </c>
      <c r="J763" s="1" t="str">
        <f t="shared" si="68"/>
        <v xml:space="preserve">AND CNUMECTA='20638275096' </v>
      </c>
      <c r="K763" s="1" t="str">
        <f t="shared" si="69"/>
        <v xml:space="preserve">AND ZDEPOSIT='000000000000000' </v>
      </c>
      <c r="L763" s="1" t="str">
        <f t="shared" si="70"/>
        <v>WHEN CEMPRESA='31' AND CBALCAO='0003' AND CNUMECTA='20638275096' AND ZDEPOSIT='000000000000000' THEN 1</v>
      </c>
      <c r="M763" s="1" t="str">
        <f t="shared" si="71"/>
        <v>WHEN CEMPRESA='31' AND CBALCAO='0003' AND CNUMECTA='20638275096' AND ZDEPOSIT='000000000000000' THEN 'A.3.7.'</v>
      </c>
    </row>
    <row r="764" spans="2:13" x14ac:dyDescent="0.25">
      <c r="B764" s="1" t="s">
        <v>45</v>
      </c>
      <c r="C764" s="1" t="s">
        <v>46</v>
      </c>
      <c r="D764" s="1" t="s">
        <v>1031</v>
      </c>
      <c r="E764" s="1" t="s">
        <v>48</v>
      </c>
      <c r="F764" s="1">
        <v>1</v>
      </c>
      <c r="G764" s="1" t="s">
        <v>53</v>
      </c>
      <c r="H764" s="1" t="str">
        <f t="shared" si="66"/>
        <v xml:space="preserve">CEMPRESA='31' </v>
      </c>
      <c r="I764" s="1" t="str">
        <f t="shared" si="67"/>
        <v xml:space="preserve">AND CBALCAO='0003' </v>
      </c>
      <c r="J764" s="1" t="str">
        <f t="shared" si="68"/>
        <v xml:space="preserve">AND CNUMECTA='20400098096' </v>
      </c>
      <c r="K764" s="1" t="str">
        <f t="shared" si="69"/>
        <v xml:space="preserve">AND ZDEPOSIT='000000000000000' </v>
      </c>
      <c r="L764" s="1" t="str">
        <f t="shared" si="70"/>
        <v>WHEN CEMPRESA='31' AND CBALCAO='0003' AND CNUMECTA='20400098096' AND ZDEPOSIT='000000000000000' THEN 1</v>
      </c>
      <c r="M764" s="1" t="str">
        <f t="shared" si="71"/>
        <v>WHEN CEMPRESA='31' AND CBALCAO='0003' AND CNUMECTA='20400098096' AND ZDEPOSIT='000000000000000' THEN 'A.1.1.'</v>
      </c>
    </row>
    <row r="765" spans="2:13" x14ac:dyDescent="0.25">
      <c r="B765" s="1" t="s">
        <v>45</v>
      </c>
      <c r="C765" s="1" t="s">
        <v>46</v>
      </c>
      <c r="D765" s="1" t="s">
        <v>1032</v>
      </c>
      <c r="E765" s="1" t="s">
        <v>48</v>
      </c>
      <c r="F765" s="1">
        <v>1</v>
      </c>
      <c r="G765" s="1" t="s">
        <v>76</v>
      </c>
      <c r="H765" s="1" t="str">
        <f t="shared" si="66"/>
        <v xml:space="preserve">CEMPRESA='31' </v>
      </c>
      <c r="I765" s="1" t="str">
        <f t="shared" si="67"/>
        <v xml:space="preserve">AND CBALCAO='0003' </v>
      </c>
      <c r="J765" s="1" t="str">
        <f t="shared" si="68"/>
        <v xml:space="preserve">AND CNUMECTA='18614105097' </v>
      </c>
      <c r="K765" s="1" t="str">
        <f t="shared" si="69"/>
        <v xml:space="preserve">AND ZDEPOSIT='000000000000000' </v>
      </c>
      <c r="L765" s="1" t="str">
        <f t="shared" si="70"/>
        <v>WHEN CEMPRESA='31' AND CBALCAO='0003' AND CNUMECTA='18614105097' AND ZDEPOSIT='000000000000000' THEN 1</v>
      </c>
      <c r="M765" s="1" t="str">
        <f t="shared" si="71"/>
        <v>WHEN CEMPRESA='31' AND CBALCAO='0003' AND CNUMECTA='18614105097' AND ZDEPOSIT='000000000000000' THEN 'A.7.7.'</v>
      </c>
    </row>
    <row r="766" spans="2:13" x14ac:dyDescent="0.25">
      <c r="B766" s="1" t="s">
        <v>45</v>
      </c>
      <c r="C766" s="1" t="s">
        <v>46</v>
      </c>
      <c r="D766" s="1" t="s">
        <v>1033</v>
      </c>
      <c r="E766" s="1" t="s">
        <v>48</v>
      </c>
      <c r="F766" s="1">
        <v>1</v>
      </c>
      <c r="G766" s="1" t="s">
        <v>60</v>
      </c>
      <c r="H766" s="1" t="str">
        <f t="shared" si="66"/>
        <v xml:space="preserve">CEMPRESA='31' </v>
      </c>
      <c r="I766" s="1" t="str">
        <f t="shared" si="67"/>
        <v xml:space="preserve">AND CBALCAO='0003' </v>
      </c>
      <c r="J766" s="1" t="str">
        <f t="shared" si="68"/>
        <v xml:space="preserve">AND CNUMECTA='20510847096' </v>
      </c>
      <c r="K766" s="1" t="str">
        <f t="shared" si="69"/>
        <v xml:space="preserve">AND ZDEPOSIT='000000000000000' </v>
      </c>
      <c r="L766" s="1" t="str">
        <f t="shared" si="70"/>
        <v>WHEN CEMPRESA='31' AND CBALCAO='0003' AND CNUMECTA='20510847096' AND ZDEPOSIT='000000000000000' THEN 1</v>
      </c>
      <c r="M766" s="1" t="str">
        <f t="shared" si="71"/>
        <v>WHEN CEMPRESA='31' AND CBALCAO='0003' AND CNUMECTA='20510847096' AND ZDEPOSIT='000000000000000' THEN 'A.3.7.'</v>
      </c>
    </row>
    <row r="767" spans="2:13" x14ac:dyDescent="0.25">
      <c r="B767" s="1" t="s">
        <v>45</v>
      </c>
      <c r="C767" s="1" t="s">
        <v>46</v>
      </c>
      <c r="D767" s="1" t="s">
        <v>1034</v>
      </c>
      <c r="E767" s="1" t="s">
        <v>48</v>
      </c>
      <c r="F767" s="1">
        <v>1</v>
      </c>
      <c r="G767" s="1" t="s">
        <v>60</v>
      </c>
      <c r="H767" s="1" t="str">
        <f t="shared" si="66"/>
        <v xml:space="preserve">CEMPRESA='31' </v>
      </c>
      <c r="I767" s="1" t="str">
        <f t="shared" si="67"/>
        <v xml:space="preserve">AND CBALCAO='0003' </v>
      </c>
      <c r="J767" s="1" t="str">
        <f t="shared" si="68"/>
        <v xml:space="preserve">AND CNUMECTA='20643721096' </v>
      </c>
      <c r="K767" s="1" t="str">
        <f t="shared" si="69"/>
        <v xml:space="preserve">AND ZDEPOSIT='000000000000000' </v>
      </c>
      <c r="L767" s="1" t="str">
        <f t="shared" si="70"/>
        <v>WHEN CEMPRESA='31' AND CBALCAO='0003' AND CNUMECTA='20643721096' AND ZDEPOSIT='000000000000000' THEN 1</v>
      </c>
      <c r="M767" s="1" t="str">
        <f t="shared" si="71"/>
        <v>WHEN CEMPRESA='31' AND CBALCAO='0003' AND CNUMECTA='20643721096' AND ZDEPOSIT='000000000000000' THEN 'A.3.7.'</v>
      </c>
    </row>
    <row r="768" spans="2:13" x14ac:dyDescent="0.25">
      <c r="B768" s="1" t="s">
        <v>54</v>
      </c>
      <c r="C768" s="1" t="s">
        <v>55</v>
      </c>
      <c r="D768" s="1" t="s">
        <v>1035</v>
      </c>
      <c r="E768" s="1" t="s">
        <v>1036</v>
      </c>
      <c r="F768" s="1">
        <v>1</v>
      </c>
      <c r="G768" s="1" t="s">
        <v>58</v>
      </c>
      <c r="H768" s="1" t="str">
        <f t="shared" si="66"/>
        <v xml:space="preserve">CEMPRESA='89' </v>
      </c>
      <c r="I768" s="1" t="str">
        <f t="shared" si="67"/>
        <v xml:space="preserve">AND CBALCAO='0000' </v>
      </c>
      <c r="J768" s="1" t="str">
        <f t="shared" si="68"/>
        <v xml:space="preserve">AND CNUMECTA='00008046378' </v>
      </c>
      <c r="K768" s="1" t="str">
        <f t="shared" si="69"/>
        <v xml:space="preserve">AND ZDEPOSIT='000530000698628' </v>
      </c>
      <c r="L768" s="1" t="str">
        <f t="shared" si="70"/>
        <v>WHEN CEMPRESA='89' AND CBALCAO='0000' AND CNUMECTA='00008046378' AND ZDEPOSIT='000530000698628' THEN 1</v>
      </c>
      <c r="M768" s="1" t="str">
        <f t="shared" si="71"/>
        <v>WHEN CEMPRESA='89' AND CBALCAO='0000' AND CNUMECTA='00008046378' AND ZDEPOSIT='000530000698628' THEN 'A.2.5.'</v>
      </c>
    </row>
    <row r="769" spans="2:13" x14ac:dyDescent="0.25">
      <c r="B769" s="1" t="s">
        <v>54</v>
      </c>
      <c r="C769" s="1" t="s">
        <v>55</v>
      </c>
      <c r="D769" s="1" t="s">
        <v>1037</v>
      </c>
      <c r="E769" s="1" t="s">
        <v>1038</v>
      </c>
      <c r="F769" s="1">
        <v>1</v>
      </c>
      <c r="G769" s="1" t="s">
        <v>58</v>
      </c>
      <c r="H769" s="1" t="str">
        <f t="shared" si="66"/>
        <v xml:space="preserve">CEMPRESA='89' </v>
      </c>
      <c r="I769" s="1" t="str">
        <f t="shared" si="67"/>
        <v xml:space="preserve">AND CBALCAO='0000' </v>
      </c>
      <c r="J769" s="1" t="str">
        <f t="shared" si="68"/>
        <v xml:space="preserve">AND CNUMECTA='00000249698' </v>
      </c>
      <c r="K769" s="1" t="str">
        <f t="shared" si="69"/>
        <v xml:space="preserve">AND ZDEPOSIT='000450000531229' </v>
      </c>
      <c r="L769" s="1" t="str">
        <f t="shared" si="70"/>
        <v>WHEN CEMPRESA='89' AND CBALCAO='0000' AND CNUMECTA='00000249698' AND ZDEPOSIT='000450000531229' THEN 1</v>
      </c>
      <c r="M769" s="1" t="str">
        <f t="shared" si="71"/>
        <v>WHEN CEMPRESA='89' AND CBALCAO='0000' AND CNUMECTA='00000249698' AND ZDEPOSIT='000450000531229' THEN 'A.2.5.'</v>
      </c>
    </row>
    <row r="770" spans="2:13" x14ac:dyDescent="0.25">
      <c r="B770" s="1" t="s">
        <v>45</v>
      </c>
      <c r="C770" s="1" t="s">
        <v>46</v>
      </c>
      <c r="D770" s="1" t="s">
        <v>1039</v>
      </c>
      <c r="E770" s="1" t="s">
        <v>48</v>
      </c>
      <c r="F770" s="1">
        <v>1</v>
      </c>
      <c r="G770" s="1" t="s">
        <v>76</v>
      </c>
      <c r="H770" s="1" t="str">
        <f t="shared" si="66"/>
        <v xml:space="preserve">CEMPRESA='31' </v>
      </c>
      <c r="I770" s="1" t="str">
        <f t="shared" si="67"/>
        <v xml:space="preserve">AND CBALCAO='0003' </v>
      </c>
      <c r="J770" s="1" t="str">
        <f t="shared" si="68"/>
        <v xml:space="preserve">AND CNUMECTA='18614097097' </v>
      </c>
      <c r="K770" s="1" t="str">
        <f t="shared" si="69"/>
        <v xml:space="preserve">AND ZDEPOSIT='000000000000000' </v>
      </c>
      <c r="L770" s="1" t="str">
        <f t="shared" si="70"/>
        <v>WHEN CEMPRESA='31' AND CBALCAO='0003' AND CNUMECTA='18614097097' AND ZDEPOSIT='000000000000000' THEN 1</v>
      </c>
      <c r="M770" s="1" t="str">
        <f t="shared" si="71"/>
        <v>WHEN CEMPRESA='31' AND CBALCAO='0003' AND CNUMECTA='18614097097' AND ZDEPOSIT='000000000000000' THEN 'A.7.7.'</v>
      </c>
    </row>
    <row r="771" spans="2:13" x14ac:dyDescent="0.25">
      <c r="B771" s="1" t="s">
        <v>45</v>
      </c>
      <c r="C771" s="1" t="s">
        <v>46</v>
      </c>
      <c r="D771" s="1" t="s">
        <v>1040</v>
      </c>
      <c r="E771" s="1" t="s">
        <v>48</v>
      </c>
      <c r="F771" s="1">
        <v>1</v>
      </c>
      <c r="G771" s="1" t="s">
        <v>60</v>
      </c>
      <c r="H771" s="1" t="str">
        <f t="shared" si="66"/>
        <v xml:space="preserve">CEMPRESA='31' </v>
      </c>
      <c r="I771" s="1" t="str">
        <f t="shared" si="67"/>
        <v xml:space="preserve">AND CBALCAO='0003' </v>
      </c>
      <c r="J771" s="1" t="str">
        <f t="shared" si="68"/>
        <v xml:space="preserve">AND CNUMECTA='20740410096' </v>
      </c>
      <c r="K771" s="1" t="str">
        <f t="shared" si="69"/>
        <v xml:space="preserve">AND ZDEPOSIT='000000000000000' </v>
      </c>
      <c r="L771" s="1" t="str">
        <f t="shared" si="70"/>
        <v>WHEN CEMPRESA='31' AND CBALCAO='0003' AND CNUMECTA='20740410096' AND ZDEPOSIT='000000000000000' THEN 1</v>
      </c>
      <c r="M771" s="1" t="str">
        <f t="shared" si="71"/>
        <v>WHEN CEMPRESA='31' AND CBALCAO='0003' AND CNUMECTA='20740410096' AND ZDEPOSIT='000000000000000' THEN 'A.3.7.'</v>
      </c>
    </row>
    <row r="772" spans="2:13" x14ac:dyDescent="0.25">
      <c r="B772" s="1" t="s">
        <v>45</v>
      </c>
      <c r="C772" s="1" t="s">
        <v>46</v>
      </c>
      <c r="D772" s="1" t="s">
        <v>1041</v>
      </c>
      <c r="E772" s="1" t="s">
        <v>48</v>
      </c>
      <c r="F772" s="1">
        <v>1</v>
      </c>
      <c r="G772" s="1" t="s">
        <v>60</v>
      </c>
      <c r="H772" s="1" t="str">
        <f t="shared" ref="H772:H835" si="72">+IF(LEN(TRIM(B772))&gt;0,UPPER($B$2)&amp;"='"&amp;TRIM(B772)&amp;"' ","")</f>
        <v xml:space="preserve">CEMPRESA='31' </v>
      </c>
      <c r="I772" s="1" t="str">
        <f t="shared" ref="I772:I835" si="73">+IF(LEN(TRIM(C772))&gt;0,UPPER($C$2)&amp;"='"&amp;TRIM(C772)&amp;"' ","")</f>
        <v xml:space="preserve">AND CBALCAO='0003' </v>
      </c>
      <c r="J772" s="1" t="str">
        <f t="shared" ref="J772:J835" si="74">+IF(LEN(TRIM(D772))&gt;0,UPPER($D$2)&amp;"='"&amp;TRIM(D772)&amp;"' ","")</f>
        <v xml:space="preserve">AND CNUMECTA='20551379096' </v>
      </c>
      <c r="K772" s="1" t="str">
        <f t="shared" ref="K772:K835" si="75">+IF(LEN(TRIM(E772))&gt;0,UPPER($E$2)&amp;"='"&amp;TRIM(E772)&amp;"' ","")</f>
        <v xml:space="preserve">AND ZDEPOSIT='000000000000000' </v>
      </c>
      <c r="L772" s="1" t="str">
        <f t="shared" ref="L772:L835" si="76">+"WHEN "&amp;H772&amp;I772&amp;J772&amp;K772&amp;"THEN "&amp;F772</f>
        <v>WHEN CEMPRESA='31' AND CBALCAO='0003' AND CNUMECTA='20551379096' AND ZDEPOSIT='000000000000000' THEN 1</v>
      </c>
      <c r="M772" s="1" t="str">
        <f t="shared" ref="M772:M835" si="77">+"WHEN "&amp;H772&amp;I772&amp;J772&amp;K772&amp;"THEN "&amp;G772</f>
        <v>WHEN CEMPRESA='31' AND CBALCAO='0003' AND CNUMECTA='20551379096' AND ZDEPOSIT='000000000000000' THEN 'A.3.7.'</v>
      </c>
    </row>
    <row r="773" spans="2:13" x14ac:dyDescent="0.25">
      <c r="B773" s="1" t="s">
        <v>45</v>
      </c>
      <c r="C773" s="1" t="s">
        <v>46</v>
      </c>
      <c r="D773" s="1" t="s">
        <v>1042</v>
      </c>
      <c r="E773" s="1" t="s">
        <v>48</v>
      </c>
      <c r="F773" s="1">
        <v>1</v>
      </c>
      <c r="G773" s="1" t="s">
        <v>60</v>
      </c>
      <c r="H773" s="1" t="str">
        <f t="shared" si="72"/>
        <v xml:space="preserve">CEMPRESA='31' </v>
      </c>
      <c r="I773" s="1" t="str">
        <f t="shared" si="73"/>
        <v xml:space="preserve">AND CBALCAO='0003' </v>
      </c>
      <c r="J773" s="1" t="str">
        <f t="shared" si="74"/>
        <v xml:space="preserve">AND CNUMECTA='20461355096' </v>
      </c>
      <c r="K773" s="1" t="str">
        <f t="shared" si="75"/>
        <v xml:space="preserve">AND ZDEPOSIT='000000000000000' </v>
      </c>
      <c r="L773" s="1" t="str">
        <f t="shared" si="76"/>
        <v>WHEN CEMPRESA='31' AND CBALCAO='0003' AND CNUMECTA='20461355096' AND ZDEPOSIT='000000000000000' THEN 1</v>
      </c>
      <c r="M773" s="1" t="str">
        <f t="shared" si="77"/>
        <v>WHEN CEMPRESA='31' AND CBALCAO='0003' AND CNUMECTA='20461355096' AND ZDEPOSIT='000000000000000' THEN 'A.3.7.'</v>
      </c>
    </row>
    <row r="774" spans="2:13" x14ac:dyDescent="0.25">
      <c r="B774" s="1" t="s">
        <v>45</v>
      </c>
      <c r="C774" s="1" t="s">
        <v>46</v>
      </c>
      <c r="D774" s="1" t="s">
        <v>1043</v>
      </c>
      <c r="E774" s="1" t="s">
        <v>48</v>
      </c>
      <c r="F774" s="1">
        <v>1</v>
      </c>
      <c r="G774" s="1" t="s">
        <v>60</v>
      </c>
      <c r="H774" s="1" t="str">
        <f t="shared" si="72"/>
        <v xml:space="preserve">CEMPRESA='31' </v>
      </c>
      <c r="I774" s="1" t="str">
        <f t="shared" si="73"/>
        <v xml:space="preserve">AND CBALCAO='0003' </v>
      </c>
      <c r="J774" s="1" t="str">
        <f t="shared" si="74"/>
        <v xml:space="preserve">AND CNUMECTA='20447081096' </v>
      </c>
      <c r="K774" s="1" t="str">
        <f t="shared" si="75"/>
        <v xml:space="preserve">AND ZDEPOSIT='000000000000000' </v>
      </c>
      <c r="L774" s="1" t="str">
        <f t="shared" si="76"/>
        <v>WHEN CEMPRESA='31' AND CBALCAO='0003' AND CNUMECTA='20447081096' AND ZDEPOSIT='000000000000000' THEN 1</v>
      </c>
      <c r="M774" s="1" t="str">
        <f t="shared" si="77"/>
        <v>WHEN CEMPRESA='31' AND CBALCAO='0003' AND CNUMECTA='20447081096' AND ZDEPOSIT='000000000000000' THEN 'A.3.7.'</v>
      </c>
    </row>
    <row r="775" spans="2:13" x14ac:dyDescent="0.25">
      <c r="B775" s="1" t="s">
        <v>45</v>
      </c>
      <c r="C775" s="1" t="s">
        <v>46</v>
      </c>
      <c r="D775" s="1" t="s">
        <v>1044</v>
      </c>
      <c r="E775" s="1" t="s">
        <v>48</v>
      </c>
      <c r="F775" s="1">
        <v>1</v>
      </c>
      <c r="G775" s="1" t="s">
        <v>60</v>
      </c>
      <c r="H775" s="1" t="str">
        <f t="shared" si="72"/>
        <v xml:space="preserve">CEMPRESA='31' </v>
      </c>
      <c r="I775" s="1" t="str">
        <f t="shared" si="73"/>
        <v xml:space="preserve">AND CBALCAO='0003' </v>
      </c>
      <c r="J775" s="1" t="str">
        <f t="shared" si="74"/>
        <v xml:space="preserve">AND CNUMECTA='20592449096' </v>
      </c>
      <c r="K775" s="1" t="str">
        <f t="shared" si="75"/>
        <v xml:space="preserve">AND ZDEPOSIT='000000000000000' </v>
      </c>
      <c r="L775" s="1" t="str">
        <f t="shared" si="76"/>
        <v>WHEN CEMPRESA='31' AND CBALCAO='0003' AND CNUMECTA='20592449096' AND ZDEPOSIT='000000000000000' THEN 1</v>
      </c>
      <c r="M775" s="1" t="str">
        <f t="shared" si="77"/>
        <v>WHEN CEMPRESA='31' AND CBALCAO='0003' AND CNUMECTA='20592449096' AND ZDEPOSIT='000000000000000' THEN 'A.3.7.'</v>
      </c>
    </row>
    <row r="776" spans="2:13" x14ac:dyDescent="0.25">
      <c r="B776" s="1" t="s">
        <v>54</v>
      </c>
      <c r="C776" s="1" t="s">
        <v>55</v>
      </c>
      <c r="D776" s="1" t="s">
        <v>1045</v>
      </c>
      <c r="E776" s="1" t="s">
        <v>1046</v>
      </c>
      <c r="F776" s="1">
        <v>1</v>
      </c>
      <c r="G776" s="1" t="s">
        <v>58</v>
      </c>
      <c r="H776" s="1" t="str">
        <f t="shared" si="72"/>
        <v xml:space="preserve">CEMPRESA='89' </v>
      </c>
      <c r="I776" s="1" t="str">
        <f t="shared" si="73"/>
        <v xml:space="preserve">AND CBALCAO='0000' </v>
      </c>
      <c r="J776" s="1" t="str">
        <f t="shared" si="74"/>
        <v xml:space="preserve">AND CNUMECTA='00008046449' </v>
      </c>
      <c r="K776" s="1" t="str">
        <f t="shared" si="75"/>
        <v xml:space="preserve">AND ZDEPOSIT='000530000777627' </v>
      </c>
      <c r="L776" s="1" t="str">
        <f t="shared" si="76"/>
        <v>WHEN CEMPRESA='89' AND CBALCAO='0000' AND CNUMECTA='00008046449' AND ZDEPOSIT='000530000777627' THEN 1</v>
      </c>
      <c r="M776" s="1" t="str">
        <f t="shared" si="77"/>
        <v>WHEN CEMPRESA='89' AND CBALCAO='0000' AND CNUMECTA='00008046449' AND ZDEPOSIT='000530000777627' THEN 'A.2.5.'</v>
      </c>
    </row>
    <row r="777" spans="2:13" x14ac:dyDescent="0.25">
      <c r="B777" s="1" t="s">
        <v>45</v>
      </c>
      <c r="C777" s="1" t="s">
        <v>46</v>
      </c>
      <c r="D777" s="1" t="s">
        <v>1047</v>
      </c>
      <c r="E777" s="1" t="s">
        <v>48</v>
      </c>
      <c r="F777" s="1">
        <v>1</v>
      </c>
      <c r="G777" s="1" t="s">
        <v>60</v>
      </c>
      <c r="H777" s="1" t="str">
        <f t="shared" si="72"/>
        <v xml:space="preserve">CEMPRESA='31' </v>
      </c>
      <c r="I777" s="1" t="str">
        <f t="shared" si="73"/>
        <v xml:space="preserve">AND CBALCAO='0003' </v>
      </c>
      <c r="J777" s="1" t="str">
        <f t="shared" si="74"/>
        <v xml:space="preserve">AND CNUMECTA='20573589096' </v>
      </c>
      <c r="K777" s="1" t="str">
        <f t="shared" si="75"/>
        <v xml:space="preserve">AND ZDEPOSIT='000000000000000' </v>
      </c>
      <c r="L777" s="1" t="str">
        <f t="shared" si="76"/>
        <v>WHEN CEMPRESA='31' AND CBALCAO='0003' AND CNUMECTA='20573589096' AND ZDEPOSIT='000000000000000' THEN 1</v>
      </c>
      <c r="M777" s="1" t="str">
        <f t="shared" si="77"/>
        <v>WHEN CEMPRESA='31' AND CBALCAO='0003' AND CNUMECTA='20573589096' AND ZDEPOSIT='000000000000000' THEN 'A.3.7.'</v>
      </c>
    </row>
    <row r="778" spans="2:13" x14ac:dyDescent="0.25">
      <c r="B778" s="1" t="s">
        <v>45</v>
      </c>
      <c r="C778" s="1" t="s">
        <v>46</v>
      </c>
      <c r="D778" s="1" t="s">
        <v>1048</v>
      </c>
      <c r="E778" s="1" t="s">
        <v>48</v>
      </c>
      <c r="F778" s="1">
        <v>1</v>
      </c>
      <c r="G778" s="1" t="s">
        <v>51</v>
      </c>
      <c r="H778" s="1" t="str">
        <f t="shared" si="72"/>
        <v xml:space="preserve">CEMPRESA='31' </v>
      </c>
      <c r="I778" s="1" t="str">
        <f t="shared" si="73"/>
        <v xml:space="preserve">AND CBALCAO='0003' </v>
      </c>
      <c r="J778" s="1" t="str">
        <f t="shared" si="74"/>
        <v xml:space="preserve">AND CNUMECTA='20431754096' </v>
      </c>
      <c r="K778" s="1" t="str">
        <f t="shared" si="75"/>
        <v xml:space="preserve">AND ZDEPOSIT='000000000000000' </v>
      </c>
      <c r="L778" s="1" t="str">
        <f t="shared" si="76"/>
        <v>WHEN CEMPRESA='31' AND CBALCAO='0003' AND CNUMECTA='20431754096' AND ZDEPOSIT='000000000000000' THEN 1</v>
      </c>
      <c r="M778" s="1" t="str">
        <f t="shared" si="77"/>
        <v>WHEN CEMPRESA='31' AND CBALCAO='0003' AND CNUMECTA='20431754096' AND ZDEPOSIT='000000000000000' THEN 'B.1.'</v>
      </c>
    </row>
    <row r="779" spans="2:13" x14ac:dyDescent="0.25">
      <c r="B779" s="1" t="s">
        <v>54</v>
      </c>
      <c r="C779" s="1" t="s">
        <v>55</v>
      </c>
      <c r="D779" s="1" t="s">
        <v>1049</v>
      </c>
      <c r="E779" s="1" t="s">
        <v>1050</v>
      </c>
      <c r="F779" s="1">
        <v>1</v>
      </c>
      <c r="G779" s="1" t="s">
        <v>58</v>
      </c>
      <c r="H779" s="1" t="str">
        <f t="shared" si="72"/>
        <v xml:space="preserve">CEMPRESA='89' </v>
      </c>
      <c r="I779" s="1" t="str">
        <f t="shared" si="73"/>
        <v xml:space="preserve">AND CBALCAO='0000' </v>
      </c>
      <c r="J779" s="1" t="str">
        <f t="shared" si="74"/>
        <v xml:space="preserve">AND CNUMECTA='00008046596' </v>
      </c>
      <c r="K779" s="1" t="str">
        <f t="shared" si="75"/>
        <v xml:space="preserve">AND ZDEPOSIT='000530000775529' </v>
      </c>
      <c r="L779" s="1" t="str">
        <f t="shared" si="76"/>
        <v>WHEN CEMPRESA='89' AND CBALCAO='0000' AND CNUMECTA='00008046596' AND ZDEPOSIT='000530000775529' THEN 1</v>
      </c>
      <c r="M779" s="1" t="str">
        <f t="shared" si="77"/>
        <v>WHEN CEMPRESA='89' AND CBALCAO='0000' AND CNUMECTA='00008046596' AND ZDEPOSIT='000530000775529' THEN 'A.2.5.'</v>
      </c>
    </row>
    <row r="780" spans="2:13" x14ac:dyDescent="0.25">
      <c r="B780" s="1" t="s">
        <v>45</v>
      </c>
      <c r="C780" s="1" t="s">
        <v>46</v>
      </c>
      <c r="D780" s="1" t="s">
        <v>1051</v>
      </c>
      <c r="E780" s="1" t="s">
        <v>48</v>
      </c>
      <c r="F780" s="1">
        <v>1</v>
      </c>
      <c r="G780" s="1" t="s">
        <v>60</v>
      </c>
      <c r="H780" s="1" t="str">
        <f t="shared" si="72"/>
        <v xml:space="preserve">CEMPRESA='31' </v>
      </c>
      <c r="I780" s="1" t="str">
        <f t="shared" si="73"/>
        <v xml:space="preserve">AND CBALCAO='0003' </v>
      </c>
      <c r="J780" s="1" t="str">
        <f t="shared" si="74"/>
        <v xml:space="preserve">AND CNUMECTA='20741046096' </v>
      </c>
      <c r="K780" s="1" t="str">
        <f t="shared" si="75"/>
        <v xml:space="preserve">AND ZDEPOSIT='000000000000000' </v>
      </c>
      <c r="L780" s="1" t="str">
        <f t="shared" si="76"/>
        <v>WHEN CEMPRESA='31' AND CBALCAO='0003' AND CNUMECTA='20741046096' AND ZDEPOSIT='000000000000000' THEN 1</v>
      </c>
      <c r="M780" s="1" t="str">
        <f t="shared" si="77"/>
        <v>WHEN CEMPRESA='31' AND CBALCAO='0003' AND CNUMECTA='20741046096' AND ZDEPOSIT='000000000000000' THEN 'A.3.7.'</v>
      </c>
    </row>
    <row r="781" spans="2:13" x14ac:dyDescent="0.25">
      <c r="B781" s="1" t="s">
        <v>45</v>
      </c>
      <c r="C781" s="1" t="s">
        <v>46</v>
      </c>
      <c r="D781" s="1" t="s">
        <v>1052</v>
      </c>
      <c r="E781" s="1" t="s">
        <v>48</v>
      </c>
      <c r="F781" s="1">
        <v>1</v>
      </c>
      <c r="G781" s="1" t="s">
        <v>60</v>
      </c>
      <c r="H781" s="1" t="str">
        <f t="shared" si="72"/>
        <v xml:space="preserve">CEMPRESA='31' </v>
      </c>
      <c r="I781" s="1" t="str">
        <f t="shared" si="73"/>
        <v xml:space="preserve">AND CBALCAO='0003' </v>
      </c>
      <c r="J781" s="1" t="str">
        <f t="shared" si="74"/>
        <v xml:space="preserve">AND CNUMECTA='20602917096' </v>
      </c>
      <c r="K781" s="1" t="str">
        <f t="shared" si="75"/>
        <v xml:space="preserve">AND ZDEPOSIT='000000000000000' </v>
      </c>
      <c r="L781" s="1" t="str">
        <f t="shared" si="76"/>
        <v>WHEN CEMPRESA='31' AND CBALCAO='0003' AND CNUMECTA='20602917096' AND ZDEPOSIT='000000000000000' THEN 1</v>
      </c>
      <c r="M781" s="1" t="str">
        <f t="shared" si="77"/>
        <v>WHEN CEMPRESA='31' AND CBALCAO='0003' AND CNUMECTA='20602917096' AND ZDEPOSIT='000000000000000' THEN 'A.3.7.'</v>
      </c>
    </row>
    <row r="782" spans="2:13" x14ac:dyDescent="0.25">
      <c r="B782" s="1" t="s">
        <v>45</v>
      </c>
      <c r="C782" s="1" t="s">
        <v>46</v>
      </c>
      <c r="D782" s="1" t="s">
        <v>1053</v>
      </c>
      <c r="E782" s="1" t="s">
        <v>48</v>
      </c>
      <c r="F782" s="1">
        <v>1</v>
      </c>
      <c r="G782" s="1" t="s">
        <v>60</v>
      </c>
      <c r="H782" s="1" t="str">
        <f t="shared" si="72"/>
        <v xml:space="preserve">CEMPRESA='31' </v>
      </c>
      <c r="I782" s="1" t="str">
        <f t="shared" si="73"/>
        <v xml:space="preserve">AND CBALCAO='0003' </v>
      </c>
      <c r="J782" s="1" t="str">
        <f t="shared" si="74"/>
        <v xml:space="preserve">AND CNUMECTA='20631312096' </v>
      </c>
      <c r="K782" s="1" t="str">
        <f t="shared" si="75"/>
        <v xml:space="preserve">AND ZDEPOSIT='000000000000000' </v>
      </c>
      <c r="L782" s="1" t="str">
        <f t="shared" si="76"/>
        <v>WHEN CEMPRESA='31' AND CBALCAO='0003' AND CNUMECTA='20631312096' AND ZDEPOSIT='000000000000000' THEN 1</v>
      </c>
      <c r="M782" s="1" t="str">
        <f t="shared" si="77"/>
        <v>WHEN CEMPRESA='31' AND CBALCAO='0003' AND CNUMECTA='20631312096' AND ZDEPOSIT='000000000000000' THEN 'A.3.7.'</v>
      </c>
    </row>
    <row r="783" spans="2:13" x14ac:dyDescent="0.25">
      <c r="B783" s="1" t="s">
        <v>45</v>
      </c>
      <c r="C783" s="1" t="s">
        <v>46</v>
      </c>
      <c r="D783" s="1" t="s">
        <v>1054</v>
      </c>
      <c r="E783" s="1" t="s">
        <v>48</v>
      </c>
      <c r="F783" s="1">
        <v>1</v>
      </c>
      <c r="G783" s="1" t="s">
        <v>60</v>
      </c>
      <c r="H783" s="1" t="str">
        <f t="shared" si="72"/>
        <v xml:space="preserve">CEMPRESA='31' </v>
      </c>
      <c r="I783" s="1" t="str">
        <f t="shared" si="73"/>
        <v xml:space="preserve">AND CBALCAO='0003' </v>
      </c>
      <c r="J783" s="1" t="str">
        <f t="shared" si="74"/>
        <v xml:space="preserve">AND CNUMECTA='20665351096' </v>
      </c>
      <c r="K783" s="1" t="str">
        <f t="shared" si="75"/>
        <v xml:space="preserve">AND ZDEPOSIT='000000000000000' </v>
      </c>
      <c r="L783" s="1" t="str">
        <f t="shared" si="76"/>
        <v>WHEN CEMPRESA='31' AND CBALCAO='0003' AND CNUMECTA='20665351096' AND ZDEPOSIT='000000000000000' THEN 1</v>
      </c>
      <c r="M783" s="1" t="str">
        <f t="shared" si="77"/>
        <v>WHEN CEMPRESA='31' AND CBALCAO='0003' AND CNUMECTA='20665351096' AND ZDEPOSIT='000000000000000' THEN 'A.3.7.'</v>
      </c>
    </row>
    <row r="784" spans="2:13" x14ac:dyDescent="0.25">
      <c r="B784" s="1" t="s">
        <v>45</v>
      </c>
      <c r="C784" s="1" t="s">
        <v>46</v>
      </c>
      <c r="D784" s="1" t="s">
        <v>1055</v>
      </c>
      <c r="E784" s="1" t="s">
        <v>48</v>
      </c>
      <c r="F784" s="1">
        <v>1</v>
      </c>
      <c r="G784" s="1" t="s">
        <v>53</v>
      </c>
      <c r="H784" s="1" t="str">
        <f t="shared" si="72"/>
        <v xml:space="preserve">CEMPRESA='31' </v>
      </c>
      <c r="I784" s="1" t="str">
        <f t="shared" si="73"/>
        <v xml:space="preserve">AND CBALCAO='0003' </v>
      </c>
      <c r="J784" s="1" t="str">
        <f t="shared" si="74"/>
        <v xml:space="preserve">AND CNUMECTA='20608781096' </v>
      </c>
      <c r="K784" s="1" t="str">
        <f t="shared" si="75"/>
        <v xml:space="preserve">AND ZDEPOSIT='000000000000000' </v>
      </c>
      <c r="L784" s="1" t="str">
        <f t="shared" si="76"/>
        <v>WHEN CEMPRESA='31' AND CBALCAO='0003' AND CNUMECTA='20608781096' AND ZDEPOSIT='000000000000000' THEN 1</v>
      </c>
      <c r="M784" s="1" t="str">
        <f t="shared" si="77"/>
        <v>WHEN CEMPRESA='31' AND CBALCAO='0003' AND CNUMECTA='20608781096' AND ZDEPOSIT='000000000000000' THEN 'A.1.1.'</v>
      </c>
    </row>
    <row r="785" spans="2:13" x14ac:dyDescent="0.25">
      <c r="B785" s="1" t="s">
        <v>45</v>
      </c>
      <c r="C785" s="1" t="s">
        <v>46</v>
      </c>
      <c r="D785" s="1" t="s">
        <v>1056</v>
      </c>
      <c r="E785" s="1" t="s">
        <v>48</v>
      </c>
      <c r="F785" s="1">
        <v>1</v>
      </c>
      <c r="G785" s="1" t="s">
        <v>51</v>
      </c>
      <c r="H785" s="1" t="str">
        <f t="shared" si="72"/>
        <v xml:space="preserve">CEMPRESA='31' </v>
      </c>
      <c r="I785" s="1" t="str">
        <f t="shared" si="73"/>
        <v xml:space="preserve">AND CBALCAO='0003' </v>
      </c>
      <c r="J785" s="1" t="str">
        <f t="shared" si="74"/>
        <v xml:space="preserve">AND CNUMECTA='20440102096' </v>
      </c>
      <c r="K785" s="1" t="str">
        <f t="shared" si="75"/>
        <v xml:space="preserve">AND ZDEPOSIT='000000000000000' </v>
      </c>
      <c r="L785" s="1" t="str">
        <f t="shared" si="76"/>
        <v>WHEN CEMPRESA='31' AND CBALCAO='0003' AND CNUMECTA='20440102096' AND ZDEPOSIT='000000000000000' THEN 1</v>
      </c>
      <c r="M785" s="1" t="str">
        <f t="shared" si="77"/>
        <v>WHEN CEMPRESA='31' AND CBALCAO='0003' AND CNUMECTA='20440102096' AND ZDEPOSIT='000000000000000' THEN 'B.1.'</v>
      </c>
    </row>
    <row r="786" spans="2:13" x14ac:dyDescent="0.25">
      <c r="B786" s="1" t="s">
        <v>54</v>
      </c>
      <c r="C786" s="1" t="s">
        <v>55</v>
      </c>
      <c r="D786" s="1" t="s">
        <v>1057</v>
      </c>
      <c r="E786" s="1" t="s">
        <v>1058</v>
      </c>
      <c r="F786" s="1">
        <v>1</v>
      </c>
      <c r="G786" s="1" t="s">
        <v>58</v>
      </c>
      <c r="H786" s="1" t="str">
        <f t="shared" si="72"/>
        <v xml:space="preserve">CEMPRESA='89' </v>
      </c>
      <c r="I786" s="1" t="str">
        <f t="shared" si="73"/>
        <v xml:space="preserve">AND CBALCAO='0000' </v>
      </c>
      <c r="J786" s="1" t="str">
        <f t="shared" si="74"/>
        <v xml:space="preserve">AND CNUMECTA='00000250492' </v>
      </c>
      <c r="K786" s="1" t="str">
        <f t="shared" si="75"/>
        <v xml:space="preserve">AND ZDEPOSIT='000450000666078' </v>
      </c>
      <c r="L786" s="1" t="str">
        <f t="shared" si="76"/>
        <v>WHEN CEMPRESA='89' AND CBALCAO='0000' AND CNUMECTA='00000250492' AND ZDEPOSIT='000450000666078' THEN 1</v>
      </c>
      <c r="M786" s="1" t="str">
        <f t="shared" si="77"/>
        <v>WHEN CEMPRESA='89' AND CBALCAO='0000' AND CNUMECTA='00000250492' AND ZDEPOSIT='000450000666078' THEN 'A.2.5.'</v>
      </c>
    </row>
    <row r="787" spans="2:13" x14ac:dyDescent="0.25">
      <c r="B787" s="1" t="s">
        <v>45</v>
      </c>
      <c r="C787" s="1" t="s">
        <v>46</v>
      </c>
      <c r="D787" s="1" t="s">
        <v>1059</v>
      </c>
      <c r="E787" s="1" t="s">
        <v>48</v>
      </c>
      <c r="F787" s="1">
        <v>1</v>
      </c>
      <c r="G787" s="1" t="s">
        <v>60</v>
      </c>
      <c r="H787" s="1" t="str">
        <f t="shared" si="72"/>
        <v xml:space="preserve">CEMPRESA='31' </v>
      </c>
      <c r="I787" s="1" t="str">
        <f t="shared" si="73"/>
        <v xml:space="preserve">AND CBALCAO='0003' </v>
      </c>
      <c r="J787" s="1" t="str">
        <f t="shared" si="74"/>
        <v xml:space="preserve">AND CNUMECTA='20499504096' </v>
      </c>
      <c r="K787" s="1" t="str">
        <f t="shared" si="75"/>
        <v xml:space="preserve">AND ZDEPOSIT='000000000000000' </v>
      </c>
      <c r="L787" s="1" t="str">
        <f t="shared" si="76"/>
        <v>WHEN CEMPRESA='31' AND CBALCAO='0003' AND CNUMECTA='20499504096' AND ZDEPOSIT='000000000000000' THEN 1</v>
      </c>
      <c r="M787" s="1" t="str">
        <f t="shared" si="77"/>
        <v>WHEN CEMPRESA='31' AND CBALCAO='0003' AND CNUMECTA='20499504096' AND ZDEPOSIT='000000000000000' THEN 'A.3.7.'</v>
      </c>
    </row>
    <row r="788" spans="2:13" x14ac:dyDescent="0.25">
      <c r="B788" s="1" t="s">
        <v>45</v>
      </c>
      <c r="C788" s="1" t="s">
        <v>114</v>
      </c>
      <c r="D788" s="1" t="s">
        <v>115</v>
      </c>
      <c r="E788" s="1" t="s">
        <v>1060</v>
      </c>
      <c r="F788" s="1">
        <v>1</v>
      </c>
      <c r="G788" s="1" t="s">
        <v>117</v>
      </c>
      <c r="H788" s="1" t="str">
        <f t="shared" si="72"/>
        <v xml:space="preserve">CEMPRESA='31' </v>
      </c>
      <c r="I788" s="1" t="str">
        <f t="shared" si="73"/>
        <v xml:space="preserve">AND CBALCAO='6416' </v>
      </c>
      <c r="J788" s="1" t="str">
        <f t="shared" si="74"/>
        <v xml:space="preserve">AND CNUMECTA='00000001085' </v>
      </c>
      <c r="K788" s="1" t="str">
        <f t="shared" si="75"/>
        <v xml:space="preserve">AND ZDEPOSIT='PC0656333000000' </v>
      </c>
      <c r="L788" s="1" t="str">
        <f t="shared" si="76"/>
        <v>WHEN CEMPRESA='31' AND CBALCAO='6416' AND CNUMECTA='00000001085' AND ZDEPOSIT='PC0656333000000' THEN 1</v>
      </c>
      <c r="M788" s="1" t="str">
        <f t="shared" si="77"/>
        <v>WHEN CEMPRESA='31' AND CBALCAO='6416' AND CNUMECTA='00000001085' AND ZDEPOSIT='PC0656333000000' THEN 'Sustainability Linked Finance - Default'</v>
      </c>
    </row>
    <row r="789" spans="2:13" x14ac:dyDescent="0.25">
      <c r="B789" s="1" t="s">
        <v>45</v>
      </c>
      <c r="C789" s="1" t="s">
        <v>46</v>
      </c>
      <c r="D789" s="1" t="s">
        <v>1061</v>
      </c>
      <c r="E789" s="1" t="s">
        <v>48</v>
      </c>
      <c r="F789" s="1">
        <v>1</v>
      </c>
      <c r="G789" s="1" t="s">
        <v>60</v>
      </c>
      <c r="H789" s="1" t="str">
        <f t="shared" si="72"/>
        <v xml:space="preserve">CEMPRESA='31' </v>
      </c>
      <c r="I789" s="1" t="str">
        <f t="shared" si="73"/>
        <v xml:space="preserve">AND CBALCAO='0003' </v>
      </c>
      <c r="J789" s="1" t="str">
        <f t="shared" si="74"/>
        <v xml:space="preserve">AND CNUMECTA='20504527096' </v>
      </c>
      <c r="K789" s="1" t="str">
        <f t="shared" si="75"/>
        <v xml:space="preserve">AND ZDEPOSIT='000000000000000' </v>
      </c>
      <c r="L789" s="1" t="str">
        <f t="shared" si="76"/>
        <v>WHEN CEMPRESA='31' AND CBALCAO='0003' AND CNUMECTA='20504527096' AND ZDEPOSIT='000000000000000' THEN 1</v>
      </c>
      <c r="M789" s="1" t="str">
        <f t="shared" si="77"/>
        <v>WHEN CEMPRESA='31' AND CBALCAO='0003' AND CNUMECTA='20504527096' AND ZDEPOSIT='000000000000000' THEN 'A.3.7.'</v>
      </c>
    </row>
    <row r="790" spans="2:13" x14ac:dyDescent="0.25">
      <c r="B790" s="1" t="s">
        <v>45</v>
      </c>
      <c r="C790" s="1" t="s">
        <v>46</v>
      </c>
      <c r="D790" s="1" t="s">
        <v>1062</v>
      </c>
      <c r="E790" s="1" t="s">
        <v>48</v>
      </c>
      <c r="F790" s="1">
        <v>1</v>
      </c>
      <c r="G790" s="1" t="s">
        <v>60</v>
      </c>
      <c r="H790" s="1" t="str">
        <f t="shared" si="72"/>
        <v xml:space="preserve">CEMPRESA='31' </v>
      </c>
      <c r="I790" s="1" t="str">
        <f t="shared" si="73"/>
        <v xml:space="preserve">AND CBALCAO='0003' </v>
      </c>
      <c r="J790" s="1" t="str">
        <f t="shared" si="74"/>
        <v xml:space="preserve">AND CNUMECTA='20462726096' </v>
      </c>
      <c r="K790" s="1" t="str">
        <f t="shared" si="75"/>
        <v xml:space="preserve">AND ZDEPOSIT='000000000000000' </v>
      </c>
      <c r="L790" s="1" t="str">
        <f t="shared" si="76"/>
        <v>WHEN CEMPRESA='31' AND CBALCAO='0003' AND CNUMECTA='20462726096' AND ZDEPOSIT='000000000000000' THEN 1</v>
      </c>
      <c r="M790" s="1" t="str">
        <f t="shared" si="77"/>
        <v>WHEN CEMPRESA='31' AND CBALCAO='0003' AND CNUMECTA='20462726096' AND ZDEPOSIT='000000000000000' THEN 'A.3.7.'</v>
      </c>
    </row>
    <row r="791" spans="2:13" x14ac:dyDescent="0.25">
      <c r="B791" s="1" t="s">
        <v>54</v>
      </c>
      <c r="C791" s="1" t="s">
        <v>55</v>
      </c>
      <c r="D791" s="1" t="s">
        <v>1063</v>
      </c>
      <c r="E791" s="1" t="s">
        <v>871</v>
      </c>
      <c r="F791" s="1">
        <v>1</v>
      </c>
      <c r="G791" s="1" t="s">
        <v>58</v>
      </c>
      <c r="H791" s="1" t="str">
        <f t="shared" si="72"/>
        <v xml:space="preserve">CEMPRESA='89' </v>
      </c>
      <c r="I791" s="1" t="str">
        <f t="shared" si="73"/>
        <v xml:space="preserve">AND CBALCAO='0000' </v>
      </c>
      <c r="J791" s="1" t="str">
        <f t="shared" si="74"/>
        <v xml:space="preserve">AND CNUMECTA='00008046511' </v>
      </c>
      <c r="K791" s="1" t="str">
        <f t="shared" si="75"/>
        <v xml:space="preserve">AND ZDEPOSIT='000530000771105' </v>
      </c>
      <c r="L791" s="1" t="str">
        <f t="shared" si="76"/>
        <v>WHEN CEMPRESA='89' AND CBALCAO='0000' AND CNUMECTA='00008046511' AND ZDEPOSIT='000530000771105' THEN 1</v>
      </c>
      <c r="M791" s="1" t="str">
        <f t="shared" si="77"/>
        <v>WHEN CEMPRESA='89' AND CBALCAO='0000' AND CNUMECTA='00008046511' AND ZDEPOSIT='000530000771105' THEN 'A.2.5.'</v>
      </c>
    </row>
    <row r="792" spans="2:13" x14ac:dyDescent="0.25">
      <c r="B792" s="1" t="s">
        <v>45</v>
      </c>
      <c r="C792" s="1" t="s">
        <v>46</v>
      </c>
      <c r="D792" s="1" t="s">
        <v>1064</v>
      </c>
      <c r="E792" s="1" t="s">
        <v>48</v>
      </c>
      <c r="F792" s="1">
        <v>1</v>
      </c>
      <c r="G792" s="1" t="s">
        <v>60</v>
      </c>
      <c r="H792" s="1" t="str">
        <f t="shared" si="72"/>
        <v xml:space="preserve">CEMPRESA='31' </v>
      </c>
      <c r="I792" s="1" t="str">
        <f t="shared" si="73"/>
        <v xml:space="preserve">AND CBALCAO='0003' </v>
      </c>
      <c r="J792" s="1" t="str">
        <f t="shared" si="74"/>
        <v xml:space="preserve">AND CNUMECTA='20450929096' </v>
      </c>
      <c r="K792" s="1" t="str">
        <f t="shared" si="75"/>
        <v xml:space="preserve">AND ZDEPOSIT='000000000000000' </v>
      </c>
      <c r="L792" s="1" t="str">
        <f t="shared" si="76"/>
        <v>WHEN CEMPRESA='31' AND CBALCAO='0003' AND CNUMECTA='20450929096' AND ZDEPOSIT='000000000000000' THEN 1</v>
      </c>
      <c r="M792" s="1" t="str">
        <f t="shared" si="77"/>
        <v>WHEN CEMPRESA='31' AND CBALCAO='0003' AND CNUMECTA='20450929096' AND ZDEPOSIT='000000000000000' THEN 'A.3.7.'</v>
      </c>
    </row>
    <row r="793" spans="2:13" x14ac:dyDescent="0.25">
      <c r="B793" s="1" t="s">
        <v>45</v>
      </c>
      <c r="C793" s="1" t="s">
        <v>46</v>
      </c>
      <c r="D793" s="1" t="s">
        <v>1065</v>
      </c>
      <c r="E793" s="1" t="s">
        <v>48</v>
      </c>
      <c r="F793" s="1">
        <v>1</v>
      </c>
      <c r="G793" s="1" t="s">
        <v>60</v>
      </c>
      <c r="H793" s="1" t="str">
        <f t="shared" si="72"/>
        <v xml:space="preserve">CEMPRESA='31' </v>
      </c>
      <c r="I793" s="1" t="str">
        <f t="shared" si="73"/>
        <v xml:space="preserve">AND CBALCAO='0003' </v>
      </c>
      <c r="J793" s="1" t="str">
        <f t="shared" si="74"/>
        <v xml:space="preserve">AND CNUMECTA='20599824096' </v>
      </c>
      <c r="K793" s="1" t="str">
        <f t="shared" si="75"/>
        <v xml:space="preserve">AND ZDEPOSIT='000000000000000' </v>
      </c>
      <c r="L793" s="1" t="str">
        <f t="shared" si="76"/>
        <v>WHEN CEMPRESA='31' AND CBALCAO='0003' AND CNUMECTA='20599824096' AND ZDEPOSIT='000000000000000' THEN 1</v>
      </c>
      <c r="M793" s="1" t="str">
        <f t="shared" si="77"/>
        <v>WHEN CEMPRESA='31' AND CBALCAO='0003' AND CNUMECTA='20599824096' AND ZDEPOSIT='000000000000000' THEN 'A.3.7.'</v>
      </c>
    </row>
    <row r="794" spans="2:13" x14ac:dyDescent="0.25">
      <c r="B794" s="1" t="s">
        <v>45</v>
      </c>
      <c r="C794" s="1" t="s">
        <v>46</v>
      </c>
      <c r="D794" s="1" t="s">
        <v>1066</v>
      </c>
      <c r="E794" s="1" t="s">
        <v>48</v>
      </c>
      <c r="F794" s="1">
        <v>1</v>
      </c>
      <c r="G794" s="1" t="s">
        <v>60</v>
      </c>
      <c r="H794" s="1" t="str">
        <f t="shared" si="72"/>
        <v xml:space="preserve">CEMPRESA='31' </v>
      </c>
      <c r="I794" s="1" t="str">
        <f t="shared" si="73"/>
        <v xml:space="preserve">AND CBALCAO='0003' </v>
      </c>
      <c r="J794" s="1" t="str">
        <f t="shared" si="74"/>
        <v xml:space="preserve">AND CNUMECTA='20392360096' </v>
      </c>
      <c r="K794" s="1" t="str">
        <f t="shared" si="75"/>
        <v xml:space="preserve">AND ZDEPOSIT='000000000000000' </v>
      </c>
      <c r="L794" s="1" t="str">
        <f t="shared" si="76"/>
        <v>WHEN CEMPRESA='31' AND CBALCAO='0003' AND CNUMECTA='20392360096' AND ZDEPOSIT='000000000000000' THEN 1</v>
      </c>
      <c r="M794" s="1" t="str">
        <f t="shared" si="77"/>
        <v>WHEN CEMPRESA='31' AND CBALCAO='0003' AND CNUMECTA='20392360096' AND ZDEPOSIT='000000000000000' THEN 'A.3.7.'</v>
      </c>
    </row>
    <row r="795" spans="2:13" x14ac:dyDescent="0.25">
      <c r="B795" s="1" t="s">
        <v>54</v>
      </c>
      <c r="C795" s="1" t="s">
        <v>55</v>
      </c>
      <c r="D795" s="1" t="s">
        <v>1067</v>
      </c>
      <c r="E795" s="1" t="s">
        <v>1068</v>
      </c>
      <c r="F795" s="1">
        <v>1</v>
      </c>
      <c r="G795" s="1" t="s">
        <v>58</v>
      </c>
      <c r="H795" s="1" t="str">
        <f t="shared" si="72"/>
        <v xml:space="preserve">CEMPRESA='89' </v>
      </c>
      <c r="I795" s="1" t="str">
        <f t="shared" si="73"/>
        <v xml:space="preserve">AND CBALCAO='0000' </v>
      </c>
      <c r="J795" s="1" t="str">
        <f t="shared" si="74"/>
        <v xml:space="preserve">AND CNUMECTA='00000250643' </v>
      </c>
      <c r="K795" s="1" t="str">
        <f t="shared" si="75"/>
        <v xml:space="preserve">AND ZDEPOSIT='000450000674536' </v>
      </c>
      <c r="L795" s="1" t="str">
        <f t="shared" si="76"/>
        <v>WHEN CEMPRESA='89' AND CBALCAO='0000' AND CNUMECTA='00000250643' AND ZDEPOSIT='000450000674536' THEN 1</v>
      </c>
      <c r="M795" s="1" t="str">
        <f t="shared" si="77"/>
        <v>WHEN CEMPRESA='89' AND CBALCAO='0000' AND CNUMECTA='00000250643' AND ZDEPOSIT='000450000674536' THEN 'A.2.5.'</v>
      </c>
    </row>
    <row r="796" spans="2:13" x14ac:dyDescent="0.25">
      <c r="B796" s="1" t="s">
        <v>45</v>
      </c>
      <c r="C796" s="1" t="s">
        <v>46</v>
      </c>
      <c r="D796" s="1" t="s">
        <v>1069</v>
      </c>
      <c r="E796" s="1" t="s">
        <v>48</v>
      </c>
      <c r="F796" s="1">
        <v>1</v>
      </c>
      <c r="G796" s="1" t="s">
        <v>209</v>
      </c>
      <c r="H796" s="1" t="str">
        <f t="shared" si="72"/>
        <v xml:space="preserve">CEMPRESA='31' </v>
      </c>
      <c r="I796" s="1" t="str">
        <f t="shared" si="73"/>
        <v xml:space="preserve">AND CBALCAO='0003' </v>
      </c>
      <c r="J796" s="1" t="str">
        <f t="shared" si="74"/>
        <v xml:space="preserve">AND CNUMECTA='20570312096' </v>
      </c>
      <c r="K796" s="1" t="str">
        <f t="shared" si="75"/>
        <v xml:space="preserve">AND ZDEPOSIT='000000000000000' </v>
      </c>
      <c r="L796" s="1" t="str">
        <f t="shared" si="76"/>
        <v>WHEN CEMPRESA='31' AND CBALCAO='0003' AND CNUMECTA='20570312096' AND ZDEPOSIT='000000000000000' THEN 1</v>
      </c>
      <c r="M796" s="1" t="str">
        <f t="shared" si="77"/>
        <v>WHEN CEMPRESA='31' AND CBALCAO='0003' AND CNUMECTA='20570312096' AND ZDEPOSIT='000000000000000' THEN 'A.3.1.'</v>
      </c>
    </row>
    <row r="797" spans="2:13" x14ac:dyDescent="0.25">
      <c r="B797" s="1" t="s">
        <v>45</v>
      </c>
      <c r="C797" s="1" t="s">
        <v>46</v>
      </c>
      <c r="D797" s="1" t="s">
        <v>1070</v>
      </c>
      <c r="E797" s="1" t="s">
        <v>48</v>
      </c>
      <c r="F797" s="1">
        <v>1</v>
      </c>
      <c r="G797" s="1" t="s">
        <v>60</v>
      </c>
      <c r="H797" s="1" t="str">
        <f t="shared" si="72"/>
        <v xml:space="preserve">CEMPRESA='31' </v>
      </c>
      <c r="I797" s="1" t="str">
        <f t="shared" si="73"/>
        <v xml:space="preserve">AND CBALCAO='0003' </v>
      </c>
      <c r="J797" s="1" t="str">
        <f t="shared" si="74"/>
        <v xml:space="preserve">AND CNUMECTA='20566328096' </v>
      </c>
      <c r="K797" s="1" t="str">
        <f t="shared" si="75"/>
        <v xml:space="preserve">AND ZDEPOSIT='000000000000000' </v>
      </c>
      <c r="L797" s="1" t="str">
        <f t="shared" si="76"/>
        <v>WHEN CEMPRESA='31' AND CBALCAO='0003' AND CNUMECTA='20566328096' AND ZDEPOSIT='000000000000000' THEN 1</v>
      </c>
      <c r="M797" s="1" t="str">
        <f t="shared" si="77"/>
        <v>WHEN CEMPRESA='31' AND CBALCAO='0003' AND CNUMECTA='20566328096' AND ZDEPOSIT='000000000000000' THEN 'A.3.7.'</v>
      </c>
    </row>
    <row r="798" spans="2:13" x14ac:dyDescent="0.25">
      <c r="B798" s="1" t="s">
        <v>54</v>
      </c>
      <c r="C798" s="1" t="s">
        <v>55</v>
      </c>
      <c r="D798" s="1" t="s">
        <v>1071</v>
      </c>
      <c r="E798" s="1" t="s">
        <v>1072</v>
      </c>
      <c r="F798" s="1">
        <v>1</v>
      </c>
      <c r="G798" s="1" t="s">
        <v>58</v>
      </c>
      <c r="H798" s="1" t="str">
        <f t="shared" si="72"/>
        <v xml:space="preserve">CEMPRESA='89' </v>
      </c>
      <c r="I798" s="1" t="str">
        <f t="shared" si="73"/>
        <v xml:space="preserve">AND CBALCAO='0000' </v>
      </c>
      <c r="J798" s="1" t="str">
        <f t="shared" si="74"/>
        <v xml:space="preserve">AND CNUMECTA='00008046420' </v>
      </c>
      <c r="K798" s="1" t="str">
        <f t="shared" si="75"/>
        <v xml:space="preserve">AND ZDEPOSIT='000530000776873' </v>
      </c>
      <c r="L798" s="1" t="str">
        <f t="shared" si="76"/>
        <v>WHEN CEMPRESA='89' AND CBALCAO='0000' AND CNUMECTA='00008046420' AND ZDEPOSIT='000530000776873' THEN 1</v>
      </c>
      <c r="M798" s="1" t="str">
        <f t="shared" si="77"/>
        <v>WHEN CEMPRESA='89' AND CBALCAO='0000' AND CNUMECTA='00008046420' AND ZDEPOSIT='000530000776873' THEN 'A.2.5.'</v>
      </c>
    </row>
    <row r="799" spans="2:13" x14ac:dyDescent="0.25">
      <c r="B799" s="1" t="s">
        <v>45</v>
      </c>
      <c r="C799" s="1" t="s">
        <v>46</v>
      </c>
      <c r="D799" s="1" t="s">
        <v>1073</v>
      </c>
      <c r="E799" s="1" t="s">
        <v>48</v>
      </c>
      <c r="F799" s="1">
        <v>1</v>
      </c>
      <c r="G799" s="1" t="s">
        <v>60</v>
      </c>
      <c r="H799" s="1" t="str">
        <f t="shared" si="72"/>
        <v xml:space="preserve">CEMPRESA='31' </v>
      </c>
      <c r="I799" s="1" t="str">
        <f t="shared" si="73"/>
        <v xml:space="preserve">AND CBALCAO='0003' </v>
      </c>
      <c r="J799" s="1" t="str">
        <f t="shared" si="74"/>
        <v xml:space="preserve">AND CNUMECTA='20450481096' </v>
      </c>
      <c r="K799" s="1" t="str">
        <f t="shared" si="75"/>
        <v xml:space="preserve">AND ZDEPOSIT='000000000000000' </v>
      </c>
      <c r="L799" s="1" t="str">
        <f t="shared" si="76"/>
        <v>WHEN CEMPRESA='31' AND CBALCAO='0003' AND CNUMECTA='20450481096' AND ZDEPOSIT='000000000000000' THEN 1</v>
      </c>
      <c r="M799" s="1" t="str">
        <f t="shared" si="77"/>
        <v>WHEN CEMPRESA='31' AND CBALCAO='0003' AND CNUMECTA='20450481096' AND ZDEPOSIT='000000000000000' THEN 'A.3.7.'</v>
      </c>
    </row>
    <row r="800" spans="2:13" x14ac:dyDescent="0.25">
      <c r="B800" s="1" t="s">
        <v>54</v>
      </c>
      <c r="C800" s="1" t="s">
        <v>55</v>
      </c>
      <c r="D800" s="1" t="s">
        <v>1074</v>
      </c>
      <c r="E800" s="1" t="s">
        <v>1075</v>
      </c>
      <c r="F800" s="1">
        <v>1</v>
      </c>
      <c r="G800" s="1" t="s">
        <v>58</v>
      </c>
      <c r="H800" s="1" t="str">
        <f t="shared" si="72"/>
        <v xml:space="preserve">CEMPRESA='89' </v>
      </c>
      <c r="I800" s="1" t="str">
        <f t="shared" si="73"/>
        <v xml:space="preserve">AND CBALCAO='0000' </v>
      </c>
      <c r="J800" s="1" t="str">
        <f t="shared" si="74"/>
        <v xml:space="preserve">AND CNUMECTA='00008046352' </v>
      </c>
      <c r="K800" s="1" t="str">
        <f t="shared" si="75"/>
        <v xml:space="preserve">AND ZDEPOSIT='000530000775774' </v>
      </c>
      <c r="L800" s="1" t="str">
        <f t="shared" si="76"/>
        <v>WHEN CEMPRESA='89' AND CBALCAO='0000' AND CNUMECTA='00008046352' AND ZDEPOSIT='000530000775774' THEN 1</v>
      </c>
      <c r="M800" s="1" t="str">
        <f t="shared" si="77"/>
        <v>WHEN CEMPRESA='89' AND CBALCAO='0000' AND CNUMECTA='00008046352' AND ZDEPOSIT='000530000775774' THEN 'A.2.5.'</v>
      </c>
    </row>
    <row r="801" spans="2:13" x14ac:dyDescent="0.25">
      <c r="B801" s="1" t="s">
        <v>54</v>
      </c>
      <c r="C801" s="1" t="s">
        <v>55</v>
      </c>
      <c r="D801" s="1" t="s">
        <v>1076</v>
      </c>
      <c r="E801" s="1" t="s">
        <v>1077</v>
      </c>
      <c r="F801" s="1">
        <v>1</v>
      </c>
      <c r="G801" s="1" t="s">
        <v>58</v>
      </c>
      <c r="H801" s="1" t="str">
        <f t="shared" si="72"/>
        <v xml:space="preserve">CEMPRESA='89' </v>
      </c>
      <c r="I801" s="1" t="str">
        <f t="shared" si="73"/>
        <v xml:space="preserve">AND CBALCAO='0000' </v>
      </c>
      <c r="J801" s="1" t="str">
        <f t="shared" si="74"/>
        <v xml:space="preserve">AND CNUMECTA='00000250301' </v>
      </c>
      <c r="K801" s="1" t="str">
        <f t="shared" si="75"/>
        <v xml:space="preserve">AND ZDEPOSIT='000450000776616' </v>
      </c>
      <c r="L801" s="1" t="str">
        <f t="shared" si="76"/>
        <v>WHEN CEMPRESA='89' AND CBALCAO='0000' AND CNUMECTA='00000250301' AND ZDEPOSIT='000450000776616' THEN 1</v>
      </c>
      <c r="M801" s="1" t="str">
        <f t="shared" si="77"/>
        <v>WHEN CEMPRESA='89' AND CBALCAO='0000' AND CNUMECTA='00000250301' AND ZDEPOSIT='000450000776616' THEN 'A.2.5.'</v>
      </c>
    </row>
    <row r="802" spans="2:13" x14ac:dyDescent="0.25">
      <c r="B802" s="1" t="s">
        <v>45</v>
      </c>
      <c r="C802" s="1" t="s">
        <v>46</v>
      </c>
      <c r="D802" s="1" t="s">
        <v>1078</v>
      </c>
      <c r="E802" s="1" t="s">
        <v>48</v>
      </c>
      <c r="F802" s="1">
        <v>1</v>
      </c>
      <c r="G802" s="1" t="s">
        <v>60</v>
      </c>
      <c r="H802" s="1" t="str">
        <f t="shared" si="72"/>
        <v xml:space="preserve">CEMPRESA='31' </v>
      </c>
      <c r="I802" s="1" t="str">
        <f t="shared" si="73"/>
        <v xml:space="preserve">AND CBALCAO='0003' </v>
      </c>
      <c r="J802" s="1" t="str">
        <f t="shared" si="74"/>
        <v xml:space="preserve">AND CNUMECTA='20625090096' </v>
      </c>
      <c r="K802" s="1" t="str">
        <f t="shared" si="75"/>
        <v xml:space="preserve">AND ZDEPOSIT='000000000000000' </v>
      </c>
      <c r="L802" s="1" t="str">
        <f t="shared" si="76"/>
        <v>WHEN CEMPRESA='31' AND CBALCAO='0003' AND CNUMECTA='20625090096' AND ZDEPOSIT='000000000000000' THEN 1</v>
      </c>
      <c r="M802" s="1" t="str">
        <f t="shared" si="77"/>
        <v>WHEN CEMPRESA='31' AND CBALCAO='0003' AND CNUMECTA='20625090096' AND ZDEPOSIT='000000000000000' THEN 'A.3.7.'</v>
      </c>
    </row>
    <row r="803" spans="2:13" x14ac:dyDescent="0.25">
      <c r="B803" s="1" t="s">
        <v>45</v>
      </c>
      <c r="C803" s="1" t="s">
        <v>46</v>
      </c>
      <c r="D803" s="1" t="s">
        <v>1079</v>
      </c>
      <c r="E803" s="1" t="s">
        <v>48</v>
      </c>
      <c r="F803" s="1">
        <v>1</v>
      </c>
      <c r="G803" s="1" t="s">
        <v>60</v>
      </c>
      <c r="H803" s="1" t="str">
        <f t="shared" si="72"/>
        <v xml:space="preserve">CEMPRESA='31' </v>
      </c>
      <c r="I803" s="1" t="str">
        <f t="shared" si="73"/>
        <v xml:space="preserve">AND CBALCAO='0003' </v>
      </c>
      <c r="J803" s="1" t="str">
        <f t="shared" si="74"/>
        <v xml:space="preserve">AND CNUMECTA='20664016096' </v>
      </c>
      <c r="K803" s="1" t="str">
        <f t="shared" si="75"/>
        <v xml:space="preserve">AND ZDEPOSIT='000000000000000' </v>
      </c>
      <c r="L803" s="1" t="str">
        <f t="shared" si="76"/>
        <v>WHEN CEMPRESA='31' AND CBALCAO='0003' AND CNUMECTA='20664016096' AND ZDEPOSIT='000000000000000' THEN 1</v>
      </c>
      <c r="M803" s="1" t="str">
        <f t="shared" si="77"/>
        <v>WHEN CEMPRESA='31' AND CBALCAO='0003' AND CNUMECTA='20664016096' AND ZDEPOSIT='000000000000000' THEN 'A.3.7.'</v>
      </c>
    </row>
    <row r="804" spans="2:13" x14ac:dyDescent="0.25">
      <c r="B804" s="1" t="s">
        <v>45</v>
      </c>
      <c r="C804" s="1" t="s">
        <v>46</v>
      </c>
      <c r="D804" s="1" t="s">
        <v>1080</v>
      </c>
      <c r="E804" s="1" t="s">
        <v>48</v>
      </c>
      <c r="F804" s="1">
        <v>1</v>
      </c>
      <c r="G804" s="1" t="s">
        <v>51</v>
      </c>
      <c r="H804" s="1" t="str">
        <f t="shared" si="72"/>
        <v xml:space="preserve">CEMPRESA='31' </v>
      </c>
      <c r="I804" s="1" t="str">
        <f t="shared" si="73"/>
        <v xml:space="preserve">AND CBALCAO='0003' </v>
      </c>
      <c r="J804" s="1" t="str">
        <f t="shared" si="74"/>
        <v xml:space="preserve">AND CNUMECTA='20673165096' </v>
      </c>
      <c r="K804" s="1" t="str">
        <f t="shared" si="75"/>
        <v xml:space="preserve">AND ZDEPOSIT='000000000000000' </v>
      </c>
      <c r="L804" s="1" t="str">
        <f t="shared" si="76"/>
        <v>WHEN CEMPRESA='31' AND CBALCAO='0003' AND CNUMECTA='20673165096' AND ZDEPOSIT='000000000000000' THEN 1</v>
      </c>
      <c r="M804" s="1" t="str">
        <f t="shared" si="77"/>
        <v>WHEN CEMPRESA='31' AND CBALCAO='0003' AND CNUMECTA='20673165096' AND ZDEPOSIT='000000000000000' THEN 'B.1.'</v>
      </c>
    </row>
    <row r="805" spans="2:13" x14ac:dyDescent="0.25">
      <c r="B805" s="1" t="s">
        <v>45</v>
      </c>
      <c r="C805" s="1" t="s">
        <v>46</v>
      </c>
      <c r="D805" s="1" t="s">
        <v>1081</v>
      </c>
      <c r="E805" s="1" t="s">
        <v>48</v>
      </c>
      <c r="F805" s="1">
        <v>1</v>
      </c>
      <c r="G805" s="1" t="s">
        <v>60</v>
      </c>
      <c r="H805" s="1" t="str">
        <f t="shared" si="72"/>
        <v xml:space="preserve">CEMPRESA='31' </v>
      </c>
      <c r="I805" s="1" t="str">
        <f t="shared" si="73"/>
        <v xml:space="preserve">AND CBALCAO='0003' </v>
      </c>
      <c r="J805" s="1" t="str">
        <f t="shared" si="74"/>
        <v xml:space="preserve">AND CNUMECTA='20416573096' </v>
      </c>
      <c r="K805" s="1" t="str">
        <f t="shared" si="75"/>
        <v xml:space="preserve">AND ZDEPOSIT='000000000000000' </v>
      </c>
      <c r="L805" s="1" t="str">
        <f t="shared" si="76"/>
        <v>WHEN CEMPRESA='31' AND CBALCAO='0003' AND CNUMECTA='20416573096' AND ZDEPOSIT='000000000000000' THEN 1</v>
      </c>
      <c r="M805" s="1" t="str">
        <f t="shared" si="77"/>
        <v>WHEN CEMPRESA='31' AND CBALCAO='0003' AND CNUMECTA='20416573096' AND ZDEPOSIT='000000000000000' THEN 'A.3.7.'</v>
      </c>
    </row>
    <row r="806" spans="2:13" x14ac:dyDescent="0.25">
      <c r="B806" s="1" t="s">
        <v>45</v>
      </c>
      <c r="C806" s="1" t="s">
        <v>46</v>
      </c>
      <c r="D806" s="1" t="s">
        <v>1082</v>
      </c>
      <c r="E806" s="1" t="s">
        <v>48</v>
      </c>
      <c r="F806" s="1">
        <v>1</v>
      </c>
      <c r="G806" s="1" t="s">
        <v>60</v>
      </c>
      <c r="H806" s="1" t="str">
        <f t="shared" si="72"/>
        <v xml:space="preserve">CEMPRESA='31' </v>
      </c>
      <c r="I806" s="1" t="str">
        <f t="shared" si="73"/>
        <v xml:space="preserve">AND CBALCAO='0003' </v>
      </c>
      <c r="J806" s="1" t="str">
        <f t="shared" si="74"/>
        <v xml:space="preserve">AND CNUMECTA='20734777096' </v>
      </c>
      <c r="K806" s="1" t="str">
        <f t="shared" si="75"/>
        <v xml:space="preserve">AND ZDEPOSIT='000000000000000' </v>
      </c>
      <c r="L806" s="1" t="str">
        <f t="shared" si="76"/>
        <v>WHEN CEMPRESA='31' AND CBALCAO='0003' AND CNUMECTA='20734777096' AND ZDEPOSIT='000000000000000' THEN 1</v>
      </c>
      <c r="M806" s="1" t="str">
        <f t="shared" si="77"/>
        <v>WHEN CEMPRESA='31' AND CBALCAO='0003' AND CNUMECTA='20734777096' AND ZDEPOSIT='000000000000000' THEN 'A.3.7.'</v>
      </c>
    </row>
    <row r="807" spans="2:13" x14ac:dyDescent="0.25">
      <c r="B807" s="1" t="s">
        <v>54</v>
      </c>
      <c r="C807" s="1" t="s">
        <v>55</v>
      </c>
      <c r="D807" s="1" t="s">
        <v>1083</v>
      </c>
      <c r="E807" s="1" t="s">
        <v>1084</v>
      </c>
      <c r="F807" s="1">
        <v>1</v>
      </c>
      <c r="G807" s="1" t="s">
        <v>58</v>
      </c>
      <c r="H807" s="1" t="str">
        <f t="shared" si="72"/>
        <v xml:space="preserve">CEMPRESA='89' </v>
      </c>
      <c r="I807" s="1" t="str">
        <f t="shared" si="73"/>
        <v xml:space="preserve">AND CBALCAO='0000' </v>
      </c>
      <c r="J807" s="1" t="str">
        <f t="shared" si="74"/>
        <v xml:space="preserve">AND CNUMECTA='00008046425' </v>
      </c>
      <c r="K807" s="1" t="str">
        <f t="shared" si="75"/>
        <v xml:space="preserve">AND ZDEPOSIT='000530000609702' </v>
      </c>
      <c r="L807" s="1" t="str">
        <f t="shared" si="76"/>
        <v>WHEN CEMPRESA='89' AND CBALCAO='0000' AND CNUMECTA='00008046425' AND ZDEPOSIT='000530000609702' THEN 1</v>
      </c>
      <c r="M807" s="1" t="str">
        <f t="shared" si="77"/>
        <v>WHEN CEMPRESA='89' AND CBALCAO='0000' AND CNUMECTA='00008046425' AND ZDEPOSIT='000530000609702' THEN 'A.2.5.'</v>
      </c>
    </row>
    <row r="808" spans="2:13" x14ac:dyDescent="0.25">
      <c r="B808" s="1" t="s">
        <v>45</v>
      </c>
      <c r="C808" s="1" t="s">
        <v>46</v>
      </c>
      <c r="D808" s="1" t="s">
        <v>1085</v>
      </c>
      <c r="E808" s="1" t="s">
        <v>48</v>
      </c>
      <c r="F808" s="1">
        <v>1</v>
      </c>
      <c r="G808" s="1" t="s">
        <v>60</v>
      </c>
      <c r="H808" s="1" t="str">
        <f t="shared" si="72"/>
        <v xml:space="preserve">CEMPRESA='31' </v>
      </c>
      <c r="I808" s="1" t="str">
        <f t="shared" si="73"/>
        <v xml:space="preserve">AND CBALCAO='0003' </v>
      </c>
      <c r="J808" s="1" t="str">
        <f t="shared" si="74"/>
        <v xml:space="preserve">AND CNUMECTA='20609409096' </v>
      </c>
      <c r="K808" s="1" t="str">
        <f t="shared" si="75"/>
        <v xml:space="preserve">AND ZDEPOSIT='000000000000000' </v>
      </c>
      <c r="L808" s="1" t="str">
        <f t="shared" si="76"/>
        <v>WHEN CEMPRESA='31' AND CBALCAO='0003' AND CNUMECTA='20609409096' AND ZDEPOSIT='000000000000000' THEN 1</v>
      </c>
      <c r="M808" s="1" t="str">
        <f t="shared" si="77"/>
        <v>WHEN CEMPRESA='31' AND CBALCAO='0003' AND CNUMECTA='20609409096' AND ZDEPOSIT='000000000000000' THEN 'A.3.7.'</v>
      </c>
    </row>
    <row r="809" spans="2:13" x14ac:dyDescent="0.25">
      <c r="B809" s="1" t="s">
        <v>54</v>
      </c>
      <c r="C809" s="1" t="s">
        <v>55</v>
      </c>
      <c r="D809" s="1" t="s">
        <v>1086</v>
      </c>
      <c r="E809" s="1" t="s">
        <v>783</v>
      </c>
      <c r="F809" s="1">
        <v>1</v>
      </c>
      <c r="G809" s="1" t="s">
        <v>58</v>
      </c>
      <c r="H809" s="1" t="str">
        <f t="shared" si="72"/>
        <v xml:space="preserve">CEMPRESA='89' </v>
      </c>
      <c r="I809" s="1" t="str">
        <f t="shared" si="73"/>
        <v xml:space="preserve">AND CBALCAO='0000' </v>
      </c>
      <c r="J809" s="1" t="str">
        <f t="shared" si="74"/>
        <v xml:space="preserve">AND CNUMECTA='00008046606' </v>
      </c>
      <c r="K809" s="1" t="str">
        <f t="shared" si="75"/>
        <v xml:space="preserve">AND ZDEPOSIT='000530000778327' </v>
      </c>
      <c r="L809" s="1" t="str">
        <f t="shared" si="76"/>
        <v>WHEN CEMPRESA='89' AND CBALCAO='0000' AND CNUMECTA='00008046606' AND ZDEPOSIT='000530000778327' THEN 1</v>
      </c>
      <c r="M809" s="1" t="str">
        <f t="shared" si="77"/>
        <v>WHEN CEMPRESA='89' AND CBALCAO='0000' AND CNUMECTA='00008046606' AND ZDEPOSIT='000530000778327' THEN 'A.2.5.'</v>
      </c>
    </row>
    <row r="810" spans="2:13" x14ac:dyDescent="0.25">
      <c r="B810" s="1" t="s">
        <v>45</v>
      </c>
      <c r="C810" s="1" t="s">
        <v>46</v>
      </c>
      <c r="D810" s="1" t="s">
        <v>1087</v>
      </c>
      <c r="E810" s="1" t="s">
        <v>48</v>
      </c>
      <c r="F810" s="1">
        <v>1</v>
      </c>
      <c r="G810" s="1" t="s">
        <v>60</v>
      </c>
      <c r="H810" s="1" t="str">
        <f t="shared" si="72"/>
        <v xml:space="preserve">CEMPRESA='31' </v>
      </c>
      <c r="I810" s="1" t="str">
        <f t="shared" si="73"/>
        <v xml:space="preserve">AND CBALCAO='0003' </v>
      </c>
      <c r="J810" s="1" t="str">
        <f t="shared" si="74"/>
        <v xml:space="preserve">AND CNUMECTA='20546668096' </v>
      </c>
      <c r="K810" s="1" t="str">
        <f t="shared" si="75"/>
        <v xml:space="preserve">AND ZDEPOSIT='000000000000000' </v>
      </c>
      <c r="L810" s="1" t="str">
        <f t="shared" si="76"/>
        <v>WHEN CEMPRESA='31' AND CBALCAO='0003' AND CNUMECTA='20546668096' AND ZDEPOSIT='000000000000000' THEN 1</v>
      </c>
      <c r="M810" s="1" t="str">
        <f t="shared" si="77"/>
        <v>WHEN CEMPRESA='31' AND CBALCAO='0003' AND CNUMECTA='20546668096' AND ZDEPOSIT='000000000000000' THEN 'A.3.7.'</v>
      </c>
    </row>
    <row r="811" spans="2:13" x14ac:dyDescent="0.25">
      <c r="B811" s="1" t="s">
        <v>45</v>
      </c>
      <c r="C811" s="1" t="s">
        <v>46</v>
      </c>
      <c r="D811" s="1" t="s">
        <v>1088</v>
      </c>
      <c r="E811" s="1" t="s">
        <v>48</v>
      </c>
      <c r="F811" s="1">
        <v>1</v>
      </c>
      <c r="G811" s="1" t="s">
        <v>60</v>
      </c>
      <c r="H811" s="1" t="str">
        <f t="shared" si="72"/>
        <v xml:space="preserve">CEMPRESA='31' </v>
      </c>
      <c r="I811" s="1" t="str">
        <f t="shared" si="73"/>
        <v xml:space="preserve">AND CBALCAO='0003' </v>
      </c>
      <c r="J811" s="1" t="str">
        <f t="shared" si="74"/>
        <v xml:space="preserve">AND CNUMECTA='20696844096' </v>
      </c>
      <c r="K811" s="1" t="str">
        <f t="shared" si="75"/>
        <v xml:space="preserve">AND ZDEPOSIT='000000000000000' </v>
      </c>
      <c r="L811" s="1" t="str">
        <f t="shared" si="76"/>
        <v>WHEN CEMPRESA='31' AND CBALCAO='0003' AND CNUMECTA='20696844096' AND ZDEPOSIT='000000000000000' THEN 1</v>
      </c>
      <c r="M811" s="1" t="str">
        <f t="shared" si="77"/>
        <v>WHEN CEMPRESA='31' AND CBALCAO='0003' AND CNUMECTA='20696844096' AND ZDEPOSIT='000000000000000' THEN 'A.3.7.'</v>
      </c>
    </row>
    <row r="812" spans="2:13" x14ac:dyDescent="0.25">
      <c r="B812" s="1" t="s">
        <v>54</v>
      </c>
      <c r="C812" s="1" t="s">
        <v>55</v>
      </c>
      <c r="D812" s="1" t="s">
        <v>1089</v>
      </c>
      <c r="E812" s="1" t="s">
        <v>1090</v>
      </c>
      <c r="F812" s="1">
        <v>1</v>
      </c>
      <c r="G812" s="1" t="s">
        <v>58</v>
      </c>
      <c r="H812" s="1" t="str">
        <f t="shared" si="72"/>
        <v xml:space="preserve">CEMPRESA='89' </v>
      </c>
      <c r="I812" s="1" t="str">
        <f t="shared" si="73"/>
        <v xml:space="preserve">AND CBALCAO='0000' </v>
      </c>
      <c r="J812" s="1" t="str">
        <f t="shared" si="74"/>
        <v xml:space="preserve">AND CNUMECTA='00000250631' </v>
      </c>
      <c r="K812" s="1" t="str">
        <f t="shared" si="75"/>
        <v xml:space="preserve">AND ZDEPOSIT='000450000738842' </v>
      </c>
      <c r="L812" s="1" t="str">
        <f t="shared" si="76"/>
        <v>WHEN CEMPRESA='89' AND CBALCAO='0000' AND CNUMECTA='00000250631' AND ZDEPOSIT='000450000738842' THEN 1</v>
      </c>
      <c r="M812" s="1" t="str">
        <f t="shared" si="77"/>
        <v>WHEN CEMPRESA='89' AND CBALCAO='0000' AND CNUMECTA='00000250631' AND ZDEPOSIT='000450000738842' THEN 'A.2.5.'</v>
      </c>
    </row>
    <row r="813" spans="2:13" x14ac:dyDescent="0.25">
      <c r="B813" s="1" t="s">
        <v>45</v>
      </c>
      <c r="C813" s="1" t="s">
        <v>46</v>
      </c>
      <c r="D813" s="1" t="s">
        <v>1091</v>
      </c>
      <c r="E813" s="1" t="s">
        <v>48</v>
      </c>
      <c r="F813" s="1">
        <v>1</v>
      </c>
      <c r="G813" s="1" t="s">
        <v>60</v>
      </c>
      <c r="H813" s="1" t="str">
        <f t="shared" si="72"/>
        <v xml:space="preserve">CEMPRESA='31' </v>
      </c>
      <c r="I813" s="1" t="str">
        <f t="shared" si="73"/>
        <v xml:space="preserve">AND CBALCAO='0003' </v>
      </c>
      <c r="J813" s="1" t="str">
        <f t="shared" si="74"/>
        <v xml:space="preserve">AND CNUMECTA='20474358096' </v>
      </c>
      <c r="K813" s="1" t="str">
        <f t="shared" si="75"/>
        <v xml:space="preserve">AND ZDEPOSIT='000000000000000' </v>
      </c>
      <c r="L813" s="1" t="str">
        <f t="shared" si="76"/>
        <v>WHEN CEMPRESA='31' AND CBALCAO='0003' AND CNUMECTA='20474358096' AND ZDEPOSIT='000000000000000' THEN 1</v>
      </c>
      <c r="M813" s="1" t="str">
        <f t="shared" si="77"/>
        <v>WHEN CEMPRESA='31' AND CBALCAO='0003' AND CNUMECTA='20474358096' AND ZDEPOSIT='000000000000000' THEN 'A.3.7.'</v>
      </c>
    </row>
    <row r="814" spans="2:13" x14ac:dyDescent="0.25">
      <c r="B814" s="1" t="s">
        <v>54</v>
      </c>
      <c r="C814" s="1" t="s">
        <v>55</v>
      </c>
      <c r="D814" s="1" t="s">
        <v>1092</v>
      </c>
      <c r="E814" s="1" t="s">
        <v>1093</v>
      </c>
      <c r="F814" s="1">
        <v>1</v>
      </c>
      <c r="G814" s="1" t="s">
        <v>58</v>
      </c>
      <c r="H814" s="1" t="str">
        <f t="shared" si="72"/>
        <v xml:space="preserve">CEMPRESA='89' </v>
      </c>
      <c r="I814" s="1" t="str">
        <f t="shared" si="73"/>
        <v xml:space="preserve">AND CBALCAO='0000' </v>
      </c>
      <c r="J814" s="1" t="str">
        <f t="shared" si="74"/>
        <v xml:space="preserve">AND CNUMECTA='00000249934' </v>
      </c>
      <c r="K814" s="1" t="str">
        <f t="shared" si="75"/>
        <v xml:space="preserve">AND ZDEPOSIT='000450000320597' </v>
      </c>
      <c r="L814" s="1" t="str">
        <f t="shared" si="76"/>
        <v>WHEN CEMPRESA='89' AND CBALCAO='0000' AND CNUMECTA='00000249934' AND ZDEPOSIT='000450000320597' THEN 1</v>
      </c>
      <c r="M814" s="1" t="str">
        <f t="shared" si="77"/>
        <v>WHEN CEMPRESA='89' AND CBALCAO='0000' AND CNUMECTA='00000249934' AND ZDEPOSIT='000450000320597' THEN 'A.2.5.'</v>
      </c>
    </row>
    <row r="815" spans="2:13" x14ac:dyDescent="0.25">
      <c r="B815" s="1" t="s">
        <v>45</v>
      </c>
      <c r="C815" s="1" t="s">
        <v>46</v>
      </c>
      <c r="D815" s="1" t="s">
        <v>1094</v>
      </c>
      <c r="E815" s="1" t="s">
        <v>48</v>
      </c>
      <c r="F815" s="1">
        <v>1</v>
      </c>
      <c r="G815" s="1" t="s">
        <v>60</v>
      </c>
      <c r="H815" s="1" t="str">
        <f t="shared" si="72"/>
        <v xml:space="preserve">CEMPRESA='31' </v>
      </c>
      <c r="I815" s="1" t="str">
        <f t="shared" si="73"/>
        <v xml:space="preserve">AND CBALCAO='0003' </v>
      </c>
      <c r="J815" s="1" t="str">
        <f t="shared" si="74"/>
        <v xml:space="preserve">AND CNUMECTA='20599360096' </v>
      </c>
      <c r="K815" s="1" t="str">
        <f t="shared" si="75"/>
        <v xml:space="preserve">AND ZDEPOSIT='000000000000000' </v>
      </c>
      <c r="L815" s="1" t="str">
        <f t="shared" si="76"/>
        <v>WHEN CEMPRESA='31' AND CBALCAO='0003' AND CNUMECTA='20599360096' AND ZDEPOSIT='000000000000000' THEN 1</v>
      </c>
      <c r="M815" s="1" t="str">
        <f t="shared" si="77"/>
        <v>WHEN CEMPRESA='31' AND CBALCAO='0003' AND CNUMECTA='20599360096' AND ZDEPOSIT='000000000000000' THEN 'A.3.7.'</v>
      </c>
    </row>
    <row r="816" spans="2:13" x14ac:dyDescent="0.25">
      <c r="B816" s="1" t="s">
        <v>45</v>
      </c>
      <c r="C816" s="1" t="s">
        <v>46</v>
      </c>
      <c r="D816" s="1" t="s">
        <v>1095</v>
      </c>
      <c r="E816" s="1" t="s">
        <v>48</v>
      </c>
      <c r="F816" s="1">
        <v>1</v>
      </c>
      <c r="G816" s="1" t="s">
        <v>60</v>
      </c>
      <c r="H816" s="1" t="str">
        <f t="shared" si="72"/>
        <v xml:space="preserve">CEMPRESA='31' </v>
      </c>
      <c r="I816" s="1" t="str">
        <f t="shared" si="73"/>
        <v xml:space="preserve">AND CBALCAO='0003' </v>
      </c>
      <c r="J816" s="1" t="str">
        <f t="shared" si="74"/>
        <v xml:space="preserve">AND CNUMECTA='20423009096' </v>
      </c>
      <c r="K816" s="1" t="str">
        <f t="shared" si="75"/>
        <v xml:space="preserve">AND ZDEPOSIT='000000000000000' </v>
      </c>
      <c r="L816" s="1" t="str">
        <f t="shared" si="76"/>
        <v>WHEN CEMPRESA='31' AND CBALCAO='0003' AND CNUMECTA='20423009096' AND ZDEPOSIT='000000000000000' THEN 1</v>
      </c>
      <c r="M816" s="1" t="str">
        <f t="shared" si="77"/>
        <v>WHEN CEMPRESA='31' AND CBALCAO='0003' AND CNUMECTA='20423009096' AND ZDEPOSIT='000000000000000' THEN 'A.3.7.'</v>
      </c>
    </row>
    <row r="817" spans="2:13" x14ac:dyDescent="0.25">
      <c r="B817" s="1" t="s">
        <v>45</v>
      </c>
      <c r="C817" s="1" t="s">
        <v>46</v>
      </c>
      <c r="D817" s="1" t="s">
        <v>1096</v>
      </c>
      <c r="E817" s="1" t="s">
        <v>48</v>
      </c>
      <c r="F817" s="1">
        <v>1</v>
      </c>
      <c r="G817" s="1" t="s">
        <v>60</v>
      </c>
      <c r="H817" s="1" t="str">
        <f t="shared" si="72"/>
        <v xml:space="preserve">CEMPRESA='31' </v>
      </c>
      <c r="I817" s="1" t="str">
        <f t="shared" si="73"/>
        <v xml:space="preserve">AND CBALCAO='0003' </v>
      </c>
      <c r="J817" s="1" t="str">
        <f t="shared" si="74"/>
        <v xml:space="preserve">AND CNUMECTA='20591102096' </v>
      </c>
      <c r="K817" s="1" t="str">
        <f t="shared" si="75"/>
        <v xml:space="preserve">AND ZDEPOSIT='000000000000000' </v>
      </c>
      <c r="L817" s="1" t="str">
        <f t="shared" si="76"/>
        <v>WHEN CEMPRESA='31' AND CBALCAO='0003' AND CNUMECTA='20591102096' AND ZDEPOSIT='000000000000000' THEN 1</v>
      </c>
      <c r="M817" s="1" t="str">
        <f t="shared" si="77"/>
        <v>WHEN CEMPRESA='31' AND CBALCAO='0003' AND CNUMECTA='20591102096' AND ZDEPOSIT='000000000000000' THEN 'A.3.7.'</v>
      </c>
    </row>
    <row r="818" spans="2:13" x14ac:dyDescent="0.25">
      <c r="B818" s="1" t="s">
        <v>45</v>
      </c>
      <c r="C818" s="1" t="s">
        <v>46</v>
      </c>
      <c r="D818" s="1" t="s">
        <v>1097</v>
      </c>
      <c r="E818" s="1" t="s">
        <v>48</v>
      </c>
      <c r="F818" s="1">
        <v>1</v>
      </c>
      <c r="G818" s="1" t="s">
        <v>60</v>
      </c>
      <c r="H818" s="1" t="str">
        <f t="shared" si="72"/>
        <v xml:space="preserve">CEMPRESA='31' </v>
      </c>
      <c r="I818" s="1" t="str">
        <f t="shared" si="73"/>
        <v xml:space="preserve">AND CBALCAO='0003' </v>
      </c>
      <c r="J818" s="1" t="str">
        <f t="shared" si="74"/>
        <v xml:space="preserve">AND CNUMECTA='20655824096' </v>
      </c>
      <c r="K818" s="1" t="str">
        <f t="shared" si="75"/>
        <v xml:space="preserve">AND ZDEPOSIT='000000000000000' </v>
      </c>
      <c r="L818" s="1" t="str">
        <f t="shared" si="76"/>
        <v>WHEN CEMPRESA='31' AND CBALCAO='0003' AND CNUMECTA='20655824096' AND ZDEPOSIT='000000000000000' THEN 1</v>
      </c>
      <c r="M818" s="1" t="str">
        <f t="shared" si="77"/>
        <v>WHEN CEMPRESA='31' AND CBALCAO='0003' AND CNUMECTA='20655824096' AND ZDEPOSIT='000000000000000' THEN 'A.3.7.'</v>
      </c>
    </row>
    <row r="819" spans="2:13" x14ac:dyDescent="0.25">
      <c r="B819" s="1" t="s">
        <v>54</v>
      </c>
      <c r="C819" s="1" t="s">
        <v>55</v>
      </c>
      <c r="D819" s="1" t="s">
        <v>1098</v>
      </c>
      <c r="E819" s="1" t="s">
        <v>1099</v>
      </c>
      <c r="F819" s="1">
        <v>1</v>
      </c>
      <c r="G819" s="1" t="s">
        <v>58</v>
      </c>
      <c r="H819" s="1" t="str">
        <f t="shared" si="72"/>
        <v xml:space="preserve">CEMPRESA='89' </v>
      </c>
      <c r="I819" s="1" t="str">
        <f t="shared" si="73"/>
        <v xml:space="preserve">AND CBALCAO='0000' </v>
      </c>
      <c r="J819" s="1" t="str">
        <f t="shared" si="74"/>
        <v xml:space="preserve">AND CNUMECTA='00000250265' </v>
      </c>
      <c r="K819" s="1" t="str">
        <f t="shared" si="75"/>
        <v xml:space="preserve">AND ZDEPOSIT='000450000751110' </v>
      </c>
      <c r="L819" s="1" t="str">
        <f t="shared" si="76"/>
        <v>WHEN CEMPRESA='89' AND CBALCAO='0000' AND CNUMECTA='00000250265' AND ZDEPOSIT='000450000751110' THEN 1</v>
      </c>
      <c r="M819" s="1" t="str">
        <f t="shared" si="77"/>
        <v>WHEN CEMPRESA='89' AND CBALCAO='0000' AND CNUMECTA='00000250265' AND ZDEPOSIT='000450000751110' THEN 'A.2.5.'</v>
      </c>
    </row>
    <row r="820" spans="2:13" x14ac:dyDescent="0.25">
      <c r="B820" s="1" t="s">
        <v>54</v>
      </c>
      <c r="C820" s="1" t="s">
        <v>55</v>
      </c>
      <c r="D820" s="1" t="s">
        <v>1100</v>
      </c>
      <c r="E820" s="1" t="s">
        <v>1101</v>
      </c>
      <c r="F820" s="1">
        <v>1</v>
      </c>
      <c r="G820" s="1" t="s">
        <v>58</v>
      </c>
      <c r="H820" s="1" t="str">
        <f t="shared" si="72"/>
        <v xml:space="preserve">CEMPRESA='89' </v>
      </c>
      <c r="I820" s="1" t="str">
        <f t="shared" si="73"/>
        <v xml:space="preserve">AND CBALCAO='0000' </v>
      </c>
      <c r="J820" s="1" t="str">
        <f t="shared" si="74"/>
        <v xml:space="preserve">AND CNUMECTA='00008046457' </v>
      </c>
      <c r="K820" s="1" t="str">
        <f t="shared" si="75"/>
        <v xml:space="preserve">AND ZDEPOSIT='000530000768050' </v>
      </c>
      <c r="L820" s="1" t="str">
        <f t="shared" si="76"/>
        <v>WHEN CEMPRESA='89' AND CBALCAO='0000' AND CNUMECTA='00008046457' AND ZDEPOSIT='000530000768050' THEN 1</v>
      </c>
      <c r="M820" s="1" t="str">
        <f t="shared" si="77"/>
        <v>WHEN CEMPRESA='89' AND CBALCAO='0000' AND CNUMECTA='00008046457' AND ZDEPOSIT='000530000768050' THEN 'A.2.5.'</v>
      </c>
    </row>
    <row r="821" spans="2:13" x14ac:dyDescent="0.25">
      <c r="B821" s="1" t="s">
        <v>54</v>
      </c>
      <c r="C821" s="1" t="s">
        <v>55</v>
      </c>
      <c r="D821" s="1" t="s">
        <v>1102</v>
      </c>
      <c r="E821" s="1" t="s">
        <v>1103</v>
      </c>
      <c r="F821" s="1">
        <v>1</v>
      </c>
      <c r="G821" s="1" t="s">
        <v>58</v>
      </c>
      <c r="H821" s="1" t="str">
        <f t="shared" si="72"/>
        <v xml:space="preserve">CEMPRESA='89' </v>
      </c>
      <c r="I821" s="1" t="str">
        <f t="shared" si="73"/>
        <v xml:space="preserve">AND CBALCAO='0000' </v>
      </c>
      <c r="J821" s="1" t="str">
        <f t="shared" si="74"/>
        <v xml:space="preserve">AND CNUMECTA='00000249946' </v>
      </c>
      <c r="K821" s="1" t="str">
        <f t="shared" si="75"/>
        <v xml:space="preserve">AND ZDEPOSIT='000450000777033' </v>
      </c>
      <c r="L821" s="1" t="str">
        <f t="shared" si="76"/>
        <v>WHEN CEMPRESA='89' AND CBALCAO='0000' AND CNUMECTA='00000249946' AND ZDEPOSIT='000450000777033' THEN 1</v>
      </c>
      <c r="M821" s="1" t="str">
        <f t="shared" si="77"/>
        <v>WHEN CEMPRESA='89' AND CBALCAO='0000' AND CNUMECTA='00000249946' AND ZDEPOSIT='000450000777033' THEN 'A.2.5.'</v>
      </c>
    </row>
    <row r="822" spans="2:13" x14ac:dyDescent="0.25">
      <c r="B822" s="1" t="s">
        <v>54</v>
      </c>
      <c r="C822" s="1" t="s">
        <v>55</v>
      </c>
      <c r="D822" s="1" t="s">
        <v>1104</v>
      </c>
      <c r="E822" s="1" t="s">
        <v>1105</v>
      </c>
      <c r="F822" s="1">
        <v>1</v>
      </c>
      <c r="G822" s="1" t="s">
        <v>58</v>
      </c>
      <c r="H822" s="1" t="str">
        <f t="shared" si="72"/>
        <v xml:space="preserve">CEMPRESA='89' </v>
      </c>
      <c r="I822" s="1" t="str">
        <f t="shared" si="73"/>
        <v xml:space="preserve">AND CBALCAO='0000' </v>
      </c>
      <c r="J822" s="1" t="str">
        <f t="shared" si="74"/>
        <v xml:space="preserve">AND CNUMECTA='00000250588' </v>
      </c>
      <c r="K822" s="1" t="str">
        <f t="shared" si="75"/>
        <v xml:space="preserve">AND ZDEPOSIT='000450000612203' </v>
      </c>
      <c r="L822" s="1" t="str">
        <f t="shared" si="76"/>
        <v>WHEN CEMPRESA='89' AND CBALCAO='0000' AND CNUMECTA='00000250588' AND ZDEPOSIT='000450000612203' THEN 1</v>
      </c>
      <c r="M822" s="1" t="str">
        <f t="shared" si="77"/>
        <v>WHEN CEMPRESA='89' AND CBALCAO='0000' AND CNUMECTA='00000250588' AND ZDEPOSIT='000450000612203' THEN 'A.2.5.'</v>
      </c>
    </row>
    <row r="823" spans="2:13" x14ac:dyDescent="0.25">
      <c r="B823" s="1" t="s">
        <v>45</v>
      </c>
      <c r="C823" s="1" t="s">
        <v>46</v>
      </c>
      <c r="D823" s="1" t="s">
        <v>1106</v>
      </c>
      <c r="E823" s="1" t="s">
        <v>48</v>
      </c>
      <c r="F823" s="1">
        <v>1</v>
      </c>
      <c r="G823" s="1" t="s">
        <v>60</v>
      </c>
      <c r="H823" s="1" t="str">
        <f t="shared" si="72"/>
        <v xml:space="preserve">CEMPRESA='31' </v>
      </c>
      <c r="I823" s="1" t="str">
        <f t="shared" si="73"/>
        <v xml:space="preserve">AND CBALCAO='0003' </v>
      </c>
      <c r="J823" s="1" t="str">
        <f t="shared" si="74"/>
        <v xml:space="preserve">AND CNUMECTA='20511381096' </v>
      </c>
      <c r="K823" s="1" t="str">
        <f t="shared" si="75"/>
        <v xml:space="preserve">AND ZDEPOSIT='000000000000000' </v>
      </c>
      <c r="L823" s="1" t="str">
        <f t="shared" si="76"/>
        <v>WHEN CEMPRESA='31' AND CBALCAO='0003' AND CNUMECTA='20511381096' AND ZDEPOSIT='000000000000000' THEN 1</v>
      </c>
      <c r="M823" s="1" t="str">
        <f t="shared" si="77"/>
        <v>WHEN CEMPRESA='31' AND CBALCAO='0003' AND CNUMECTA='20511381096' AND ZDEPOSIT='000000000000000' THEN 'A.3.7.'</v>
      </c>
    </row>
    <row r="824" spans="2:13" x14ac:dyDescent="0.25">
      <c r="B824" s="1" t="s">
        <v>45</v>
      </c>
      <c r="C824" s="1" t="s">
        <v>46</v>
      </c>
      <c r="D824" s="1" t="s">
        <v>1107</v>
      </c>
      <c r="E824" s="1" t="s">
        <v>48</v>
      </c>
      <c r="F824" s="1">
        <v>1</v>
      </c>
      <c r="G824" s="1" t="s">
        <v>60</v>
      </c>
      <c r="H824" s="1" t="str">
        <f t="shared" si="72"/>
        <v xml:space="preserve">CEMPRESA='31' </v>
      </c>
      <c r="I824" s="1" t="str">
        <f t="shared" si="73"/>
        <v xml:space="preserve">AND CBALCAO='0003' </v>
      </c>
      <c r="J824" s="1" t="str">
        <f t="shared" si="74"/>
        <v xml:space="preserve">AND CNUMECTA='20654157096' </v>
      </c>
      <c r="K824" s="1" t="str">
        <f t="shared" si="75"/>
        <v xml:space="preserve">AND ZDEPOSIT='000000000000000' </v>
      </c>
      <c r="L824" s="1" t="str">
        <f t="shared" si="76"/>
        <v>WHEN CEMPRESA='31' AND CBALCAO='0003' AND CNUMECTA='20654157096' AND ZDEPOSIT='000000000000000' THEN 1</v>
      </c>
      <c r="M824" s="1" t="str">
        <f t="shared" si="77"/>
        <v>WHEN CEMPRESA='31' AND CBALCAO='0003' AND CNUMECTA='20654157096' AND ZDEPOSIT='000000000000000' THEN 'A.3.7.'</v>
      </c>
    </row>
    <row r="825" spans="2:13" x14ac:dyDescent="0.25">
      <c r="B825" s="1" t="s">
        <v>45</v>
      </c>
      <c r="C825" s="1" t="s">
        <v>46</v>
      </c>
      <c r="D825" s="1" t="s">
        <v>1108</v>
      </c>
      <c r="E825" s="1" t="s">
        <v>48</v>
      </c>
      <c r="F825" s="1">
        <v>1</v>
      </c>
      <c r="G825" s="1" t="s">
        <v>60</v>
      </c>
      <c r="H825" s="1" t="str">
        <f t="shared" si="72"/>
        <v xml:space="preserve">CEMPRESA='31' </v>
      </c>
      <c r="I825" s="1" t="str">
        <f t="shared" si="73"/>
        <v xml:space="preserve">AND CBALCAO='0003' </v>
      </c>
      <c r="J825" s="1" t="str">
        <f t="shared" si="74"/>
        <v xml:space="preserve">AND CNUMECTA='20736715096' </v>
      </c>
      <c r="K825" s="1" t="str">
        <f t="shared" si="75"/>
        <v xml:space="preserve">AND ZDEPOSIT='000000000000000' </v>
      </c>
      <c r="L825" s="1" t="str">
        <f t="shared" si="76"/>
        <v>WHEN CEMPRESA='31' AND CBALCAO='0003' AND CNUMECTA='20736715096' AND ZDEPOSIT='000000000000000' THEN 1</v>
      </c>
      <c r="M825" s="1" t="str">
        <f t="shared" si="77"/>
        <v>WHEN CEMPRESA='31' AND CBALCAO='0003' AND CNUMECTA='20736715096' AND ZDEPOSIT='000000000000000' THEN 'A.3.7.'</v>
      </c>
    </row>
    <row r="826" spans="2:13" x14ac:dyDescent="0.25">
      <c r="B826" s="1" t="s">
        <v>45</v>
      </c>
      <c r="C826" s="1" t="s">
        <v>46</v>
      </c>
      <c r="D826" s="1" t="s">
        <v>1109</v>
      </c>
      <c r="E826" s="1" t="s">
        <v>48</v>
      </c>
      <c r="F826" s="1">
        <v>1</v>
      </c>
      <c r="G826" s="1" t="s">
        <v>60</v>
      </c>
      <c r="H826" s="1" t="str">
        <f t="shared" si="72"/>
        <v xml:space="preserve">CEMPRESA='31' </v>
      </c>
      <c r="I826" s="1" t="str">
        <f t="shared" si="73"/>
        <v xml:space="preserve">AND CBALCAO='0003' </v>
      </c>
      <c r="J826" s="1" t="str">
        <f t="shared" si="74"/>
        <v xml:space="preserve">AND CNUMECTA='20495536096' </v>
      </c>
      <c r="K826" s="1" t="str">
        <f t="shared" si="75"/>
        <v xml:space="preserve">AND ZDEPOSIT='000000000000000' </v>
      </c>
      <c r="L826" s="1" t="str">
        <f t="shared" si="76"/>
        <v>WHEN CEMPRESA='31' AND CBALCAO='0003' AND CNUMECTA='20495536096' AND ZDEPOSIT='000000000000000' THEN 1</v>
      </c>
      <c r="M826" s="1" t="str">
        <f t="shared" si="77"/>
        <v>WHEN CEMPRESA='31' AND CBALCAO='0003' AND CNUMECTA='20495536096' AND ZDEPOSIT='000000000000000' THEN 'A.3.7.'</v>
      </c>
    </row>
    <row r="827" spans="2:13" x14ac:dyDescent="0.25">
      <c r="B827" s="1" t="s">
        <v>45</v>
      </c>
      <c r="C827" s="1" t="s">
        <v>46</v>
      </c>
      <c r="D827" s="1" t="s">
        <v>1110</v>
      </c>
      <c r="E827" s="1" t="s">
        <v>48</v>
      </c>
      <c r="F827" s="1">
        <v>1</v>
      </c>
      <c r="G827" s="1" t="s">
        <v>60</v>
      </c>
      <c r="H827" s="1" t="str">
        <f t="shared" si="72"/>
        <v xml:space="preserve">CEMPRESA='31' </v>
      </c>
      <c r="I827" s="1" t="str">
        <f t="shared" si="73"/>
        <v xml:space="preserve">AND CBALCAO='0003' </v>
      </c>
      <c r="J827" s="1" t="str">
        <f t="shared" si="74"/>
        <v xml:space="preserve">AND CNUMECTA='20621156096' </v>
      </c>
      <c r="K827" s="1" t="str">
        <f t="shared" si="75"/>
        <v xml:space="preserve">AND ZDEPOSIT='000000000000000' </v>
      </c>
      <c r="L827" s="1" t="str">
        <f t="shared" si="76"/>
        <v>WHEN CEMPRESA='31' AND CBALCAO='0003' AND CNUMECTA='20621156096' AND ZDEPOSIT='000000000000000' THEN 1</v>
      </c>
      <c r="M827" s="1" t="str">
        <f t="shared" si="77"/>
        <v>WHEN CEMPRESA='31' AND CBALCAO='0003' AND CNUMECTA='20621156096' AND ZDEPOSIT='000000000000000' THEN 'A.3.7.'</v>
      </c>
    </row>
    <row r="828" spans="2:13" x14ac:dyDescent="0.25">
      <c r="B828" s="1" t="s">
        <v>45</v>
      </c>
      <c r="C828" s="1" t="s">
        <v>46</v>
      </c>
      <c r="D828" s="1" t="s">
        <v>1111</v>
      </c>
      <c r="E828" s="1" t="s">
        <v>48</v>
      </c>
      <c r="F828" s="1">
        <v>1</v>
      </c>
      <c r="G828" s="1" t="s">
        <v>53</v>
      </c>
      <c r="H828" s="1" t="str">
        <f t="shared" si="72"/>
        <v xml:space="preserve">CEMPRESA='31' </v>
      </c>
      <c r="I828" s="1" t="str">
        <f t="shared" si="73"/>
        <v xml:space="preserve">AND CBALCAO='0003' </v>
      </c>
      <c r="J828" s="1" t="str">
        <f t="shared" si="74"/>
        <v xml:space="preserve">AND CNUMECTA='20692207096' </v>
      </c>
      <c r="K828" s="1" t="str">
        <f t="shared" si="75"/>
        <v xml:space="preserve">AND ZDEPOSIT='000000000000000' </v>
      </c>
      <c r="L828" s="1" t="str">
        <f t="shared" si="76"/>
        <v>WHEN CEMPRESA='31' AND CBALCAO='0003' AND CNUMECTA='20692207096' AND ZDEPOSIT='000000000000000' THEN 1</v>
      </c>
      <c r="M828" s="1" t="str">
        <f t="shared" si="77"/>
        <v>WHEN CEMPRESA='31' AND CBALCAO='0003' AND CNUMECTA='20692207096' AND ZDEPOSIT='000000000000000' THEN 'A.1.1.'</v>
      </c>
    </row>
    <row r="829" spans="2:13" x14ac:dyDescent="0.25">
      <c r="B829" s="1" t="s">
        <v>45</v>
      </c>
      <c r="C829" s="1" t="s">
        <v>46</v>
      </c>
      <c r="D829" s="1" t="s">
        <v>1112</v>
      </c>
      <c r="E829" s="1" t="s">
        <v>48</v>
      </c>
      <c r="F829" s="1">
        <v>1</v>
      </c>
      <c r="G829" s="1" t="s">
        <v>60</v>
      </c>
      <c r="H829" s="1" t="str">
        <f t="shared" si="72"/>
        <v xml:space="preserve">CEMPRESA='31' </v>
      </c>
      <c r="I829" s="1" t="str">
        <f t="shared" si="73"/>
        <v xml:space="preserve">AND CBALCAO='0003' </v>
      </c>
      <c r="J829" s="1" t="str">
        <f t="shared" si="74"/>
        <v xml:space="preserve">AND CNUMECTA='20496435096' </v>
      </c>
      <c r="K829" s="1" t="str">
        <f t="shared" si="75"/>
        <v xml:space="preserve">AND ZDEPOSIT='000000000000000' </v>
      </c>
      <c r="L829" s="1" t="str">
        <f t="shared" si="76"/>
        <v>WHEN CEMPRESA='31' AND CBALCAO='0003' AND CNUMECTA='20496435096' AND ZDEPOSIT='000000000000000' THEN 1</v>
      </c>
      <c r="M829" s="1" t="str">
        <f t="shared" si="77"/>
        <v>WHEN CEMPRESA='31' AND CBALCAO='0003' AND CNUMECTA='20496435096' AND ZDEPOSIT='000000000000000' THEN 'A.3.7.'</v>
      </c>
    </row>
    <row r="830" spans="2:13" x14ac:dyDescent="0.25">
      <c r="B830" s="1" t="s">
        <v>54</v>
      </c>
      <c r="C830" s="1" t="s">
        <v>55</v>
      </c>
      <c r="D830" s="1" t="s">
        <v>1113</v>
      </c>
      <c r="E830" s="1" t="s">
        <v>1114</v>
      </c>
      <c r="F830" s="1">
        <v>1</v>
      </c>
      <c r="G830" s="1" t="s">
        <v>58</v>
      </c>
      <c r="H830" s="1" t="str">
        <f t="shared" si="72"/>
        <v xml:space="preserve">CEMPRESA='89' </v>
      </c>
      <c r="I830" s="1" t="str">
        <f t="shared" si="73"/>
        <v xml:space="preserve">AND CBALCAO='0000' </v>
      </c>
      <c r="J830" s="1" t="str">
        <f t="shared" si="74"/>
        <v xml:space="preserve">AND CNUMECTA='00008046381' </v>
      </c>
      <c r="K830" s="1" t="str">
        <f t="shared" si="75"/>
        <v xml:space="preserve">AND ZDEPOSIT='000530000660314' </v>
      </c>
      <c r="L830" s="1" t="str">
        <f t="shared" si="76"/>
        <v>WHEN CEMPRESA='89' AND CBALCAO='0000' AND CNUMECTA='00008046381' AND ZDEPOSIT='000530000660314' THEN 1</v>
      </c>
      <c r="M830" s="1" t="str">
        <f t="shared" si="77"/>
        <v>WHEN CEMPRESA='89' AND CBALCAO='0000' AND CNUMECTA='00008046381' AND ZDEPOSIT='000530000660314' THEN 'A.2.5.'</v>
      </c>
    </row>
    <row r="831" spans="2:13" x14ac:dyDescent="0.25">
      <c r="B831" s="1" t="s">
        <v>54</v>
      </c>
      <c r="C831" s="1" t="s">
        <v>55</v>
      </c>
      <c r="D831" s="1" t="s">
        <v>1115</v>
      </c>
      <c r="E831" s="1" t="s">
        <v>1116</v>
      </c>
      <c r="F831" s="1">
        <v>1</v>
      </c>
      <c r="G831" s="1" t="s">
        <v>58</v>
      </c>
      <c r="H831" s="1" t="str">
        <f t="shared" si="72"/>
        <v xml:space="preserve">CEMPRESA='89' </v>
      </c>
      <c r="I831" s="1" t="str">
        <f t="shared" si="73"/>
        <v xml:space="preserve">AND CBALCAO='0000' </v>
      </c>
      <c r="J831" s="1" t="str">
        <f t="shared" si="74"/>
        <v xml:space="preserve">AND CNUMECTA='00000250241' </v>
      </c>
      <c r="K831" s="1" t="str">
        <f t="shared" si="75"/>
        <v xml:space="preserve">AND ZDEPOSIT='000450000740703' </v>
      </c>
      <c r="L831" s="1" t="str">
        <f t="shared" si="76"/>
        <v>WHEN CEMPRESA='89' AND CBALCAO='0000' AND CNUMECTA='00000250241' AND ZDEPOSIT='000450000740703' THEN 1</v>
      </c>
      <c r="M831" s="1" t="str">
        <f t="shared" si="77"/>
        <v>WHEN CEMPRESA='89' AND CBALCAO='0000' AND CNUMECTA='00000250241' AND ZDEPOSIT='000450000740703' THEN 'A.2.5.'</v>
      </c>
    </row>
    <row r="832" spans="2:13" x14ac:dyDescent="0.25">
      <c r="B832" s="1" t="s">
        <v>45</v>
      </c>
      <c r="C832" s="1" t="s">
        <v>46</v>
      </c>
      <c r="D832" s="1" t="s">
        <v>1117</v>
      </c>
      <c r="E832" s="1" t="s">
        <v>48</v>
      </c>
      <c r="F832" s="1">
        <v>1</v>
      </c>
      <c r="G832" s="1" t="s">
        <v>60</v>
      </c>
      <c r="H832" s="1" t="str">
        <f t="shared" si="72"/>
        <v xml:space="preserve">CEMPRESA='31' </v>
      </c>
      <c r="I832" s="1" t="str">
        <f t="shared" si="73"/>
        <v xml:space="preserve">AND CBALCAO='0003' </v>
      </c>
      <c r="J832" s="1" t="str">
        <f t="shared" si="74"/>
        <v xml:space="preserve">AND CNUMECTA='20631478096' </v>
      </c>
      <c r="K832" s="1" t="str">
        <f t="shared" si="75"/>
        <v xml:space="preserve">AND ZDEPOSIT='000000000000000' </v>
      </c>
      <c r="L832" s="1" t="str">
        <f t="shared" si="76"/>
        <v>WHEN CEMPRESA='31' AND CBALCAO='0003' AND CNUMECTA='20631478096' AND ZDEPOSIT='000000000000000' THEN 1</v>
      </c>
      <c r="M832" s="1" t="str">
        <f t="shared" si="77"/>
        <v>WHEN CEMPRESA='31' AND CBALCAO='0003' AND CNUMECTA='20631478096' AND ZDEPOSIT='000000000000000' THEN 'A.3.7.'</v>
      </c>
    </row>
    <row r="833" spans="2:13" x14ac:dyDescent="0.25">
      <c r="B833" s="1" t="s">
        <v>54</v>
      </c>
      <c r="C833" s="1" t="s">
        <v>55</v>
      </c>
      <c r="D833" s="1" t="s">
        <v>1118</v>
      </c>
      <c r="E833" s="1" t="s">
        <v>1119</v>
      </c>
      <c r="F833" s="1">
        <v>1</v>
      </c>
      <c r="G833" s="1" t="s">
        <v>58</v>
      </c>
      <c r="H833" s="1" t="str">
        <f t="shared" si="72"/>
        <v xml:space="preserve">CEMPRESA='89' </v>
      </c>
      <c r="I833" s="1" t="str">
        <f t="shared" si="73"/>
        <v xml:space="preserve">AND CBALCAO='0000' </v>
      </c>
      <c r="J833" s="1" t="str">
        <f t="shared" si="74"/>
        <v xml:space="preserve">AND CNUMECTA='00008046442' </v>
      </c>
      <c r="K833" s="1" t="str">
        <f t="shared" si="75"/>
        <v xml:space="preserve">AND ZDEPOSIT='000530000777715' </v>
      </c>
      <c r="L833" s="1" t="str">
        <f t="shared" si="76"/>
        <v>WHEN CEMPRESA='89' AND CBALCAO='0000' AND CNUMECTA='00008046442' AND ZDEPOSIT='000530000777715' THEN 1</v>
      </c>
      <c r="M833" s="1" t="str">
        <f t="shared" si="77"/>
        <v>WHEN CEMPRESA='89' AND CBALCAO='0000' AND CNUMECTA='00008046442' AND ZDEPOSIT='000530000777715' THEN 'A.2.5.'</v>
      </c>
    </row>
    <row r="834" spans="2:13" x14ac:dyDescent="0.25">
      <c r="B834" s="1" t="s">
        <v>45</v>
      </c>
      <c r="C834" s="1" t="s">
        <v>46</v>
      </c>
      <c r="D834" s="1" t="s">
        <v>1120</v>
      </c>
      <c r="E834" s="1" t="s">
        <v>48</v>
      </c>
      <c r="F834" s="1">
        <v>1</v>
      </c>
      <c r="G834" s="1" t="s">
        <v>209</v>
      </c>
      <c r="H834" s="1" t="str">
        <f t="shared" si="72"/>
        <v xml:space="preserve">CEMPRESA='31' </v>
      </c>
      <c r="I834" s="1" t="str">
        <f t="shared" si="73"/>
        <v xml:space="preserve">AND CBALCAO='0003' </v>
      </c>
      <c r="J834" s="1" t="str">
        <f t="shared" si="74"/>
        <v xml:space="preserve">AND CNUMECTA='20729728096' </v>
      </c>
      <c r="K834" s="1" t="str">
        <f t="shared" si="75"/>
        <v xml:space="preserve">AND ZDEPOSIT='000000000000000' </v>
      </c>
      <c r="L834" s="1" t="str">
        <f t="shared" si="76"/>
        <v>WHEN CEMPRESA='31' AND CBALCAO='0003' AND CNUMECTA='20729728096' AND ZDEPOSIT='000000000000000' THEN 1</v>
      </c>
      <c r="M834" s="1" t="str">
        <f t="shared" si="77"/>
        <v>WHEN CEMPRESA='31' AND CBALCAO='0003' AND CNUMECTA='20729728096' AND ZDEPOSIT='000000000000000' THEN 'A.3.1.'</v>
      </c>
    </row>
    <row r="835" spans="2:13" x14ac:dyDescent="0.25">
      <c r="B835" s="1" t="s">
        <v>45</v>
      </c>
      <c r="C835" s="1" t="s">
        <v>46</v>
      </c>
      <c r="D835" s="1" t="s">
        <v>1121</v>
      </c>
      <c r="E835" s="1" t="s">
        <v>48</v>
      </c>
      <c r="F835" s="1">
        <v>1</v>
      </c>
      <c r="G835" s="1" t="s">
        <v>53</v>
      </c>
      <c r="H835" s="1" t="str">
        <f t="shared" si="72"/>
        <v xml:space="preserve">CEMPRESA='31' </v>
      </c>
      <c r="I835" s="1" t="str">
        <f t="shared" si="73"/>
        <v xml:space="preserve">AND CBALCAO='0003' </v>
      </c>
      <c r="J835" s="1" t="str">
        <f t="shared" si="74"/>
        <v xml:space="preserve">AND CNUMECTA='20371372096' </v>
      </c>
      <c r="K835" s="1" t="str">
        <f t="shared" si="75"/>
        <v xml:space="preserve">AND ZDEPOSIT='000000000000000' </v>
      </c>
      <c r="L835" s="1" t="str">
        <f t="shared" si="76"/>
        <v>WHEN CEMPRESA='31' AND CBALCAO='0003' AND CNUMECTA='20371372096' AND ZDEPOSIT='000000000000000' THEN 1</v>
      </c>
      <c r="M835" s="1" t="str">
        <f t="shared" si="77"/>
        <v>WHEN CEMPRESA='31' AND CBALCAO='0003' AND CNUMECTA='20371372096' AND ZDEPOSIT='000000000000000' THEN 'A.1.1.'</v>
      </c>
    </row>
    <row r="836" spans="2:13" x14ac:dyDescent="0.25">
      <c r="B836" s="1" t="s">
        <v>45</v>
      </c>
      <c r="C836" s="1" t="s">
        <v>46</v>
      </c>
      <c r="D836" s="1" t="s">
        <v>1122</v>
      </c>
      <c r="E836" s="1" t="s">
        <v>48</v>
      </c>
      <c r="F836" s="1">
        <v>1</v>
      </c>
      <c r="G836" s="1" t="s">
        <v>60</v>
      </c>
      <c r="H836" s="1" t="str">
        <f t="shared" ref="H836:H899" si="78">+IF(LEN(TRIM(B836))&gt;0,UPPER($B$2)&amp;"='"&amp;TRIM(B836)&amp;"' ","")</f>
        <v xml:space="preserve">CEMPRESA='31' </v>
      </c>
      <c r="I836" s="1" t="str">
        <f t="shared" ref="I836:I899" si="79">+IF(LEN(TRIM(C836))&gt;0,UPPER($C$2)&amp;"='"&amp;TRIM(C836)&amp;"' ","")</f>
        <v xml:space="preserve">AND CBALCAO='0003' </v>
      </c>
      <c r="J836" s="1" t="str">
        <f t="shared" ref="J836:J899" si="80">+IF(LEN(TRIM(D836))&gt;0,UPPER($D$2)&amp;"='"&amp;TRIM(D836)&amp;"' ","")</f>
        <v xml:space="preserve">AND CNUMECTA='20541933096' </v>
      </c>
      <c r="K836" s="1" t="str">
        <f t="shared" ref="K836:K899" si="81">+IF(LEN(TRIM(E836))&gt;0,UPPER($E$2)&amp;"='"&amp;TRIM(E836)&amp;"' ","")</f>
        <v xml:space="preserve">AND ZDEPOSIT='000000000000000' </v>
      </c>
      <c r="L836" s="1" t="str">
        <f t="shared" ref="L836:L899" si="82">+"WHEN "&amp;H836&amp;I836&amp;J836&amp;K836&amp;"THEN "&amp;F836</f>
        <v>WHEN CEMPRESA='31' AND CBALCAO='0003' AND CNUMECTA='20541933096' AND ZDEPOSIT='000000000000000' THEN 1</v>
      </c>
      <c r="M836" s="1" t="str">
        <f t="shared" ref="M836:M899" si="83">+"WHEN "&amp;H836&amp;I836&amp;J836&amp;K836&amp;"THEN "&amp;G836</f>
        <v>WHEN CEMPRESA='31' AND CBALCAO='0003' AND CNUMECTA='20541933096' AND ZDEPOSIT='000000000000000' THEN 'A.3.7.'</v>
      </c>
    </row>
    <row r="837" spans="2:13" x14ac:dyDescent="0.25">
      <c r="B837" s="1" t="s">
        <v>45</v>
      </c>
      <c r="C837" s="1" t="s">
        <v>46</v>
      </c>
      <c r="D837" s="1" t="s">
        <v>1123</v>
      </c>
      <c r="E837" s="1" t="s">
        <v>48</v>
      </c>
      <c r="F837" s="1">
        <v>1</v>
      </c>
      <c r="G837" s="1" t="s">
        <v>60</v>
      </c>
      <c r="H837" s="1" t="str">
        <f t="shared" si="78"/>
        <v xml:space="preserve">CEMPRESA='31' </v>
      </c>
      <c r="I837" s="1" t="str">
        <f t="shared" si="79"/>
        <v xml:space="preserve">AND CBALCAO='0003' </v>
      </c>
      <c r="J837" s="1" t="str">
        <f t="shared" si="80"/>
        <v xml:space="preserve">AND CNUMECTA='20744230096' </v>
      </c>
      <c r="K837" s="1" t="str">
        <f t="shared" si="81"/>
        <v xml:space="preserve">AND ZDEPOSIT='000000000000000' </v>
      </c>
      <c r="L837" s="1" t="str">
        <f t="shared" si="82"/>
        <v>WHEN CEMPRESA='31' AND CBALCAO='0003' AND CNUMECTA='20744230096' AND ZDEPOSIT='000000000000000' THEN 1</v>
      </c>
      <c r="M837" s="1" t="str">
        <f t="shared" si="83"/>
        <v>WHEN CEMPRESA='31' AND CBALCAO='0003' AND CNUMECTA='20744230096' AND ZDEPOSIT='000000000000000' THEN 'A.3.7.'</v>
      </c>
    </row>
    <row r="838" spans="2:13" x14ac:dyDescent="0.25">
      <c r="B838" s="1" t="s">
        <v>54</v>
      </c>
      <c r="C838" s="1" t="s">
        <v>55</v>
      </c>
      <c r="D838" s="1" t="s">
        <v>1124</v>
      </c>
      <c r="E838" s="1" t="s">
        <v>1125</v>
      </c>
      <c r="F838" s="1">
        <v>1</v>
      </c>
      <c r="G838" s="1" t="s">
        <v>58</v>
      </c>
      <c r="H838" s="1" t="str">
        <f t="shared" si="78"/>
        <v xml:space="preserve">CEMPRESA='89' </v>
      </c>
      <c r="I838" s="1" t="str">
        <f t="shared" si="79"/>
        <v xml:space="preserve">AND CBALCAO='0000' </v>
      </c>
      <c r="J838" s="1" t="str">
        <f t="shared" si="80"/>
        <v xml:space="preserve">AND CNUMECTA='00000250456' </v>
      </c>
      <c r="K838" s="1" t="str">
        <f t="shared" si="81"/>
        <v xml:space="preserve">AND ZDEPOSIT='000450000778166' </v>
      </c>
      <c r="L838" s="1" t="str">
        <f t="shared" si="82"/>
        <v>WHEN CEMPRESA='89' AND CBALCAO='0000' AND CNUMECTA='00000250456' AND ZDEPOSIT='000450000778166' THEN 1</v>
      </c>
      <c r="M838" s="1" t="str">
        <f t="shared" si="83"/>
        <v>WHEN CEMPRESA='89' AND CBALCAO='0000' AND CNUMECTA='00000250456' AND ZDEPOSIT='000450000778166' THEN 'A.2.5.'</v>
      </c>
    </row>
    <row r="839" spans="2:13" x14ac:dyDescent="0.25">
      <c r="B839" s="1" t="s">
        <v>54</v>
      </c>
      <c r="C839" s="1" t="s">
        <v>55</v>
      </c>
      <c r="D839" s="1" t="s">
        <v>1126</v>
      </c>
      <c r="E839" s="1" t="s">
        <v>667</v>
      </c>
      <c r="F839" s="1">
        <v>1</v>
      </c>
      <c r="G839" s="1" t="s">
        <v>58</v>
      </c>
      <c r="H839" s="1" t="str">
        <f t="shared" si="78"/>
        <v xml:space="preserve">CEMPRESA='89' </v>
      </c>
      <c r="I839" s="1" t="str">
        <f t="shared" si="79"/>
        <v xml:space="preserve">AND CBALCAO='0000' </v>
      </c>
      <c r="J839" s="1" t="str">
        <f t="shared" si="80"/>
        <v xml:space="preserve">AND CNUMECTA='00008046349' </v>
      </c>
      <c r="K839" s="1" t="str">
        <f t="shared" si="81"/>
        <v xml:space="preserve">AND ZDEPOSIT='000530000694857' </v>
      </c>
      <c r="L839" s="1" t="str">
        <f t="shared" si="82"/>
        <v>WHEN CEMPRESA='89' AND CBALCAO='0000' AND CNUMECTA='00008046349' AND ZDEPOSIT='000530000694857' THEN 1</v>
      </c>
      <c r="M839" s="1" t="str">
        <f t="shared" si="83"/>
        <v>WHEN CEMPRESA='89' AND CBALCAO='0000' AND CNUMECTA='00008046349' AND ZDEPOSIT='000530000694857' THEN 'A.2.5.'</v>
      </c>
    </row>
    <row r="840" spans="2:13" x14ac:dyDescent="0.25">
      <c r="B840" s="1" t="s">
        <v>54</v>
      </c>
      <c r="C840" s="1" t="s">
        <v>55</v>
      </c>
      <c r="D840" s="1" t="s">
        <v>1127</v>
      </c>
      <c r="E840" s="1" t="s">
        <v>1128</v>
      </c>
      <c r="F840" s="1">
        <v>1</v>
      </c>
      <c r="G840" s="1" t="s">
        <v>58</v>
      </c>
      <c r="H840" s="1" t="str">
        <f t="shared" si="78"/>
        <v xml:space="preserve">CEMPRESA='89' </v>
      </c>
      <c r="I840" s="1" t="str">
        <f t="shared" si="79"/>
        <v xml:space="preserve">AND CBALCAO='0000' </v>
      </c>
      <c r="J840" s="1" t="str">
        <f t="shared" si="80"/>
        <v xml:space="preserve">AND CNUMECTA='00000250427' </v>
      </c>
      <c r="K840" s="1" t="str">
        <f t="shared" si="81"/>
        <v xml:space="preserve">AND ZDEPOSIT='000450000778145' </v>
      </c>
      <c r="L840" s="1" t="str">
        <f t="shared" si="82"/>
        <v>WHEN CEMPRESA='89' AND CBALCAO='0000' AND CNUMECTA='00000250427' AND ZDEPOSIT='000450000778145' THEN 1</v>
      </c>
      <c r="M840" s="1" t="str">
        <f t="shared" si="83"/>
        <v>WHEN CEMPRESA='89' AND CBALCAO='0000' AND CNUMECTA='00000250427' AND ZDEPOSIT='000450000778145' THEN 'A.2.5.'</v>
      </c>
    </row>
    <row r="841" spans="2:13" x14ac:dyDescent="0.25">
      <c r="B841" s="1" t="s">
        <v>45</v>
      </c>
      <c r="C841" s="1" t="s">
        <v>46</v>
      </c>
      <c r="D841" s="1" t="s">
        <v>1129</v>
      </c>
      <c r="E841" s="1" t="s">
        <v>48</v>
      </c>
      <c r="F841" s="1">
        <v>1</v>
      </c>
      <c r="G841" s="1" t="s">
        <v>60</v>
      </c>
      <c r="H841" s="1" t="str">
        <f t="shared" si="78"/>
        <v xml:space="preserve">CEMPRESA='31' </v>
      </c>
      <c r="I841" s="1" t="str">
        <f t="shared" si="79"/>
        <v xml:space="preserve">AND CBALCAO='0003' </v>
      </c>
      <c r="J841" s="1" t="str">
        <f t="shared" si="80"/>
        <v xml:space="preserve">AND CNUMECTA='20586987096' </v>
      </c>
      <c r="K841" s="1" t="str">
        <f t="shared" si="81"/>
        <v xml:space="preserve">AND ZDEPOSIT='000000000000000' </v>
      </c>
      <c r="L841" s="1" t="str">
        <f t="shared" si="82"/>
        <v>WHEN CEMPRESA='31' AND CBALCAO='0003' AND CNUMECTA='20586987096' AND ZDEPOSIT='000000000000000' THEN 1</v>
      </c>
      <c r="M841" s="1" t="str">
        <f t="shared" si="83"/>
        <v>WHEN CEMPRESA='31' AND CBALCAO='0003' AND CNUMECTA='20586987096' AND ZDEPOSIT='000000000000000' THEN 'A.3.7.'</v>
      </c>
    </row>
    <row r="842" spans="2:13" x14ac:dyDescent="0.25">
      <c r="B842" s="1" t="s">
        <v>45</v>
      </c>
      <c r="C842" s="1" t="s">
        <v>46</v>
      </c>
      <c r="D842" s="1" t="s">
        <v>1130</v>
      </c>
      <c r="E842" s="1" t="s">
        <v>48</v>
      </c>
      <c r="F842" s="1">
        <v>1</v>
      </c>
      <c r="G842" s="1" t="s">
        <v>60</v>
      </c>
      <c r="H842" s="1" t="str">
        <f t="shared" si="78"/>
        <v xml:space="preserve">CEMPRESA='31' </v>
      </c>
      <c r="I842" s="1" t="str">
        <f t="shared" si="79"/>
        <v xml:space="preserve">AND CBALCAO='0003' </v>
      </c>
      <c r="J842" s="1" t="str">
        <f t="shared" si="80"/>
        <v xml:space="preserve">AND CNUMECTA='20647227096' </v>
      </c>
      <c r="K842" s="1" t="str">
        <f t="shared" si="81"/>
        <v xml:space="preserve">AND ZDEPOSIT='000000000000000' </v>
      </c>
      <c r="L842" s="1" t="str">
        <f t="shared" si="82"/>
        <v>WHEN CEMPRESA='31' AND CBALCAO='0003' AND CNUMECTA='20647227096' AND ZDEPOSIT='000000000000000' THEN 1</v>
      </c>
      <c r="M842" s="1" t="str">
        <f t="shared" si="83"/>
        <v>WHEN CEMPRESA='31' AND CBALCAO='0003' AND CNUMECTA='20647227096' AND ZDEPOSIT='000000000000000' THEN 'A.3.7.'</v>
      </c>
    </row>
    <row r="843" spans="2:13" x14ac:dyDescent="0.25">
      <c r="B843" s="1" t="s">
        <v>54</v>
      </c>
      <c r="C843" s="1" t="s">
        <v>55</v>
      </c>
      <c r="D843" s="1" t="s">
        <v>1131</v>
      </c>
      <c r="E843" s="1" t="s">
        <v>1132</v>
      </c>
      <c r="F843" s="1">
        <v>1</v>
      </c>
      <c r="G843" s="1" t="s">
        <v>58</v>
      </c>
      <c r="H843" s="1" t="str">
        <f t="shared" si="78"/>
        <v xml:space="preserve">CEMPRESA='89' </v>
      </c>
      <c r="I843" s="1" t="str">
        <f t="shared" si="79"/>
        <v xml:space="preserve">AND CBALCAO='0000' </v>
      </c>
      <c r="J843" s="1" t="str">
        <f t="shared" si="80"/>
        <v xml:space="preserve">AND CNUMECTA='00008046601' </v>
      </c>
      <c r="K843" s="1" t="str">
        <f t="shared" si="81"/>
        <v xml:space="preserve">AND ZDEPOSIT='000530000778027' </v>
      </c>
      <c r="L843" s="1" t="str">
        <f t="shared" si="82"/>
        <v>WHEN CEMPRESA='89' AND CBALCAO='0000' AND CNUMECTA='00008046601' AND ZDEPOSIT='000530000778027' THEN 1</v>
      </c>
      <c r="M843" s="1" t="str">
        <f t="shared" si="83"/>
        <v>WHEN CEMPRESA='89' AND CBALCAO='0000' AND CNUMECTA='00008046601' AND ZDEPOSIT='000530000778027' THEN 'A.2.5.'</v>
      </c>
    </row>
    <row r="844" spans="2:13" x14ac:dyDescent="0.25">
      <c r="B844" s="1" t="s">
        <v>45</v>
      </c>
      <c r="C844" s="1" t="s">
        <v>46</v>
      </c>
      <c r="D844" s="1" t="s">
        <v>1133</v>
      </c>
      <c r="E844" s="1" t="s">
        <v>48</v>
      </c>
      <c r="F844" s="1">
        <v>1</v>
      </c>
      <c r="G844" s="1" t="s">
        <v>60</v>
      </c>
      <c r="H844" s="1" t="str">
        <f t="shared" si="78"/>
        <v xml:space="preserve">CEMPRESA='31' </v>
      </c>
      <c r="I844" s="1" t="str">
        <f t="shared" si="79"/>
        <v xml:space="preserve">AND CBALCAO='0003' </v>
      </c>
      <c r="J844" s="1" t="str">
        <f t="shared" si="80"/>
        <v xml:space="preserve">AND CNUMECTA='20458807096' </v>
      </c>
      <c r="K844" s="1" t="str">
        <f t="shared" si="81"/>
        <v xml:space="preserve">AND ZDEPOSIT='000000000000000' </v>
      </c>
      <c r="L844" s="1" t="str">
        <f t="shared" si="82"/>
        <v>WHEN CEMPRESA='31' AND CBALCAO='0003' AND CNUMECTA='20458807096' AND ZDEPOSIT='000000000000000' THEN 1</v>
      </c>
      <c r="M844" s="1" t="str">
        <f t="shared" si="83"/>
        <v>WHEN CEMPRESA='31' AND CBALCAO='0003' AND CNUMECTA='20458807096' AND ZDEPOSIT='000000000000000' THEN 'A.3.7.'</v>
      </c>
    </row>
    <row r="845" spans="2:13" x14ac:dyDescent="0.25">
      <c r="B845" s="1" t="s">
        <v>54</v>
      </c>
      <c r="C845" s="1" t="s">
        <v>55</v>
      </c>
      <c r="D845" s="1" t="s">
        <v>1134</v>
      </c>
      <c r="E845" s="1" t="s">
        <v>1135</v>
      </c>
      <c r="F845" s="1">
        <v>1</v>
      </c>
      <c r="G845" s="1" t="s">
        <v>58</v>
      </c>
      <c r="H845" s="1" t="str">
        <f t="shared" si="78"/>
        <v xml:space="preserve">CEMPRESA='89' </v>
      </c>
      <c r="I845" s="1" t="str">
        <f t="shared" si="79"/>
        <v xml:space="preserve">AND CBALCAO='0000' </v>
      </c>
      <c r="J845" s="1" t="str">
        <f t="shared" si="80"/>
        <v xml:space="preserve">AND CNUMECTA='00000250096' </v>
      </c>
      <c r="K845" s="1" t="str">
        <f t="shared" si="81"/>
        <v xml:space="preserve">AND ZDEPOSIT='000450000730739' </v>
      </c>
      <c r="L845" s="1" t="str">
        <f t="shared" si="82"/>
        <v>WHEN CEMPRESA='89' AND CBALCAO='0000' AND CNUMECTA='00000250096' AND ZDEPOSIT='000450000730739' THEN 1</v>
      </c>
      <c r="M845" s="1" t="str">
        <f t="shared" si="83"/>
        <v>WHEN CEMPRESA='89' AND CBALCAO='0000' AND CNUMECTA='00000250096' AND ZDEPOSIT='000450000730739' THEN 'A.2.5.'</v>
      </c>
    </row>
    <row r="846" spans="2:13" x14ac:dyDescent="0.25">
      <c r="B846" s="1" t="s">
        <v>54</v>
      </c>
      <c r="C846" s="1" t="s">
        <v>55</v>
      </c>
      <c r="D846" s="1" t="s">
        <v>1136</v>
      </c>
      <c r="E846" s="1" t="s">
        <v>1137</v>
      </c>
      <c r="F846" s="1">
        <v>1</v>
      </c>
      <c r="G846" s="1" t="s">
        <v>58</v>
      </c>
      <c r="H846" s="1" t="str">
        <f t="shared" si="78"/>
        <v xml:space="preserve">CEMPRESA='89' </v>
      </c>
      <c r="I846" s="1" t="str">
        <f t="shared" si="79"/>
        <v xml:space="preserve">AND CBALCAO='0000' </v>
      </c>
      <c r="J846" s="1" t="str">
        <f t="shared" si="80"/>
        <v xml:space="preserve">AND CNUMECTA='00000249848' </v>
      </c>
      <c r="K846" s="1" t="str">
        <f t="shared" si="81"/>
        <v xml:space="preserve">AND ZDEPOSIT='000450000476492' </v>
      </c>
      <c r="L846" s="1" t="str">
        <f t="shared" si="82"/>
        <v>WHEN CEMPRESA='89' AND CBALCAO='0000' AND CNUMECTA='00000249848' AND ZDEPOSIT='000450000476492' THEN 1</v>
      </c>
      <c r="M846" s="1" t="str">
        <f t="shared" si="83"/>
        <v>WHEN CEMPRESA='89' AND CBALCAO='0000' AND CNUMECTA='00000249848' AND ZDEPOSIT='000450000476492' THEN 'A.2.5.'</v>
      </c>
    </row>
    <row r="847" spans="2:13" x14ac:dyDescent="0.25">
      <c r="B847" s="1" t="s">
        <v>45</v>
      </c>
      <c r="C847" s="1" t="s">
        <v>114</v>
      </c>
      <c r="D847" s="1" t="s">
        <v>115</v>
      </c>
      <c r="E847" s="1" t="s">
        <v>1138</v>
      </c>
      <c r="F847" s="1">
        <v>1</v>
      </c>
      <c r="G847" s="1" t="s">
        <v>117</v>
      </c>
      <c r="H847" s="1" t="str">
        <f t="shared" si="78"/>
        <v xml:space="preserve">CEMPRESA='31' </v>
      </c>
      <c r="I847" s="1" t="str">
        <f t="shared" si="79"/>
        <v xml:space="preserve">AND CBALCAO='6416' </v>
      </c>
      <c r="J847" s="1" t="str">
        <f t="shared" si="80"/>
        <v xml:space="preserve">AND CNUMECTA='00000001085' </v>
      </c>
      <c r="K847" s="1" t="str">
        <f t="shared" si="81"/>
        <v xml:space="preserve">AND ZDEPOSIT='PC0648083000000' </v>
      </c>
      <c r="L847" s="1" t="str">
        <f t="shared" si="82"/>
        <v>WHEN CEMPRESA='31' AND CBALCAO='6416' AND CNUMECTA='00000001085' AND ZDEPOSIT='PC0648083000000' THEN 1</v>
      </c>
      <c r="M847" s="1" t="str">
        <f t="shared" si="83"/>
        <v>WHEN CEMPRESA='31' AND CBALCAO='6416' AND CNUMECTA='00000001085' AND ZDEPOSIT='PC0648083000000' THEN 'Sustainability Linked Finance - Default'</v>
      </c>
    </row>
    <row r="848" spans="2:13" x14ac:dyDescent="0.25">
      <c r="B848" s="1" t="s">
        <v>54</v>
      </c>
      <c r="C848" s="1" t="s">
        <v>55</v>
      </c>
      <c r="D848" s="1" t="s">
        <v>1139</v>
      </c>
      <c r="E848" s="1" t="s">
        <v>1140</v>
      </c>
      <c r="F848" s="1">
        <v>1</v>
      </c>
      <c r="G848" s="1" t="s">
        <v>58</v>
      </c>
      <c r="H848" s="1" t="str">
        <f t="shared" si="78"/>
        <v xml:space="preserve">CEMPRESA='89' </v>
      </c>
      <c r="I848" s="1" t="str">
        <f t="shared" si="79"/>
        <v xml:space="preserve">AND CBALCAO='0000' </v>
      </c>
      <c r="J848" s="1" t="str">
        <f t="shared" si="80"/>
        <v xml:space="preserve">AND CNUMECTA='00008046370' </v>
      </c>
      <c r="K848" s="1" t="str">
        <f t="shared" si="81"/>
        <v xml:space="preserve">AND ZDEPOSIT='000530000777185' </v>
      </c>
      <c r="L848" s="1" t="str">
        <f t="shared" si="82"/>
        <v>WHEN CEMPRESA='89' AND CBALCAO='0000' AND CNUMECTA='00008046370' AND ZDEPOSIT='000530000777185' THEN 1</v>
      </c>
      <c r="M848" s="1" t="str">
        <f t="shared" si="83"/>
        <v>WHEN CEMPRESA='89' AND CBALCAO='0000' AND CNUMECTA='00008046370' AND ZDEPOSIT='000530000777185' THEN 'A.2.5.'</v>
      </c>
    </row>
    <row r="849" spans="2:13" x14ac:dyDescent="0.25">
      <c r="B849" s="1" t="s">
        <v>45</v>
      </c>
      <c r="C849" s="1" t="s">
        <v>46</v>
      </c>
      <c r="D849" s="1" t="s">
        <v>1141</v>
      </c>
      <c r="E849" s="1" t="s">
        <v>48</v>
      </c>
      <c r="F849" s="1">
        <v>1</v>
      </c>
      <c r="G849" s="1" t="s">
        <v>60</v>
      </c>
      <c r="H849" s="1" t="str">
        <f t="shared" si="78"/>
        <v xml:space="preserve">CEMPRESA='31' </v>
      </c>
      <c r="I849" s="1" t="str">
        <f t="shared" si="79"/>
        <v xml:space="preserve">AND CBALCAO='0003' </v>
      </c>
      <c r="J849" s="1" t="str">
        <f t="shared" si="80"/>
        <v xml:space="preserve">AND CNUMECTA='20702659096' </v>
      </c>
      <c r="K849" s="1" t="str">
        <f t="shared" si="81"/>
        <v xml:space="preserve">AND ZDEPOSIT='000000000000000' </v>
      </c>
      <c r="L849" s="1" t="str">
        <f t="shared" si="82"/>
        <v>WHEN CEMPRESA='31' AND CBALCAO='0003' AND CNUMECTA='20702659096' AND ZDEPOSIT='000000000000000' THEN 1</v>
      </c>
      <c r="M849" s="1" t="str">
        <f t="shared" si="83"/>
        <v>WHEN CEMPRESA='31' AND CBALCAO='0003' AND CNUMECTA='20702659096' AND ZDEPOSIT='000000000000000' THEN 'A.3.7.'</v>
      </c>
    </row>
    <row r="850" spans="2:13" x14ac:dyDescent="0.25">
      <c r="B850" s="1" t="s">
        <v>45</v>
      </c>
      <c r="C850" s="1" t="s">
        <v>46</v>
      </c>
      <c r="D850" s="1" t="s">
        <v>1142</v>
      </c>
      <c r="E850" s="1" t="s">
        <v>48</v>
      </c>
      <c r="F850" s="1">
        <v>1</v>
      </c>
      <c r="G850" s="1" t="s">
        <v>51</v>
      </c>
      <c r="H850" s="1" t="str">
        <f t="shared" si="78"/>
        <v xml:space="preserve">CEMPRESA='31' </v>
      </c>
      <c r="I850" s="1" t="str">
        <f t="shared" si="79"/>
        <v xml:space="preserve">AND CBALCAO='0003' </v>
      </c>
      <c r="J850" s="1" t="str">
        <f t="shared" si="80"/>
        <v xml:space="preserve">AND CNUMECTA='20495825096' </v>
      </c>
      <c r="K850" s="1" t="str">
        <f t="shared" si="81"/>
        <v xml:space="preserve">AND ZDEPOSIT='000000000000000' </v>
      </c>
      <c r="L850" s="1" t="str">
        <f t="shared" si="82"/>
        <v>WHEN CEMPRESA='31' AND CBALCAO='0003' AND CNUMECTA='20495825096' AND ZDEPOSIT='000000000000000' THEN 1</v>
      </c>
      <c r="M850" s="1" t="str">
        <f t="shared" si="83"/>
        <v>WHEN CEMPRESA='31' AND CBALCAO='0003' AND CNUMECTA='20495825096' AND ZDEPOSIT='000000000000000' THEN 'B.1.'</v>
      </c>
    </row>
    <row r="851" spans="2:13" x14ac:dyDescent="0.25">
      <c r="B851" s="1" t="s">
        <v>54</v>
      </c>
      <c r="C851" s="1" t="s">
        <v>55</v>
      </c>
      <c r="D851" s="1" t="s">
        <v>1143</v>
      </c>
      <c r="E851" s="1" t="s">
        <v>1144</v>
      </c>
      <c r="F851" s="1">
        <v>1</v>
      </c>
      <c r="G851" s="1" t="s">
        <v>58</v>
      </c>
      <c r="H851" s="1" t="str">
        <f t="shared" si="78"/>
        <v xml:space="preserve">CEMPRESA='89' </v>
      </c>
      <c r="I851" s="1" t="str">
        <f t="shared" si="79"/>
        <v xml:space="preserve">AND CBALCAO='0000' </v>
      </c>
      <c r="J851" s="1" t="str">
        <f t="shared" si="80"/>
        <v xml:space="preserve">AND CNUMECTA='00008046462' </v>
      </c>
      <c r="K851" s="1" t="str">
        <f t="shared" si="81"/>
        <v xml:space="preserve">AND ZDEPOSIT='000530000700116' </v>
      </c>
      <c r="L851" s="1" t="str">
        <f t="shared" si="82"/>
        <v>WHEN CEMPRESA='89' AND CBALCAO='0000' AND CNUMECTA='00008046462' AND ZDEPOSIT='000530000700116' THEN 1</v>
      </c>
      <c r="M851" s="1" t="str">
        <f t="shared" si="83"/>
        <v>WHEN CEMPRESA='89' AND CBALCAO='0000' AND CNUMECTA='00008046462' AND ZDEPOSIT='000530000700116' THEN 'A.2.5.'</v>
      </c>
    </row>
    <row r="852" spans="2:13" x14ac:dyDescent="0.25">
      <c r="B852" s="1" t="s">
        <v>54</v>
      </c>
      <c r="C852" s="1" t="s">
        <v>55</v>
      </c>
      <c r="D852" s="1" t="s">
        <v>1145</v>
      </c>
      <c r="E852" s="1" t="s">
        <v>1146</v>
      </c>
      <c r="F852" s="1">
        <v>1</v>
      </c>
      <c r="G852" s="1" t="s">
        <v>58</v>
      </c>
      <c r="H852" s="1" t="str">
        <f t="shared" si="78"/>
        <v xml:space="preserve">CEMPRESA='89' </v>
      </c>
      <c r="I852" s="1" t="str">
        <f t="shared" si="79"/>
        <v xml:space="preserve">AND CBALCAO='0000' </v>
      </c>
      <c r="J852" s="1" t="str">
        <f t="shared" si="80"/>
        <v xml:space="preserve">AND CNUMECTA='00008046628' </v>
      </c>
      <c r="K852" s="1" t="str">
        <f t="shared" si="81"/>
        <v xml:space="preserve">AND ZDEPOSIT='000530000778514' </v>
      </c>
      <c r="L852" s="1" t="str">
        <f t="shared" si="82"/>
        <v>WHEN CEMPRESA='89' AND CBALCAO='0000' AND CNUMECTA='00008046628' AND ZDEPOSIT='000530000778514' THEN 1</v>
      </c>
      <c r="M852" s="1" t="str">
        <f t="shared" si="83"/>
        <v>WHEN CEMPRESA='89' AND CBALCAO='0000' AND CNUMECTA='00008046628' AND ZDEPOSIT='000530000778514' THEN 'A.2.5.'</v>
      </c>
    </row>
    <row r="853" spans="2:13" x14ac:dyDescent="0.25">
      <c r="B853" s="1" t="s">
        <v>45</v>
      </c>
      <c r="C853" s="1" t="s">
        <v>46</v>
      </c>
      <c r="D853" s="1" t="s">
        <v>1147</v>
      </c>
      <c r="E853" s="1" t="s">
        <v>48</v>
      </c>
      <c r="F853" s="1">
        <v>1</v>
      </c>
      <c r="G853" s="1" t="s">
        <v>60</v>
      </c>
      <c r="H853" s="1" t="str">
        <f t="shared" si="78"/>
        <v xml:space="preserve">CEMPRESA='31' </v>
      </c>
      <c r="I853" s="1" t="str">
        <f t="shared" si="79"/>
        <v xml:space="preserve">AND CBALCAO='0003' </v>
      </c>
      <c r="J853" s="1" t="str">
        <f t="shared" si="80"/>
        <v xml:space="preserve">AND CNUMECTA='20653407096' </v>
      </c>
      <c r="K853" s="1" t="str">
        <f t="shared" si="81"/>
        <v xml:space="preserve">AND ZDEPOSIT='000000000000000' </v>
      </c>
      <c r="L853" s="1" t="str">
        <f t="shared" si="82"/>
        <v>WHEN CEMPRESA='31' AND CBALCAO='0003' AND CNUMECTA='20653407096' AND ZDEPOSIT='000000000000000' THEN 1</v>
      </c>
      <c r="M853" s="1" t="str">
        <f t="shared" si="83"/>
        <v>WHEN CEMPRESA='31' AND CBALCAO='0003' AND CNUMECTA='20653407096' AND ZDEPOSIT='000000000000000' THEN 'A.3.7.'</v>
      </c>
    </row>
    <row r="854" spans="2:13" x14ac:dyDescent="0.25">
      <c r="B854" s="1" t="s">
        <v>45</v>
      </c>
      <c r="C854" s="1" t="s">
        <v>46</v>
      </c>
      <c r="D854" s="1" t="s">
        <v>1148</v>
      </c>
      <c r="E854" s="1" t="s">
        <v>48</v>
      </c>
      <c r="F854" s="1">
        <v>1</v>
      </c>
      <c r="G854" s="1" t="s">
        <v>60</v>
      </c>
      <c r="H854" s="1" t="str">
        <f t="shared" si="78"/>
        <v xml:space="preserve">CEMPRESA='31' </v>
      </c>
      <c r="I854" s="1" t="str">
        <f t="shared" si="79"/>
        <v xml:space="preserve">AND CBALCAO='0003' </v>
      </c>
      <c r="J854" s="1" t="str">
        <f t="shared" si="80"/>
        <v xml:space="preserve">AND CNUMECTA='20552252096' </v>
      </c>
      <c r="K854" s="1" t="str">
        <f t="shared" si="81"/>
        <v xml:space="preserve">AND ZDEPOSIT='000000000000000' </v>
      </c>
      <c r="L854" s="1" t="str">
        <f t="shared" si="82"/>
        <v>WHEN CEMPRESA='31' AND CBALCAO='0003' AND CNUMECTA='20552252096' AND ZDEPOSIT='000000000000000' THEN 1</v>
      </c>
      <c r="M854" s="1" t="str">
        <f t="shared" si="83"/>
        <v>WHEN CEMPRESA='31' AND CBALCAO='0003' AND CNUMECTA='20552252096' AND ZDEPOSIT='000000000000000' THEN 'A.3.7.'</v>
      </c>
    </row>
    <row r="855" spans="2:13" x14ac:dyDescent="0.25">
      <c r="B855" s="1" t="s">
        <v>45</v>
      </c>
      <c r="C855" s="1" t="s">
        <v>46</v>
      </c>
      <c r="D855" s="1" t="s">
        <v>1149</v>
      </c>
      <c r="E855" s="1" t="s">
        <v>48</v>
      </c>
      <c r="F855" s="1">
        <v>1</v>
      </c>
      <c r="G855" s="1" t="s">
        <v>60</v>
      </c>
      <c r="H855" s="1" t="str">
        <f t="shared" si="78"/>
        <v xml:space="preserve">CEMPRESA='31' </v>
      </c>
      <c r="I855" s="1" t="str">
        <f t="shared" si="79"/>
        <v xml:space="preserve">AND CBALCAO='0003' </v>
      </c>
      <c r="J855" s="1" t="str">
        <f t="shared" si="80"/>
        <v xml:space="preserve">AND CNUMECTA='20433081096' </v>
      </c>
      <c r="K855" s="1" t="str">
        <f t="shared" si="81"/>
        <v xml:space="preserve">AND ZDEPOSIT='000000000000000' </v>
      </c>
      <c r="L855" s="1" t="str">
        <f t="shared" si="82"/>
        <v>WHEN CEMPRESA='31' AND CBALCAO='0003' AND CNUMECTA='20433081096' AND ZDEPOSIT='000000000000000' THEN 1</v>
      </c>
      <c r="M855" s="1" t="str">
        <f t="shared" si="83"/>
        <v>WHEN CEMPRESA='31' AND CBALCAO='0003' AND CNUMECTA='20433081096' AND ZDEPOSIT='000000000000000' THEN 'A.3.7.'</v>
      </c>
    </row>
    <row r="856" spans="2:13" x14ac:dyDescent="0.25">
      <c r="B856" s="1" t="s">
        <v>45</v>
      </c>
      <c r="C856" s="1" t="s">
        <v>46</v>
      </c>
      <c r="D856" s="1" t="s">
        <v>1150</v>
      </c>
      <c r="E856" s="1" t="s">
        <v>48</v>
      </c>
      <c r="F856" s="1">
        <v>1</v>
      </c>
      <c r="G856" s="1" t="s">
        <v>60</v>
      </c>
      <c r="H856" s="1" t="str">
        <f t="shared" si="78"/>
        <v xml:space="preserve">CEMPRESA='31' </v>
      </c>
      <c r="I856" s="1" t="str">
        <f t="shared" si="79"/>
        <v xml:space="preserve">AND CBALCAO='0003' </v>
      </c>
      <c r="J856" s="1" t="str">
        <f t="shared" si="80"/>
        <v xml:space="preserve">AND CNUMECTA='20519731096' </v>
      </c>
      <c r="K856" s="1" t="str">
        <f t="shared" si="81"/>
        <v xml:space="preserve">AND ZDEPOSIT='000000000000000' </v>
      </c>
      <c r="L856" s="1" t="str">
        <f t="shared" si="82"/>
        <v>WHEN CEMPRESA='31' AND CBALCAO='0003' AND CNUMECTA='20519731096' AND ZDEPOSIT='000000000000000' THEN 1</v>
      </c>
      <c r="M856" s="1" t="str">
        <f t="shared" si="83"/>
        <v>WHEN CEMPRESA='31' AND CBALCAO='0003' AND CNUMECTA='20519731096' AND ZDEPOSIT='000000000000000' THEN 'A.3.7.'</v>
      </c>
    </row>
    <row r="857" spans="2:13" x14ac:dyDescent="0.25">
      <c r="B857" s="1" t="s">
        <v>45</v>
      </c>
      <c r="C857" s="1" t="s">
        <v>46</v>
      </c>
      <c r="D857" s="1" t="s">
        <v>1151</v>
      </c>
      <c r="E857" s="1" t="s">
        <v>48</v>
      </c>
      <c r="F857" s="1">
        <v>1</v>
      </c>
      <c r="G857" s="1" t="s">
        <v>60</v>
      </c>
      <c r="H857" s="1" t="str">
        <f t="shared" si="78"/>
        <v xml:space="preserve">CEMPRESA='31' </v>
      </c>
      <c r="I857" s="1" t="str">
        <f t="shared" si="79"/>
        <v xml:space="preserve">AND CBALCAO='0003' </v>
      </c>
      <c r="J857" s="1" t="str">
        <f t="shared" si="80"/>
        <v xml:space="preserve">AND CNUMECTA='20729751096' </v>
      </c>
      <c r="K857" s="1" t="str">
        <f t="shared" si="81"/>
        <v xml:space="preserve">AND ZDEPOSIT='000000000000000' </v>
      </c>
      <c r="L857" s="1" t="str">
        <f t="shared" si="82"/>
        <v>WHEN CEMPRESA='31' AND CBALCAO='0003' AND CNUMECTA='20729751096' AND ZDEPOSIT='000000000000000' THEN 1</v>
      </c>
      <c r="M857" s="1" t="str">
        <f t="shared" si="83"/>
        <v>WHEN CEMPRESA='31' AND CBALCAO='0003' AND CNUMECTA='20729751096' AND ZDEPOSIT='000000000000000' THEN 'A.3.7.'</v>
      </c>
    </row>
    <row r="858" spans="2:13" x14ac:dyDescent="0.25">
      <c r="B858" s="1" t="s">
        <v>45</v>
      </c>
      <c r="C858" s="1" t="s">
        <v>46</v>
      </c>
      <c r="D858" s="1" t="s">
        <v>1152</v>
      </c>
      <c r="E858" s="1" t="s">
        <v>48</v>
      </c>
      <c r="F858" s="1">
        <v>1</v>
      </c>
      <c r="G858" s="1" t="s">
        <v>60</v>
      </c>
      <c r="H858" s="1" t="str">
        <f t="shared" si="78"/>
        <v xml:space="preserve">CEMPRESA='31' </v>
      </c>
      <c r="I858" s="1" t="str">
        <f t="shared" si="79"/>
        <v xml:space="preserve">AND CBALCAO='0003' </v>
      </c>
      <c r="J858" s="1" t="str">
        <f t="shared" si="80"/>
        <v xml:space="preserve">AND CNUMECTA='20429162096' </v>
      </c>
      <c r="K858" s="1" t="str">
        <f t="shared" si="81"/>
        <v xml:space="preserve">AND ZDEPOSIT='000000000000000' </v>
      </c>
      <c r="L858" s="1" t="str">
        <f t="shared" si="82"/>
        <v>WHEN CEMPRESA='31' AND CBALCAO='0003' AND CNUMECTA='20429162096' AND ZDEPOSIT='000000000000000' THEN 1</v>
      </c>
      <c r="M858" s="1" t="str">
        <f t="shared" si="83"/>
        <v>WHEN CEMPRESA='31' AND CBALCAO='0003' AND CNUMECTA='20429162096' AND ZDEPOSIT='000000000000000' THEN 'A.3.7.'</v>
      </c>
    </row>
    <row r="859" spans="2:13" x14ac:dyDescent="0.25">
      <c r="B859" s="1" t="s">
        <v>45</v>
      </c>
      <c r="C859" s="1" t="s">
        <v>46</v>
      </c>
      <c r="D859" s="1" t="s">
        <v>1153</v>
      </c>
      <c r="E859" s="1" t="s">
        <v>48</v>
      </c>
      <c r="F859" s="1">
        <v>1</v>
      </c>
      <c r="G859" s="1" t="s">
        <v>60</v>
      </c>
      <c r="H859" s="1" t="str">
        <f t="shared" si="78"/>
        <v xml:space="preserve">CEMPRESA='31' </v>
      </c>
      <c r="I859" s="1" t="str">
        <f t="shared" si="79"/>
        <v xml:space="preserve">AND CBALCAO='0003' </v>
      </c>
      <c r="J859" s="1" t="str">
        <f t="shared" si="80"/>
        <v xml:space="preserve">AND CNUMECTA='20598479096' </v>
      </c>
      <c r="K859" s="1" t="str">
        <f t="shared" si="81"/>
        <v xml:space="preserve">AND ZDEPOSIT='000000000000000' </v>
      </c>
      <c r="L859" s="1" t="str">
        <f t="shared" si="82"/>
        <v>WHEN CEMPRESA='31' AND CBALCAO='0003' AND CNUMECTA='20598479096' AND ZDEPOSIT='000000000000000' THEN 1</v>
      </c>
      <c r="M859" s="1" t="str">
        <f t="shared" si="83"/>
        <v>WHEN CEMPRESA='31' AND CBALCAO='0003' AND CNUMECTA='20598479096' AND ZDEPOSIT='000000000000000' THEN 'A.3.7.'</v>
      </c>
    </row>
    <row r="860" spans="2:13" x14ac:dyDescent="0.25">
      <c r="B860" s="1" t="s">
        <v>54</v>
      </c>
      <c r="C860" s="1" t="s">
        <v>55</v>
      </c>
      <c r="D860" s="1" t="s">
        <v>1154</v>
      </c>
      <c r="E860" s="1" t="s">
        <v>1155</v>
      </c>
      <c r="F860" s="1">
        <v>1</v>
      </c>
      <c r="G860" s="1" t="s">
        <v>58</v>
      </c>
      <c r="H860" s="1" t="str">
        <f t="shared" si="78"/>
        <v xml:space="preserve">CEMPRESA='89' </v>
      </c>
      <c r="I860" s="1" t="str">
        <f t="shared" si="79"/>
        <v xml:space="preserve">AND CBALCAO='0000' </v>
      </c>
      <c r="J860" s="1" t="str">
        <f t="shared" si="80"/>
        <v xml:space="preserve">AND CNUMECTA='00008046498' </v>
      </c>
      <c r="K860" s="1" t="str">
        <f t="shared" si="81"/>
        <v xml:space="preserve">AND ZDEPOSIT='000530000469296' </v>
      </c>
      <c r="L860" s="1" t="str">
        <f t="shared" si="82"/>
        <v>WHEN CEMPRESA='89' AND CBALCAO='0000' AND CNUMECTA='00008046498' AND ZDEPOSIT='000530000469296' THEN 1</v>
      </c>
      <c r="M860" s="1" t="str">
        <f t="shared" si="83"/>
        <v>WHEN CEMPRESA='89' AND CBALCAO='0000' AND CNUMECTA='00008046498' AND ZDEPOSIT='000530000469296' THEN 'A.2.5.'</v>
      </c>
    </row>
    <row r="861" spans="2:13" x14ac:dyDescent="0.25">
      <c r="B861" s="1" t="s">
        <v>45</v>
      </c>
      <c r="C861" s="1" t="s">
        <v>46</v>
      </c>
      <c r="D861" s="1" t="s">
        <v>1156</v>
      </c>
      <c r="E861" s="1"/>
      <c r="F861" s="1">
        <v>1</v>
      </c>
      <c r="G861" s="1" t="s">
        <v>76</v>
      </c>
      <c r="H861" s="1" t="str">
        <f t="shared" si="78"/>
        <v xml:space="preserve">CEMPRESA='31' </v>
      </c>
      <c r="I861" s="1" t="str">
        <f t="shared" si="79"/>
        <v xml:space="preserve">AND CBALCAO='0003' </v>
      </c>
      <c r="J861" s="1" t="str">
        <f t="shared" si="80"/>
        <v xml:space="preserve">AND CNUMECTA='18584001097' </v>
      </c>
      <c r="K861" s="1" t="str">
        <f t="shared" si="81"/>
        <v/>
      </c>
      <c r="L861" s="1" t="str">
        <f t="shared" si="82"/>
        <v>WHEN CEMPRESA='31' AND CBALCAO='0003' AND CNUMECTA='18584001097' THEN 1</v>
      </c>
      <c r="M861" s="1" t="str">
        <f t="shared" si="83"/>
        <v>WHEN CEMPRESA='31' AND CBALCAO='0003' AND CNUMECTA='18584001097' THEN 'A.7.7.'</v>
      </c>
    </row>
    <row r="862" spans="2:13" x14ac:dyDescent="0.25">
      <c r="B862" s="1" t="s">
        <v>45</v>
      </c>
      <c r="C862" s="1" t="s">
        <v>46</v>
      </c>
      <c r="D862" s="1" t="s">
        <v>1157</v>
      </c>
      <c r="E862" s="1"/>
      <c r="F862" s="1">
        <v>1</v>
      </c>
      <c r="G862" s="1" t="s">
        <v>49</v>
      </c>
      <c r="H862" s="1" t="str">
        <f t="shared" si="78"/>
        <v xml:space="preserve">CEMPRESA='31' </v>
      </c>
      <c r="I862" s="1" t="str">
        <f t="shared" si="79"/>
        <v xml:space="preserve">AND CBALCAO='0003' </v>
      </c>
      <c r="J862" s="1" t="str">
        <f t="shared" si="80"/>
        <v xml:space="preserve">AND CNUMECTA='19540052096' </v>
      </c>
      <c r="K862" s="1" t="str">
        <f t="shared" si="81"/>
        <v/>
      </c>
      <c r="L862" s="1" t="str">
        <f t="shared" si="82"/>
        <v>WHEN CEMPRESA='31' AND CBALCAO='0003' AND CNUMECTA='19540052096' THEN 1</v>
      </c>
      <c r="M862" s="1" t="str">
        <f t="shared" si="83"/>
        <v>WHEN CEMPRESA='31' AND CBALCAO='0003' AND CNUMECTA='19540052096' THEN 'A.2.3.'</v>
      </c>
    </row>
    <row r="863" spans="2:13" x14ac:dyDescent="0.25">
      <c r="B863" s="1" t="s">
        <v>45</v>
      </c>
      <c r="C863" s="1" t="s">
        <v>46</v>
      </c>
      <c r="D863" s="1" t="s">
        <v>1158</v>
      </c>
      <c r="E863" s="1"/>
      <c r="F863" s="1">
        <v>1</v>
      </c>
      <c r="G863" s="1" t="s">
        <v>58</v>
      </c>
      <c r="H863" s="1" t="str">
        <f t="shared" si="78"/>
        <v xml:space="preserve">CEMPRESA='31' </v>
      </c>
      <c r="I863" s="1" t="str">
        <f t="shared" si="79"/>
        <v xml:space="preserve">AND CBALCAO='0003' </v>
      </c>
      <c r="J863" s="1" t="str">
        <f t="shared" si="80"/>
        <v xml:space="preserve">AND CNUMECTA='19484855096' </v>
      </c>
      <c r="K863" s="1" t="str">
        <f t="shared" si="81"/>
        <v/>
      </c>
      <c r="L863" s="1" t="str">
        <f t="shared" si="82"/>
        <v>WHEN CEMPRESA='31' AND CBALCAO='0003' AND CNUMECTA='19484855096' THEN 1</v>
      </c>
      <c r="M863" s="1" t="str">
        <f t="shared" si="83"/>
        <v>WHEN CEMPRESA='31' AND CBALCAO='0003' AND CNUMECTA='19484855096' THEN 'A.2.5.'</v>
      </c>
    </row>
    <row r="864" spans="2:13" x14ac:dyDescent="0.25">
      <c r="B864" s="1" t="s">
        <v>45</v>
      </c>
      <c r="C864" s="1" t="s">
        <v>46</v>
      </c>
      <c r="D864" s="1" t="s">
        <v>1159</v>
      </c>
      <c r="E864" s="1"/>
      <c r="F864" s="1">
        <v>1</v>
      </c>
      <c r="G864" s="1" t="s">
        <v>76</v>
      </c>
      <c r="H864" s="1" t="str">
        <f t="shared" si="78"/>
        <v xml:space="preserve">CEMPRESA='31' </v>
      </c>
      <c r="I864" s="1" t="str">
        <f t="shared" si="79"/>
        <v xml:space="preserve">AND CBALCAO='0003' </v>
      </c>
      <c r="J864" s="1" t="str">
        <f t="shared" si="80"/>
        <v xml:space="preserve">AND CNUMECTA='18580686097' </v>
      </c>
      <c r="K864" s="1" t="str">
        <f t="shared" si="81"/>
        <v/>
      </c>
      <c r="L864" s="1" t="str">
        <f t="shared" si="82"/>
        <v>WHEN CEMPRESA='31' AND CBALCAO='0003' AND CNUMECTA='18580686097' THEN 1</v>
      </c>
      <c r="M864" s="1" t="str">
        <f t="shared" si="83"/>
        <v>WHEN CEMPRESA='31' AND CBALCAO='0003' AND CNUMECTA='18580686097' THEN 'A.7.7.'</v>
      </c>
    </row>
    <row r="865" spans="2:13" x14ac:dyDescent="0.25">
      <c r="B865" s="1" t="s">
        <v>45</v>
      </c>
      <c r="C865" s="1" t="s">
        <v>46</v>
      </c>
      <c r="D865" s="1" t="s">
        <v>1160</v>
      </c>
      <c r="E865" s="1"/>
      <c r="F865" s="1">
        <v>1</v>
      </c>
      <c r="G865" s="1" t="s">
        <v>209</v>
      </c>
      <c r="H865" s="1" t="str">
        <f t="shared" si="78"/>
        <v xml:space="preserve">CEMPRESA='31' </v>
      </c>
      <c r="I865" s="1" t="str">
        <f t="shared" si="79"/>
        <v xml:space="preserve">AND CBALCAO='0003' </v>
      </c>
      <c r="J865" s="1" t="str">
        <f t="shared" si="80"/>
        <v xml:space="preserve">AND CNUMECTA='14206154096' </v>
      </c>
      <c r="K865" s="1" t="str">
        <f t="shared" si="81"/>
        <v/>
      </c>
      <c r="L865" s="1" t="str">
        <f t="shared" si="82"/>
        <v>WHEN CEMPRESA='31' AND CBALCAO='0003' AND CNUMECTA='14206154096' THEN 1</v>
      </c>
      <c r="M865" s="1" t="str">
        <f t="shared" si="83"/>
        <v>WHEN CEMPRESA='31' AND CBALCAO='0003' AND CNUMECTA='14206154096' THEN 'A.3.1.'</v>
      </c>
    </row>
    <row r="866" spans="2:13" x14ac:dyDescent="0.25">
      <c r="B866" s="1" t="s">
        <v>45</v>
      </c>
      <c r="C866" s="1" t="s">
        <v>46</v>
      </c>
      <c r="D866" s="1" t="s">
        <v>1161</v>
      </c>
      <c r="E866" s="1"/>
      <c r="F866" s="1">
        <v>1</v>
      </c>
      <c r="G866" s="1" t="s">
        <v>53</v>
      </c>
      <c r="H866" s="1" t="str">
        <f t="shared" si="78"/>
        <v xml:space="preserve">CEMPRESA='31' </v>
      </c>
      <c r="I866" s="1" t="str">
        <f t="shared" si="79"/>
        <v xml:space="preserve">AND CBALCAO='0003' </v>
      </c>
      <c r="J866" s="1" t="str">
        <f t="shared" si="80"/>
        <v xml:space="preserve">AND CNUMECTA='20398086096' </v>
      </c>
      <c r="K866" s="1" t="str">
        <f t="shared" si="81"/>
        <v/>
      </c>
      <c r="L866" s="1" t="str">
        <f t="shared" si="82"/>
        <v>WHEN CEMPRESA='31' AND CBALCAO='0003' AND CNUMECTA='20398086096' THEN 1</v>
      </c>
      <c r="M866" s="1" t="str">
        <f t="shared" si="83"/>
        <v>WHEN CEMPRESA='31' AND CBALCAO='0003' AND CNUMECTA='20398086096' THEN 'A.1.1.'</v>
      </c>
    </row>
    <row r="867" spans="2:13" x14ac:dyDescent="0.25">
      <c r="B867" s="1" t="s">
        <v>45</v>
      </c>
      <c r="C867" s="1" t="s">
        <v>46</v>
      </c>
      <c r="D867" s="1" t="s">
        <v>1162</v>
      </c>
      <c r="E867" s="1"/>
      <c r="F867" s="1">
        <v>1</v>
      </c>
      <c r="G867" s="1" t="s">
        <v>209</v>
      </c>
      <c r="H867" s="1" t="str">
        <f t="shared" si="78"/>
        <v xml:space="preserve">CEMPRESA='31' </v>
      </c>
      <c r="I867" s="1" t="str">
        <f t="shared" si="79"/>
        <v xml:space="preserve">AND CBALCAO='0003' </v>
      </c>
      <c r="J867" s="1" t="str">
        <f t="shared" si="80"/>
        <v xml:space="preserve">AND CNUMECTA='17789792096' </v>
      </c>
      <c r="K867" s="1" t="str">
        <f t="shared" si="81"/>
        <v/>
      </c>
      <c r="L867" s="1" t="str">
        <f t="shared" si="82"/>
        <v>WHEN CEMPRESA='31' AND CBALCAO='0003' AND CNUMECTA='17789792096' THEN 1</v>
      </c>
      <c r="M867" s="1" t="str">
        <f t="shared" si="83"/>
        <v>WHEN CEMPRESA='31' AND CBALCAO='0003' AND CNUMECTA='17789792096' THEN 'A.3.1.'</v>
      </c>
    </row>
    <row r="868" spans="2:13" x14ac:dyDescent="0.25">
      <c r="B868" s="1" t="s">
        <v>45</v>
      </c>
      <c r="C868" s="1" t="s">
        <v>46</v>
      </c>
      <c r="D868" s="1" t="s">
        <v>1163</v>
      </c>
      <c r="E868" s="1"/>
      <c r="F868" s="1">
        <v>1</v>
      </c>
      <c r="G868" s="1" t="s">
        <v>1164</v>
      </c>
      <c r="H868" s="1" t="str">
        <f t="shared" si="78"/>
        <v xml:space="preserve">CEMPRESA='31' </v>
      </c>
      <c r="I868" s="1" t="str">
        <f t="shared" si="79"/>
        <v xml:space="preserve">AND CBALCAO='0003' </v>
      </c>
      <c r="J868" s="1" t="str">
        <f t="shared" si="80"/>
        <v xml:space="preserve">AND CNUMECTA='15970188096' </v>
      </c>
      <c r="K868" s="1" t="str">
        <f t="shared" si="81"/>
        <v/>
      </c>
      <c r="L868" s="1" t="str">
        <f t="shared" si="82"/>
        <v>WHEN CEMPRESA='31' AND CBALCAO='0003' AND CNUMECTA='15970188096' THEN 1</v>
      </c>
      <c r="M868" s="1" t="str">
        <f t="shared" si="83"/>
        <v>WHEN CEMPRESA='31' AND CBALCAO='0003' AND CNUMECTA='15970188096' THEN 'A.1.5.'</v>
      </c>
    </row>
    <row r="869" spans="2:13" x14ac:dyDescent="0.25">
      <c r="B869" s="1" t="s">
        <v>45</v>
      </c>
      <c r="C869" s="1" t="s">
        <v>46</v>
      </c>
      <c r="D869" s="1" t="s">
        <v>1165</v>
      </c>
      <c r="E869" s="1"/>
      <c r="F869" s="1">
        <v>1</v>
      </c>
      <c r="G869" s="1" t="s">
        <v>76</v>
      </c>
      <c r="H869" s="1" t="str">
        <f t="shared" si="78"/>
        <v xml:space="preserve">CEMPRESA='31' </v>
      </c>
      <c r="I869" s="1" t="str">
        <f t="shared" si="79"/>
        <v xml:space="preserve">AND CBALCAO='0003' </v>
      </c>
      <c r="J869" s="1" t="str">
        <f t="shared" si="80"/>
        <v xml:space="preserve">AND CNUMECTA='18603074097' </v>
      </c>
      <c r="K869" s="1" t="str">
        <f t="shared" si="81"/>
        <v/>
      </c>
      <c r="L869" s="1" t="str">
        <f t="shared" si="82"/>
        <v>WHEN CEMPRESA='31' AND CBALCAO='0003' AND CNUMECTA='18603074097' THEN 1</v>
      </c>
      <c r="M869" s="1" t="str">
        <f t="shared" si="83"/>
        <v>WHEN CEMPRESA='31' AND CBALCAO='0003' AND CNUMECTA='18603074097' THEN 'A.7.7.'</v>
      </c>
    </row>
    <row r="870" spans="2:13" x14ac:dyDescent="0.25">
      <c r="B870" s="1" t="s">
        <v>54</v>
      </c>
      <c r="C870" s="1" t="s">
        <v>55</v>
      </c>
      <c r="D870" s="1" t="s">
        <v>1166</v>
      </c>
      <c r="E870" s="1"/>
      <c r="F870" s="1">
        <v>1</v>
      </c>
      <c r="G870" s="1" t="s">
        <v>53</v>
      </c>
      <c r="H870" s="1" t="str">
        <f t="shared" si="78"/>
        <v xml:space="preserve">CEMPRESA='89' </v>
      </c>
      <c r="I870" s="1" t="str">
        <f t="shared" si="79"/>
        <v xml:space="preserve">AND CBALCAO='0000' </v>
      </c>
      <c r="J870" s="1" t="str">
        <f t="shared" si="80"/>
        <v xml:space="preserve">AND CNUMECTA='20230000338' </v>
      </c>
      <c r="K870" s="1" t="str">
        <f t="shared" si="81"/>
        <v/>
      </c>
      <c r="L870" s="1" t="str">
        <f t="shared" si="82"/>
        <v>WHEN CEMPRESA='89' AND CBALCAO='0000' AND CNUMECTA='20230000338' THEN 1</v>
      </c>
      <c r="M870" s="1" t="str">
        <f t="shared" si="83"/>
        <v>WHEN CEMPRESA='89' AND CBALCAO='0000' AND CNUMECTA='20230000338' THEN 'A.1.1.'</v>
      </c>
    </row>
    <row r="871" spans="2:13" x14ac:dyDescent="0.25">
      <c r="B871" s="1" t="s">
        <v>45</v>
      </c>
      <c r="C871" s="1" t="s">
        <v>46</v>
      </c>
      <c r="D871" s="1" t="s">
        <v>1167</v>
      </c>
      <c r="E871" s="1"/>
      <c r="F871" s="1">
        <v>1</v>
      </c>
      <c r="G871" s="1" t="s">
        <v>53</v>
      </c>
      <c r="H871" s="1" t="str">
        <f t="shared" si="78"/>
        <v xml:space="preserve">CEMPRESA='31' </v>
      </c>
      <c r="I871" s="1" t="str">
        <f t="shared" si="79"/>
        <v xml:space="preserve">AND CBALCAO='0003' </v>
      </c>
      <c r="J871" s="1" t="str">
        <f t="shared" si="80"/>
        <v xml:space="preserve">AND CNUMECTA='19186658096' </v>
      </c>
      <c r="K871" s="1" t="str">
        <f t="shared" si="81"/>
        <v/>
      </c>
      <c r="L871" s="1" t="str">
        <f t="shared" si="82"/>
        <v>WHEN CEMPRESA='31' AND CBALCAO='0003' AND CNUMECTA='19186658096' THEN 1</v>
      </c>
      <c r="M871" s="1" t="str">
        <f t="shared" si="83"/>
        <v>WHEN CEMPRESA='31' AND CBALCAO='0003' AND CNUMECTA='19186658096' THEN 'A.1.1.'</v>
      </c>
    </row>
    <row r="872" spans="2:13" x14ac:dyDescent="0.25">
      <c r="B872" s="1" t="s">
        <v>45</v>
      </c>
      <c r="C872" s="1" t="s">
        <v>46</v>
      </c>
      <c r="D872" s="1" t="s">
        <v>1168</v>
      </c>
      <c r="E872" s="1"/>
      <c r="F872" s="1">
        <v>1</v>
      </c>
      <c r="G872" s="1" t="s">
        <v>209</v>
      </c>
      <c r="H872" s="1" t="str">
        <f t="shared" si="78"/>
        <v xml:space="preserve">CEMPRESA='31' </v>
      </c>
      <c r="I872" s="1" t="str">
        <f t="shared" si="79"/>
        <v xml:space="preserve">AND CBALCAO='0003' </v>
      </c>
      <c r="J872" s="1" t="str">
        <f t="shared" si="80"/>
        <v xml:space="preserve">AND CNUMECTA='18719830096' </v>
      </c>
      <c r="K872" s="1" t="str">
        <f t="shared" si="81"/>
        <v/>
      </c>
      <c r="L872" s="1" t="str">
        <f t="shared" si="82"/>
        <v>WHEN CEMPRESA='31' AND CBALCAO='0003' AND CNUMECTA='18719830096' THEN 1</v>
      </c>
      <c r="M872" s="1" t="str">
        <f t="shared" si="83"/>
        <v>WHEN CEMPRESA='31' AND CBALCAO='0003' AND CNUMECTA='18719830096' THEN 'A.3.1.'</v>
      </c>
    </row>
    <row r="873" spans="2:13" x14ac:dyDescent="0.25">
      <c r="B873" s="1" t="s">
        <v>45</v>
      </c>
      <c r="C873" s="1" t="s">
        <v>114</v>
      </c>
      <c r="D873" s="1" t="s">
        <v>1169</v>
      </c>
      <c r="E873" s="1"/>
      <c r="F873" s="1">
        <v>1</v>
      </c>
      <c r="G873" s="1" t="s">
        <v>1170</v>
      </c>
      <c r="H873" s="1" t="str">
        <f t="shared" si="78"/>
        <v xml:space="preserve">CEMPRESA='31' </v>
      </c>
      <c r="I873" s="1" t="str">
        <f t="shared" si="79"/>
        <v xml:space="preserve">AND CBALCAO='6416' </v>
      </c>
      <c r="J873" s="1" t="str">
        <f t="shared" si="80"/>
        <v xml:space="preserve">AND CNUMECTA='00000000918' </v>
      </c>
      <c r="K873" s="1" t="str">
        <f t="shared" si="81"/>
        <v/>
      </c>
      <c r="L873" s="1" t="str">
        <f t="shared" si="82"/>
        <v>WHEN CEMPRESA='31' AND CBALCAO='6416' AND CNUMECTA='00000000918' THEN 1</v>
      </c>
      <c r="M873" s="1" t="str">
        <f t="shared" si="83"/>
        <v>WHEN CEMPRESA='31' AND CBALCAO='6416' AND CNUMECTA='00000000918' THEN 'KPI Linked - Green'</v>
      </c>
    </row>
    <row r="874" spans="2:13" x14ac:dyDescent="0.25">
      <c r="B874" s="1" t="s">
        <v>45</v>
      </c>
      <c r="C874" s="1" t="s">
        <v>46</v>
      </c>
      <c r="D874" s="1" t="s">
        <v>1171</v>
      </c>
      <c r="E874" s="1"/>
      <c r="F874" s="1">
        <v>1</v>
      </c>
      <c r="G874" s="1" t="s">
        <v>209</v>
      </c>
      <c r="H874" s="1" t="str">
        <f t="shared" si="78"/>
        <v xml:space="preserve">CEMPRESA='31' </v>
      </c>
      <c r="I874" s="1" t="str">
        <f t="shared" si="79"/>
        <v xml:space="preserve">AND CBALCAO='0003' </v>
      </c>
      <c r="J874" s="1" t="str">
        <f t="shared" si="80"/>
        <v xml:space="preserve">AND CNUMECTA='18922996096' </v>
      </c>
      <c r="K874" s="1" t="str">
        <f t="shared" si="81"/>
        <v/>
      </c>
      <c r="L874" s="1" t="str">
        <f t="shared" si="82"/>
        <v>WHEN CEMPRESA='31' AND CBALCAO='0003' AND CNUMECTA='18922996096' THEN 1</v>
      </c>
      <c r="M874" s="1" t="str">
        <f t="shared" si="83"/>
        <v>WHEN CEMPRESA='31' AND CBALCAO='0003' AND CNUMECTA='18922996096' THEN 'A.3.1.'</v>
      </c>
    </row>
    <row r="875" spans="2:13" x14ac:dyDescent="0.25">
      <c r="B875" s="1" t="s">
        <v>45</v>
      </c>
      <c r="C875" s="1" t="s">
        <v>46</v>
      </c>
      <c r="D875" s="1" t="s">
        <v>1172</v>
      </c>
      <c r="E875" s="1"/>
      <c r="F875" s="1">
        <v>1</v>
      </c>
      <c r="G875" s="1" t="s">
        <v>53</v>
      </c>
      <c r="H875" s="1" t="str">
        <f t="shared" si="78"/>
        <v xml:space="preserve">CEMPRESA='31' </v>
      </c>
      <c r="I875" s="1" t="str">
        <f t="shared" si="79"/>
        <v xml:space="preserve">AND CBALCAO='0003' </v>
      </c>
      <c r="J875" s="1" t="str">
        <f t="shared" si="80"/>
        <v xml:space="preserve">AND CNUMECTA='17691576096' </v>
      </c>
      <c r="K875" s="1" t="str">
        <f t="shared" si="81"/>
        <v/>
      </c>
      <c r="L875" s="1" t="str">
        <f t="shared" si="82"/>
        <v>WHEN CEMPRESA='31' AND CBALCAO='0003' AND CNUMECTA='17691576096' THEN 1</v>
      </c>
      <c r="M875" s="1" t="str">
        <f t="shared" si="83"/>
        <v>WHEN CEMPRESA='31' AND CBALCAO='0003' AND CNUMECTA='17691576096' THEN 'A.1.1.'</v>
      </c>
    </row>
    <row r="876" spans="2:13" x14ac:dyDescent="0.25">
      <c r="B876" s="1" t="s">
        <v>54</v>
      </c>
      <c r="C876" s="1" t="s">
        <v>55</v>
      </c>
      <c r="D876" s="1" t="s">
        <v>1173</v>
      </c>
      <c r="E876" s="1"/>
      <c r="F876" s="1">
        <v>1</v>
      </c>
      <c r="G876" s="1" t="s">
        <v>1174</v>
      </c>
      <c r="H876" s="1" t="str">
        <f t="shared" si="78"/>
        <v xml:space="preserve">CEMPRESA='89' </v>
      </c>
      <c r="I876" s="1" t="str">
        <f t="shared" si="79"/>
        <v xml:space="preserve">AND CBALCAO='0000' </v>
      </c>
      <c r="J876" s="1" t="str">
        <f t="shared" si="80"/>
        <v xml:space="preserve">AND CNUMECTA='00000249673' </v>
      </c>
      <c r="K876" s="1" t="str">
        <f t="shared" si="81"/>
        <v/>
      </c>
      <c r="L876" s="1" t="str">
        <f t="shared" si="82"/>
        <v>WHEN CEMPRESA='89' AND CBALCAO='0000' AND CNUMECTA='00000249673' THEN 1</v>
      </c>
      <c r="M876" s="1" t="str">
        <f t="shared" si="83"/>
        <v>WHEN CEMPRESA='89' AND CBALCAO='0000' AND CNUMECTA='00000249673' THEN 'A.7.12.'</v>
      </c>
    </row>
    <row r="877" spans="2:13" x14ac:dyDescent="0.25">
      <c r="B877" s="1" t="s">
        <v>45</v>
      </c>
      <c r="C877" s="1" t="s">
        <v>46</v>
      </c>
      <c r="D877" s="1" t="s">
        <v>1175</v>
      </c>
      <c r="E877" s="1"/>
      <c r="F877" s="1">
        <v>1</v>
      </c>
      <c r="G877" s="1" t="s">
        <v>76</v>
      </c>
      <c r="H877" s="1" t="str">
        <f t="shared" si="78"/>
        <v xml:space="preserve">CEMPRESA='31' </v>
      </c>
      <c r="I877" s="1" t="str">
        <f t="shared" si="79"/>
        <v xml:space="preserve">AND CBALCAO='0003' </v>
      </c>
      <c r="J877" s="1" t="str">
        <f t="shared" si="80"/>
        <v xml:space="preserve">AND CNUMECTA='18579522097' </v>
      </c>
      <c r="K877" s="1" t="str">
        <f t="shared" si="81"/>
        <v/>
      </c>
      <c r="L877" s="1" t="str">
        <f t="shared" si="82"/>
        <v>WHEN CEMPRESA='31' AND CBALCAO='0003' AND CNUMECTA='18579522097' THEN 1</v>
      </c>
      <c r="M877" s="1" t="str">
        <f t="shared" si="83"/>
        <v>WHEN CEMPRESA='31' AND CBALCAO='0003' AND CNUMECTA='18579522097' THEN 'A.7.7.'</v>
      </c>
    </row>
    <row r="878" spans="2:13" x14ac:dyDescent="0.25">
      <c r="B878" s="1" t="s">
        <v>45</v>
      </c>
      <c r="C878" s="1" t="s">
        <v>46</v>
      </c>
      <c r="D878" s="1" t="s">
        <v>1176</v>
      </c>
      <c r="E878" s="1"/>
      <c r="F878" s="1">
        <v>1</v>
      </c>
      <c r="G878" s="1" t="s">
        <v>76</v>
      </c>
      <c r="H878" s="1" t="str">
        <f t="shared" si="78"/>
        <v xml:space="preserve">CEMPRESA='31' </v>
      </c>
      <c r="I878" s="1" t="str">
        <f t="shared" si="79"/>
        <v xml:space="preserve">AND CBALCAO='0003' </v>
      </c>
      <c r="J878" s="1" t="str">
        <f t="shared" si="80"/>
        <v xml:space="preserve">AND CNUMECTA='18578946097' </v>
      </c>
      <c r="K878" s="1" t="str">
        <f t="shared" si="81"/>
        <v/>
      </c>
      <c r="L878" s="1" t="str">
        <f t="shared" si="82"/>
        <v>WHEN CEMPRESA='31' AND CBALCAO='0003' AND CNUMECTA='18578946097' THEN 1</v>
      </c>
      <c r="M878" s="1" t="str">
        <f t="shared" si="83"/>
        <v>WHEN CEMPRESA='31' AND CBALCAO='0003' AND CNUMECTA='18578946097' THEN 'A.7.7.'</v>
      </c>
    </row>
    <row r="879" spans="2:13" x14ac:dyDescent="0.25">
      <c r="B879" s="1" t="s">
        <v>45</v>
      </c>
      <c r="C879" s="1" t="s">
        <v>46</v>
      </c>
      <c r="D879" s="1" t="s">
        <v>1177</v>
      </c>
      <c r="E879" s="1"/>
      <c r="F879" s="1">
        <v>1</v>
      </c>
      <c r="G879" s="1" t="s">
        <v>76</v>
      </c>
      <c r="H879" s="1" t="str">
        <f t="shared" si="78"/>
        <v xml:space="preserve">CEMPRESA='31' </v>
      </c>
      <c r="I879" s="1" t="str">
        <f t="shared" si="79"/>
        <v xml:space="preserve">AND CBALCAO='0003' </v>
      </c>
      <c r="J879" s="1" t="str">
        <f t="shared" si="80"/>
        <v xml:space="preserve">AND CNUMECTA='17776336096' </v>
      </c>
      <c r="K879" s="1" t="str">
        <f t="shared" si="81"/>
        <v/>
      </c>
      <c r="L879" s="1" t="str">
        <f t="shared" si="82"/>
        <v>WHEN CEMPRESA='31' AND CBALCAO='0003' AND CNUMECTA='17776336096' THEN 1</v>
      </c>
      <c r="M879" s="1" t="str">
        <f t="shared" si="83"/>
        <v>WHEN CEMPRESA='31' AND CBALCAO='0003' AND CNUMECTA='17776336096' THEN 'A.7.7.'</v>
      </c>
    </row>
    <row r="880" spans="2:13" x14ac:dyDescent="0.25">
      <c r="B880" s="1" t="s">
        <v>54</v>
      </c>
      <c r="C880" s="1" t="s">
        <v>55</v>
      </c>
      <c r="D880" s="1" t="s">
        <v>1178</v>
      </c>
      <c r="E880" s="1"/>
      <c r="F880" s="1">
        <v>1</v>
      </c>
      <c r="G880" s="1" t="s">
        <v>49</v>
      </c>
      <c r="H880" s="1" t="str">
        <f t="shared" si="78"/>
        <v xml:space="preserve">CEMPRESA='89' </v>
      </c>
      <c r="I880" s="1" t="str">
        <f t="shared" si="79"/>
        <v xml:space="preserve">AND CBALCAO='0000' </v>
      </c>
      <c r="J880" s="1" t="str">
        <f t="shared" si="80"/>
        <v xml:space="preserve">AND CNUMECTA='20240000069' </v>
      </c>
      <c r="K880" s="1" t="str">
        <f t="shared" si="81"/>
        <v/>
      </c>
      <c r="L880" s="1" t="str">
        <f t="shared" si="82"/>
        <v>WHEN CEMPRESA='89' AND CBALCAO='0000' AND CNUMECTA='20240000069' THEN 1</v>
      </c>
      <c r="M880" s="1" t="str">
        <f t="shared" si="83"/>
        <v>WHEN CEMPRESA='89' AND CBALCAO='0000' AND CNUMECTA='20240000069' THEN 'A.2.3.'</v>
      </c>
    </row>
    <row r="881" spans="2:13" x14ac:dyDescent="0.25">
      <c r="B881" s="1" t="s">
        <v>45</v>
      </c>
      <c r="C881" s="1" t="s">
        <v>46</v>
      </c>
      <c r="D881" s="1" t="s">
        <v>1179</v>
      </c>
      <c r="E881" s="1"/>
      <c r="F881" s="1">
        <v>1</v>
      </c>
      <c r="G881" s="1" t="s">
        <v>49</v>
      </c>
      <c r="H881" s="1" t="str">
        <f t="shared" si="78"/>
        <v xml:space="preserve">CEMPRESA='31' </v>
      </c>
      <c r="I881" s="1" t="str">
        <f t="shared" si="79"/>
        <v xml:space="preserve">AND CBALCAO='0003' </v>
      </c>
      <c r="J881" s="1" t="str">
        <f t="shared" si="80"/>
        <v xml:space="preserve">AND CNUMECTA='19279693096' </v>
      </c>
      <c r="K881" s="1" t="str">
        <f t="shared" si="81"/>
        <v/>
      </c>
      <c r="L881" s="1" t="str">
        <f t="shared" si="82"/>
        <v>WHEN CEMPRESA='31' AND CBALCAO='0003' AND CNUMECTA='19279693096' THEN 1</v>
      </c>
      <c r="M881" s="1" t="str">
        <f t="shared" si="83"/>
        <v>WHEN CEMPRESA='31' AND CBALCAO='0003' AND CNUMECTA='19279693096' THEN 'A.2.3.'</v>
      </c>
    </row>
    <row r="882" spans="2:13" x14ac:dyDescent="0.25">
      <c r="B882" s="1" t="s">
        <v>45</v>
      </c>
      <c r="C882" s="1" t="s">
        <v>187</v>
      </c>
      <c r="D882" s="1" t="s">
        <v>1180</v>
      </c>
      <c r="E882" s="1"/>
      <c r="F882" s="1">
        <v>1</v>
      </c>
      <c r="G882" s="1" t="s">
        <v>53</v>
      </c>
      <c r="H882" s="1" t="str">
        <f t="shared" si="78"/>
        <v xml:space="preserve">CEMPRESA='31' </v>
      </c>
      <c r="I882" s="1" t="str">
        <f t="shared" si="79"/>
        <v xml:space="preserve">AND CBALCAO='6636' </v>
      </c>
      <c r="J882" s="1" t="str">
        <f t="shared" si="80"/>
        <v xml:space="preserve">AND CNUMECTA='00380030582' </v>
      </c>
      <c r="K882" s="1" t="str">
        <f t="shared" si="81"/>
        <v/>
      </c>
      <c r="L882" s="1" t="str">
        <f t="shared" si="82"/>
        <v>WHEN CEMPRESA='31' AND CBALCAO='6636' AND CNUMECTA='00380030582' THEN 1</v>
      </c>
      <c r="M882" s="1" t="str">
        <f t="shared" si="83"/>
        <v>WHEN CEMPRESA='31' AND CBALCAO='6636' AND CNUMECTA='00380030582' THEN 'A.1.1.'</v>
      </c>
    </row>
    <row r="883" spans="2:13" x14ac:dyDescent="0.25">
      <c r="B883" s="1" t="s">
        <v>45</v>
      </c>
      <c r="C883" s="1" t="s">
        <v>46</v>
      </c>
      <c r="D883" s="1" t="s">
        <v>1181</v>
      </c>
      <c r="E883" s="1"/>
      <c r="F883" s="1" t="s">
        <v>1182</v>
      </c>
      <c r="G883" s="1" t="s">
        <v>53</v>
      </c>
      <c r="H883" s="1" t="str">
        <f t="shared" si="78"/>
        <v xml:space="preserve">CEMPRESA='31' </v>
      </c>
      <c r="I883" s="1" t="str">
        <f t="shared" si="79"/>
        <v xml:space="preserve">AND CBALCAO='0003' </v>
      </c>
      <c r="J883" s="1" t="str">
        <f t="shared" si="80"/>
        <v xml:space="preserve">AND CNUMECTA='15866485096' </v>
      </c>
      <c r="K883" s="1" t="str">
        <f t="shared" si="81"/>
        <v/>
      </c>
      <c r="L883" s="1" t="str">
        <f t="shared" si="82"/>
        <v>WHEN CEMPRESA='31' AND CBALCAO='0003' AND CNUMECTA='15866485096' THEN 0.7</v>
      </c>
      <c r="M883" s="1" t="str">
        <f t="shared" si="83"/>
        <v>WHEN CEMPRESA='31' AND CBALCAO='0003' AND CNUMECTA='15866485096' THEN 'A.1.1.'</v>
      </c>
    </row>
    <row r="884" spans="2:13" x14ac:dyDescent="0.25">
      <c r="B884" s="1" t="s">
        <v>45</v>
      </c>
      <c r="C884" s="1" t="s">
        <v>46</v>
      </c>
      <c r="D884" s="1" t="s">
        <v>1183</v>
      </c>
      <c r="E884" s="1"/>
      <c r="F884" s="1">
        <v>1</v>
      </c>
      <c r="G884" s="1" t="s">
        <v>209</v>
      </c>
      <c r="H884" s="1" t="str">
        <f t="shared" si="78"/>
        <v xml:space="preserve">CEMPRESA='31' </v>
      </c>
      <c r="I884" s="1" t="str">
        <f t="shared" si="79"/>
        <v xml:space="preserve">AND CBALCAO='0003' </v>
      </c>
      <c r="J884" s="1" t="str">
        <f t="shared" si="80"/>
        <v xml:space="preserve">AND CNUMECTA='17615609096' </v>
      </c>
      <c r="K884" s="1" t="str">
        <f t="shared" si="81"/>
        <v/>
      </c>
      <c r="L884" s="1" t="str">
        <f t="shared" si="82"/>
        <v>WHEN CEMPRESA='31' AND CBALCAO='0003' AND CNUMECTA='17615609096' THEN 1</v>
      </c>
      <c r="M884" s="1" t="str">
        <f t="shared" si="83"/>
        <v>WHEN CEMPRESA='31' AND CBALCAO='0003' AND CNUMECTA='17615609096' THEN 'A.3.1.'</v>
      </c>
    </row>
    <row r="885" spans="2:13" x14ac:dyDescent="0.25">
      <c r="B885" s="1" t="s">
        <v>45</v>
      </c>
      <c r="C885" s="1" t="s">
        <v>46</v>
      </c>
      <c r="D885" s="1" t="s">
        <v>1184</v>
      </c>
      <c r="E885" s="1"/>
      <c r="F885" s="1">
        <v>1</v>
      </c>
      <c r="G885" s="1" t="s">
        <v>76</v>
      </c>
      <c r="H885" s="1" t="str">
        <f t="shared" si="78"/>
        <v xml:space="preserve">CEMPRESA='31' </v>
      </c>
      <c r="I885" s="1" t="str">
        <f t="shared" si="79"/>
        <v xml:space="preserve">AND CBALCAO='0003' </v>
      </c>
      <c r="J885" s="1" t="str">
        <f t="shared" si="80"/>
        <v xml:space="preserve">AND CNUMECTA='18587996097' </v>
      </c>
      <c r="K885" s="1" t="str">
        <f t="shared" si="81"/>
        <v/>
      </c>
      <c r="L885" s="1" t="str">
        <f t="shared" si="82"/>
        <v>WHEN CEMPRESA='31' AND CBALCAO='0003' AND CNUMECTA='18587996097' THEN 1</v>
      </c>
      <c r="M885" s="1" t="str">
        <f t="shared" si="83"/>
        <v>WHEN CEMPRESA='31' AND CBALCAO='0003' AND CNUMECTA='18587996097' THEN 'A.7.7.'</v>
      </c>
    </row>
    <row r="886" spans="2:13" x14ac:dyDescent="0.25">
      <c r="B886" s="1" t="s">
        <v>45</v>
      </c>
      <c r="C886" s="1" t="s">
        <v>46</v>
      </c>
      <c r="D886" s="1" t="s">
        <v>1185</v>
      </c>
      <c r="E886" s="1"/>
      <c r="F886" s="1">
        <v>1</v>
      </c>
      <c r="G886" s="1" t="s">
        <v>76</v>
      </c>
      <c r="H886" s="1" t="str">
        <f t="shared" si="78"/>
        <v xml:space="preserve">CEMPRESA='31' </v>
      </c>
      <c r="I886" s="1" t="str">
        <f t="shared" si="79"/>
        <v xml:space="preserve">AND CBALCAO='0003' </v>
      </c>
      <c r="J886" s="1" t="str">
        <f t="shared" si="80"/>
        <v xml:space="preserve">AND CNUMECTA='18584530097' </v>
      </c>
      <c r="K886" s="1" t="str">
        <f t="shared" si="81"/>
        <v/>
      </c>
      <c r="L886" s="1" t="str">
        <f t="shared" si="82"/>
        <v>WHEN CEMPRESA='31' AND CBALCAO='0003' AND CNUMECTA='18584530097' THEN 1</v>
      </c>
      <c r="M886" s="1" t="str">
        <f t="shared" si="83"/>
        <v>WHEN CEMPRESA='31' AND CBALCAO='0003' AND CNUMECTA='18584530097' THEN 'A.7.7.'</v>
      </c>
    </row>
    <row r="887" spans="2:13" x14ac:dyDescent="0.25">
      <c r="B887" s="1" t="s">
        <v>45</v>
      </c>
      <c r="C887" s="1" t="s">
        <v>46</v>
      </c>
      <c r="D887" s="1" t="s">
        <v>1186</v>
      </c>
      <c r="E887" s="1"/>
      <c r="F887" s="1">
        <v>1</v>
      </c>
      <c r="G887" s="1" t="s">
        <v>76</v>
      </c>
      <c r="H887" s="1" t="str">
        <f t="shared" si="78"/>
        <v xml:space="preserve">CEMPRESA='31' </v>
      </c>
      <c r="I887" s="1" t="str">
        <f t="shared" si="79"/>
        <v xml:space="preserve">AND CBALCAO='0003' </v>
      </c>
      <c r="J887" s="1" t="str">
        <f t="shared" si="80"/>
        <v xml:space="preserve">AND CNUMECTA='17985283096' </v>
      </c>
      <c r="K887" s="1" t="str">
        <f t="shared" si="81"/>
        <v/>
      </c>
      <c r="L887" s="1" t="str">
        <f t="shared" si="82"/>
        <v>WHEN CEMPRESA='31' AND CBALCAO='0003' AND CNUMECTA='17985283096' THEN 1</v>
      </c>
      <c r="M887" s="1" t="str">
        <f t="shared" si="83"/>
        <v>WHEN CEMPRESA='31' AND CBALCAO='0003' AND CNUMECTA='17985283096' THEN 'A.7.7.'</v>
      </c>
    </row>
    <row r="888" spans="2:13" x14ac:dyDescent="0.25">
      <c r="B888" s="1" t="s">
        <v>45</v>
      </c>
      <c r="C888" s="1" t="s">
        <v>46</v>
      </c>
      <c r="D888" s="1" t="s">
        <v>1187</v>
      </c>
      <c r="E888" s="1"/>
      <c r="F888" s="1">
        <v>1</v>
      </c>
      <c r="G888" s="1" t="s">
        <v>76</v>
      </c>
      <c r="H888" s="1" t="str">
        <f t="shared" si="78"/>
        <v xml:space="preserve">CEMPRESA='31' </v>
      </c>
      <c r="I888" s="1" t="str">
        <f t="shared" si="79"/>
        <v xml:space="preserve">AND CBALCAO='0003' </v>
      </c>
      <c r="J888" s="1" t="str">
        <f t="shared" si="80"/>
        <v xml:space="preserve">AND CNUMECTA='18587970097' </v>
      </c>
      <c r="K888" s="1" t="str">
        <f t="shared" si="81"/>
        <v/>
      </c>
      <c r="L888" s="1" t="str">
        <f t="shared" si="82"/>
        <v>WHEN CEMPRESA='31' AND CBALCAO='0003' AND CNUMECTA='18587970097' THEN 1</v>
      </c>
      <c r="M888" s="1" t="str">
        <f t="shared" si="83"/>
        <v>WHEN CEMPRESA='31' AND CBALCAO='0003' AND CNUMECTA='18587970097' THEN 'A.7.7.'</v>
      </c>
    </row>
    <row r="889" spans="2:13" x14ac:dyDescent="0.25">
      <c r="B889" s="1" t="s">
        <v>45</v>
      </c>
      <c r="C889" s="1" t="s">
        <v>46</v>
      </c>
      <c r="D889" s="1" t="s">
        <v>1188</v>
      </c>
      <c r="E889" s="1"/>
      <c r="F889" s="1">
        <v>1</v>
      </c>
      <c r="G889" s="1" t="s">
        <v>209</v>
      </c>
      <c r="H889" s="1" t="str">
        <f t="shared" si="78"/>
        <v xml:space="preserve">CEMPRESA='31' </v>
      </c>
      <c r="I889" s="1" t="str">
        <f t="shared" si="79"/>
        <v xml:space="preserve">AND CBALCAO='0003' </v>
      </c>
      <c r="J889" s="1" t="str">
        <f t="shared" si="80"/>
        <v xml:space="preserve">AND CNUMECTA='14246804096' </v>
      </c>
      <c r="K889" s="1" t="str">
        <f t="shared" si="81"/>
        <v/>
      </c>
      <c r="L889" s="1" t="str">
        <f t="shared" si="82"/>
        <v>WHEN CEMPRESA='31' AND CBALCAO='0003' AND CNUMECTA='14246804096' THEN 1</v>
      </c>
      <c r="M889" s="1" t="str">
        <f t="shared" si="83"/>
        <v>WHEN CEMPRESA='31' AND CBALCAO='0003' AND CNUMECTA='14246804096' THEN 'A.3.1.'</v>
      </c>
    </row>
    <row r="890" spans="2:13" x14ac:dyDescent="0.25">
      <c r="B890" s="1" t="s">
        <v>45</v>
      </c>
      <c r="C890" s="1" t="s">
        <v>46</v>
      </c>
      <c r="D890" s="1" t="s">
        <v>1189</v>
      </c>
      <c r="E890" s="1"/>
      <c r="F890" s="1">
        <v>1</v>
      </c>
      <c r="G890" s="1" t="s">
        <v>76</v>
      </c>
      <c r="H890" s="1" t="str">
        <f t="shared" si="78"/>
        <v xml:space="preserve">CEMPRESA='31' </v>
      </c>
      <c r="I890" s="1" t="str">
        <f t="shared" si="79"/>
        <v xml:space="preserve">AND CBALCAO='0003' </v>
      </c>
      <c r="J890" s="1" t="str">
        <f t="shared" si="80"/>
        <v xml:space="preserve">AND CNUMECTA='18609295097' </v>
      </c>
      <c r="K890" s="1" t="str">
        <f t="shared" si="81"/>
        <v/>
      </c>
      <c r="L890" s="1" t="str">
        <f t="shared" si="82"/>
        <v>WHEN CEMPRESA='31' AND CBALCAO='0003' AND CNUMECTA='18609295097' THEN 1</v>
      </c>
      <c r="M890" s="1" t="str">
        <f t="shared" si="83"/>
        <v>WHEN CEMPRESA='31' AND CBALCAO='0003' AND CNUMECTA='18609295097' THEN 'A.7.7.'</v>
      </c>
    </row>
    <row r="891" spans="2:13" x14ac:dyDescent="0.25">
      <c r="B891" s="1" t="s">
        <v>45</v>
      </c>
      <c r="C891" s="1" t="s">
        <v>46</v>
      </c>
      <c r="D891" s="1" t="s">
        <v>1190</v>
      </c>
      <c r="E891" s="1"/>
      <c r="F891" s="1">
        <v>1</v>
      </c>
      <c r="G891" s="1" t="s">
        <v>209</v>
      </c>
      <c r="H891" s="1" t="str">
        <f t="shared" si="78"/>
        <v xml:space="preserve">CEMPRESA='31' </v>
      </c>
      <c r="I891" s="1" t="str">
        <f t="shared" si="79"/>
        <v xml:space="preserve">AND CBALCAO='0003' </v>
      </c>
      <c r="J891" s="1" t="str">
        <f t="shared" si="80"/>
        <v xml:space="preserve">AND CNUMECTA='13618128096' </v>
      </c>
      <c r="K891" s="1" t="str">
        <f t="shared" si="81"/>
        <v/>
      </c>
      <c r="L891" s="1" t="str">
        <f t="shared" si="82"/>
        <v>WHEN CEMPRESA='31' AND CBALCAO='0003' AND CNUMECTA='13618128096' THEN 1</v>
      </c>
      <c r="M891" s="1" t="str">
        <f t="shared" si="83"/>
        <v>WHEN CEMPRESA='31' AND CBALCAO='0003' AND CNUMECTA='13618128096' THEN 'A.3.1.'</v>
      </c>
    </row>
    <row r="892" spans="2:13" x14ac:dyDescent="0.25">
      <c r="B892" s="1" t="s">
        <v>45</v>
      </c>
      <c r="C892" s="1" t="s">
        <v>46</v>
      </c>
      <c r="D892" s="1" t="s">
        <v>1191</v>
      </c>
      <c r="E892" s="1"/>
      <c r="F892" s="1">
        <v>1</v>
      </c>
      <c r="G892" s="1" t="s">
        <v>209</v>
      </c>
      <c r="H892" s="1" t="str">
        <f t="shared" si="78"/>
        <v xml:space="preserve">CEMPRESA='31' </v>
      </c>
      <c r="I892" s="1" t="str">
        <f t="shared" si="79"/>
        <v xml:space="preserve">AND CBALCAO='0003' </v>
      </c>
      <c r="J892" s="1" t="str">
        <f t="shared" si="80"/>
        <v xml:space="preserve">AND CNUMECTA='16573411096' </v>
      </c>
      <c r="K892" s="1" t="str">
        <f t="shared" si="81"/>
        <v/>
      </c>
      <c r="L892" s="1" t="str">
        <f t="shared" si="82"/>
        <v>WHEN CEMPRESA='31' AND CBALCAO='0003' AND CNUMECTA='16573411096' THEN 1</v>
      </c>
      <c r="M892" s="1" t="str">
        <f t="shared" si="83"/>
        <v>WHEN CEMPRESA='31' AND CBALCAO='0003' AND CNUMECTA='16573411096' THEN 'A.3.1.'</v>
      </c>
    </row>
    <row r="893" spans="2:13" x14ac:dyDescent="0.25">
      <c r="B893" s="1" t="s">
        <v>45</v>
      </c>
      <c r="C893" s="1" t="s">
        <v>46</v>
      </c>
      <c r="D893" s="1" t="s">
        <v>1192</v>
      </c>
      <c r="E893" s="1"/>
      <c r="F893" s="1">
        <v>1</v>
      </c>
      <c r="G893" s="1" t="s">
        <v>1193</v>
      </c>
      <c r="H893" s="1" t="str">
        <f t="shared" si="78"/>
        <v xml:space="preserve">CEMPRESA='31' </v>
      </c>
      <c r="I893" s="1" t="str">
        <f t="shared" si="79"/>
        <v xml:space="preserve">AND CBALCAO='0003' </v>
      </c>
      <c r="J893" s="1" t="str">
        <f t="shared" si="80"/>
        <v xml:space="preserve">AND CNUMECTA='18230911096' </v>
      </c>
      <c r="K893" s="1" t="str">
        <f t="shared" si="81"/>
        <v/>
      </c>
      <c r="L893" s="1" t="str">
        <f t="shared" si="82"/>
        <v>WHEN CEMPRESA='31' AND CBALCAO='0003' AND CNUMECTA='18230911096' THEN 1</v>
      </c>
      <c r="M893" s="1" t="str">
        <f t="shared" si="83"/>
        <v>WHEN CEMPRESA='31' AND CBALCAO='0003' AND CNUMECTA='18230911096' THEN 'A.8.10.'</v>
      </c>
    </row>
    <row r="894" spans="2:13" x14ac:dyDescent="0.25">
      <c r="B894" s="1" t="s">
        <v>45</v>
      </c>
      <c r="C894" s="1" t="s">
        <v>46</v>
      </c>
      <c r="D894" s="1" t="s">
        <v>1194</v>
      </c>
      <c r="E894" s="1"/>
      <c r="F894" s="1">
        <v>1</v>
      </c>
      <c r="G894" s="1" t="s">
        <v>1195</v>
      </c>
      <c r="H894" s="1" t="str">
        <f t="shared" si="78"/>
        <v xml:space="preserve">CEMPRESA='31' </v>
      </c>
      <c r="I894" s="1" t="str">
        <f t="shared" si="79"/>
        <v xml:space="preserve">AND CBALCAO='0003' </v>
      </c>
      <c r="J894" s="1" t="str">
        <f t="shared" si="80"/>
        <v xml:space="preserve">AND CNUMECTA='00177714007' </v>
      </c>
      <c r="K894" s="1" t="str">
        <f t="shared" si="81"/>
        <v/>
      </c>
      <c r="L894" s="1" t="str">
        <f t="shared" si="82"/>
        <v>WHEN CEMPRESA='31' AND CBALCAO='0003' AND CNUMECTA='00177714007' THEN 1</v>
      </c>
      <c r="M894" s="1" t="str">
        <f t="shared" si="83"/>
        <v>WHEN CEMPRESA='31' AND CBALCAO='0003' AND CNUMECTA='00177714007' THEN 'A.2.2.'</v>
      </c>
    </row>
    <row r="895" spans="2:13" x14ac:dyDescent="0.25">
      <c r="B895" s="1" t="s">
        <v>45</v>
      </c>
      <c r="C895" s="1" t="s">
        <v>46</v>
      </c>
      <c r="D895" s="1" t="s">
        <v>1196</v>
      </c>
      <c r="E895" s="1"/>
      <c r="F895" s="1">
        <v>1</v>
      </c>
      <c r="G895" s="1" t="s">
        <v>209</v>
      </c>
      <c r="H895" s="1" t="str">
        <f t="shared" si="78"/>
        <v xml:space="preserve">CEMPRESA='31' </v>
      </c>
      <c r="I895" s="1" t="str">
        <f t="shared" si="79"/>
        <v xml:space="preserve">AND CBALCAO='0003' </v>
      </c>
      <c r="J895" s="1" t="str">
        <f t="shared" si="80"/>
        <v xml:space="preserve">AND CNUMECTA='18719749096' </v>
      </c>
      <c r="K895" s="1" t="str">
        <f t="shared" si="81"/>
        <v/>
      </c>
      <c r="L895" s="1" t="str">
        <f t="shared" si="82"/>
        <v>WHEN CEMPRESA='31' AND CBALCAO='0003' AND CNUMECTA='18719749096' THEN 1</v>
      </c>
      <c r="M895" s="1" t="str">
        <f t="shared" si="83"/>
        <v>WHEN CEMPRESA='31' AND CBALCAO='0003' AND CNUMECTA='18719749096' THEN 'A.3.1.'</v>
      </c>
    </row>
    <row r="896" spans="2:13" x14ac:dyDescent="0.25">
      <c r="B896" s="1" t="s">
        <v>45</v>
      </c>
      <c r="C896" s="1" t="s">
        <v>46</v>
      </c>
      <c r="D896" s="1" t="s">
        <v>1197</v>
      </c>
      <c r="E896" s="1"/>
      <c r="F896" s="1">
        <v>1</v>
      </c>
      <c r="G896" s="1" t="s">
        <v>209</v>
      </c>
      <c r="H896" s="1" t="str">
        <f t="shared" si="78"/>
        <v xml:space="preserve">CEMPRESA='31' </v>
      </c>
      <c r="I896" s="1" t="str">
        <f t="shared" si="79"/>
        <v xml:space="preserve">AND CBALCAO='0003' </v>
      </c>
      <c r="J896" s="1" t="str">
        <f t="shared" si="80"/>
        <v xml:space="preserve">AND CNUMECTA='18848894096' </v>
      </c>
      <c r="K896" s="1" t="str">
        <f t="shared" si="81"/>
        <v/>
      </c>
      <c r="L896" s="1" t="str">
        <f t="shared" si="82"/>
        <v>WHEN CEMPRESA='31' AND CBALCAO='0003' AND CNUMECTA='18848894096' THEN 1</v>
      </c>
      <c r="M896" s="1" t="str">
        <f t="shared" si="83"/>
        <v>WHEN CEMPRESA='31' AND CBALCAO='0003' AND CNUMECTA='18848894096' THEN 'A.3.1.'</v>
      </c>
    </row>
    <row r="897" spans="2:13" x14ac:dyDescent="0.25">
      <c r="B897" s="1" t="s">
        <v>45</v>
      </c>
      <c r="C897" s="1" t="s">
        <v>46</v>
      </c>
      <c r="D897" s="1" t="s">
        <v>1198</v>
      </c>
      <c r="E897" s="1"/>
      <c r="F897" s="1">
        <v>1</v>
      </c>
      <c r="G897" s="1" t="s">
        <v>209</v>
      </c>
      <c r="H897" s="1" t="str">
        <f t="shared" si="78"/>
        <v xml:space="preserve">CEMPRESA='31' </v>
      </c>
      <c r="I897" s="1" t="str">
        <f t="shared" si="79"/>
        <v xml:space="preserve">AND CBALCAO='0003' </v>
      </c>
      <c r="J897" s="1" t="str">
        <f t="shared" si="80"/>
        <v xml:space="preserve">AND CNUMECTA='17221713096' </v>
      </c>
      <c r="K897" s="1" t="str">
        <f t="shared" si="81"/>
        <v/>
      </c>
      <c r="L897" s="1" t="str">
        <f t="shared" si="82"/>
        <v>WHEN CEMPRESA='31' AND CBALCAO='0003' AND CNUMECTA='17221713096' THEN 1</v>
      </c>
      <c r="M897" s="1" t="str">
        <f t="shared" si="83"/>
        <v>WHEN CEMPRESA='31' AND CBALCAO='0003' AND CNUMECTA='17221713096' THEN 'A.3.1.'</v>
      </c>
    </row>
    <row r="898" spans="2:13" x14ac:dyDescent="0.25">
      <c r="B898" s="1" t="s">
        <v>45</v>
      </c>
      <c r="C898" s="1" t="s">
        <v>46</v>
      </c>
      <c r="D898" s="1" t="s">
        <v>1199</v>
      </c>
      <c r="E898" s="1"/>
      <c r="F898" s="1">
        <v>1</v>
      </c>
      <c r="G898" s="1" t="s">
        <v>53</v>
      </c>
      <c r="H898" s="1" t="str">
        <f t="shared" si="78"/>
        <v xml:space="preserve">CEMPRESA='31' </v>
      </c>
      <c r="I898" s="1" t="str">
        <f t="shared" si="79"/>
        <v xml:space="preserve">AND CBALCAO='0003' </v>
      </c>
      <c r="J898" s="1" t="str">
        <f t="shared" si="80"/>
        <v xml:space="preserve">AND CNUMECTA='18574762097' </v>
      </c>
      <c r="K898" s="1" t="str">
        <f t="shared" si="81"/>
        <v/>
      </c>
      <c r="L898" s="1" t="str">
        <f t="shared" si="82"/>
        <v>WHEN CEMPRESA='31' AND CBALCAO='0003' AND CNUMECTA='18574762097' THEN 1</v>
      </c>
      <c r="M898" s="1" t="str">
        <f t="shared" si="83"/>
        <v>WHEN CEMPRESA='31' AND CBALCAO='0003' AND CNUMECTA='18574762097' THEN 'A.1.1.'</v>
      </c>
    </row>
    <row r="899" spans="2:13" x14ac:dyDescent="0.25">
      <c r="B899" s="1" t="s">
        <v>45</v>
      </c>
      <c r="C899" s="1" t="s">
        <v>46</v>
      </c>
      <c r="D899" s="1" t="s">
        <v>1200</v>
      </c>
      <c r="E899" s="1"/>
      <c r="F899" s="1">
        <v>1</v>
      </c>
      <c r="G899" s="1" t="s">
        <v>76</v>
      </c>
      <c r="H899" s="1" t="str">
        <f t="shared" si="78"/>
        <v xml:space="preserve">CEMPRESA='31' </v>
      </c>
      <c r="I899" s="1" t="str">
        <f t="shared" si="79"/>
        <v xml:space="preserve">AND CBALCAO='0003' </v>
      </c>
      <c r="J899" s="1" t="str">
        <f t="shared" si="80"/>
        <v xml:space="preserve">AND CNUMECTA='18581940097' </v>
      </c>
      <c r="K899" s="1" t="str">
        <f t="shared" si="81"/>
        <v/>
      </c>
      <c r="L899" s="1" t="str">
        <f t="shared" si="82"/>
        <v>WHEN CEMPRESA='31' AND CBALCAO='0003' AND CNUMECTA='18581940097' THEN 1</v>
      </c>
      <c r="M899" s="1" t="str">
        <f t="shared" si="83"/>
        <v>WHEN CEMPRESA='31' AND CBALCAO='0003' AND CNUMECTA='18581940097' THEN 'A.7.7.'</v>
      </c>
    </row>
    <row r="900" spans="2:13" x14ac:dyDescent="0.25">
      <c r="B900" s="1" t="s">
        <v>45</v>
      </c>
      <c r="C900" s="1" t="s">
        <v>46</v>
      </c>
      <c r="D900" s="1" t="s">
        <v>1201</v>
      </c>
      <c r="E900" s="1"/>
      <c r="F900" s="1">
        <v>1</v>
      </c>
      <c r="G900" s="1" t="s">
        <v>53</v>
      </c>
      <c r="H900" s="1" t="str">
        <f t="shared" ref="H900:H963" si="84">+IF(LEN(TRIM(B900))&gt;0,UPPER($B$2)&amp;"='"&amp;TRIM(B900)&amp;"' ","")</f>
        <v xml:space="preserve">CEMPRESA='31' </v>
      </c>
      <c r="I900" s="1" t="str">
        <f t="shared" ref="I900:I963" si="85">+IF(LEN(TRIM(C900))&gt;0,UPPER($C$2)&amp;"='"&amp;TRIM(C900)&amp;"' ","")</f>
        <v xml:space="preserve">AND CBALCAO='0003' </v>
      </c>
      <c r="J900" s="1" t="str">
        <f t="shared" ref="J900:J963" si="86">+IF(LEN(TRIM(D900))&gt;0,UPPER($D$2)&amp;"='"&amp;TRIM(D900)&amp;"' ","")</f>
        <v xml:space="preserve">AND CNUMECTA='17738088096' </v>
      </c>
      <c r="K900" s="1" t="str">
        <f t="shared" ref="K900:K963" si="87">+IF(LEN(TRIM(E900))&gt;0,UPPER($E$2)&amp;"='"&amp;TRIM(E900)&amp;"' ","")</f>
        <v/>
      </c>
      <c r="L900" s="1" t="str">
        <f t="shared" ref="L900:L963" si="88">+"WHEN "&amp;H900&amp;I900&amp;J900&amp;K900&amp;"THEN "&amp;F900</f>
        <v>WHEN CEMPRESA='31' AND CBALCAO='0003' AND CNUMECTA='17738088096' THEN 1</v>
      </c>
      <c r="M900" s="1" t="str">
        <f t="shared" ref="M900:M963" si="89">+"WHEN "&amp;H900&amp;I900&amp;J900&amp;K900&amp;"THEN "&amp;G900</f>
        <v>WHEN CEMPRESA='31' AND CBALCAO='0003' AND CNUMECTA='17738088096' THEN 'A.1.1.'</v>
      </c>
    </row>
    <row r="901" spans="2:13" x14ac:dyDescent="0.25">
      <c r="B901" s="1" t="s">
        <v>45</v>
      </c>
      <c r="C901" s="1" t="s">
        <v>46</v>
      </c>
      <c r="D901" s="1" t="s">
        <v>1202</v>
      </c>
      <c r="E901" s="1"/>
      <c r="F901" s="1">
        <v>1</v>
      </c>
      <c r="G901" s="1" t="s">
        <v>76</v>
      </c>
      <c r="H901" s="1" t="str">
        <f t="shared" si="84"/>
        <v xml:space="preserve">CEMPRESA='31' </v>
      </c>
      <c r="I901" s="1" t="str">
        <f t="shared" si="85"/>
        <v xml:space="preserve">AND CBALCAO='0003' </v>
      </c>
      <c r="J901" s="1" t="str">
        <f t="shared" si="86"/>
        <v xml:space="preserve">AND CNUMECTA='18610152097' </v>
      </c>
      <c r="K901" s="1" t="str">
        <f t="shared" si="87"/>
        <v/>
      </c>
      <c r="L901" s="1" t="str">
        <f t="shared" si="88"/>
        <v>WHEN CEMPRESA='31' AND CBALCAO='0003' AND CNUMECTA='18610152097' THEN 1</v>
      </c>
      <c r="M901" s="1" t="str">
        <f t="shared" si="89"/>
        <v>WHEN CEMPRESA='31' AND CBALCAO='0003' AND CNUMECTA='18610152097' THEN 'A.7.7.'</v>
      </c>
    </row>
    <row r="902" spans="2:13" x14ac:dyDescent="0.25">
      <c r="B902" s="1" t="s">
        <v>45</v>
      </c>
      <c r="C902" s="1" t="s">
        <v>46</v>
      </c>
      <c r="D902" s="1" t="s">
        <v>1203</v>
      </c>
      <c r="E902" s="1"/>
      <c r="F902" s="1">
        <v>1</v>
      </c>
      <c r="G902" s="1" t="s">
        <v>49</v>
      </c>
      <c r="H902" s="1" t="str">
        <f t="shared" si="84"/>
        <v xml:space="preserve">CEMPRESA='31' </v>
      </c>
      <c r="I902" s="1" t="str">
        <f t="shared" si="85"/>
        <v xml:space="preserve">AND CBALCAO='0003' </v>
      </c>
      <c r="J902" s="1" t="str">
        <f t="shared" si="86"/>
        <v xml:space="preserve">AND CNUMECTA='20201868096' </v>
      </c>
      <c r="K902" s="1" t="str">
        <f t="shared" si="87"/>
        <v/>
      </c>
      <c r="L902" s="1" t="str">
        <f t="shared" si="88"/>
        <v>WHEN CEMPRESA='31' AND CBALCAO='0003' AND CNUMECTA='20201868096' THEN 1</v>
      </c>
      <c r="M902" s="1" t="str">
        <f t="shared" si="89"/>
        <v>WHEN CEMPRESA='31' AND CBALCAO='0003' AND CNUMECTA='20201868096' THEN 'A.2.3.'</v>
      </c>
    </row>
    <row r="903" spans="2:13" x14ac:dyDescent="0.25">
      <c r="B903" s="1" t="s">
        <v>45</v>
      </c>
      <c r="C903" s="1" t="s">
        <v>46</v>
      </c>
      <c r="D903" s="1" t="s">
        <v>1204</v>
      </c>
      <c r="E903" s="1"/>
      <c r="F903" s="1">
        <v>1</v>
      </c>
      <c r="G903" s="1" t="s">
        <v>53</v>
      </c>
      <c r="H903" s="1" t="str">
        <f t="shared" si="84"/>
        <v xml:space="preserve">CEMPRESA='31' </v>
      </c>
      <c r="I903" s="1" t="str">
        <f t="shared" si="85"/>
        <v xml:space="preserve">AND CBALCAO='0003' </v>
      </c>
      <c r="J903" s="1" t="str">
        <f t="shared" si="86"/>
        <v xml:space="preserve">AND CNUMECTA='16256835096' </v>
      </c>
      <c r="K903" s="1" t="str">
        <f t="shared" si="87"/>
        <v/>
      </c>
      <c r="L903" s="1" t="str">
        <f t="shared" si="88"/>
        <v>WHEN CEMPRESA='31' AND CBALCAO='0003' AND CNUMECTA='16256835096' THEN 1</v>
      </c>
      <c r="M903" s="1" t="str">
        <f t="shared" si="89"/>
        <v>WHEN CEMPRESA='31' AND CBALCAO='0003' AND CNUMECTA='16256835096' THEN 'A.1.1.'</v>
      </c>
    </row>
    <row r="904" spans="2:13" x14ac:dyDescent="0.25">
      <c r="B904" s="1" t="s">
        <v>45</v>
      </c>
      <c r="C904" s="1" t="s">
        <v>187</v>
      </c>
      <c r="D904" s="1" t="s">
        <v>1205</v>
      </c>
      <c r="E904" s="1"/>
      <c r="F904" s="1">
        <v>1</v>
      </c>
      <c r="G904" s="1" t="s">
        <v>49</v>
      </c>
      <c r="H904" s="1" t="str">
        <f t="shared" si="84"/>
        <v xml:space="preserve">CEMPRESA='31' </v>
      </c>
      <c r="I904" s="1" t="str">
        <f t="shared" si="85"/>
        <v xml:space="preserve">AND CBALCAO='6636' </v>
      </c>
      <c r="J904" s="1" t="str">
        <f t="shared" si="86"/>
        <v xml:space="preserve">AND CNUMECTA='00380030444' </v>
      </c>
      <c r="K904" s="1" t="str">
        <f t="shared" si="87"/>
        <v/>
      </c>
      <c r="L904" s="1" t="str">
        <f t="shared" si="88"/>
        <v>WHEN CEMPRESA='31' AND CBALCAO='6636' AND CNUMECTA='00380030444' THEN 1</v>
      </c>
      <c r="M904" s="1" t="str">
        <f t="shared" si="89"/>
        <v>WHEN CEMPRESA='31' AND CBALCAO='6636' AND CNUMECTA='00380030444' THEN 'A.2.3.'</v>
      </c>
    </row>
    <row r="905" spans="2:13" x14ac:dyDescent="0.25">
      <c r="B905" s="1" t="s">
        <v>45</v>
      </c>
      <c r="C905" s="1" t="s">
        <v>46</v>
      </c>
      <c r="D905" s="1" t="s">
        <v>1206</v>
      </c>
      <c r="E905" s="1"/>
      <c r="F905" s="1">
        <v>1</v>
      </c>
      <c r="G905" s="1" t="s">
        <v>76</v>
      </c>
      <c r="H905" s="1" t="str">
        <f t="shared" si="84"/>
        <v xml:space="preserve">CEMPRESA='31' </v>
      </c>
      <c r="I905" s="1" t="str">
        <f t="shared" si="85"/>
        <v xml:space="preserve">AND CBALCAO='0003' </v>
      </c>
      <c r="J905" s="1" t="str">
        <f t="shared" si="86"/>
        <v xml:space="preserve">AND CNUMECTA='18584134097' </v>
      </c>
      <c r="K905" s="1" t="str">
        <f t="shared" si="87"/>
        <v/>
      </c>
      <c r="L905" s="1" t="str">
        <f t="shared" si="88"/>
        <v>WHEN CEMPRESA='31' AND CBALCAO='0003' AND CNUMECTA='18584134097' THEN 1</v>
      </c>
      <c r="M905" s="1" t="str">
        <f t="shared" si="89"/>
        <v>WHEN CEMPRESA='31' AND CBALCAO='0003' AND CNUMECTA='18584134097' THEN 'A.7.7.'</v>
      </c>
    </row>
    <row r="906" spans="2:13" x14ac:dyDescent="0.25">
      <c r="B906" s="1" t="s">
        <v>45</v>
      </c>
      <c r="C906" s="1" t="s">
        <v>46</v>
      </c>
      <c r="D906" s="1" t="s">
        <v>1207</v>
      </c>
      <c r="E906" s="1"/>
      <c r="F906" s="1">
        <v>1</v>
      </c>
      <c r="G906" s="1" t="s">
        <v>53</v>
      </c>
      <c r="H906" s="1" t="str">
        <f t="shared" si="84"/>
        <v xml:space="preserve">CEMPRESA='31' </v>
      </c>
      <c r="I906" s="1" t="str">
        <f t="shared" si="85"/>
        <v xml:space="preserve">AND CBALCAO='0003' </v>
      </c>
      <c r="J906" s="1" t="str">
        <f t="shared" si="86"/>
        <v xml:space="preserve">AND CNUMECTA='17985440096' </v>
      </c>
      <c r="K906" s="1" t="str">
        <f t="shared" si="87"/>
        <v/>
      </c>
      <c r="L906" s="1" t="str">
        <f t="shared" si="88"/>
        <v>WHEN CEMPRESA='31' AND CBALCAO='0003' AND CNUMECTA='17985440096' THEN 1</v>
      </c>
      <c r="M906" s="1" t="str">
        <f t="shared" si="89"/>
        <v>WHEN CEMPRESA='31' AND CBALCAO='0003' AND CNUMECTA='17985440096' THEN 'A.1.1.'</v>
      </c>
    </row>
    <row r="907" spans="2:13" x14ac:dyDescent="0.25">
      <c r="B907" s="1" t="s">
        <v>45</v>
      </c>
      <c r="C907" s="1" t="s">
        <v>46</v>
      </c>
      <c r="D907" s="1" t="s">
        <v>1208</v>
      </c>
      <c r="E907" s="1"/>
      <c r="F907" s="1">
        <v>1</v>
      </c>
      <c r="G907" s="1" t="s">
        <v>76</v>
      </c>
      <c r="H907" s="1" t="str">
        <f t="shared" si="84"/>
        <v xml:space="preserve">CEMPRESA='31' </v>
      </c>
      <c r="I907" s="1" t="str">
        <f t="shared" si="85"/>
        <v xml:space="preserve">AND CBALCAO='0003' </v>
      </c>
      <c r="J907" s="1" t="str">
        <f t="shared" si="86"/>
        <v xml:space="preserve">AND CNUMECTA='18605145097' </v>
      </c>
      <c r="K907" s="1" t="str">
        <f t="shared" si="87"/>
        <v/>
      </c>
      <c r="L907" s="1" t="str">
        <f t="shared" si="88"/>
        <v>WHEN CEMPRESA='31' AND CBALCAO='0003' AND CNUMECTA='18605145097' THEN 1</v>
      </c>
      <c r="M907" s="1" t="str">
        <f t="shared" si="89"/>
        <v>WHEN CEMPRESA='31' AND CBALCAO='0003' AND CNUMECTA='18605145097' THEN 'A.7.7.'</v>
      </c>
    </row>
    <row r="908" spans="2:13" x14ac:dyDescent="0.25">
      <c r="B908" s="1" t="s">
        <v>45</v>
      </c>
      <c r="C908" s="1" t="s">
        <v>46</v>
      </c>
      <c r="D908" s="1" t="s">
        <v>1209</v>
      </c>
      <c r="E908" s="1"/>
      <c r="F908" s="1">
        <v>1</v>
      </c>
      <c r="G908" s="1" t="s">
        <v>76</v>
      </c>
      <c r="H908" s="1" t="str">
        <f t="shared" si="84"/>
        <v xml:space="preserve">CEMPRESA='31' </v>
      </c>
      <c r="I908" s="1" t="str">
        <f t="shared" si="85"/>
        <v xml:space="preserve">AND CBALCAO='0003' </v>
      </c>
      <c r="J908" s="1" t="str">
        <f t="shared" si="86"/>
        <v xml:space="preserve">AND CNUMECTA='17988048096' </v>
      </c>
      <c r="K908" s="1" t="str">
        <f t="shared" si="87"/>
        <v/>
      </c>
      <c r="L908" s="1" t="str">
        <f t="shared" si="88"/>
        <v>WHEN CEMPRESA='31' AND CBALCAO='0003' AND CNUMECTA='17988048096' THEN 1</v>
      </c>
      <c r="M908" s="1" t="str">
        <f t="shared" si="89"/>
        <v>WHEN CEMPRESA='31' AND CBALCAO='0003' AND CNUMECTA='17988048096' THEN 'A.7.7.'</v>
      </c>
    </row>
    <row r="909" spans="2:13" x14ac:dyDescent="0.25">
      <c r="B909" s="1" t="s">
        <v>45</v>
      </c>
      <c r="C909" s="1" t="s">
        <v>46</v>
      </c>
      <c r="D909" s="1" t="s">
        <v>1210</v>
      </c>
      <c r="E909" s="1"/>
      <c r="F909" s="1">
        <v>1</v>
      </c>
      <c r="G909" s="1" t="s">
        <v>49</v>
      </c>
      <c r="H909" s="1" t="str">
        <f t="shared" si="84"/>
        <v xml:space="preserve">CEMPRESA='31' </v>
      </c>
      <c r="I909" s="1" t="str">
        <f t="shared" si="85"/>
        <v xml:space="preserve">AND CBALCAO='0003' </v>
      </c>
      <c r="J909" s="1" t="str">
        <f t="shared" si="86"/>
        <v xml:space="preserve">AND CNUMECTA='20176433096' </v>
      </c>
      <c r="K909" s="1" t="str">
        <f t="shared" si="87"/>
        <v/>
      </c>
      <c r="L909" s="1" t="str">
        <f t="shared" si="88"/>
        <v>WHEN CEMPRESA='31' AND CBALCAO='0003' AND CNUMECTA='20176433096' THEN 1</v>
      </c>
      <c r="M909" s="1" t="str">
        <f t="shared" si="89"/>
        <v>WHEN CEMPRESA='31' AND CBALCAO='0003' AND CNUMECTA='20176433096' THEN 'A.2.3.'</v>
      </c>
    </row>
    <row r="910" spans="2:13" x14ac:dyDescent="0.25">
      <c r="B910" s="1" t="s">
        <v>45</v>
      </c>
      <c r="C910" s="1" t="s">
        <v>46</v>
      </c>
      <c r="D910" s="1" t="s">
        <v>1211</v>
      </c>
      <c r="E910" s="1"/>
      <c r="F910" s="1">
        <v>1</v>
      </c>
      <c r="G910" s="1" t="s">
        <v>1164</v>
      </c>
      <c r="H910" s="1" t="str">
        <f t="shared" si="84"/>
        <v xml:space="preserve">CEMPRESA='31' </v>
      </c>
      <c r="I910" s="1" t="str">
        <f t="shared" si="85"/>
        <v xml:space="preserve">AND CBALCAO='0003' </v>
      </c>
      <c r="J910" s="1" t="str">
        <f t="shared" si="86"/>
        <v xml:space="preserve">AND CNUMECTA='15970006096' </v>
      </c>
      <c r="K910" s="1" t="str">
        <f t="shared" si="87"/>
        <v/>
      </c>
      <c r="L910" s="1" t="str">
        <f t="shared" si="88"/>
        <v>WHEN CEMPRESA='31' AND CBALCAO='0003' AND CNUMECTA='15970006096' THEN 1</v>
      </c>
      <c r="M910" s="1" t="str">
        <f t="shared" si="89"/>
        <v>WHEN CEMPRESA='31' AND CBALCAO='0003' AND CNUMECTA='15970006096' THEN 'A.1.5.'</v>
      </c>
    </row>
    <row r="911" spans="2:13" x14ac:dyDescent="0.25">
      <c r="B911" s="1" t="s">
        <v>45</v>
      </c>
      <c r="C911" s="1" t="s">
        <v>46</v>
      </c>
      <c r="D911" s="1" t="s">
        <v>1212</v>
      </c>
      <c r="E911" s="1"/>
      <c r="F911" s="1">
        <v>1</v>
      </c>
      <c r="G911" s="1" t="s">
        <v>76</v>
      </c>
      <c r="H911" s="1" t="str">
        <f t="shared" si="84"/>
        <v xml:space="preserve">CEMPRESA='31' </v>
      </c>
      <c r="I911" s="1" t="str">
        <f t="shared" si="85"/>
        <v xml:space="preserve">AND CBALCAO='0003' </v>
      </c>
      <c r="J911" s="1" t="str">
        <f t="shared" si="86"/>
        <v xml:space="preserve">AND CNUMECTA='18580082097' </v>
      </c>
      <c r="K911" s="1" t="str">
        <f t="shared" si="87"/>
        <v/>
      </c>
      <c r="L911" s="1" t="str">
        <f t="shared" si="88"/>
        <v>WHEN CEMPRESA='31' AND CBALCAO='0003' AND CNUMECTA='18580082097' THEN 1</v>
      </c>
      <c r="M911" s="1" t="str">
        <f t="shared" si="89"/>
        <v>WHEN CEMPRESA='31' AND CBALCAO='0003' AND CNUMECTA='18580082097' THEN 'A.7.7.'</v>
      </c>
    </row>
    <row r="912" spans="2:13" x14ac:dyDescent="0.25">
      <c r="B912" s="1" t="s">
        <v>45</v>
      </c>
      <c r="C912" s="1" t="s">
        <v>114</v>
      </c>
      <c r="D912" s="1" t="s">
        <v>1213</v>
      </c>
      <c r="E912" s="1"/>
      <c r="F912" s="1">
        <v>1</v>
      </c>
      <c r="G912" s="1" t="s">
        <v>1170</v>
      </c>
      <c r="H912" s="1" t="str">
        <f t="shared" si="84"/>
        <v xml:space="preserve">CEMPRESA='31' </v>
      </c>
      <c r="I912" s="1" t="str">
        <f t="shared" si="85"/>
        <v xml:space="preserve">AND CBALCAO='6416' </v>
      </c>
      <c r="J912" s="1" t="str">
        <f t="shared" si="86"/>
        <v xml:space="preserve">AND CNUMECTA='00000000913' </v>
      </c>
      <c r="K912" s="1" t="str">
        <f t="shared" si="87"/>
        <v/>
      </c>
      <c r="L912" s="1" t="str">
        <f t="shared" si="88"/>
        <v>WHEN CEMPRESA='31' AND CBALCAO='6416' AND CNUMECTA='00000000913' THEN 1</v>
      </c>
      <c r="M912" s="1" t="str">
        <f t="shared" si="89"/>
        <v>WHEN CEMPRESA='31' AND CBALCAO='6416' AND CNUMECTA='00000000913' THEN 'KPI Linked - Green'</v>
      </c>
    </row>
    <row r="913" spans="2:13" x14ac:dyDescent="0.25">
      <c r="B913" s="1" t="s">
        <v>45</v>
      </c>
      <c r="C913" s="1" t="s">
        <v>46</v>
      </c>
      <c r="D913" s="1" t="s">
        <v>1214</v>
      </c>
      <c r="E913" s="1"/>
      <c r="F913" s="1">
        <v>1</v>
      </c>
      <c r="G913" s="1" t="s">
        <v>1215</v>
      </c>
      <c r="H913" s="1" t="str">
        <f t="shared" si="84"/>
        <v xml:space="preserve">CEMPRESA='31' </v>
      </c>
      <c r="I913" s="1" t="str">
        <f t="shared" si="85"/>
        <v xml:space="preserve">AND CBALCAO='0003' </v>
      </c>
      <c r="J913" s="1" t="str">
        <f t="shared" si="86"/>
        <v xml:space="preserve">AND CNUMECTA='15970329096' </v>
      </c>
      <c r="K913" s="1" t="str">
        <f t="shared" si="87"/>
        <v/>
      </c>
      <c r="L913" s="1" t="str">
        <f t="shared" si="88"/>
        <v>WHEN CEMPRESA='31' AND CBALCAO='0003' AND CNUMECTA='15970329096' THEN 1</v>
      </c>
      <c r="M913" s="1" t="str">
        <f t="shared" si="89"/>
        <v>WHEN CEMPRESA='31' AND CBALCAO='0003' AND CNUMECTA='15970329096' THEN 'A.1.3.'</v>
      </c>
    </row>
    <row r="914" spans="2:13" x14ac:dyDescent="0.25">
      <c r="B914" s="1" t="s">
        <v>45</v>
      </c>
      <c r="C914" s="1" t="s">
        <v>46</v>
      </c>
      <c r="D914" s="1" t="s">
        <v>1216</v>
      </c>
      <c r="E914" s="1"/>
      <c r="F914" s="1">
        <v>1</v>
      </c>
      <c r="G914" s="1" t="s">
        <v>49</v>
      </c>
      <c r="H914" s="1" t="str">
        <f t="shared" si="84"/>
        <v xml:space="preserve">CEMPRESA='31' </v>
      </c>
      <c r="I914" s="1" t="str">
        <f t="shared" si="85"/>
        <v xml:space="preserve">AND CBALCAO='0003' </v>
      </c>
      <c r="J914" s="1" t="str">
        <f t="shared" si="86"/>
        <v xml:space="preserve">AND CNUMECTA='18782002096' </v>
      </c>
      <c r="K914" s="1" t="str">
        <f t="shared" si="87"/>
        <v/>
      </c>
      <c r="L914" s="1" t="str">
        <f t="shared" si="88"/>
        <v>WHEN CEMPRESA='31' AND CBALCAO='0003' AND CNUMECTA='18782002096' THEN 1</v>
      </c>
      <c r="M914" s="1" t="str">
        <f t="shared" si="89"/>
        <v>WHEN CEMPRESA='31' AND CBALCAO='0003' AND CNUMECTA='18782002096' THEN 'A.2.3.'</v>
      </c>
    </row>
    <row r="915" spans="2:13" x14ac:dyDescent="0.25">
      <c r="B915" s="1" t="s">
        <v>45</v>
      </c>
      <c r="C915" s="1" t="s">
        <v>46</v>
      </c>
      <c r="D915" s="1" t="s">
        <v>1217</v>
      </c>
      <c r="E915" s="1"/>
      <c r="F915" s="1">
        <v>1</v>
      </c>
      <c r="G915" s="1" t="s">
        <v>53</v>
      </c>
      <c r="H915" s="1" t="str">
        <f t="shared" si="84"/>
        <v xml:space="preserve">CEMPRESA='31' </v>
      </c>
      <c r="I915" s="1" t="str">
        <f t="shared" si="85"/>
        <v xml:space="preserve">AND CBALCAO='0003' </v>
      </c>
      <c r="J915" s="1" t="str">
        <f t="shared" si="86"/>
        <v xml:space="preserve">AND CNUMECTA='18117340096' </v>
      </c>
      <c r="K915" s="1" t="str">
        <f t="shared" si="87"/>
        <v/>
      </c>
      <c r="L915" s="1" t="str">
        <f t="shared" si="88"/>
        <v>WHEN CEMPRESA='31' AND CBALCAO='0003' AND CNUMECTA='18117340096' THEN 1</v>
      </c>
      <c r="M915" s="1" t="str">
        <f t="shared" si="89"/>
        <v>WHEN CEMPRESA='31' AND CBALCAO='0003' AND CNUMECTA='18117340096' THEN 'A.1.1.'</v>
      </c>
    </row>
    <row r="916" spans="2:13" x14ac:dyDescent="0.25">
      <c r="B916" s="1" t="s">
        <v>45</v>
      </c>
      <c r="C916" s="1" t="s">
        <v>46</v>
      </c>
      <c r="D916" s="1" t="s">
        <v>1218</v>
      </c>
      <c r="E916" s="1"/>
      <c r="F916" s="1">
        <v>1</v>
      </c>
      <c r="G916" s="1" t="s">
        <v>76</v>
      </c>
      <c r="H916" s="1" t="str">
        <f t="shared" si="84"/>
        <v xml:space="preserve">CEMPRESA='31' </v>
      </c>
      <c r="I916" s="1" t="str">
        <f t="shared" si="85"/>
        <v xml:space="preserve">AND CBALCAO='0003' </v>
      </c>
      <c r="J916" s="1" t="str">
        <f t="shared" si="86"/>
        <v xml:space="preserve">AND CNUMECTA='18584829097' </v>
      </c>
      <c r="K916" s="1" t="str">
        <f t="shared" si="87"/>
        <v/>
      </c>
      <c r="L916" s="1" t="str">
        <f t="shared" si="88"/>
        <v>WHEN CEMPRESA='31' AND CBALCAO='0003' AND CNUMECTA='18584829097' THEN 1</v>
      </c>
      <c r="M916" s="1" t="str">
        <f t="shared" si="89"/>
        <v>WHEN CEMPRESA='31' AND CBALCAO='0003' AND CNUMECTA='18584829097' THEN 'A.7.7.'</v>
      </c>
    </row>
    <row r="917" spans="2:13" x14ac:dyDescent="0.25">
      <c r="B917" s="1" t="s">
        <v>45</v>
      </c>
      <c r="C917" s="1" t="s">
        <v>46</v>
      </c>
      <c r="D917" s="1" t="s">
        <v>1219</v>
      </c>
      <c r="E917" s="1"/>
      <c r="F917" s="1">
        <v>1</v>
      </c>
      <c r="G917" s="1" t="s">
        <v>53</v>
      </c>
      <c r="H917" s="1" t="str">
        <f t="shared" si="84"/>
        <v xml:space="preserve">CEMPRESA='31' </v>
      </c>
      <c r="I917" s="1" t="str">
        <f t="shared" si="85"/>
        <v xml:space="preserve">AND CBALCAO='0003' </v>
      </c>
      <c r="J917" s="1" t="str">
        <f t="shared" si="86"/>
        <v xml:space="preserve">AND CNUMECTA='17195834096' </v>
      </c>
      <c r="K917" s="1" t="str">
        <f t="shared" si="87"/>
        <v/>
      </c>
      <c r="L917" s="1" t="str">
        <f t="shared" si="88"/>
        <v>WHEN CEMPRESA='31' AND CBALCAO='0003' AND CNUMECTA='17195834096' THEN 1</v>
      </c>
      <c r="M917" s="1" t="str">
        <f t="shared" si="89"/>
        <v>WHEN CEMPRESA='31' AND CBALCAO='0003' AND CNUMECTA='17195834096' THEN 'A.1.1.'</v>
      </c>
    </row>
    <row r="918" spans="2:13" x14ac:dyDescent="0.25">
      <c r="B918" s="1" t="s">
        <v>45</v>
      </c>
      <c r="C918" s="1" t="s">
        <v>46</v>
      </c>
      <c r="D918" s="1" t="s">
        <v>1220</v>
      </c>
      <c r="E918" s="1"/>
      <c r="F918" s="1">
        <v>1</v>
      </c>
      <c r="G918" s="1" t="s">
        <v>1195</v>
      </c>
      <c r="H918" s="1" t="str">
        <f t="shared" si="84"/>
        <v xml:space="preserve">CEMPRESA='31' </v>
      </c>
      <c r="I918" s="1" t="str">
        <f t="shared" si="85"/>
        <v xml:space="preserve">AND CBALCAO='0003' </v>
      </c>
      <c r="J918" s="1" t="str">
        <f t="shared" si="86"/>
        <v xml:space="preserve">AND CNUMECTA='00155769007' </v>
      </c>
      <c r="K918" s="1" t="str">
        <f t="shared" si="87"/>
        <v/>
      </c>
      <c r="L918" s="1" t="str">
        <f t="shared" si="88"/>
        <v>WHEN CEMPRESA='31' AND CBALCAO='0003' AND CNUMECTA='00155769007' THEN 1</v>
      </c>
      <c r="M918" s="1" t="str">
        <f t="shared" si="89"/>
        <v>WHEN CEMPRESA='31' AND CBALCAO='0003' AND CNUMECTA='00155769007' THEN 'A.2.2.'</v>
      </c>
    </row>
    <row r="919" spans="2:13" x14ac:dyDescent="0.25">
      <c r="B919" s="1" t="s">
        <v>45</v>
      </c>
      <c r="C919" s="1" t="s">
        <v>46</v>
      </c>
      <c r="D919" s="1" t="s">
        <v>1221</v>
      </c>
      <c r="E919" s="1"/>
      <c r="F919" s="1">
        <v>1</v>
      </c>
      <c r="G919" s="1" t="s">
        <v>1215</v>
      </c>
      <c r="H919" s="1" t="str">
        <f t="shared" si="84"/>
        <v xml:space="preserve">CEMPRESA='31' </v>
      </c>
      <c r="I919" s="1" t="str">
        <f t="shared" si="85"/>
        <v xml:space="preserve">AND CBALCAO='0003' </v>
      </c>
      <c r="J919" s="1" t="str">
        <f t="shared" si="86"/>
        <v xml:space="preserve">AND CNUMECTA='15970261096' </v>
      </c>
      <c r="K919" s="1" t="str">
        <f t="shared" si="87"/>
        <v/>
      </c>
      <c r="L919" s="1" t="str">
        <f t="shared" si="88"/>
        <v>WHEN CEMPRESA='31' AND CBALCAO='0003' AND CNUMECTA='15970261096' THEN 1</v>
      </c>
      <c r="M919" s="1" t="str">
        <f t="shared" si="89"/>
        <v>WHEN CEMPRESA='31' AND CBALCAO='0003' AND CNUMECTA='15970261096' THEN 'A.1.3.'</v>
      </c>
    </row>
    <row r="920" spans="2:13" x14ac:dyDescent="0.25">
      <c r="B920" s="1" t="s">
        <v>45</v>
      </c>
      <c r="C920" s="1" t="s">
        <v>46</v>
      </c>
      <c r="D920" s="1" t="s">
        <v>1222</v>
      </c>
      <c r="E920" s="1"/>
      <c r="F920" s="1">
        <v>1</v>
      </c>
      <c r="G920" s="1" t="s">
        <v>49</v>
      </c>
      <c r="H920" s="1" t="str">
        <f t="shared" si="84"/>
        <v xml:space="preserve">CEMPRESA='31' </v>
      </c>
      <c r="I920" s="1" t="str">
        <f t="shared" si="85"/>
        <v xml:space="preserve">AND CBALCAO='0003' </v>
      </c>
      <c r="J920" s="1" t="str">
        <f t="shared" si="86"/>
        <v xml:space="preserve">AND CNUMECTA='00146552007' </v>
      </c>
      <c r="K920" s="1" t="str">
        <f t="shared" si="87"/>
        <v/>
      </c>
      <c r="L920" s="1" t="str">
        <f t="shared" si="88"/>
        <v>WHEN CEMPRESA='31' AND CBALCAO='0003' AND CNUMECTA='00146552007' THEN 1</v>
      </c>
      <c r="M920" s="1" t="str">
        <f t="shared" si="89"/>
        <v>WHEN CEMPRESA='31' AND CBALCAO='0003' AND CNUMECTA='00146552007' THEN 'A.2.3.'</v>
      </c>
    </row>
    <row r="921" spans="2:13" x14ac:dyDescent="0.25">
      <c r="B921" s="1" t="s">
        <v>45</v>
      </c>
      <c r="C921" s="1" t="s">
        <v>114</v>
      </c>
      <c r="D921" s="1" t="s">
        <v>1223</v>
      </c>
      <c r="E921" s="1"/>
      <c r="F921" s="1">
        <v>1</v>
      </c>
      <c r="G921" s="1" t="s">
        <v>76</v>
      </c>
      <c r="H921" s="1" t="str">
        <f t="shared" si="84"/>
        <v xml:space="preserve">CEMPRESA='31' </v>
      </c>
      <c r="I921" s="1" t="str">
        <f t="shared" si="85"/>
        <v xml:space="preserve">AND CBALCAO='6416' </v>
      </c>
      <c r="J921" s="1" t="str">
        <f t="shared" si="86"/>
        <v xml:space="preserve">AND CNUMECTA='00000000938' </v>
      </c>
      <c r="K921" s="1" t="str">
        <f t="shared" si="87"/>
        <v/>
      </c>
      <c r="L921" s="1" t="str">
        <f t="shared" si="88"/>
        <v>WHEN CEMPRESA='31' AND CBALCAO='6416' AND CNUMECTA='00000000938' THEN 1</v>
      </c>
      <c r="M921" s="1" t="str">
        <f t="shared" si="89"/>
        <v>WHEN CEMPRESA='31' AND CBALCAO='6416' AND CNUMECTA='00000000938' THEN 'A.7.7.'</v>
      </c>
    </row>
    <row r="922" spans="2:13" x14ac:dyDescent="0.25">
      <c r="B922" s="1" t="s">
        <v>45</v>
      </c>
      <c r="C922" s="1" t="s">
        <v>46</v>
      </c>
      <c r="D922" s="1" t="s">
        <v>1224</v>
      </c>
      <c r="E922" s="1"/>
      <c r="F922" s="1">
        <v>1</v>
      </c>
      <c r="G922" s="1" t="s">
        <v>53</v>
      </c>
      <c r="H922" s="1" t="str">
        <f t="shared" si="84"/>
        <v xml:space="preserve">CEMPRESA='31' </v>
      </c>
      <c r="I922" s="1" t="str">
        <f t="shared" si="85"/>
        <v xml:space="preserve">AND CBALCAO='0003' </v>
      </c>
      <c r="J922" s="1" t="str">
        <f t="shared" si="86"/>
        <v xml:space="preserve">AND CNUMECTA='19899151096' </v>
      </c>
      <c r="K922" s="1" t="str">
        <f t="shared" si="87"/>
        <v/>
      </c>
      <c r="L922" s="1" t="str">
        <f t="shared" si="88"/>
        <v>WHEN CEMPRESA='31' AND CBALCAO='0003' AND CNUMECTA='19899151096' THEN 1</v>
      </c>
      <c r="M922" s="1" t="str">
        <f t="shared" si="89"/>
        <v>WHEN CEMPRESA='31' AND CBALCAO='0003' AND CNUMECTA='19899151096' THEN 'A.1.1.'</v>
      </c>
    </row>
    <row r="923" spans="2:13" x14ac:dyDescent="0.25">
      <c r="B923" s="1" t="s">
        <v>45</v>
      </c>
      <c r="C923" s="1" t="s">
        <v>187</v>
      </c>
      <c r="D923" s="1" t="s">
        <v>1225</v>
      </c>
      <c r="E923" s="1"/>
      <c r="F923" s="1">
        <v>1</v>
      </c>
      <c r="G923" s="1" t="s">
        <v>49</v>
      </c>
      <c r="H923" s="1" t="str">
        <f t="shared" si="84"/>
        <v xml:space="preserve">CEMPRESA='31' </v>
      </c>
      <c r="I923" s="1" t="str">
        <f t="shared" si="85"/>
        <v xml:space="preserve">AND CBALCAO='6636' </v>
      </c>
      <c r="J923" s="1" t="str">
        <f t="shared" si="86"/>
        <v xml:space="preserve">AND CNUMECTA='00380030546' </v>
      </c>
      <c r="K923" s="1" t="str">
        <f t="shared" si="87"/>
        <v/>
      </c>
      <c r="L923" s="1" t="str">
        <f t="shared" si="88"/>
        <v>WHEN CEMPRESA='31' AND CBALCAO='6636' AND CNUMECTA='00380030546' THEN 1</v>
      </c>
      <c r="M923" s="1" t="str">
        <f t="shared" si="89"/>
        <v>WHEN CEMPRESA='31' AND CBALCAO='6636' AND CNUMECTA='00380030546' THEN 'A.2.3.'</v>
      </c>
    </row>
    <row r="924" spans="2:13" x14ac:dyDescent="0.25">
      <c r="B924" s="1" t="s">
        <v>45</v>
      </c>
      <c r="C924" s="1" t="s">
        <v>46</v>
      </c>
      <c r="D924" s="1" t="s">
        <v>1226</v>
      </c>
      <c r="E924" s="1"/>
      <c r="F924" s="1">
        <v>1</v>
      </c>
      <c r="G924" s="1" t="s">
        <v>76</v>
      </c>
      <c r="H924" s="1" t="str">
        <f t="shared" si="84"/>
        <v xml:space="preserve">CEMPRESA='31' </v>
      </c>
      <c r="I924" s="1" t="str">
        <f t="shared" si="85"/>
        <v xml:space="preserve">AND CBALCAO='0003' </v>
      </c>
      <c r="J924" s="1" t="str">
        <f t="shared" si="86"/>
        <v xml:space="preserve">AND CNUMECTA='18589430097' </v>
      </c>
      <c r="K924" s="1" t="str">
        <f t="shared" si="87"/>
        <v/>
      </c>
      <c r="L924" s="1" t="str">
        <f t="shared" si="88"/>
        <v>WHEN CEMPRESA='31' AND CBALCAO='0003' AND CNUMECTA='18589430097' THEN 1</v>
      </c>
      <c r="M924" s="1" t="str">
        <f t="shared" si="89"/>
        <v>WHEN CEMPRESA='31' AND CBALCAO='0003' AND CNUMECTA='18589430097' THEN 'A.7.7.'</v>
      </c>
    </row>
    <row r="925" spans="2:13" x14ac:dyDescent="0.25">
      <c r="B925" s="1" t="s">
        <v>45</v>
      </c>
      <c r="C925" s="1" t="s">
        <v>46</v>
      </c>
      <c r="D925" s="1" t="s">
        <v>1227</v>
      </c>
      <c r="E925" s="1"/>
      <c r="F925" s="1">
        <v>1</v>
      </c>
      <c r="G925" s="1" t="s">
        <v>49</v>
      </c>
      <c r="H925" s="1" t="str">
        <f t="shared" si="84"/>
        <v xml:space="preserve">CEMPRESA='31' </v>
      </c>
      <c r="I925" s="1" t="str">
        <f t="shared" si="85"/>
        <v xml:space="preserve">AND CBALCAO='0003' </v>
      </c>
      <c r="J925" s="1" t="str">
        <f t="shared" si="86"/>
        <v xml:space="preserve">AND CNUMECTA='20177027096' </v>
      </c>
      <c r="K925" s="1" t="str">
        <f t="shared" si="87"/>
        <v/>
      </c>
      <c r="L925" s="1" t="str">
        <f t="shared" si="88"/>
        <v>WHEN CEMPRESA='31' AND CBALCAO='0003' AND CNUMECTA='20177027096' THEN 1</v>
      </c>
      <c r="M925" s="1" t="str">
        <f t="shared" si="89"/>
        <v>WHEN CEMPRESA='31' AND CBALCAO='0003' AND CNUMECTA='20177027096' THEN 'A.2.3.'</v>
      </c>
    </row>
    <row r="926" spans="2:13" x14ac:dyDescent="0.25">
      <c r="B926" s="1" t="s">
        <v>54</v>
      </c>
      <c r="C926" s="1" t="s">
        <v>55</v>
      </c>
      <c r="D926" s="1" t="s">
        <v>1228</v>
      </c>
      <c r="E926" s="1"/>
      <c r="F926" s="1">
        <v>1</v>
      </c>
      <c r="G926" s="1" t="s">
        <v>49</v>
      </c>
      <c r="H926" s="1" t="str">
        <f t="shared" si="84"/>
        <v xml:space="preserve">CEMPRESA='89' </v>
      </c>
      <c r="I926" s="1" t="str">
        <f t="shared" si="85"/>
        <v xml:space="preserve">AND CBALCAO='0000' </v>
      </c>
      <c r="J926" s="1" t="str">
        <f t="shared" si="86"/>
        <v xml:space="preserve">AND CNUMECTA='20230000189' </v>
      </c>
      <c r="K926" s="1" t="str">
        <f t="shared" si="87"/>
        <v/>
      </c>
      <c r="L926" s="1" t="str">
        <f t="shared" si="88"/>
        <v>WHEN CEMPRESA='89' AND CBALCAO='0000' AND CNUMECTA='20230000189' THEN 1</v>
      </c>
      <c r="M926" s="1" t="str">
        <f t="shared" si="89"/>
        <v>WHEN CEMPRESA='89' AND CBALCAO='0000' AND CNUMECTA='20230000189' THEN 'A.2.3.'</v>
      </c>
    </row>
    <row r="927" spans="2:13" x14ac:dyDescent="0.25">
      <c r="B927" s="1" t="s">
        <v>45</v>
      </c>
      <c r="C927" s="1" t="s">
        <v>46</v>
      </c>
      <c r="D927" s="1" t="s">
        <v>1229</v>
      </c>
      <c r="E927" s="1"/>
      <c r="F927" s="1">
        <v>1</v>
      </c>
      <c r="G927" s="1" t="s">
        <v>209</v>
      </c>
      <c r="H927" s="1" t="str">
        <f t="shared" si="84"/>
        <v xml:space="preserve">CEMPRESA='31' </v>
      </c>
      <c r="I927" s="1" t="str">
        <f t="shared" si="85"/>
        <v xml:space="preserve">AND CBALCAO='0003' </v>
      </c>
      <c r="J927" s="1" t="str">
        <f t="shared" si="86"/>
        <v xml:space="preserve">AND CNUMECTA='17456178096' </v>
      </c>
      <c r="K927" s="1" t="str">
        <f t="shared" si="87"/>
        <v/>
      </c>
      <c r="L927" s="1" t="str">
        <f t="shared" si="88"/>
        <v>WHEN CEMPRESA='31' AND CBALCAO='0003' AND CNUMECTA='17456178096' THEN 1</v>
      </c>
      <c r="M927" s="1" t="str">
        <f t="shared" si="89"/>
        <v>WHEN CEMPRESA='31' AND CBALCAO='0003' AND CNUMECTA='17456178096' THEN 'A.3.1.'</v>
      </c>
    </row>
    <row r="928" spans="2:13" x14ac:dyDescent="0.25">
      <c r="B928" s="1" t="s">
        <v>45</v>
      </c>
      <c r="C928" s="1" t="s">
        <v>46</v>
      </c>
      <c r="D928" s="1" t="s">
        <v>1230</v>
      </c>
      <c r="E928" s="1"/>
      <c r="F928" s="1">
        <v>1</v>
      </c>
      <c r="G928" s="1" t="s">
        <v>60</v>
      </c>
      <c r="H928" s="1" t="str">
        <f t="shared" si="84"/>
        <v xml:space="preserve">CEMPRESA='31' </v>
      </c>
      <c r="I928" s="1" t="str">
        <f t="shared" si="85"/>
        <v xml:space="preserve">AND CBALCAO='0003' </v>
      </c>
      <c r="J928" s="1" t="str">
        <f t="shared" si="86"/>
        <v xml:space="preserve">AND CNUMECTA='17789768096' </v>
      </c>
      <c r="K928" s="1" t="str">
        <f t="shared" si="87"/>
        <v/>
      </c>
      <c r="L928" s="1" t="str">
        <f t="shared" si="88"/>
        <v>WHEN CEMPRESA='31' AND CBALCAO='0003' AND CNUMECTA='17789768096' THEN 1</v>
      </c>
      <c r="M928" s="1" t="str">
        <f t="shared" si="89"/>
        <v>WHEN CEMPRESA='31' AND CBALCAO='0003' AND CNUMECTA='17789768096' THEN 'A.3.7.'</v>
      </c>
    </row>
    <row r="929" spans="2:13" x14ac:dyDescent="0.25">
      <c r="B929" s="1" t="s">
        <v>45</v>
      </c>
      <c r="C929" s="1" t="s">
        <v>46</v>
      </c>
      <c r="D929" s="1" t="s">
        <v>1231</v>
      </c>
      <c r="E929" s="1"/>
      <c r="F929" s="1">
        <v>1</v>
      </c>
      <c r="G929" s="1" t="s">
        <v>76</v>
      </c>
      <c r="H929" s="1" t="str">
        <f t="shared" si="84"/>
        <v xml:space="preserve">CEMPRESA='31' </v>
      </c>
      <c r="I929" s="1" t="str">
        <f t="shared" si="85"/>
        <v xml:space="preserve">AND CBALCAO='0003' </v>
      </c>
      <c r="J929" s="1" t="str">
        <f t="shared" si="86"/>
        <v xml:space="preserve">AND CNUMECTA='18578102097' </v>
      </c>
      <c r="K929" s="1" t="str">
        <f t="shared" si="87"/>
        <v/>
      </c>
      <c r="L929" s="1" t="str">
        <f t="shared" si="88"/>
        <v>WHEN CEMPRESA='31' AND CBALCAO='0003' AND CNUMECTA='18578102097' THEN 1</v>
      </c>
      <c r="M929" s="1" t="str">
        <f t="shared" si="89"/>
        <v>WHEN CEMPRESA='31' AND CBALCAO='0003' AND CNUMECTA='18578102097' THEN 'A.7.7.'</v>
      </c>
    </row>
    <row r="930" spans="2:13" x14ac:dyDescent="0.25">
      <c r="B930" s="1" t="s">
        <v>45</v>
      </c>
      <c r="C930" s="1" t="s">
        <v>46</v>
      </c>
      <c r="D930" s="1" t="s">
        <v>1232</v>
      </c>
      <c r="E930" s="1"/>
      <c r="F930" s="1">
        <v>1</v>
      </c>
      <c r="G930" s="1" t="s">
        <v>49</v>
      </c>
      <c r="H930" s="1" t="str">
        <f t="shared" si="84"/>
        <v xml:space="preserve">CEMPRESA='31' </v>
      </c>
      <c r="I930" s="1" t="str">
        <f t="shared" si="85"/>
        <v xml:space="preserve">AND CBALCAO='0003' </v>
      </c>
      <c r="J930" s="1" t="str">
        <f t="shared" si="86"/>
        <v xml:space="preserve">AND CNUMECTA='19467223096' </v>
      </c>
      <c r="K930" s="1" t="str">
        <f t="shared" si="87"/>
        <v/>
      </c>
      <c r="L930" s="1" t="str">
        <f t="shared" si="88"/>
        <v>WHEN CEMPRESA='31' AND CBALCAO='0003' AND CNUMECTA='19467223096' THEN 1</v>
      </c>
      <c r="M930" s="1" t="str">
        <f t="shared" si="89"/>
        <v>WHEN CEMPRESA='31' AND CBALCAO='0003' AND CNUMECTA='19467223096' THEN 'A.2.3.'</v>
      </c>
    </row>
    <row r="931" spans="2:13" x14ac:dyDescent="0.25">
      <c r="B931" s="1" t="s">
        <v>45</v>
      </c>
      <c r="C931" s="1" t="s">
        <v>46</v>
      </c>
      <c r="D931" s="1" t="s">
        <v>1233</v>
      </c>
      <c r="E931" s="1"/>
      <c r="F931" s="1">
        <v>1</v>
      </c>
      <c r="G931" s="1" t="s">
        <v>209</v>
      </c>
      <c r="H931" s="1" t="str">
        <f t="shared" si="84"/>
        <v xml:space="preserve">CEMPRESA='31' </v>
      </c>
      <c r="I931" s="1" t="str">
        <f t="shared" si="85"/>
        <v xml:space="preserve">AND CBALCAO='0003' </v>
      </c>
      <c r="J931" s="1" t="str">
        <f t="shared" si="86"/>
        <v xml:space="preserve">AND CNUMECTA='10854551096' </v>
      </c>
      <c r="K931" s="1" t="str">
        <f t="shared" si="87"/>
        <v/>
      </c>
      <c r="L931" s="1" t="str">
        <f t="shared" si="88"/>
        <v>WHEN CEMPRESA='31' AND CBALCAO='0003' AND CNUMECTA='10854551096' THEN 1</v>
      </c>
      <c r="M931" s="1" t="str">
        <f t="shared" si="89"/>
        <v>WHEN CEMPRESA='31' AND CBALCAO='0003' AND CNUMECTA='10854551096' THEN 'A.3.1.'</v>
      </c>
    </row>
    <row r="932" spans="2:13" x14ac:dyDescent="0.25">
      <c r="B932" s="1" t="s">
        <v>45</v>
      </c>
      <c r="C932" s="1" t="s">
        <v>46</v>
      </c>
      <c r="D932" s="1" t="s">
        <v>1234</v>
      </c>
      <c r="E932" s="1"/>
      <c r="F932" s="1">
        <v>1</v>
      </c>
      <c r="G932" s="1" t="s">
        <v>49</v>
      </c>
      <c r="H932" s="1" t="str">
        <f t="shared" si="84"/>
        <v xml:space="preserve">CEMPRESA='31' </v>
      </c>
      <c r="I932" s="1" t="str">
        <f t="shared" si="85"/>
        <v xml:space="preserve">AND CBALCAO='0003' </v>
      </c>
      <c r="J932" s="1" t="str">
        <f t="shared" si="86"/>
        <v xml:space="preserve">AND CNUMECTA='18631522096' </v>
      </c>
      <c r="K932" s="1" t="str">
        <f t="shared" si="87"/>
        <v/>
      </c>
      <c r="L932" s="1" t="str">
        <f t="shared" si="88"/>
        <v>WHEN CEMPRESA='31' AND CBALCAO='0003' AND CNUMECTA='18631522096' THEN 1</v>
      </c>
      <c r="M932" s="1" t="str">
        <f t="shared" si="89"/>
        <v>WHEN CEMPRESA='31' AND CBALCAO='0003' AND CNUMECTA='18631522096' THEN 'A.2.3.'</v>
      </c>
    </row>
    <row r="933" spans="2:13" x14ac:dyDescent="0.25">
      <c r="B933" s="1" t="s">
        <v>45</v>
      </c>
      <c r="C933" s="1" t="s">
        <v>187</v>
      </c>
      <c r="D933" s="1" t="s">
        <v>1235</v>
      </c>
      <c r="E933" s="1"/>
      <c r="F933" s="1">
        <v>1</v>
      </c>
      <c r="G933" s="1" t="s">
        <v>49</v>
      </c>
      <c r="H933" s="1" t="str">
        <f t="shared" si="84"/>
        <v xml:space="preserve">CEMPRESA='31' </v>
      </c>
      <c r="I933" s="1" t="str">
        <f t="shared" si="85"/>
        <v xml:space="preserve">AND CBALCAO='6636' </v>
      </c>
      <c r="J933" s="1" t="str">
        <f t="shared" si="86"/>
        <v xml:space="preserve">AND CNUMECTA='00380030598' </v>
      </c>
      <c r="K933" s="1" t="str">
        <f t="shared" si="87"/>
        <v/>
      </c>
      <c r="L933" s="1" t="str">
        <f t="shared" si="88"/>
        <v>WHEN CEMPRESA='31' AND CBALCAO='6636' AND CNUMECTA='00380030598' THEN 1</v>
      </c>
      <c r="M933" s="1" t="str">
        <f t="shared" si="89"/>
        <v>WHEN CEMPRESA='31' AND CBALCAO='6636' AND CNUMECTA='00380030598' THEN 'A.2.3.'</v>
      </c>
    </row>
    <row r="934" spans="2:13" x14ac:dyDescent="0.25">
      <c r="B934" s="1" t="s">
        <v>54</v>
      </c>
      <c r="C934" s="1" t="s">
        <v>55</v>
      </c>
      <c r="D934" s="1" t="s">
        <v>1236</v>
      </c>
      <c r="E934" s="1"/>
      <c r="F934" s="1" t="s">
        <v>1237</v>
      </c>
      <c r="G934" s="1" t="s">
        <v>49</v>
      </c>
      <c r="H934" s="1" t="str">
        <f t="shared" si="84"/>
        <v xml:space="preserve">CEMPRESA='89' </v>
      </c>
      <c r="I934" s="1" t="str">
        <f t="shared" si="85"/>
        <v xml:space="preserve">AND CBALCAO='0000' </v>
      </c>
      <c r="J934" s="1" t="str">
        <f t="shared" si="86"/>
        <v xml:space="preserve">AND CNUMECTA='20230000374' </v>
      </c>
      <c r="K934" s="1" t="str">
        <f t="shared" si="87"/>
        <v/>
      </c>
      <c r="L934" s="1" t="str">
        <f t="shared" si="88"/>
        <v>WHEN CEMPRESA='89' AND CBALCAO='0000' AND CNUMECTA='20230000374' THEN 0.05</v>
      </c>
      <c r="M934" s="1" t="str">
        <f t="shared" si="89"/>
        <v>WHEN CEMPRESA='89' AND CBALCAO='0000' AND CNUMECTA='20230000374' THEN 'A.2.3.'</v>
      </c>
    </row>
    <row r="935" spans="2:13" x14ac:dyDescent="0.25">
      <c r="B935" s="1" t="s">
        <v>45</v>
      </c>
      <c r="C935" s="1" t="s">
        <v>1238</v>
      </c>
      <c r="D935" s="1" t="s">
        <v>1239</v>
      </c>
      <c r="E935" s="1"/>
      <c r="F935" s="1">
        <v>1</v>
      </c>
      <c r="G935" s="1" t="s">
        <v>53</v>
      </c>
      <c r="H935" s="1" t="str">
        <f t="shared" si="84"/>
        <v xml:space="preserve">CEMPRESA='31' </v>
      </c>
      <c r="I935" s="1" t="str">
        <f t="shared" si="85"/>
        <v xml:space="preserve">AND CBALCAO='2392' </v>
      </c>
      <c r="J935" s="1" t="str">
        <f t="shared" si="86"/>
        <v xml:space="preserve">AND CNUMECTA='00062468020' </v>
      </c>
      <c r="K935" s="1" t="str">
        <f t="shared" si="87"/>
        <v/>
      </c>
      <c r="L935" s="1" t="str">
        <f t="shared" si="88"/>
        <v>WHEN CEMPRESA='31' AND CBALCAO='2392' AND CNUMECTA='00062468020' THEN 1</v>
      </c>
      <c r="M935" s="1" t="str">
        <f t="shared" si="89"/>
        <v>WHEN CEMPRESA='31' AND CBALCAO='2392' AND CNUMECTA='00062468020' THEN 'A.1.1.'</v>
      </c>
    </row>
    <row r="936" spans="2:13" x14ac:dyDescent="0.25">
      <c r="B936" s="1" t="s">
        <v>45</v>
      </c>
      <c r="C936" s="1" t="s">
        <v>46</v>
      </c>
      <c r="D936" s="1" t="s">
        <v>1240</v>
      </c>
      <c r="E936" s="1"/>
      <c r="F936" s="1">
        <v>1</v>
      </c>
      <c r="G936" s="1" t="s">
        <v>209</v>
      </c>
      <c r="H936" s="1" t="str">
        <f t="shared" si="84"/>
        <v xml:space="preserve">CEMPRESA='31' </v>
      </c>
      <c r="I936" s="1" t="str">
        <f t="shared" si="85"/>
        <v xml:space="preserve">AND CBALCAO='0003' </v>
      </c>
      <c r="J936" s="1" t="str">
        <f t="shared" si="86"/>
        <v xml:space="preserve">AND CNUMECTA='18529429096' </v>
      </c>
      <c r="K936" s="1" t="str">
        <f t="shared" si="87"/>
        <v/>
      </c>
      <c r="L936" s="1" t="str">
        <f t="shared" si="88"/>
        <v>WHEN CEMPRESA='31' AND CBALCAO='0003' AND CNUMECTA='18529429096' THEN 1</v>
      </c>
      <c r="M936" s="1" t="str">
        <f t="shared" si="89"/>
        <v>WHEN CEMPRESA='31' AND CBALCAO='0003' AND CNUMECTA='18529429096' THEN 'A.3.1.'</v>
      </c>
    </row>
    <row r="937" spans="2:13" x14ac:dyDescent="0.25">
      <c r="B937" s="1" t="s">
        <v>45</v>
      </c>
      <c r="C937" s="1" t="s">
        <v>46</v>
      </c>
      <c r="D937" s="1" t="s">
        <v>1241</v>
      </c>
      <c r="E937" s="1"/>
      <c r="F937" s="1">
        <v>1</v>
      </c>
      <c r="G937" s="1" t="s">
        <v>76</v>
      </c>
      <c r="H937" s="1" t="str">
        <f t="shared" si="84"/>
        <v xml:space="preserve">CEMPRESA='31' </v>
      </c>
      <c r="I937" s="1" t="str">
        <f t="shared" si="85"/>
        <v xml:space="preserve">AND CBALCAO='0003' </v>
      </c>
      <c r="J937" s="1" t="str">
        <f t="shared" si="86"/>
        <v xml:space="preserve">AND CNUMECTA='18582393097' </v>
      </c>
      <c r="K937" s="1" t="str">
        <f t="shared" si="87"/>
        <v/>
      </c>
      <c r="L937" s="1" t="str">
        <f t="shared" si="88"/>
        <v>WHEN CEMPRESA='31' AND CBALCAO='0003' AND CNUMECTA='18582393097' THEN 1</v>
      </c>
      <c r="M937" s="1" t="str">
        <f t="shared" si="89"/>
        <v>WHEN CEMPRESA='31' AND CBALCAO='0003' AND CNUMECTA='18582393097' THEN 'A.7.7.'</v>
      </c>
    </row>
    <row r="938" spans="2:13" x14ac:dyDescent="0.25">
      <c r="B938" s="1" t="s">
        <v>45</v>
      </c>
      <c r="C938" s="1" t="s">
        <v>46</v>
      </c>
      <c r="D938" s="1" t="s">
        <v>1242</v>
      </c>
      <c r="E938" s="1"/>
      <c r="F938" s="1">
        <v>1</v>
      </c>
      <c r="G938" s="1" t="s">
        <v>76</v>
      </c>
      <c r="H938" s="1" t="str">
        <f t="shared" si="84"/>
        <v xml:space="preserve">CEMPRESA='31' </v>
      </c>
      <c r="I938" s="1" t="str">
        <f t="shared" si="85"/>
        <v xml:space="preserve">AND CBALCAO='0003' </v>
      </c>
      <c r="J938" s="1" t="str">
        <f t="shared" si="86"/>
        <v xml:space="preserve">AND CNUMECTA='18583672097' </v>
      </c>
      <c r="K938" s="1" t="str">
        <f t="shared" si="87"/>
        <v/>
      </c>
      <c r="L938" s="1" t="str">
        <f t="shared" si="88"/>
        <v>WHEN CEMPRESA='31' AND CBALCAO='0003' AND CNUMECTA='18583672097' THEN 1</v>
      </c>
      <c r="M938" s="1" t="str">
        <f t="shared" si="89"/>
        <v>WHEN CEMPRESA='31' AND CBALCAO='0003' AND CNUMECTA='18583672097' THEN 'A.7.7.'</v>
      </c>
    </row>
    <row r="939" spans="2:13" x14ac:dyDescent="0.25">
      <c r="B939" s="1" t="s">
        <v>54</v>
      </c>
      <c r="C939" s="1" t="s">
        <v>55</v>
      </c>
      <c r="D939" s="1" t="s">
        <v>1243</v>
      </c>
      <c r="E939" s="1"/>
      <c r="F939" s="1">
        <v>1</v>
      </c>
      <c r="G939" s="1" t="s">
        <v>53</v>
      </c>
      <c r="H939" s="1" t="str">
        <f t="shared" si="84"/>
        <v xml:space="preserve">CEMPRESA='89' </v>
      </c>
      <c r="I939" s="1" t="str">
        <f t="shared" si="85"/>
        <v xml:space="preserve">AND CBALCAO='0000' </v>
      </c>
      <c r="J939" s="1" t="str">
        <f t="shared" si="86"/>
        <v xml:space="preserve">AND CNUMECTA='20230000392' </v>
      </c>
      <c r="K939" s="1" t="str">
        <f t="shared" si="87"/>
        <v/>
      </c>
      <c r="L939" s="1" t="str">
        <f t="shared" si="88"/>
        <v>WHEN CEMPRESA='89' AND CBALCAO='0000' AND CNUMECTA='20230000392' THEN 1</v>
      </c>
      <c r="M939" s="1" t="str">
        <f t="shared" si="89"/>
        <v>WHEN CEMPRESA='89' AND CBALCAO='0000' AND CNUMECTA='20230000392' THEN 'A.1.1.'</v>
      </c>
    </row>
    <row r="940" spans="2:13" x14ac:dyDescent="0.25">
      <c r="B940" s="1" t="s">
        <v>45</v>
      </c>
      <c r="C940" s="1" t="s">
        <v>46</v>
      </c>
      <c r="D940" s="1" t="s">
        <v>1244</v>
      </c>
      <c r="E940" s="1"/>
      <c r="F940" s="1" t="s">
        <v>1245</v>
      </c>
      <c r="G940" s="1" t="s">
        <v>209</v>
      </c>
      <c r="H940" s="1" t="str">
        <f t="shared" si="84"/>
        <v xml:space="preserve">CEMPRESA='31' </v>
      </c>
      <c r="I940" s="1" t="str">
        <f t="shared" si="85"/>
        <v xml:space="preserve">AND CBALCAO='0003' </v>
      </c>
      <c r="J940" s="1" t="str">
        <f t="shared" si="86"/>
        <v xml:space="preserve">AND CNUMECTA='15745168096' </v>
      </c>
      <c r="K940" s="1" t="str">
        <f t="shared" si="87"/>
        <v/>
      </c>
      <c r="L940" s="1" t="str">
        <f t="shared" si="88"/>
        <v>WHEN CEMPRESA='31' AND CBALCAO='0003' AND CNUMECTA='15745168096' THEN 0.5518</v>
      </c>
      <c r="M940" s="1" t="str">
        <f t="shared" si="89"/>
        <v>WHEN CEMPRESA='31' AND CBALCAO='0003' AND CNUMECTA='15745168096' THEN 'A.3.1.'</v>
      </c>
    </row>
    <row r="941" spans="2:13" x14ac:dyDescent="0.25">
      <c r="B941" s="1" t="s">
        <v>45</v>
      </c>
      <c r="C941" s="1" t="s">
        <v>187</v>
      </c>
      <c r="D941" s="1" t="s">
        <v>1246</v>
      </c>
      <c r="E941" s="1"/>
      <c r="F941" s="1">
        <v>1</v>
      </c>
      <c r="G941" s="1" t="s">
        <v>1247</v>
      </c>
      <c r="H941" s="1" t="str">
        <f t="shared" si="84"/>
        <v xml:space="preserve">CEMPRESA='31' </v>
      </c>
      <c r="I941" s="1" t="str">
        <f t="shared" si="85"/>
        <v xml:space="preserve">AND CBALCAO='6636' </v>
      </c>
      <c r="J941" s="1" t="str">
        <f t="shared" si="86"/>
        <v xml:space="preserve">AND CNUMECTA='00380029937' </v>
      </c>
      <c r="K941" s="1" t="str">
        <f t="shared" si="87"/>
        <v/>
      </c>
      <c r="L941" s="1" t="str">
        <f t="shared" si="88"/>
        <v>WHEN CEMPRESA='31' AND CBALCAO='6636' AND CNUMECTA='00380029937' THEN 1</v>
      </c>
      <c r="M941" s="1" t="str">
        <f t="shared" si="89"/>
        <v>WHEN CEMPRESA='31' AND CBALCAO='6636' AND CNUMECTA='00380029937' THEN 'A.6.19.'</v>
      </c>
    </row>
    <row r="942" spans="2:13" x14ac:dyDescent="0.25">
      <c r="B942" s="1" t="s">
        <v>45</v>
      </c>
      <c r="C942" s="1" t="s">
        <v>46</v>
      </c>
      <c r="D942" s="1" t="s">
        <v>1248</v>
      </c>
      <c r="E942" s="1"/>
      <c r="F942" s="1">
        <v>1</v>
      </c>
      <c r="G942" s="1" t="s">
        <v>1249</v>
      </c>
      <c r="H942" s="1" t="str">
        <f t="shared" si="84"/>
        <v xml:space="preserve">CEMPRESA='31' </v>
      </c>
      <c r="I942" s="1" t="str">
        <f t="shared" si="85"/>
        <v xml:space="preserve">AND CBALCAO='0003' </v>
      </c>
      <c r="J942" s="1" t="str">
        <f t="shared" si="86"/>
        <v xml:space="preserve">AND CNUMECTA='17092288096' </v>
      </c>
      <c r="K942" s="1" t="str">
        <f t="shared" si="87"/>
        <v/>
      </c>
      <c r="L942" s="1" t="str">
        <f t="shared" si="88"/>
        <v>WHEN CEMPRESA='31' AND CBALCAO='0003' AND CNUMECTA='17092288096' THEN 1</v>
      </c>
      <c r="M942" s="1" t="str">
        <f t="shared" si="89"/>
        <v>WHEN CEMPRESA='31' AND CBALCAO='0003' AND CNUMECTA='17092288096' THEN 'A.7.18.'</v>
      </c>
    </row>
    <row r="943" spans="2:13" x14ac:dyDescent="0.25">
      <c r="B943" s="1" t="s">
        <v>45</v>
      </c>
      <c r="C943" s="1" t="s">
        <v>187</v>
      </c>
      <c r="D943" s="1" t="s">
        <v>1250</v>
      </c>
      <c r="E943" s="1"/>
      <c r="F943" s="1">
        <v>1</v>
      </c>
      <c r="G943" s="1" t="s">
        <v>53</v>
      </c>
      <c r="H943" s="1" t="str">
        <f t="shared" si="84"/>
        <v xml:space="preserve">CEMPRESA='31' </v>
      </c>
      <c r="I943" s="1" t="str">
        <f t="shared" si="85"/>
        <v xml:space="preserve">AND CBALCAO='6636' </v>
      </c>
      <c r="J943" s="1" t="str">
        <f t="shared" si="86"/>
        <v xml:space="preserve">AND CNUMECTA='00380030299' </v>
      </c>
      <c r="K943" s="1" t="str">
        <f t="shared" si="87"/>
        <v/>
      </c>
      <c r="L943" s="1" t="str">
        <f t="shared" si="88"/>
        <v>WHEN CEMPRESA='31' AND CBALCAO='6636' AND CNUMECTA='00380030299' THEN 1</v>
      </c>
      <c r="M943" s="1" t="str">
        <f t="shared" si="89"/>
        <v>WHEN CEMPRESA='31' AND CBALCAO='6636' AND CNUMECTA='00380030299' THEN 'A.1.1.'</v>
      </c>
    </row>
    <row r="944" spans="2:13" x14ac:dyDescent="0.25">
      <c r="B944" s="1" t="s">
        <v>45</v>
      </c>
      <c r="C944" s="1" t="s">
        <v>46</v>
      </c>
      <c r="D944" s="1" t="s">
        <v>1251</v>
      </c>
      <c r="E944" s="1"/>
      <c r="F944" s="1">
        <v>1</v>
      </c>
      <c r="G944" s="1" t="s">
        <v>76</v>
      </c>
      <c r="H944" s="1" t="str">
        <f t="shared" si="84"/>
        <v xml:space="preserve">CEMPRESA='31' </v>
      </c>
      <c r="I944" s="1" t="str">
        <f t="shared" si="85"/>
        <v xml:space="preserve">AND CBALCAO='0003' </v>
      </c>
      <c r="J944" s="1" t="str">
        <f t="shared" si="86"/>
        <v xml:space="preserve">AND CNUMECTA='18598241097' </v>
      </c>
      <c r="K944" s="1" t="str">
        <f t="shared" si="87"/>
        <v/>
      </c>
      <c r="L944" s="1" t="str">
        <f t="shared" si="88"/>
        <v>WHEN CEMPRESA='31' AND CBALCAO='0003' AND CNUMECTA='18598241097' THEN 1</v>
      </c>
      <c r="M944" s="1" t="str">
        <f t="shared" si="89"/>
        <v>WHEN CEMPRESA='31' AND CBALCAO='0003' AND CNUMECTA='18598241097' THEN 'A.7.7.'</v>
      </c>
    </row>
    <row r="945" spans="2:13" x14ac:dyDescent="0.25">
      <c r="B945" s="1" t="s">
        <v>45</v>
      </c>
      <c r="C945" s="1" t="s">
        <v>46</v>
      </c>
      <c r="D945" s="1" t="s">
        <v>1252</v>
      </c>
      <c r="E945" s="1"/>
      <c r="F945" s="1">
        <v>1</v>
      </c>
      <c r="G945" s="1" t="s">
        <v>209</v>
      </c>
      <c r="H945" s="1" t="str">
        <f t="shared" si="84"/>
        <v xml:space="preserve">CEMPRESA='31' </v>
      </c>
      <c r="I945" s="1" t="str">
        <f t="shared" si="85"/>
        <v xml:space="preserve">AND CBALCAO='0003' </v>
      </c>
      <c r="J945" s="1" t="str">
        <f t="shared" si="86"/>
        <v xml:space="preserve">AND CNUMECTA='17099127096' </v>
      </c>
      <c r="K945" s="1" t="str">
        <f t="shared" si="87"/>
        <v/>
      </c>
      <c r="L945" s="1" t="str">
        <f t="shared" si="88"/>
        <v>WHEN CEMPRESA='31' AND CBALCAO='0003' AND CNUMECTA='17099127096' THEN 1</v>
      </c>
      <c r="M945" s="1" t="str">
        <f t="shared" si="89"/>
        <v>WHEN CEMPRESA='31' AND CBALCAO='0003' AND CNUMECTA='17099127096' THEN 'A.3.1.'</v>
      </c>
    </row>
    <row r="946" spans="2:13" x14ac:dyDescent="0.25">
      <c r="B946" s="1" t="s">
        <v>45</v>
      </c>
      <c r="C946" s="1" t="s">
        <v>46</v>
      </c>
      <c r="D946" s="1" t="s">
        <v>1253</v>
      </c>
      <c r="E946" s="1"/>
      <c r="F946" s="1">
        <v>1</v>
      </c>
      <c r="G946" s="1" t="s">
        <v>76</v>
      </c>
      <c r="H946" s="1" t="str">
        <f t="shared" si="84"/>
        <v xml:space="preserve">CEMPRESA='31' </v>
      </c>
      <c r="I946" s="1" t="str">
        <f t="shared" si="85"/>
        <v xml:space="preserve">AND CBALCAO='0003' </v>
      </c>
      <c r="J946" s="1" t="str">
        <f t="shared" si="86"/>
        <v xml:space="preserve">AND CNUMECTA='18617538097' </v>
      </c>
      <c r="K946" s="1" t="str">
        <f t="shared" si="87"/>
        <v/>
      </c>
      <c r="L946" s="1" t="str">
        <f t="shared" si="88"/>
        <v>WHEN CEMPRESA='31' AND CBALCAO='0003' AND CNUMECTA='18617538097' THEN 1</v>
      </c>
      <c r="M946" s="1" t="str">
        <f t="shared" si="89"/>
        <v>WHEN CEMPRESA='31' AND CBALCAO='0003' AND CNUMECTA='18617538097' THEN 'A.7.7.'</v>
      </c>
    </row>
    <row r="947" spans="2:13" x14ac:dyDescent="0.25">
      <c r="B947" s="1" t="s">
        <v>54</v>
      </c>
      <c r="C947" s="1" t="s">
        <v>55</v>
      </c>
      <c r="D947" s="1" t="s">
        <v>1254</v>
      </c>
      <c r="E947" s="1"/>
      <c r="F947" s="1">
        <v>1</v>
      </c>
      <c r="G947" s="1" t="s">
        <v>1195</v>
      </c>
      <c r="H947" s="1" t="str">
        <f t="shared" si="84"/>
        <v xml:space="preserve">CEMPRESA='89' </v>
      </c>
      <c r="I947" s="1" t="str">
        <f t="shared" si="85"/>
        <v xml:space="preserve">AND CBALCAO='0000' </v>
      </c>
      <c r="J947" s="1" t="str">
        <f t="shared" si="86"/>
        <v xml:space="preserve">AND CNUMECTA='20240000200' </v>
      </c>
      <c r="K947" s="1" t="str">
        <f t="shared" si="87"/>
        <v/>
      </c>
      <c r="L947" s="1" t="str">
        <f t="shared" si="88"/>
        <v>WHEN CEMPRESA='89' AND CBALCAO='0000' AND CNUMECTA='20240000200' THEN 1</v>
      </c>
      <c r="M947" s="1" t="str">
        <f t="shared" si="89"/>
        <v>WHEN CEMPRESA='89' AND CBALCAO='0000' AND CNUMECTA='20240000200' THEN 'A.2.2.'</v>
      </c>
    </row>
    <row r="948" spans="2:13" x14ac:dyDescent="0.25">
      <c r="B948" s="1" t="s">
        <v>45</v>
      </c>
      <c r="C948" s="1" t="s">
        <v>46</v>
      </c>
      <c r="D948" s="1" t="s">
        <v>1255</v>
      </c>
      <c r="E948" s="1"/>
      <c r="F948" s="1">
        <v>1</v>
      </c>
      <c r="G948" s="1" t="s">
        <v>76</v>
      </c>
      <c r="H948" s="1" t="str">
        <f t="shared" si="84"/>
        <v xml:space="preserve">CEMPRESA='31' </v>
      </c>
      <c r="I948" s="1" t="str">
        <f t="shared" si="85"/>
        <v xml:space="preserve">AND CBALCAO='0003' </v>
      </c>
      <c r="J948" s="1" t="str">
        <f t="shared" si="86"/>
        <v xml:space="preserve">AND CNUMECTA='18602936097' </v>
      </c>
      <c r="K948" s="1" t="str">
        <f t="shared" si="87"/>
        <v/>
      </c>
      <c r="L948" s="1" t="str">
        <f t="shared" si="88"/>
        <v>WHEN CEMPRESA='31' AND CBALCAO='0003' AND CNUMECTA='18602936097' THEN 1</v>
      </c>
      <c r="M948" s="1" t="str">
        <f t="shared" si="89"/>
        <v>WHEN CEMPRESA='31' AND CBALCAO='0003' AND CNUMECTA='18602936097' THEN 'A.7.7.'</v>
      </c>
    </row>
    <row r="949" spans="2:13" x14ac:dyDescent="0.25">
      <c r="B949" s="1" t="s">
        <v>45</v>
      </c>
      <c r="C949" s="1" t="s">
        <v>46</v>
      </c>
      <c r="D949" s="1" t="s">
        <v>1256</v>
      </c>
      <c r="E949" s="1"/>
      <c r="F949" s="1" t="s">
        <v>1257</v>
      </c>
      <c r="G949" s="1" t="s">
        <v>1258</v>
      </c>
      <c r="H949" s="1" t="str">
        <f t="shared" si="84"/>
        <v xml:space="preserve">CEMPRESA='31' </v>
      </c>
      <c r="I949" s="1" t="str">
        <f t="shared" si="85"/>
        <v xml:space="preserve">AND CBALCAO='0003' </v>
      </c>
      <c r="J949" s="1" t="str">
        <f t="shared" si="86"/>
        <v xml:space="preserve">AND CNUMECTA='20356902096' </v>
      </c>
      <c r="K949" s="1" t="str">
        <f t="shared" si="87"/>
        <v/>
      </c>
      <c r="L949" s="1" t="str">
        <f t="shared" si="88"/>
        <v>WHEN CEMPRESA='31' AND CBALCAO='0003' AND CNUMECTA='20356902096' THEN 0.83</v>
      </c>
      <c r="M949" s="1" t="str">
        <f t="shared" si="89"/>
        <v>WHEN CEMPRESA='31' AND CBALCAO='0003' AND CNUMECTA='20356902096' THEN 'A.8.23.'</v>
      </c>
    </row>
    <row r="950" spans="2:13" x14ac:dyDescent="0.25">
      <c r="B950" s="1" t="s">
        <v>45</v>
      </c>
      <c r="C950" s="1" t="s">
        <v>46</v>
      </c>
      <c r="D950" s="1" t="s">
        <v>1259</v>
      </c>
      <c r="E950" s="1"/>
      <c r="F950" s="1">
        <v>1</v>
      </c>
      <c r="G950" s="1" t="s">
        <v>53</v>
      </c>
      <c r="H950" s="1" t="str">
        <f t="shared" si="84"/>
        <v xml:space="preserve">CEMPRESA='31' </v>
      </c>
      <c r="I950" s="1" t="str">
        <f t="shared" si="85"/>
        <v xml:space="preserve">AND CBALCAO='0003' </v>
      </c>
      <c r="J950" s="1" t="str">
        <f t="shared" si="86"/>
        <v xml:space="preserve">AND CNUMECTA='15697617096' </v>
      </c>
      <c r="K950" s="1" t="str">
        <f t="shared" si="87"/>
        <v/>
      </c>
      <c r="L950" s="1" t="str">
        <f t="shared" si="88"/>
        <v>WHEN CEMPRESA='31' AND CBALCAO='0003' AND CNUMECTA='15697617096' THEN 1</v>
      </c>
      <c r="M950" s="1" t="str">
        <f t="shared" si="89"/>
        <v>WHEN CEMPRESA='31' AND CBALCAO='0003' AND CNUMECTA='15697617096' THEN 'A.1.1.'</v>
      </c>
    </row>
    <row r="951" spans="2:13" x14ac:dyDescent="0.25">
      <c r="B951" s="1" t="s">
        <v>54</v>
      </c>
      <c r="C951" s="1" t="s">
        <v>55</v>
      </c>
      <c r="D951" s="1" t="s">
        <v>1260</v>
      </c>
      <c r="E951" s="1"/>
      <c r="F951" s="1">
        <v>1</v>
      </c>
      <c r="G951" s="1" t="s">
        <v>53</v>
      </c>
      <c r="H951" s="1" t="str">
        <f t="shared" si="84"/>
        <v xml:space="preserve">CEMPRESA='89' </v>
      </c>
      <c r="I951" s="1" t="str">
        <f t="shared" si="85"/>
        <v xml:space="preserve">AND CBALCAO='0000' </v>
      </c>
      <c r="J951" s="1" t="str">
        <f t="shared" si="86"/>
        <v xml:space="preserve">AND CNUMECTA='20230000104' </v>
      </c>
      <c r="K951" s="1" t="str">
        <f t="shared" si="87"/>
        <v/>
      </c>
      <c r="L951" s="1" t="str">
        <f t="shared" si="88"/>
        <v>WHEN CEMPRESA='89' AND CBALCAO='0000' AND CNUMECTA='20230000104' THEN 1</v>
      </c>
      <c r="M951" s="1" t="str">
        <f t="shared" si="89"/>
        <v>WHEN CEMPRESA='89' AND CBALCAO='0000' AND CNUMECTA='20230000104' THEN 'A.1.1.'</v>
      </c>
    </row>
    <row r="952" spans="2:13" x14ac:dyDescent="0.25">
      <c r="B952" s="1" t="s">
        <v>45</v>
      </c>
      <c r="C952" s="1" t="s">
        <v>46</v>
      </c>
      <c r="D952" s="1" t="s">
        <v>1261</v>
      </c>
      <c r="E952" s="1"/>
      <c r="F952" s="1">
        <v>1</v>
      </c>
      <c r="G952" s="1" t="s">
        <v>76</v>
      </c>
      <c r="H952" s="1" t="str">
        <f t="shared" si="84"/>
        <v xml:space="preserve">CEMPRESA='31' </v>
      </c>
      <c r="I952" s="1" t="str">
        <f t="shared" si="85"/>
        <v xml:space="preserve">AND CBALCAO='0003' </v>
      </c>
      <c r="J952" s="1" t="str">
        <f t="shared" si="86"/>
        <v xml:space="preserve">AND CNUMECTA='18603025097' </v>
      </c>
      <c r="K952" s="1" t="str">
        <f t="shared" si="87"/>
        <v/>
      </c>
      <c r="L952" s="1" t="str">
        <f t="shared" si="88"/>
        <v>WHEN CEMPRESA='31' AND CBALCAO='0003' AND CNUMECTA='18603025097' THEN 1</v>
      </c>
      <c r="M952" s="1" t="str">
        <f t="shared" si="89"/>
        <v>WHEN CEMPRESA='31' AND CBALCAO='0003' AND CNUMECTA='18603025097' THEN 'A.7.7.'</v>
      </c>
    </row>
    <row r="953" spans="2:13" x14ac:dyDescent="0.25">
      <c r="B953" s="1" t="s">
        <v>45</v>
      </c>
      <c r="C953" s="1" t="s">
        <v>46</v>
      </c>
      <c r="D953" s="1" t="s">
        <v>1262</v>
      </c>
      <c r="E953" s="1"/>
      <c r="F953" s="1">
        <v>1</v>
      </c>
      <c r="G953" s="1" t="s">
        <v>209</v>
      </c>
      <c r="H953" s="1" t="str">
        <f t="shared" si="84"/>
        <v xml:space="preserve">CEMPRESA='31' </v>
      </c>
      <c r="I953" s="1" t="str">
        <f t="shared" si="85"/>
        <v xml:space="preserve">AND CBALCAO='0003' </v>
      </c>
      <c r="J953" s="1" t="str">
        <f t="shared" si="86"/>
        <v xml:space="preserve">AND CNUMECTA='16573239096' </v>
      </c>
      <c r="K953" s="1" t="str">
        <f t="shared" si="87"/>
        <v/>
      </c>
      <c r="L953" s="1" t="str">
        <f t="shared" si="88"/>
        <v>WHEN CEMPRESA='31' AND CBALCAO='0003' AND CNUMECTA='16573239096' THEN 1</v>
      </c>
      <c r="M953" s="1" t="str">
        <f t="shared" si="89"/>
        <v>WHEN CEMPRESA='31' AND CBALCAO='0003' AND CNUMECTA='16573239096' THEN 'A.3.1.'</v>
      </c>
    </row>
    <row r="954" spans="2:13" x14ac:dyDescent="0.25">
      <c r="B954" s="1" t="s">
        <v>45</v>
      </c>
      <c r="C954" s="1" t="s">
        <v>46</v>
      </c>
      <c r="D954" s="1" t="s">
        <v>1263</v>
      </c>
      <c r="E954" s="1"/>
      <c r="F954" s="1">
        <v>1</v>
      </c>
      <c r="G954" s="1" t="s">
        <v>76</v>
      </c>
      <c r="H954" s="1" t="str">
        <f t="shared" si="84"/>
        <v xml:space="preserve">CEMPRESA='31' </v>
      </c>
      <c r="I954" s="1" t="str">
        <f t="shared" si="85"/>
        <v xml:space="preserve">AND CBALCAO='0003' </v>
      </c>
      <c r="J954" s="1" t="str">
        <f t="shared" si="86"/>
        <v xml:space="preserve">AND CNUMECTA='17988162096' </v>
      </c>
      <c r="K954" s="1" t="str">
        <f t="shared" si="87"/>
        <v/>
      </c>
      <c r="L954" s="1" t="str">
        <f t="shared" si="88"/>
        <v>WHEN CEMPRESA='31' AND CBALCAO='0003' AND CNUMECTA='17988162096' THEN 1</v>
      </c>
      <c r="M954" s="1" t="str">
        <f t="shared" si="89"/>
        <v>WHEN CEMPRESA='31' AND CBALCAO='0003' AND CNUMECTA='17988162096' THEN 'A.7.7.'</v>
      </c>
    </row>
    <row r="955" spans="2:13" x14ac:dyDescent="0.25">
      <c r="B955" s="1" t="s">
        <v>45</v>
      </c>
      <c r="C955" s="1" t="s">
        <v>46</v>
      </c>
      <c r="D955" s="1" t="s">
        <v>1264</v>
      </c>
      <c r="E955" s="1"/>
      <c r="F955" s="1">
        <v>1</v>
      </c>
      <c r="G955" s="1" t="s">
        <v>946</v>
      </c>
      <c r="H955" s="1" t="str">
        <f t="shared" si="84"/>
        <v xml:space="preserve">CEMPRESA='31' </v>
      </c>
      <c r="I955" s="1" t="str">
        <f t="shared" si="85"/>
        <v xml:space="preserve">AND CBALCAO='0003' </v>
      </c>
      <c r="J955" s="1" t="str">
        <f t="shared" si="86"/>
        <v xml:space="preserve">AND CNUMECTA='19200590096' </v>
      </c>
      <c r="K955" s="1" t="str">
        <f t="shared" si="87"/>
        <v/>
      </c>
      <c r="L955" s="1" t="str">
        <f t="shared" si="88"/>
        <v>WHEN CEMPRESA='31' AND CBALCAO='0003' AND CNUMECTA='19200590096' THEN 1</v>
      </c>
      <c r="M955" s="1" t="str">
        <f t="shared" si="89"/>
        <v>WHEN CEMPRESA='31' AND CBALCAO='0003' AND CNUMECTA='19200590096' THEN 'A.3.2.'</v>
      </c>
    </row>
    <row r="956" spans="2:13" x14ac:dyDescent="0.25">
      <c r="B956" s="1" t="s">
        <v>54</v>
      </c>
      <c r="C956" s="1" t="s">
        <v>55</v>
      </c>
      <c r="D956" s="1" t="s">
        <v>1265</v>
      </c>
      <c r="E956" s="1"/>
      <c r="F956" s="1">
        <v>1</v>
      </c>
      <c r="G956" s="1" t="s">
        <v>49</v>
      </c>
      <c r="H956" s="1" t="str">
        <f t="shared" si="84"/>
        <v xml:space="preserve">CEMPRESA='89' </v>
      </c>
      <c r="I956" s="1" t="str">
        <f t="shared" si="85"/>
        <v xml:space="preserve">AND CBALCAO='0000' </v>
      </c>
      <c r="J956" s="1" t="str">
        <f t="shared" si="86"/>
        <v xml:space="preserve">AND CNUMECTA='20210000167' </v>
      </c>
      <c r="K956" s="1" t="str">
        <f t="shared" si="87"/>
        <v/>
      </c>
      <c r="L956" s="1" t="str">
        <f t="shared" si="88"/>
        <v>WHEN CEMPRESA='89' AND CBALCAO='0000' AND CNUMECTA='20210000167' THEN 1</v>
      </c>
      <c r="M956" s="1" t="str">
        <f t="shared" si="89"/>
        <v>WHEN CEMPRESA='89' AND CBALCAO='0000' AND CNUMECTA='20210000167' THEN 'A.2.3.'</v>
      </c>
    </row>
    <row r="957" spans="2:13" x14ac:dyDescent="0.25">
      <c r="B957" s="1" t="s">
        <v>54</v>
      </c>
      <c r="C957" s="1" t="s">
        <v>55</v>
      </c>
      <c r="D957" s="1" t="s">
        <v>1266</v>
      </c>
      <c r="E957" s="1"/>
      <c r="F957" s="1">
        <v>1</v>
      </c>
      <c r="G957" s="1" t="s">
        <v>49</v>
      </c>
      <c r="H957" s="1" t="str">
        <f t="shared" si="84"/>
        <v xml:space="preserve">CEMPRESA='89' </v>
      </c>
      <c r="I957" s="1" t="str">
        <f t="shared" si="85"/>
        <v xml:space="preserve">AND CBALCAO='0000' </v>
      </c>
      <c r="J957" s="1" t="str">
        <f t="shared" si="86"/>
        <v xml:space="preserve">AND CNUMECTA='00000248863' </v>
      </c>
      <c r="K957" s="1" t="str">
        <f t="shared" si="87"/>
        <v/>
      </c>
      <c r="L957" s="1" t="str">
        <f t="shared" si="88"/>
        <v>WHEN CEMPRESA='89' AND CBALCAO='0000' AND CNUMECTA='00000248863' THEN 1</v>
      </c>
      <c r="M957" s="1" t="str">
        <f t="shared" si="89"/>
        <v>WHEN CEMPRESA='89' AND CBALCAO='0000' AND CNUMECTA='00000248863' THEN 'A.2.3.'</v>
      </c>
    </row>
    <row r="958" spans="2:13" x14ac:dyDescent="0.25">
      <c r="B958" s="1" t="s">
        <v>54</v>
      </c>
      <c r="C958" s="1" t="s">
        <v>55</v>
      </c>
      <c r="D958" s="1" t="s">
        <v>1267</v>
      </c>
      <c r="E958" s="1"/>
      <c r="F958" s="1">
        <v>1</v>
      </c>
      <c r="G958" s="1" t="s">
        <v>1247</v>
      </c>
      <c r="H958" s="1" t="str">
        <f t="shared" si="84"/>
        <v xml:space="preserve">CEMPRESA='89' </v>
      </c>
      <c r="I958" s="1" t="str">
        <f t="shared" si="85"/>
        <v xml:space="preserve">AND CBALCAO='0000' </v>
      </c>
      <c r="J958" s="1" t="str">
        <f t="shared" si="86"/>
        <v xml:space="preserve">AND CNUMECTA='20230000046' </v>
      </c>
      <c r="K958" s="1" t="str">
        <f t="shared" si="87"/>
        <v/>
      </c>
      <c r="L958" s="1" t="str">
        <f t="shared" si="88"/>
        <v>WHEN CEMPRESA='89' AND CBALCAO='0000' AND CNUMECTA='20230000046' THEN 1</v>
      </c>
      <c r="M958" s="1" t="str">
        <f t="shared" si="89"/>
        <v>WHEN CEMPRESA='89' AND CBALCAO='0000' AND CNUMECTA='20230000046' THEN 'A.6.19.'</v>
      </c>
    </row>
    <row r="959" spans="2:13" x14ac:dyDescent="0.25">
      <c r="B959" s="1" t="s">
        <v>45</v>
      </c>
      <c r="C959" s="1" t="s">
        <v>46</v>
      </c>
      <c r="D959" s="1" t="s">
        <v>1268</v>
      </c>
      <c r="E959" s="1"/>
      <c r="F959" s="1">
        <v>1</v>
      </c>
      <c r="G959" s="1" t="s">
        <v>49</v>
      </c>
      <c r="H959" s="1" t="str">
        <f t="shared" si="84"/>
        <v xml:space="preserve">CEMPRESA='31' </v>
      </c>
      <c r="I959" s="1" t="str">
        <f t="shared" si="85"/>
        <v xml:space="preserve">AND CBALCAO='0003' </v>
      </c>
      <c r="J959" s="1" t="str">
        <f t="shared" si="86"/>
        <v xml:space="preserve">AND CNUMECTA='18617026096' </v>
      </c>
      <c r="K959" s="1" t="str">
        <f t="shared" si="87"/>
        <v/>
      </c>
      <c r="L959" s="1" t="str">
        <f t="shared" si="88"/>
        <v>WHEN CEMPRESA='31' AND CBALCAO='0003' AND CNUMECTA='18617026096' THEN 1</v>
      </c>
      <c r="M959" s="1" t="str">
        <f t="shared" si="89"/>
        <v>WHEN CEMPRESA='31' AND CBALCAO='0003' AND CNUMECTA='18617026096' THEN 'A.2.3.'</v>
      </c>
    </row>
    <row r="960" spans="2:13" x14ac:dyDescent="0.25">
      <c r="B960" s="1" t="s">
        <v>45</v>
      </c>
      <c r="C960" s="1" t="s">
        <v>46</v>
      </c>
      <c r="D960" s="1" t="s">
        <v>1269</v>
      </c>
      <c r="E960" s="1"/>
      <c r="F960" s="1">
        <v>1</v>
      </c>
      <c r="G960" s="1" t="s">
        <v>53</v>
      </c>
      <c r="H960" s="1" t="str">
        <f t="shared" si="84"/>
        <v xml:space="preserve">CEMPRESA='31' </v>
      </c>
      <c r="I960" s="1" t="str">
        <f t="shared" si="85"/>
        <v xml:space="preserve">AND CBALCAO='0003' </v>
      </c>
      <c r="J960" s="1" t="str">
        <f t="shared" si="86"/>
        <v xml:space="preserve">AND CNUMECTA='17949420096' </v>
      </c>
      <c r="K960" s="1" t="str">
        <f t="shared" si="87"/>
        <v/>
      </c>
      <c r="L960" s="1" t="str">
        <f t="shared" si="88"/>
        <v>WHEN CEMPRESA='31' AND CBALCAO='0003' AND CNUMECTA='17949420096' THEN 1</v>
      </c>
      <c r="M960" s="1" t="str">
        <f t="shared" si="89"/>
        <v>WHEN CEMPRESA='31' AND CBALCAO='0003' AND CNUMECTA='17949420096' THEN 'A.1.1.'</v>
      </c>
    </row>
    <row r="961" spans="2:13" x14ac:dyDescent="0.25">
      <c r="B961" s="1" t="s">
        <v>45</v>
      </c>
      <c r="C961" s="1" t="s">
        <v>46</v>
      </c>
      <c r="D961" s="1" t="s">
        <v>1270</v>
      </c>
      <c r="E961" s="1"/>
      <c r="F961" s="1">
        <v>1</v>
      </c>
      <c r="G961" s="1" t="s">
        <v>209</v>
      </c>
      <c r="H961" s="1" t="str">
        <f t="shared" si="84"/>
        <v xml:space="preserve">CEMPRESA='31' </v>
      </c>
      <c r="I961" s="1" t="str">
        <f t="shared" si="85"/>
        <v xml:space="preserve">AND CBALCAO='0003' </v>
      </c>
      <c r="J961" s="1" t="str">
        <f t="shared" si="86"/>
        <v xml:space="preserve">AND CNUMECTA='17615633096' </v>
      </c>
      <c r="K961" s="1" t="str">
        <f t="shared" si="87"/>
        <v/>
      </c>
      <c r="L961" s="1" t="str">
        <f t="shared" si="88"/>
        <v>WHEN CEMPRESA='31' AND CBALCAO='0003' AND CNUMECTA='17615633096' THEN 1</v>
      </c>
      <c r="M961" s="1" t="str">
        <f t="shared" si="89"/>
        <v>WHEN CEMPRESA='31' AND CBALCAO='0003' AND CNUMECTA='17615633096' THEN 'A.3.1.'</v>
      </c>
    </row>
    <row r="962" spans="2:13" x14ac:dyDescent="0.25">
      <c r="B962" s="1" t="s">
        <v>45</v>
      </c>
      <c r="C962" s="1" t="s">
        <v>46</v>
      </c>
      <c r="D962" s="1" t="s">
        <v>1271</v>
      </c>
      <c r="E962" s="1"/>
      <c r="F962" s="1">
        <v>1</v>
      </c>
      <c r="G962" s="1" t="s">
        <v>209</v>
      </c>
      <c r="H962" s="1" t="str">
        <f t="shared" si="84"/>
        <v xml:space="preserve">CEMPRESA='31' </v>
      </c>
      <c r="I962" s="1" t="str">
        <f t="shared" si="85"/>
        <v xml:space="preserve">AND CBALCAO='0003' </v>
      </c>
      <c r="J962" s="1" t="str">
        <f t="shared" si="86"/>
        <v xml:space="preserve">AND CNUMECTA='18061290096' </v>
      </c>
      <c r="K962" s="1" t="str">
        <f t="shared" si="87"/>
        <v/>
      </c>
      <c r="L962" s="1" t="str">
        <f t="shared" si="88"/>
        <v>WHEN CEMPRESA='31' AND CBALCAO='0003' AND CNUMECTA='18061290096' THEN 1</v>
      </c>
      <c r="M962" s="1" t="str">
        <f t="shared" si="89"/>
        <v>WHEN CEMPRESA='31' AND CBALCAO='0003' AND CNUMECTA='18061290096' THEN 'A.3.1.'</v>
      </c>
    </row>
    <row r="963" spans="2:13" x14ac:dyDescent="0.25">
      <c r="B963" s="1" t="s">
        <v>45</v>
      </c>
      <c r="C963" s="1" t="s">
        <v>46</v>
      </c>
      <c r="D963" s="1" t="s">
        <v>1272</v>
      </c>
      <c r="E963" s="1"/>
      <c r="F963" s="1">
        <v>1</v>
      </c>
      <c r="G963" s="1" t="s">
        <v>76</v>
      </c>
      <c r="H963" s="1" t="str">
        <f t="shared" si="84"/>
        <v xml:space="preserve">CEMPRESA='31' </v>
      </c>
      <c r="I963" s="1" t="str">
        <f t="shared" si="85"/>
        <v xml:space="preserve">AND CBALCAO='0003' </v>
      </c>
      <c r="J963" s="1" t="str">
        <f t="shared" si="86"/>
        <v xml:space="preserve">AND CNUMECTA='18577054097' </v>
      </c>
      <c r="K963" s="1" t="str">
        <f t="shared" si="87"/>
        <v/>
      </c>
      <c r="L963" s="1" t="str">
        <f t="shared" si="88"/>
        <v>WHEN CEMPRESA='31' AND CBALCAO='0003' AND CNUMECTA='18577054097' THEN 1</v>
      </c>
      <c r="M963" s="1" t="str">
        <f t="shared" si="89"/>
        <v>WHEN CEMPRESA='31' AND CBALCAO='0003' AND CNUMECTA='18577054097' THEN 'A.7.7.'</v>
      </c>
    </row>
    <row r="964" spans="2:13" x14ac:dyDescent="0.25">
      <c r="B964" s="1" t="s">
        <v>45</v>
      </c>
      <c r="C964" s="1" t="s">
        <v>46</v>
      </c>
      <c r="D964" s="1" t="s">
        <v>1273</v>
      </c>
      <c r="E964" s="1"/>
      <c r="F964" s="1">
        <v>1</v>
      </c>
      <c r="G964" s="1" t="s">
        <v>53</v>
      </c>
      <c r="H964" s="1" t="str">
        <f t="shared" ref="H964:H1027" si="90">+IF(LEN(TRIM(B964))&gt;0,UPPER($B$2)&amp;"='"&amp;TRIM(B964)&amp;"' ","")</f>
        <v xml:space="preserve">CEMPRESA='31' </v>
      </c>
      <c r="I964" s="1" t="str">
        <f t="shared" ref="I964:I1027" si="91">+IF(LEN(TRIM(C964))&gt;0,UPPER($C$2)&amp;"='"&amp;TRIM(C964)&amp;"' ","")</f>
        <v xml:space="preserve">AND CBALCAO='0003' </v>
      </c>
      <c r="J964" s="1" t="str">
        <f t="shared" ref="J964:J1027" si="92">+IF(LEN(TRIM(D964))&gt;0,UPPER($D$2)&amp;"='"&amp;TRIM(D964)&amp;"' ","")</f>
        <v xml:space="preserve">AND CNUMECTA='15971459096' </v>
      </c>
      <c r="K964" s="1" t="str">
        <f t="shared" ref="K964:K1027" si="93">+IF(LEN(TRIM(E964))&gt;0,UPPER($E$2)&amp;"='"&amp;TRIM(E964)&amp;"' ","")</f>
        <v/>
      </c>
      <c r="L964" s="1" t="str">
        <f t="shared" ref="L964:L1027" si="94">+"WHEN "&amp;H964&amp;I964&amp;J964&amp;K964&amp;"THEN "&amp;F964</f>
        <v>WHEN CEMPRESA='31' AND CBALCAO='0003' AND CNUMECTA='15971459096' THEN 1</v>
      </c>
      <c r="M964" s="1" t="str">
        <f t="shared" ref="M964:M1027" si="95">+"WHEN "&amp;H964&amp;I964&amp;J964&amp;K964&amp;"THEN "&amp;G964</f>
        <v>WHEN CEMPRESA='31' AND CBALCAO='0003' AND CNUMECTA='15971459096' THEN 'A.1.1.'</v>
      </c>
    </row>
    <row r="965" spans="2:13" x14ac:dyDescent="0.25">
      <c r="B965" s="1" t="s">
        <v>45</v>
      </c>
      <c r="C965" s="1" t="s">
        <v>46</v>
      </c>
      <c r="D965" s="1" t="s">
        <v>1274</v>
      </c>
      <c r="E965" s="1"/>
      <c r="F965" s="1">
        <v>1</v>
      </c>
      <c r="G965" s="1" t="s">
        <v>76</v>
      </c>
      <c r="H965" s="1" t="str">
        <f t="shared" si="90"/>
        <v xml:space="preserve">CEMPRESA='31' </v>
      </c>
      <c r="I965" s="1" t="str">
        <f t="shared" si="91"/>
        <v xml:space="preserve">AND CBALCAO='0003' </v>
      </c>
      <c r="J965" s="1" t="str">
        <f t="shared" si="92"/>
        <v xml:space="preserve">AND CNUMECTA='18580520097' </v>
      </c>
      <c r="K965" s="1" t="str">
        <f t="shared" si="93"/>
        <v/>
      </c>
      <c r="L965" s="1" t="str">
        <f t="shared" si="94"/>
        <v>WHEN CEMPRESA='31' AND CBALCAO='0003' AND CNUMECTA='18580520097' THEN 1</v>
      </c>
      <c r="M965" s="1" t="str">
        <f t="shared" si="95"/>
        <v>WHEN CEMPRESA='31' AND CBALCAO='0003' AND CNUMECTA='18580520097' THEN 'A.7.7.'</v>
      </c>
    </row>
    <row r="966" spans="2:13" x14ac:dyDescent="0.25">
      <c r="B966" s="1" t="s">
        <v>45</v>
      </c>
      <c r="C966" s="1" t="s">
        <v>46</v>
      </c>
      <c r="D966" s="1" t="s">
        <v>1275</v>
      </c>
      <c r="E966" s="1"/>
      <c r="F966" s="1">
        <v>1</v>
      </c>
      <c r="G966" s="1" t="s">
        <v>76</v>
      </c>
      <c r="H966" s="1" t="str">
        <f t="shared" si="90"/>
        <v xml:space="preserve">CEMPRESA='31' </v>
      </c>
      <c r="I966" s="1" t="str">
        <f t="shared" si="91"/>
        <v xml:space="preserve">AND CBALCAO='0003' </v>
      </c>
      <c r="J966" s="1" t="str">
        <f t="shared" si="92"/>
        <v xml:space="preserve">AND CNUMECTA='18599181097' </v>
      </c>
      <c r="K966" s="1" t="str">
        <f t="shared" si="93"/>
        <v/>
      </c>
      <c r="L966" s="1" t="str">
        <f t="shared" si="94"/>
        <v>WHEN CEMPRESA='31' AND CBALCAO='0003' AND CNUMECTA='18599181097' THEN 1</v>
      </c>
      <c r="M966" s="1" t="str">
        <f t="shared" si="95"/>
        <v>WHEN CEMPRESA='31' AND CBALCAO='0003' AND CNUMECTA='18599181097' THEN 'A.7.7.'</v>
      </c>
    </row>
    <row r="967" spans="2:13" x14ac:dyDescent="0.25">
      <c r="B967" s="1" t="s">
        <v>45</v>
      </c>
      <c r="C967" s="1" t="s">
        <v>46</v>
      </c>
      <c r="D967" s="1" t="s">
        <v>1276</v>
      </c>
      <c r="E967" s="1"/>
      <c r="F967" s="1">
        <v>1</v>
      </c>
      <c r="G967" s="1" t="s">
        <v>209</v>
      </c>
      <c r="H967" s="1" t="str">
        <f t="shared" si="90"/>
        <v xml:space="preserve">CEMPRESA='31' </v>
      </c>
      <c r="I967" s="1" t="str">
        <f t="shared" si="91"/>
        <v xml:space="preserve">AND CBALCAO='0003' </v>
      </c>
      <c r="J967" s="1" t="str">
        <f t="shared" si="92"/>
        <v xml:space="preserve">AND CNUMECTA='18527555096' </v>
      </c>
      <c r="K967" s="1" t="str">
        <f t="shared" si="93"/>
        <v/>
      </c>
      <c r="L967" s="1" t="str">
        <f t="shared" si="94"/>
        <v>WHEN CEMPRESA='31' AND CBALCAO='0003' AND CNUMECTA='18527555096' THEN 1</v>
      </c>
      <c r="M967" s="1" t="str">
        <f t="shared" si="95"/>
        <v>WHEN CEMPRESA='31' AND CBALCAO='0003' AND CNUMECTA='18527555096' THEN 'A.3.1.'</v>
      </c>
    </row>
    <row r="968" spans="2:13" x14ac:dyDescent="0.25">
      <c r="B968" s="1" t="s">
        <v>45</v>
      </c>
      <c r="C968" s="1" t="s">
        <v>46</v>
      </c>
      <c r="D968" s="1" t="s">
        <v>1277</v>
      </c>
      <c r="E968" s="1"/>
      <c r="F968" s="1">
        <v>1</v>
      </c>
      <c r="G968" s="1" t="s">
        <v>76</v>
      </c>
      <c r="H968" s="1" t="str">
        <f t="shared" si="90"/>
        <v xml:space="preserve">CEMPRESA='31' </v>
      </c>
      <c r="I968" s="1" t="str">
        <f t="shared" si="91"/>
        <v xml:space="preserve">AND CBALCAO='0003' </v>
      </c>
      <c r="J968" s="1" t="str">
        <f t="shared" si="92"/>
        <v xml:space="preserve">AND CNUMECTA='18580181097' </v>
      </c>
      <c r="K968" s="1" t="str">
        <f t="shared" si="93"/>
        <v/>
      </c>
      <c r="L968" s="1" t="str">
        <f t="shared" si="94"/>
        <v>WHEN CEMPRESA='31' AND CBALCAO='0003' AND CNUMECTA='18580181097' THEN 1</v>
      </c>
      <c r="M968" s="1" t="str">
        <f t="shared" si="95"/>
        <v>WHEN CEMPRESA='31' AND CBALCAO='0003' AND CNUMECTA='18580181097' THEN 'A.7.7.'</v>
      </c>
    </row>
    <row r="969" spans="2:13" x14ac:dyDescent="0.25">
      <c r="B969" s="1" t="s">
        <v>45</v>
      </c>
      <c r="C969" s="1" t="s">
        <v>46</v>
      </c>
      <c r="D969" s="1" t="s">
        <v>1278</v>
      </c>
      <c r="E969" s="1"/>
      <c r="F969" s="1">
        <v>1</v>
      </c>
      <c r="G969" s="1" t="s">
        <v>76</v>
      </c>
      <c r="H969" s="1" t="str">
        <f t="shared" si="90"/>
        <v xml:space="preserve">CEMPRESA='31' </v>
      </c>
      <c r="I969" s="1" t="str">
        <f t="shared" si="91"/>
        <v xml:space="preserve">AND CBALCAO='0003' </v>
      </c>
      <c r="J969" s="1" t="str">
        <f t="shared" si="92"/>
        <v xml:space="preserve">AND CNUMECTA='17984898096' </v>
      </c>
      <c r="K969" s="1" t="str">
        <f t="shared" si="93"/>
        <v/>
      </c>
      <c r="L969" s="1" t="str">
        <f t="shared" si="94"/>
        <v>WHEN CEMPRESA='31' AND CBALCAO='0003' AND CNUMECTA='17984898096' THEN 1</v>
      </c>
      <c r="M969" s="1" t="str">
        <f t="shared" si="95"/>
        <v>WHEN CEMPRESA='31' AND CBALCAO='0003' AND CNUMECTA='17984898096' THEN 'A.7.7.'</v>
      </c>
    </row>
    <row r="970" spans="2:13" x14ac:dyDescent="0.25">
      <c r="B970" s="1" t="s">
        <v>45</v>
      </c>
      <c r="C970" s="1" t="s">
        <v>46</v>
      </c>
      <c r="D970" s="1" t="s">
        <v>1279</v>
      </c>
      <c r="E970" s="1"/>
      <c r="F970" s="1">
        <v>1</v>
      </c>
      <c r="G970" s="1" t="s">
        <v>76</v>
      </c>
      <c r="H970" s="1" t="str">
        <f t="shared" si="90"/>
        <v xml:space="preserve">CEMPRESA='31' </v>
      </c>
      <c r="I970" s="1" t="str">
        <f t="shared" si="91"/>
        <v xml:space="preserve">AND CBALCAO='0003' </v>
      </c>
      <c r="J970" s="1" t="str">
        <f t="shared" si="92"/>
        <v xml:space="preserve">AND CNUMECTA='18421551096' </v>
      </c>
      <c r="K970" s="1" t="str">
        <f t="shared" si="93"/>
        <v/>
      </c>
      <c r="L970" s="1" t="str">
        <f t="shared" si="94"/>
        <v>WHEN CEMPRESA='31' AND CBALCAO='0003' AND CNUMECTA='18421551096' THEN 1</v>
      </c>
      <c r="M970" s="1" t="str">
        <f t="shared" si="95"/>
        <v>WHEN CEMPRESA='31' AND CBALCAO='0003' AND CNUMECTA='18421551096' THEN 'A.7.7.'</v>
      </c>
    </row>
    <row r="971" spans="2:13" x14ac:dyDescent="0.25">
      <c r="B971" s="1" t="s">
        <v>45</v>
      </c>
      <c r="C971" s="1" t="s">
        <v>114</v>
      </c>
      <c r="D971" s="1" t="s">
        <v>1280</v>
      </c>
      <c r="E971" s="1"/>
      <c r="F971" s="1">
        <v>1</v>
      </c>
      <c r="G971" s="1" t="s">
        <v>1170</v>
      </c>
      <c r="H971" s="1" t="str">
        <f t="shared" si="90"/>
        <v xml:space="preserve">CEMPRESA='31' </v>
      </c>
      <c r="I971" s="1" t="str">
        <f t="shared" si="91"/>
        <v xml:space="preserve">AND CBALCAO='6416' </v>
      </c>
      <c r="J971" s="1" t="str">
        <f t="shared" si="92"/>
        <v xml:space="preserve">AND CNUMECTA='00000000519' </v>
      </c>
      <c r="K971" s="1" t="str">
        <f t="shared" si="93"/>
        <v/>
      </c>
      <c r="L971" s="1" t="str">
        <f t="shared" si="94"/>
        <v>WHEN CEMPRESA='31' AND CBALCAO='6416' AND CNUMECTA='00000000519' THEN 1</v>
      </c>
      <c r="M971" s="1" t="str">
        <f t="shared" si="95"/>
        <v>WHEN CEMPRESA='31' AND CBALCAO='6416' AND CNUMECTA='00000000519' THEN 'KPI Linked - Green'</v>
      </c>
    </row>
    <row r="972" spans="2:13" x14ac:dyDescent="0.25">
      <c r="B972" s="1" t="s">
        <v>45</v>
      </c>
      <c r="C972" s="1" t="s">
        <v>46</v>
      </c>
      <c r="D972" s="1" t="s">
        <v>1281</v>
      </c>
      <c r="E972" s="1"/>
      <c r="F972" s="1">
        <v>1</v>
      </c>
      <c r="G972" s="1" t="s">
        <v>76</v>
      </c>
      <c r="H972" s="1" t="str">
        <f t="shared" si="90"/>
        <v xml:space="preserve">CEMPRESA='31' </v>
      </c>
      <c r="I972" s="1" t="str">
        <f t="shared" si="91"/>
        <v xml:space="preserve">AND CBALCAO='0003' </v>
      </c>
      <c r="J972" s="1" t="str">
        <f t="shared" si="92"/>
        <v xml:space="preserve">AND CNUMECTA='18583888097' </v>
      </c>
      <c r="K972" s="1" t="str">
        <f t="shared" si="93"/>
        <v/>
      </c>
      <c r="L972" s="1" t="str">
        <f t="shared" si="94"/>
        <v>WHEN CEMPRESA='31' AND CBALCAO='0003' AND CNUMECTA='18583888097' THEN 1</v>
      </c>
      <c r="M972" s="1" t="str">
        <f t="shared" si="95"/>
        <v>WHEN CEMPRESA='31' AND CBALCAO='0003' AND CNUMECTA='18583888097' THEN 'A.7.7.'</v>
      </c>
    </row>
    <row r="973" spans="2:13" x14ac:dyDescent="0.25">
      <c r="B973" s="1" t="s">
        <v>54</v>
      </c>
      <c r="C973" s="1" t="s">
        <v>55</v>
      </c>
      <c r="D973" s="1" t="s">
        <v>1282</v>
      </c>
      <c r="E973" s="1"/>
      <c r="F973" s="1">
        <v>1</v>
      </c>
      <c r="G973" s="1" t="s">
        <v>53</v>
      </c>
      <c r="H973" s="1" t="str">
        <f t="shared" si="90"/>
        <v xml:space="preserve">CEMPRESA='89' </v>
      </c>
      <c r="I973" s="1" t="str">
        <f t="shared" si="91"/>
        <v xml:space="preserve">AND CBALCAO='0000' </v>
      </c>
      <c r="J973" s="1" t="str">
        <f t="shared" si="92"/>
        <v xml:space="preserve">AND CNUMECTA='20230000433' </v>
      </c>
      <c r="K973" s="1" t="str">
        <f t="shared" si="93"/>
        <v/>
      </c>
      <c r="L973" s="1" t="str">
        <f t="shared" si="94"/>
        <v>WHEN CEMPRESA='89' AND CBALCAO='0000' AND CNUMECTA='20230000433' THEN 1</v>
      </c>
      <c r="M973" s="1" t="str">
        <f t="shared" si="95"/>
        <v>WHEN CEMPRESA='89' AND CBALCAO='0000' AND CNUMECTA='20230000433' THEN 'A.1.1.'</v>
      </c>
    </row>
    <row r="974" spans="2:13" x14ac:dyDescent="0.25">
      <c r="B974" s="1" t="s">
        <v>45</v>
      </c>
      <c r="C974" s="1" t="s">
        <v>46</v>
      </c>
      <c r="D974" s="1" t="s">
        <v>1283</v>
      </c>
      <c r="E974" s="1"/>
      <c r="F974" s="1" t="s">
        <v>1284</v>
      </c>
      <c r="G974" s="1" t="s">
        <v>53</v>
      </c>
      <c r="H974" s="1" t="str">
        <f t="shared" si="90"/>
        <v xml:space="preserve">CEMPRESA='31' </v>
      </c>
      <c r="I974" s="1" t="str">
        <f t="shared" si="91"/>
        <v xml:space="preserve">AND CBALCAO='0003' </v>
      </c>
      <c r="J974" s="1" t="str">
        <f t="shared" si="92"/>
        <v xml:space="preserve">AND CNUMECTA='15680068096' </v>
      </c>
      <c r="K974" s="1" t="str">
        <f t="shared" si="93"/>
        <v/>
      </c>
      <c r="L974" s="1" t="str">
        <f t="shared" si="94"/>
        <v>WHEN CEMPRESA='31' AND CBALCAO='0003' AND CNUMECTA='15680068096' THEN 0.37</v>
      </c>
      <c r="M974" s="1" t="str">
        <f t="shared" si="95"/>
        <v>WHEN CEMPRESA='31' AND CBALCAO='0003' AND CNUMECTA='15680068096' THEN 'A.1.1.'</v>
      </c>
    </row>
    <row r="975" spans="2:13" x14ac:dyDescent="0.25">
      <c r="B975" s="1" t="s">
        <v>45</v>
      </c>
      <c r="C975" s="1" t="s">
        <v>46</v>
      </c>
      <c r="D975" s="1" t="s">
        <v>1285</v>
      </c>
      <c r="E975" s="1"/>
      <c r="F975" s="1">
        <v>1</v>
      </c>
      <c r="G975" s="1" t="s">
        <v>76</v>
      </c>
      <c r="H975" s="1" t="str">
        <f t="shared" si="90"/>
        <v xml:space="preserve">CEMPRESA='31' </v>
      </c>
      <c r="I975" s="1" t="str">
        <f t="shared" si="91"/>
        <v xml:space="preserve">AND CBALCAO='0003' </v>
      </c>
      <c r="J975" s="1" t="str">
        <f t="shared" si="92"/>
        <v xml:space="preserve">AND CNUMECTA='18589422097' </v>
      </c>
      <c r="K975" s="1" t="str">
        <f t="shared" si="93"/>
        <v/>
      </c>
      <c r="L975" s="1" t="str">
        <f t="shared" si="94"/>
        <v>WHEN CEMPRESA='31' AND CBALCAO='0003' AND CNUMECTA='18589422097' THEN 1</v>
      </c>
      <c r="M975" s="1" t="str">
        <f t="shared" si="95"/>
        <v>WHEN CEMPRESA='31' AND CBALCAO='0003' AND CNUMECTA='18589422097' THEN 'A.7.7.'</v>
      </c>
    </row>
    <row r="976" spans="2:13" x14ac:dyDescent="0.25">
      <c r="B976" s="1" t="s">
        <v>45</v>
      </c>
      <c r="C976" s="1" t="s">
        <v>46</v>
      </c>
      <c r="D976" s="1" t="s">
        <v>1286</v>
      </c>
      <c r="E976" s="1"/>
      <c r="F976" s="1">
        <v>1</v>
      </c>
      <c r="G976" s="1" t="s">
        <v>49</v>
      </c>
      <c r="H976" s="1" t="str">
        <f t="shared" si="90"/>
        <v xml:space="preserve">CEMPRESA='31' </v>
      </c>
      <c r="I976" s="1" t="str">
        <f t="shared" si="91"/>
        <v xml:space="preserve">AND CBALCAO='0003' </v>
      </c>
      <c r="J976" s="1" t="str">
        <f t="shared" si="92"/>
        <v xml:space="preserve">AND CNUMECTA='18592467097' </v>
      </c>
      <c r="K976" s="1" t="str">
        <f t="shared" si="93"/>
        <v/>
      </c>
      <c r="L976" s="1" t="str">
        <f t="shared" si="94"/>
        <v>WHEN CEMPRESA='31' AND CBALCAO='0003' AND CNUMECTA='18592467097' THEN 1</v>
      </c>
      <c r="M976" s="1" t="str">
        <f t="shared" si="95"/>
        <v>WHEN CEMPRESA='31' AND CBALCAO='0003' AND CNUMECTA='18592467097' THEN 'A.2.3.'</v>
      </c>
    </row>
    <row r="977" spans="2:13" x14ac:dyDescent="0.25">
      <c r="B977" s="1" t="s">
        <v>45</v>
      </c>
      <c r="C977" s="1" t="s">
        <v>46</v>
      </c>
      <c r="D977" s="1" t="s">
        <v>1287</v>
      </c>
      <c r="E977" s="1"/>
      <c r="F977" s="1">
        <v>1</v>
      </c>
      <c r="G977" s="1" t="s">
        <v>946</v>
      </c>
      <c r="H977" s="1" t="str">
        <f t="shared" si="90"/>
        <v xml:space="preserve">CEMPRESA='31' </v>
      </c>
      <c r="I977" s="1" t="str">
        <f t="shared" si="91"/>
        <v xml:space="preserve">AND CBALCAO='0003' </v>
      </c>
      <c r="J977" s="1" t="str">
        <f t="shared" si="92"/>
        <v xml:space="preserve">AND CNUMECTA='18752930096' </v>
      </c>
      <c r="K977" s="1" t="str">
        <f t="shared" si="93"/>
        <v/>
      </c>
      <c r="L977" s="1" t="str">
        <f t="shared" si="94"/>
        <v>WHEN CEMPRESA='31' AND CBALCAO='0003' AND CNUMECTA='18752930096' THEN 1</v>
      </c>
      <c r="M977" s="1" t="str">
        <f t="shared" si="95"/>
        <v>WHEN CEMPRESA='31' AND CBALCAO='0003' AND CNUMECTA='18752930096' THEN 'A.3.2.'</v>
      </c>
    </row>
    <row r="978" spans="2:13" x14ac:dyDescent="0.25">
      <c r="B978" s="1" t="s">
        <v>45</v>
      </c>
      <c r="C978" s="1" t="s">
        <v>46</v>
      </c>
      <c r="D978" s="1" t="s">
        <v>1288</v>
      </c>
      <c r="E978" s="1"/>
      <c r="F978" s="1">
        <v>1</v>
      </c>
      <c r="G978" s="1" t="s">
        <v>49</v>
      </c>
      <c r="H978" s="1" t="str">
        <f t="shared" si="90"/>
        <v xml:space="preserve">CEMPRESA='31' </v>
      </c>
      <c r="I978" s="1" t="str">
        <f t="shared" si="91"/>
        <v xml:space="preserve">AND CBALCAO='0003' </v>
      </c>
      <c r="J978" s="1" t="str">
        <f t="shared" si="92"/>
        <v xml:space="preserve">AND CNUMECTA='20177076096' </v>
      </c>
      <c r="K978" s="1" t="str">
        <f t="shared" si="93"/>
        <v/>
      </c>
      <c r="L978" s="1" t="str">
        <f t="shared" si="94"/>
        <v>WHEN CEMPRESA='31' AND CBALCAO='0003' AND CNUMECTA='20177076096' THEN 1</v>
      </c>
      <c r="M978" s="1" t="str">
        <f t="shared" si="95"/>
        <v>WHEN CEMPRESA='31' AND CBALCAO='0003' AND CNUMECTA='20177076096' THEN 'A.2.3.'</v>
      </c>
    </row>
    <row r="979" spans="2:13" x14ac:dyDescent="0.25">
      <c r="B979" s="1" t="s">
        <v>45</v>
      </c>
      <c r="C979" s="1" t="s">
        <v>46</v>
      </c>
      <c r="D979" s="1" t="s">
        <v>1289</v>
      </c>
      <c r="E979" s="1"/>
      <c r="F979" s="1">
        <v>1</v>
      </c>
      <c r="G979" s="1" t="s">
        <v>76</v>
      </c>
      <c r="H979" s="1" t="str">
        <f t="shared" si="90"/>
        <v xml:space="preserve">CEMPRESA='31' </v>
      </c>
      <c r="I979" s="1" t="str">
        <f t="shared" si="91"/>
        <v xml:space="preserve">AND CBALCAO='0003' </v>
      </c>
      <c r="J979" s="1" t="str">
        <f t="shared" si="92"/>
        <v xml:space="preserve">AND CNUMECTA='18609287097' </v>
      </c>
      <c r="K979" s="1" t="str">
        <f t="shared" si="93"/>
        <v/>
      </c>
      <c r="L979" s="1" t="str">
        <f t="shared" si="94"/>
        <v>WHEN CEMPRESA='31' AND CBALCAO='0003' AND CNUMECTA='18609287097' THEN 1</v>
      </c>
      <c r="M979" s="1" t="str">
        <f t="shared" si="95"/>
        <v>WHEN CEMPRESA='31' AND CBALCAO='0003' AND CNUMECTA='18609287097' THEN 'A.7.7.'</v>
      </c>
    </row>
    <row r="980" spans="2:13" x14ac:dyDescent="0.25">
      <c r="B980" s="1" t="s">
        <v>45</v>
      </c>
      <c r="C980" s="1" t="s">
        <v>114</v>
      </c>
      <c r="D980" s="1" t="s">
        <v>519</v>
      </c>
      <c r="E980" s="1"/>
      <c r="F980" s="1">
        <v>1</v>
      </c>
      <c r="G980" s="1" t="s">
        <v>1170</v>
      </c>
      <c r="H980" s="1" t="str">
        <f t="shared" si="90"/>
        <v xml:space="preserve">CEMPRESA='31' </v>
      </c>
      <c r="I980" s="1" t="str">
        <f t="shared" si="91"/>
        <v xml:space="preserve">AND CBALCAO='6416' </v>
      </c>
      <c r="J980" s="1" t="str">
        <f t="shared" si="92"/>
        <v xml:space="preserve">AND CNUMECTA='00005800040' </v>
      </c>
      <c r="K980" s="1" t="str">
        <f t="shared" si="93"/>
        <v/>
      </c>
      <c r="L980" s="1" t="str">
        <f t="shared" si="94"/>
        <v>WHEN CEMPRESA='31' AND CBALCAO='6416' AND CNUMECTA='00005800040' THEN 1</v>
      </c>
      <c r="M980" s="1" t="str">
        <f t="shared" si="95"/>
        <v>WHEN CEMPRESA='31' AND CBALCAO='6416' AND CNUMECTA='00005800040' THEN 'KPI Linked - Green'</v>
      </c>
    </row>
    <row r="981" spans="2:13" x14ac:dyDescent="0.25">
      <c r="B981" s="1" t="s">
        <v>45</v>
      </c>
      <c r="C981" s="1" t="s">
        <v>46</v>
      </c>
      <c r="D981" s="1" t="s">
        <v>1290</v>
      </c>
      <c r="E981" s="1"/>
      <c r="F981" s="1">
        <v>1</v>
      </c>
      <c r="G981" s="1" t="s">
        <v>209</v>
      </c>
      <c r="H981" s="1" t="str">
        <f t="shared" si="90"/>
        <v xml:space="preserve">CEMPRESA='31' </v>
      </c>
      <c r="I981" s="1" t="str">
        <f t="shared" si="91"/>
        <v xml:space="preserve">AND CBALCAO='0003' </v>
      </c>
      <c r="J981" s="1" t="str">
        <f t="shared" si="92"/>
        <v xml:space="preserve">AND CNUMECTA='17191858096' </v>
      </c>
      <c r="K981" s="1" t="str">
        <f t="shared" si="93"/>
        <v/>
      </c>
      <c r="L981" s="1" t="str">
        <f t="shared" si="94"/>
        <v>WHEN CEMPRESA='31' AND CBALCAO='0003' AND CNUMECTA='17191858096' THEN 1</v>
      </c>
      <c r="M981" s="1" t="str">
        <f t="shared" si="95"/>
        <v>WHEN CEMPRESA='31' AND CBALCAO='0003' AND CNUMECTA='17191858096' THEN 'A.3.1.'</v>
      </c>
    </row>
    <row r="982" spans="2:13" x14ac:dyDescent="0.25">
      <c r="B982" s="1" t="s">
        <v>45</v>
      </c>
      <c r="C982" s="1" t="s">
        <v>46</v>
      </c>
      <c r="D982" s="1" t="s">
        <v>1291</v>
      </c>
      <c r="E982" s="1"/>
      <c r="F982" s="1">
        <v>1</v>
      </c>
      <c r="G982" s="1" t="s">
        <v>209</v>
      </c>
      <c r="H982" s="1" t="str">
        <f t="shared" si="90"/>
        <v xml:space="preserve">CEMPRESA='31' </v>
      </c>
      <c r="I982" s="1" t="str">
        <f t="shared" si="91"/>
        <v xml:space="preserve">AND CBALCAO='0003' </v>
      </c>
      <c r="J982" s="1" t="str">
        <f t="shared" si="92"/>
        <v xml:space="preserve">AND CNUMECTA='17892174096' </v>
      </c>
      <c r="K982" s="1" t="str">
        <f t="shared" si="93"/>
        <v/>
      </c>
      <c r="L982" s="1" t="str">
        <f t="shared" si="94"/>
        <v>WHEN CEMPRESA='31' AND CBALCAO='0003' AND CNUMECTA='17892174096' THEN 1</v>
      </c>
      <c r="M982" s="1" t="str">
        <f t="shared" si="95"/>
        <v>WHEN CEMPRESA='31' AND CBALCAO='0003' AND CNUMECTA='17892174096' THEN 'A.3.1.'</v>
      </c>
    </row>
    <row r="983" spans="2:13" x14ac:dyDescent="0.25">
      <c r="B983" s="1" t="s">
        <v>45</v>
      </c>
      <c r="C983" s="1" t="s">
        <v>46</v>
      </c>
      <c r="D983" s="1" t="s">
        <v>1292</v>
      </c>
      <c r="E983" s="1"/>
      <c r="F983" s="1">
        <v>1</v>
      </c>
      <c r="G983" s="1" t="s">
        <v>76</v>
      </c>
      <c r="H983" s="1" t="str">
        <f t="shared" si="90"/>
        <v xml:space="preserve">CEMPRESA='31' </v>
      </c>
      <c r="I983" s="1" t="str">
        <f t="shared" si="91"/>
        <v xml:space="preserve">AND CBALCAO='0003' </v>
      </c>
      <c r="J983" s="1" t="str">
        <f t="shared" si="92"/>
        <v xml:space="preserve">AND CNUMECTA='18006550096' </v>
      </c>
      <c r="K983" s="1" t="str">
        <f t="shared" si="93"/>
        <v/>
      </c>
      <c r="L983" s="1" t="str">
        <f t="shared" si="94"/>
        <v>WHEN CEMPRESA='31' AND CBALCAO='0003' AND CNUMECTA='18006550096' THEN 1</v>
      </c>
      <c r="M983" s="1" t="str">
        <f t="shared" si="95"/>
        <v>WHEN CEMPRESA='31' AND CBALCAO='0003' AND CNUMECTA='18006550096' THEN 'A.7.7.'</v>
      </c>
    </row>
    <row r="984" spans="2:13" x14ac:dyDescent="0.25">
      <c r="B984" s="1" t="s">
        <v>45</v>
      </c>
      <c r="C984" s="1" t="s">
        <v>46</v>
      </c>
      <c r="D984" s="1" t="s">
        <v>1293</v>
      </c>
      <c r="E984" s="1"/>
      <c r="F984" s="1">
        <v>1</v>
      </c>
      <c r="G984" s="1" t="s">
        <v>53</v>
      </c>
      <c r="H984" s="1" t="str">
        <f t="shared" si="90"/>
        <v xml:space="preserve">CEMPRESA='31' </v>
      </c>
      <c r="I984" s="1" t="str">
        <f t="shared" si="91"/>
        <v xml:space="preserve">AND CBALCAO='0003' </v>
      </c>
      <c r="J984" s="1" t="str">
        <f t="shared" si="92"/>
        <v xml:space="preserve">AND CNUMECTA='19567360096' </v>
      </c>
      <c r="K984" s="1" t="str">
        <f t="shared" si="93"/>
        <v/>
      </c>
      <c r="L984" s="1" t="str">
        <f t="shared" si="94"/>
        <v>WHEN CEMPRESA='31' AND CBALCAO='0003' AND CNUMECTA='19567360096' THEN 1</v>
      </c>
      <c r="M984" s="1" t="str">
        <f t="shared" si="95"/>
        <v>WHEN CEMPRESA='31' AND CBALCAO='0003' AND CNUMECTA='19567360096' THEN 'A.1.1.'</v>
      </c>
    </row>
    <row r="985" spans="2:13" x14ac:dyDescent="0.25">
      <c r="B985" s="1" t="s">
        <v>45</v>
      </c>
      <c r="C985" s="1" t="s">
        <v>46</v>
      </c>
      <c r="D985" s="1" t="s">
        <v>1294</v>
      </c>
      <c r="E985" s="1"/>
      <c r="F985" s="1">
        <v>1</v>
      </c>
      <c r="G985" s="1" t="s">
        <v>209</v>
      </c>
      <c r="H985" s="1" t="str">
        <f t="shared" si="90"/>
        <v xml:space="preserve">CEMPRESA='31' </v>
      </c>
      <c r="I985" s="1" t="str">
        <f t="shared" si="91"/>
        <v xml:space="preserve">AND CBALCAO='0003' </v>
      </c>
      <c r="J985" s="1" t="str">
        <f t="shared" si="92"/>
        <v xml:space="preserve">AND CNUMECTA='20082102096' </v>
      </c>
      <c r="K985" s="1" t="str">
        <f t="shared" si="93"/>
        <v/>
      </c>
      <c r="L985" s="1" t="str">
        <f t="shared" si="94"/>
        <v>WHEN CEMPRESA='31' AND CBALCAO='0003' AND CNUMECTA='20082102096' THEN 1</v>
      </c>
      <c r="M985" s="1" t="str">
        <f t="shared" si="95"/>
        <v>WHEN CEMPRESA='31' AND CBALCAO='0003' AND CNUMECTA='20082102096' THEN 'A.3.1.'</v>
      </c>
    </row>
    <row r="986" spans="2:13" x14ac:dyDescent="0.25">
      <c r="B986" s="1" t="s">
        <v>54</v>
      </c>
      <c r="C986" s="1" t="s">
        <v>55</v>
      </c>
      <c r="D986" s="1" t="s">
        <v>1295</v>
      </c>
      <c r="E986" s="1"/>
      <c r="F986" s="1">
        <v>1</v>
      </c>
      <c r="G986" s="1" t="s">
        <v>209</v>
      </c>
      <c r="H986" s="1" t="str">
        <f t="shared" si="90"/>
        <v xml:space="preserve">CEMPRESA='89' </v>
      </c>
      <c r="I986" s="1" t="str">
        <f t="shared" si="91"/>
        <v xml:space="preserve">AND CBALCAO='0000' </v>
      </c>
      <c r="J986" s="1" t="str">
        <f t="shared" si="92"/>
        <v xml:space="preserve">AND CNUMECTA='20230000005' </v>
      </c>
      <c r="K986" s="1" t="str">
        <f t="shared" si="93"/>
        <v/>
      </c>
      <c r="L986" s="1" t="str">
        <f t="shared" si="94"/>
        <v>WHEN CEMPRESA='89' AND CBALCAO='0000' AND CNUMECTA='20230000005' THEN 1</v>
      </c>
      <c r="M986" s="1" t="str">
        <f t="shared" si="95"/>
        <v>WHEN CEMPRESA='89' AND CBALCAO='0000' AND CNUMECTA='20230000005' THEN 'A.3.1.'</v>
      </c>
    </row>
    <row r="987" spans="2:13" x14ac:dyDescent="0.25">
      <c r="B987" s="1" t="s">
        <v>45</v>
      </c>
      <c r="C987" s="1" t="s">
        <v>46</v>
      </c>
      <c r="D987" s="1" t="s">
        <v>1296</v>
      </c>
      <c r="E987" s="1"/>
      <c r="F987" s="1">
        <v>1</v>
      </c>
      <c r="G987" s="1" t="s">
        <v>53</v>
      </c>
      <c r="H987" s="1" t="str">
        <f t="shared" si="90"/>
        <v xml:space="preserve">CEMPRESA='31' </v>
      </c>
      <c r="I987" s="1" t="str">
        <f t="shared" si="91"/>
        <v xml:space="preserve">AND CBALCAO='0003' </v>
      </c>
      <c r="J987" s="1" t="str">
        <f t="shared" si="92"/>
        <v xml:space="preserve">AND CNUMECTA='17943282096' </v>
      </c>
      <c r="K987" s="1" t="str">
        <f t="shared" si="93"/>
        <v/>
      </c>
      <c r="L987" s="1" t="str">
        <f t="shared" si="94"/>
        <v>WHEN CEMPRESA='31' AND CBALCAO='0003' AND CNUMECTA='17943282096' THEN 1</v>
      </c>
      <c r="M987" s="1" t="str">
        <f t="shared" si="95"/>
        <v>WHEN CEMPRESA='31' AND CBALCAO='0003' AND CNUMECTA='17943282096' THEN 'A.1.1.'</v>
      </c>
    </row>
    <row r="988" spans="2:13" x14ac:dyDescent="0.25">
      <c r="B988" s="1" t="s">
        <v>45</v>
      </c>
      <c r="C988" s="1" t="s">
        <v>46</v>
      </c>
      <c r="D988" s="1" t="s">
        <v>1297</v>
      </c>
      <c r="E988" s="1"/>
      <c r="F988" s="1">
        <v>1</v>
      </c>
      <c r="G988" s="1" t="s">
        <v>76</v>
      </c>
      <c r="H988" s="1" t="str">
        <f t="shared" si="90"/>
        <v xml:space="preserve">CEMPRESA='31' </v>
      </c>
      <c r="I988" s="1" t="str">
        <f t="shared" si="91"/>
        <v xml:space="preserve">AND CBALCAO='0003' </v>
      </c>
      <c r="J988" s="1" t="str">
        <f t="shared" si="92"/>
        <v xml:space="preserve">AND CNUMECTA='18581866097' </v>
      </c>
      <c r="K988" s="1" t="str">
        <f t="shared" si="93"/>
        <v/>
      </c>
      <c r="L988" s="1" t="str">
        <f t="shared" si="94"/>
        <v>WHEN CEMPRESA='31' AND CBALCAO='0003' AND CNUMECTA='18581866097' THEN 1</v>
      </c>
      <c r="M988" s="1" t="str">
        <f t="shared" si="95"/>
        <v>WHEN CEMPRESA='31' AND CBALCAO='0003' AND CNUMECTA='18581866097' THEN 'A.7.7.'</v>
      </c>
    </row>
    <row r="989" spans="2:13" x14ac:dyDescent="0.25">
      <c r="B989" s="1" t="s">
        <v>54</v>
      </c>
      <c r="C989" s="1" t="s">
        <v>55</v>
      </c>
      <c r="D989" s="1" t="s">
        <v>1298</v>
      </c>
      <c r="E989" s="1"/>
      <c r="F989" s="1">
        <v>1</v>
      </c>
      <c r="G989" s="1" t="s">
        <v>53</v>
      </c>
      <c r="H989" s="1" t="str">
        <f t="shared" si="90"/>
        <v xml:space="preserve">CEMPRESA='89' </v>
      </c>
      <c r="I989" s="1" t="str">
        <f t="shared" si="91"/>
        <v xml:space="preserve">AND CBALCAO='0000' </v>
      </c>
      <c r="J989" s="1" t="str">
        <f t="shared" si="92"/>
        <v xml:space="preserve">AND CNUMECTA='20240000076' </v>
      </c>
      <c r="K989" s="1" t="str">
        <f t="shared" si="93"/>
        <v/>
      </c>
      <c r="L989" s="1" t="str">
        <f t="shared" si="94"/>
        <v>WHEN CEMPRESA='89' AND CBALCAO='0000' AND CNUMECTA='20240000076' THEN 1</v>
      </c>
      <c r="M989" s="1" t="str">
        <f t="shared" si="95"/>
        <v>WHEN CEMPRESA='89' AND CBALCAO='0000' AND CNUMECTA='20240000076' THEN 'A.1.1.'</v>
      </c>
    </row>
    <row r="990" spans="2:13" x14ac:dyDescent="0.25">
      <c r="B990" s="1" t="s">
        <v>45</v>
      </c>
      <c r="C990" s="1" t="s">
        <v>46</v>
      </c>
      <c r="D990" s="1" t="s">
        <v>1299</v>
      </c>
      <c r="E990" s="1"/>
      <c r="F990" s="1">
        <v>1</v>
      </c>
      <c r="G990" s="1" t="s">
        <v>49</v>
      </c>
      <c r="H990" s="1" t="str">
        <f t="shared" si="90"/>
        <v xml:space="preserve">CEMPRESA='31' </v>
      </c>
      <c r="I990" s="1" t="str">
        <f t="shared" si="91"/>
        <v xml:space="preserve">AND CBALCAO='0003' </v>
      </c>
      <c r="J990" s="1" t="str">
        <f t="shared" si="92"/>
        <v xml:space="preserve">AND CNUMECTA='18015098096' </v>
      </c>
      <c r="K990" s="1" t="str">
        <f t="shared" si="93"/>
        <v/>
      </c>
      <c r="L990" s="1" t="str">
        <f t="shared" si="94"/>
        <v>WHEN CEMPRESA='31' AND CBALCAO='0003' AND CNUMECTA='18015098096' THEN 1</v>
      </c>
      <c r="M990" s="1" t="str">
        <f t="shared" si="95"/>
        <v>WHEN CEMPRESA='31' AND CBALCAO='0003' AND CNUMECTA='18015098096' THEN 'A.2.3.'</v>
      </c>
    </row>
    <row r="991" spans="2:13" x14ac:dyDescent="0.25">
      <c r="B991" s="1" t="s">
        <v>45</v>
      </c>
      <c r="C991" s="1" t="s">
        <v>46</v>
      </c>
      <c r="D991" s="1" t="s">
        <v>1300</v>
      </c>
      <c r="E991" s="1"/>
      <c r="F991" s="1">
        <v>1</v>
      </c>
      <c r="G991" s="1" t="s">
        <v>1195</v>
      </c>
      <c r="H991" s="1" t="str">
        <f t="shared" si="90"/>
        <v xml:space="preserve">CEMPRESA='31' </v>
      </c>
      <c r="I991" s="1" t="str">
        <f t="shared" si="91"/>
        <v xml:space="preserve">AND CBALCAO='0003' </v>
      </c>
      <c r="J991" s="1" t="str">
        <f t="shared" si="92"/>
        <v xml:space="preserve">AND CNUMECTA='00177706007' </v>
      </c>
      <c r="K991" s="1" t="str">
        <f t="shared" si="93"/>
        <v/>
      </c>
      <c r="L991" s="1" t="str">
        <f t="shared" si="94"/>
        <v>WHEN CEMPRESA='31' AND CBALCAO='0003' AND CNUMECTA='00177706007' THEN 1</v>
      </c>
      <c r="M991" s="1" t="str">
        <f t="shared" si="95"/>
        <v>WHEN CEMPRESA='31' AND CBALCAO='0003' AND CNUMECTA='00177706007' THEN 'A.2.2.'</v>
      </c>
    </row>
    <row r="992" spans="2:13" x14ac:dyDescent="0.25">
      <c r="B992" s="1" t="s">
        <v>45</v>
      </c>
      <c r="C992" s="1" t="s">
        <v>46</v>
      </c>
      <c r="D992" s="1" t="s">
        <v>1301</v>
      </c>
      <c r="E992" s="1"/>
      <c r="F992" s="1">
        <v>1</v>
      </c>
      <c r="G992" s="1" t="s">
        <v>53</v>
      </c>
      <c r="H992" s="1" t="str">
        <f t="shared" si="90"/>
        <v xml:space="preserve">CEMPRESA='31' </v>
      </c>
      <c r="I992" s="1" t="str">
        <f t="shared" si="91"/>
        <v xml:space="preserve">AND CBALCAO='0003' </v>
      </c>
      <c r="J992" s="1" t="str">
        <f t="shared" si="92"/>
        <v xml:space="preserve">AND CNUMECTA='17894030096' </v>
      </c>
      <c r="K992" s="1" t="str">
        <f t="shared" si="93"/>
        <v/>
      </c>
      <c r="L992" s="1" t="str">
        <f t="shared" si="94"/>
        <v>WHEN CEMPRESA='31' AND CBALCAO='0003' AND CNUMECTA='17894030096' THEN 1</v>
      </c>
      <c r="M992" s="1" t="str">
        <f t="shared" si="95"/>
        <v>WHEN CEMPRESA='31' AND CBALCAO='0003' AND CNUMECTA='17894030096' THEN 'A.1.1.'</v>
      </c>
    </row>
    <row r="993" spans="2:13" x14ac:dyDescent="0.25">
      <c r="B993" s="1" t="s">
        <v>45</v>
      </c>
      <c r="C993" s="1" t="s">
        <v>46</v>
      </c>
      <c r="D993" s="1" t="s">
        <v>1302</v>
      </c>
      <c r="E993" s="1"/>
      <c r="F993" s="1">
        <v>1</v>
      </c>
      <c r="G993" s="1" t="s">
        <v>76</v>
      </c>
      <c r="H993" s="1" t="str">
        <f t="shared" si="90"/>
        <v xml:space="preserve">CEMPRESA='31' </v>
      </c>
      <c r="I993" s="1" t="str">
        <f t="shared" si="91"/>
        <v xml:space="preserve">AND CBALCAO='0003' </v>
      </c>
      <c r="J993" s="1" t="str">
        <f t="shared" si="92"/>
        <v xml:space="preserve">AND CNUMECTA='18588028097' </v>
      </c>
      <c r="K993" s="1" t="str">
        <f t="shared" si="93"/>
        <v/>
      </c>
      <c r="L993" s="1" t="str">
        <f t="shared" si="94"/>
        <v>WHEN CEMPRESA='31' AND CBALCAO='0003' AND CNUMECTA='18588028097' THEN 1</v>
      </c>
      <c r="M993" s="1" t="str">
        <f t="shared" si="95"/>
        <v>WHEN CEMPRESA='31' AND CBALCAO='0003' AND CNUMECTA='18588028097' THEN 'A.7.7.'</v>
      </c>
    </row>
    <row r="994" spans="2:13" x14ac:dyDescent="0.25">
      <c r="B994" s="1" t="s">
        <v>45</v>
      </c>
      <c r="C994" s="1" t="s">
        <v>46</v>
      </c>
      <c r="D994" s="1" t="s">
        <v>1303</v>
      </c>
      <c r="E994" s="1"/>
      <c r="F994" s="1">
        <v>1</v>
      </c>
      <c r="G994" s="1" t="s">
        <v>49</v>
      </c>
      <c r="H994" s="1" t="str">
        <f t="shared" si="90"/>
        <v xml:space="preserve">CEMPRESA='31' </v>
      </c>
      <c r="I994" s="1" t="str">
        <f t="shared" si="91"/>
        <v xml:space="preserve">AND CBALCAO='0003' </v>
      </c>
      <c r="J994" s="1" t="str">
        <f t="shared" si="92"/>
        <v xml:space="preserve">AND CNUMECTA='20176607096' </v>
      </c>
      <c r="K994" s="1" t="str">
        <f t="shared" si="93"/>
        <v/>
      </c>
      <c r="L994" s="1" t="str">
        <f t="shared" si="94"/>
        <v>WHEN CEMPRESA='31' AND CBALCAO='0003' AND CNUMECTA='20176607096' THEN 1</v>
      </c>
      <c r="M994" s="1" t="str">
        <f t="shared" si="95"/>
        <v>WHEN CEMPRESA='31' AND CBALCAO='0003' AND CNUMECTA='20176607096' THEN 'A.2.3.'</v>
      </c>
    </row>
    <row r="995" spans="2:13" x14ac:dyDescent="0.25">
      <c r="B995" s="1" t="s">
        <v>54</v>
      </c>
      <c r="C995" s="1" t="s">
        <v>55</v>
      </c>
      <c r="D995" s="1" t="s">
        <v>1304</v>
      </c>
      <c r="E995" s="1"/>
      <c r="F995" s="1">
        <v>1</v>
      </c>
      <c r="G995" s="1" t="s">
        <v>49</v>
      </c>
      <c r="H995" s="1" t="str">
        <f t="shared" si="90"/>
        <v xml:space="preserve">CEMPRESA='89' </v>
      </c>
      <c r="I995" s="1" t="str">
        <f t="shared" si="91"/>
        <v xml:space="preserve">AND CBALCAO='0000' </v>
      </c>
      <c r="J995" s="1" t="str">
        <f t="shared" si="92"/>
        <v xml:space="preserve">AND CNUMECTA='20210000166' </v>
      </c>
      <c r="K995" s="1" t="str">
        <f t="shared" si="93"/>
        <v/>
      </c>
      <c r="L995" s="1" t="str">
        <f t="shared" si="94"/>
        <v>WHEN CEMPRESA='89' AND CBALCAO='0000' AND CNUMECTA='20210000166' THEN 1</v>
      </c>
      <c r="M995" s="1" t="str">
        <f t="shared" si="95"/>
        <v>WHEN CEMPRESA='89' AND CBALCAO='0000' AND CNUMECTA='20210000166' THEN 'A.2.3.'</v>
      </c>
    </row>
    <row r="996" spans="2:13" x14ac:dyDescent="0.25">
      <c r="B996" s="1" t="s">
        <v>45</v>
      </c>
      <c r="C996" s="1" t="s">
        <v>46</v>
      </c>
      <c r="D996" s="1" t="s">
        <v>1305</v>
      </c>
      <c r="E996" s="1"/>
      <c r="F996" s="1">
        <v>1</v>
      </c>
      <c r="G996" s="1" t="s">
        <v>76</v>
      </c>
      <c r="H996" s="1" t="str">
        <f t="shared" si="90"/>
        <v xml:space="preserve">CEMPRESA='31' </v>
      </c>
      <c r="I996" s="1" t="str">
        <f t="shared" si="91"/>
        <v xml:space="preserve">AND CBALCAO='0003' </v>
      </c>
      <c r="J996" s="1" t="str">
        <f t="shared" si="92"/>
        <v xml:space="preserve">AND CNUMECTA='18605897097' </v>
      </c>
      <c r="K996" s="1" t="str">
        <f t="shared" si="93"/>
        <v/>
      </c>
      <c r="L996" s="1" t="str">
        <f t="shared" si="94"/>
        <v>WHEN CEMPRESA='31' AND CBALCAO='0003' AND CNUMECTA='18605897097' THEN 1</v>
      </c>
      <c r="M996" s="1" t="str">
        <f t="shared" si="95"/>
        <v>WHEN CEMPRESA='31' AND CBALCAO='0003' AND CNUMECTA='18605897097' THEN 'A.7.7.'</v>
      </c>
    </row>
    <row r="997" spans="2:13" x14ac:dyDescent="0.25">
      <c r="B997" s="1" t="s">
        <v>45</v>
      </c>
      <c r="C997" s="1" t="s">
        <v>46</v>
      </c>
      <c r="D997" s="1" t="s">
        <v>1306</v>
      </c>
      <c r="E997" s="1"/>
      <c r="F997" s="1">
        <v>1</v>
      </c>
      <c r="G997" s="1" t="s">
        <v>76</v>
      </c>
      <c r="H997" s="1" t="str">
        <f t="shared" si="90"/>
        <v xml:space="preserve">CEMPRESA='31' </v>
      </c>
      <c r="I997" s="1" t="str">
        <f t="shared" si="91"/>
        <v xml:space="preserve">AND CBALCAO='0003' </v>
      </c>
      <c r="J997" s="1" t="str">
        <f t="shared" si="92"/>
        <v xml:space="preserve">AND CNUMECTA='18582302097' </v>
      </c>
      <c r="K997" s="1" t="str">
        <f t="shared" si="93"/>
        <v/>
      </c>
      <c r="L997" s="1" t="str">
        <f t="shared" si="94"/>
        <v>WHEN CEMPRESA='31' AND CBALCAO='0003' AND CNUMECTA='18582302097' THEN 1</v>
      </c>
      <c r="M997" s="1" t="str">
        <f t="shared" si="95"/>
        <v>WHEN CEMPRESA='31' AND CBALCAO='0003' AND CNUMECTA='18582302097' THEN 'A.7.7.'</v>
      </c>
    </row>
    <row r="998" spans="2:13" x14ac:dyDescent="0.25">
      <c r="B998" s="1" t="s">
        <v>45</v>
      </c>
      <c r="C998" s="1" t="s">
        <v>46</v>
      </c>
      <c r="D998" s="1" t="s">
        <v>1307</v>
      </c>
      <c r="E998" s="1"/>
      <c r="F998" s="1">
        <v>1</v>
      </c>
      <c r="G998" s="1" t="s">
        <v>53</v>
      </c>
      <c r="H998" s="1" t="str">
        <f t="shared" si="90"/>
        <v xml:space="preserve">CEMPRESA='31' </v>
      </c>
      <c r="I998" s="1" t="str">
        <f t="shared" si="91"/>
        <v xml:space="preserve">AND CBALCAO='0003' </v>
      </c>
      <c r="J998" s="1" t="str">
        <f t="shared" si="92"/>
        <v xml:space="preserve">AND CNUMECTA='15970121096' </v>
      </c>
      <c r="K998" s="1" t="str">
        <f t="shared" si="93"/>
        <v/>
      </c>
      <c r="L998" s="1" t="str">
        <f t="shared" si="94"/>
        <v>WHEN CEMPRESA='31' AND CBALCAO='0003' AND CNUMECTA='15970121096' THEN 1</v>
      </c>
      <c r="M998" s="1" t="str">
        <f t="shared" si="95"/>
        <v>WHEN CEMPRESA='31' AND CBALCAO='0003' AND CNUMECTA='15970121096' THEN 'A.1.1.'</v>
      </c>
    </row>
    <row r="999" spans="2:13" x14ac:dyDescent="0.25">
      <c r="B999" s="1" t="s">
        <v>45</v>
      </c>
      <c r="C999" s="1" t="s">
        <v>46</v>
      </c>
      <c r="D999" s="1" t="s">
        <v>1308</v>
      </c>
      <c r="E999" s="1"/>
      <c r="F999" s="1">
        <v>1</v>
      </c>
      <c r="G999" s="1" t="s">
        <v>76</v>
      </c>
      <c r="H999" s="1" t="str">
        <f t="shared" si="90"/>
        <v xml:space="preserve">CEMPRESA='31' </v>
      </c>
      <c r="I999" s="1" t="str">
        <f t="shared" si="91"/>
        <v xml:space="preserve">AND CBALCAO='0003' </v>
      </c>
      <c r="J999" s="1" t="str">
        <f t="shared" si="92"/>
        <v xml:space="preserve">AND CNUMECTA='18574218097' </v>
      </c>
      <c r="K999" s="1" t="str">
        <f t="shared" si="93"/>
        <v/>
      </c>
      <c r="L999" s="1" t="str">
        <f t="shared" si="94"/>
        <v>WHEN CEMPRESA='31' AND CBALCAO='0003' AND CNUMECTA='18574218097' THEN 1</v>
      </c>
      <c r="M999" s="1" t="str">
        <f t="shared" si="95"/>
        <v>WHEN CEMPRESA='31' AND CBALCAO='0003' AND CNUMECTA='18574218097' THEN 'A.7.7.'</v>
      </c>
    </row>
    <row r="1000" spans="2:13" x14ac:dyDescent="0.25">
      <c r="B1000" s="1" t="s">
        <v>45</v>
      </c>
      <c r="C1000" s="1" t="s">
        <v>46</v>
      </c>
      <c r="D1000" s="1" t="s">
        <v>1309</v>
      </c>
      <c r="E1000" s="1"/>
      <c r="F1000" s="1">
        <v>1</v>
      </c>
      <c r="G1000" s="1" t="s">
        <v>76</v>
      </c>
      <c r="H1000" s="1" t="str">
        <f t="shared" si="90"/>
        <v xml:space="preserve">CEMPRESA='31' </v>
      </c>
      <c r="I1000" s="1" t="str">
        <f t="shared" si="91"/>
        <v xml:space="preserve">AND CBALCAO='0003' </v>
      </c>
      <c r="J1000" s="1" t="str">
        <f t="shared" si="92"/>
        <v xml:space="preserve">AND CNUMECTA='18581494097' </v>
      </c>
      <c r="K1000" s="1" t="str">
        <f t="shared" si="93"/>
        <v/>
      </c>
      <c r="L1000" s="1" t="str">
        <f t="shared" si="94"/>
        <v>WHEN CEMPRESA='31' AND CBALCAO='0003' AND CNUMECTA='18581494097' THEN 1</v>
      </c>
      <c r="M1000" s="1" t="str">
        <f t="shared" si="95"/>
        <v>WHEN CEMPRESA='31' AND CBALCAO='0003' AND CNUMECTA='18581494097' THEN 'A.7.7.'</v>
      </c>
    </row>
    <row r="1001" spans="2:13" x14ac:dyDescent="0.25">
      <c r="B1001" s="1" t="s">
        <v>45</v>
      </c>
      <c r="C1001" s="1" t="s">
        <v>46</v>
      </c>
      <c r="D1001" s="1" t="s">
        <v>1310</v>
      </c>
      <c r="E1001" s="1"/>
      <c r="F1001" s="1">
        <v>1</v>
      </c>
      <c r="G1001" s="1" t="s">
        <v>76</v>
      </c>
      <c r="H1001" s="1" t="str">
        <f t="shared" si="90"/>
        <v xml:space="preserve">CEMPRESA='31' </v>
      </c>
      <c r="I1001" s="1" t="str">
        <f t="shared" si="91"/>
        <v xml:space="preserve">AND CBALCAO='0003' </v>
      </c>
      <c r="J1001" s="1" t="str">
        <f t="shared" si="92"/>
        <v xml:space="preserve">AND CNUMECTA='18609261097' </v>
      </c>
      <c r="K1001" s="1" t="str">
        <f t="shared" si="93"/>
        <v/>
      </c>
      <c r="L1001" s="1" t="str">
        <f t="shared" si="94"/>
        <v>WHEN CEMPRESA='31' AND CBALCAO='0003' AND CNUMECTA='18609261097' THEN 1</v>
      </c>
      <c r="M1001" s="1" t="str">
        <f t="shared" si="95"/>
        <v>WHEN CEMPRESA='31' AND CBALCAO='0003' AND CNUMECTA='18609261097' THEN 'A.7.7.'</v>
      </c>
    </row>
    <row r="1002" spans="2:13" x14ac:dyDescent="0.25">
      <c r="B1002" s="1" t="s">
        <v>45</v>
      </c>
      <c r="C1002" s="1" t="s">
        <v>46</v>
      </c>
      <c r="D1002" s="1" t="s">
        <v>1311</v>
      </c>
      <c r="E1002" s="1"/>
      <c r="F1002" s="1">
        <v>1</v>
      </c>
      <c r="G1002" s="1" t="s">
        <v>53</v>
      </c>
      <c r="H1002" s="1" t="str">
        <f t="shared" si="90"/>
        <v xml:space="preserve">CEMPRESA='31' </v>
      </c>
      <c r="I1002" s="1" t="str">
        <f t="shared" si="91"/>
        <v xml:space="preserve">AND CBALCAO='0003' </v>
      </c>
      <c r="J1002" s="1" t="str">
        <f t="shared" si="92"/>
        <v xml:space="preserve">AND CNUMECTA='18507177096' </v>
      </c>
      <c r="K1002" s="1" t="str">
        <f t="shared" si="93"/>
        <v/>
      </c>
      <c r="L1002" s="1" t="str">
        <f t="shared" si="94"/>
        <v>WHEN CEMPRESA='31' AND CBALCAO='0003' AND CNUMECTA='18507177096' THEN 1</v>
      </c>
      <c r="M1002" s="1" t="str">
        <f t="shared" si="95"/>
        <v>WHEN CEMPRESA='31' AND CBALCAO='0003' AND CNUMECTA='18507177096' THEN 'A.1.1.'</v>
      </c>
    </row>
    <row r="1003" spans="2:13" x14ac:dyDescent="0.25">
      <c r="B1003" s="1" t="s">
        <v>45</v>
      </c>
      <c r="C1003" s="1" t="s">
        <v>46</v>
      </c>
      <c r="D1003" s="1" t="s">
        <v>1312</v>
      </c>
      <c r="E1003" s="1"/>
      <c r="F1003" s="1">
        <v>1</v>
      </c>
      <c r="G1003" s="1" t="s">
        <v>209</v>
      </c>
      <c r="H1003" s="1" t="str">
        <f t="shared" si="90"/>
        <v xml:space="preserve">CEMPRESA='31' </v>
      </c>
      <c r="I1003" s="1" t="str">
        <f t="shared" si="91"/>
        <v xml:space="preserve">AND CBALCAO='0003' </v>
      </c>
      <c r="J1003" s="1" t="str">
        <f t="shared" si="92"/>
        <v xml:space="preserve">AND CNUMECTA='18716661096' </v>
      </c>
      <c r="K1003" s="1" t="str">
        <f t="shared" si="93"/>
        <v/>
      </c>
      <c r="L1003" s="1" t="str">
        <f t="shared" si="94"/>
        <v>WHEN CEMPRESA='31' AND CBALCAO='0003' AND CNUMECTA='18716661096' THEN 1</v>
      </c>
      <c r="M1003" s="1" t="str">
        <f t="shared" si="95"/>
        <v>WHEN CEMPRESA='31' AND CBALCAO='0003' AND CNUMECTA='18716661096' THEN 'A.3.1.'</v>
      </c>
    </row>
    <row r="1004" spans="2:13" x14ac:dyDescent="0.25">
      <c r="B1004" s="1" t="s">
        <v>45</v>
      </c>
      <c r="C1004" s="1" t="s">
        <v>46</v>
      </c>
      <c r="D1004" s="1" t="s">
        <v>1313</v>
      </c>
      <c r="E1004" s="1"/>
      <c r="F1004" s="1">
        <v>1</v>
      </c>
      <c r="G1004" s="1" t="s">
        <v>76</v>
      </c>
      <c r="H1004" s="1" t="str">
        <f t="shared" si="90"/>
        <v xml:space="preserve">CEMPRESA='31' </v>
      </c>
      <c r="I1004" s="1" t="str">
        <f t="shared" si="91"/>
        <v xml:space="preserve">AND CBALCAO='0003' </v>
      </c>
      <c r="J1004" s="1" t="str">
        <f t="shared" si="92"/>
        <v xml:space="preserve">AND CNUMECTA='18575959097' </v>
      </c>
      <c r="K1004" s="1" t="str">
        <f t="shared" si="93"/>
        <v/>
      </c>
      <c r="L1004" s="1" t="str">
        <f t="shared" si="94"/>
        <v>WHEN CEMPRESA='31' AND CBALCAO='0003' AND CNUMECTA='18575959097' THEN 1</v>
      </c>
      <c r="M1004" s="1" t="str">
        <f t="shared" si="95"/>
        <v>WHEN CEMPRESA='31' AND CBALCAO='0003' AND CNUMECTA='18575959097' THEN 'A.7.7.'</v>
      </c>
    </row>
    <row r="1005" spans="2:13" x14ac:dyDescent="0.25">
      <c r="B1005" s="1" t="s">
        <v>45</v>
      </c>
      <c r="C1005" s="1" t="s">
        <v>46</v>
      </c>
      <c r="D1005" s="1" t="s">
        <v>1314</v>
      </c>
      <c r="E1005" s="1"/>
      <c r="F1005" s="1">
        <v>1</v>
      </c>
      <c r="G1005" s="1" t="s">
        <v>209</v>
      </c>
      <c r="H1005" s="1" t="str">
        <f t="shared" si="90"/>
        <v xml:space="preserve">CEMPRESA='31' </v>
      </c>
      <c r="I1005" s="1" t="str">
        <f t="shared" si="91"/>
        <v xml:space="preserve">AND CBALCAO='0003' </v>
      </c>
      <c r="J1005" s="1" t="str">
        <f t="shared" si="92"/>
        <v xml:space="preserve">AND CNUMECTA='15868994096' </v>
      </c>
      <c r="K1005" s="1" t="str">
        <f t="shared" si="93"/>
        <v/>
      </c>
      <c r="L1005" s="1" t="str">
        <f t="shared" si="94"/>
        <v>WHEN CEMPRESA='31' AND CBALCAO='0003' AND CNUMECTA='15868994096' THEN 1</v>
      </c>
      <c r="M1005" s="1" t="str">
        <f t="shared" si="95"/>
        <v>WHEN CEMPRESA='31' AND CBALCAO='0003' AND CNUMECTA='15868994096' THEN 'A.3.1.'</v>
      </c>
    </row>
    <row r="1006" spans="2:13" x14ac:dyDescent="0.25">
      <c r="B1006" s="1" t="s">
        <v>45</v>
      </c>
      <c r="C1006" s="1" t="s">
        <v>46</v>
      </c>
      <c r="D1006" s="1" t="s">
        <v>1315</v>
      </c>
      <c r="E1006" s="1"/>
      <c r="F1006" s="1">
        <v>1</v>
      </c>
      <c r="G1006" s="1" t="s">
        <v>1164</v>
      </c>
      <c r="H1006" s="1" t="str">
        <f t="shared" si="90"/>
        <v xml:space="preserve">CEMPRESA='31' </v>
      </c>
      <c r="I1006" s="1" t="str">
        <f t="shared" si="91"/>
        <v xml:space="preserve">AND CBALCAO='0003' </v>
      </c>
      <c r="J1006" s="1" t="str">
        <f t="shared" si="92"/>
        <v xml:space="preserve">AND CNUMECTA='15970212096' </v>
      </c>
      <c r="K1006" s="1" t="str">
        <f t="shared" si="93"/>
        <v/>
      </c>
      <c r="L1006" s="1" t="str">
        <f t="shared" si="94"/>
        <v>WHEN CEMPRESA='31' AND CBALCAO='0003' AND CNUMECTA='15970212096' THEN 1</v>
      </c>
      <c r="M1006" s="1" t="str">
        <f t="shared" si="95"/>
        <v>WHEN CEMPRESA='31' AND CBALCAO='0003' AND CNUMECTA='15970212096' THEN 'A.1.5.'</v>
      </c>
    </row>
    <row r="1007" spans="2:13" x14ac:dyDescent="0.25">
      <c r="B1007" s="1" t="s">
        <v>45</v>
      </c>
      <c r="C1007" s="1" t="s">
        <v>46</v>
      </c>
      <c r="D1007" s="1" t="s">
        <v>1316</v>
      </c>
      <c r="E1007" s="1"/>
      <c r="F1007" s="1">
        <v>1</v>
      </c>
      <c r="G1007" s="1" t="s">
        <v>1317</v>
      </c>
      <c r="H1007" s="1" t="str">
        <f t="shared" si="90"/>
        <v xml:space="preserve">CEMPRESA='31' </v>
      </c>
      <c r="I1007" s="1" t="str">
        <f t="shared" si="91"/>
        <v xml:space="preserve">AND CBALCAO='0003' </v>
      </c>
      <c r="J1007" s="1" t="str">
        <f t="shared" si="92"/>
        <v xml:space="preserve">AND CNUMECTA='18471762096' </v>
      </c>
      <c r="K1007" s="1" t="str">
        <f t="shared" si="93"/>
        <v/>
      </c>
      <c r="L1007" s="1" t="str">
        <f t="shared" si="94"/>
        <v>WHEN CEMPRESA='31' AND CBALCAO='0003' AND CNUMECTA='18471762096' THEN 1</v>
      </c>
      <c r="M1007" s="1" t="str">
        <f t="shared" si="95"/>
        <v>WHEN CEMPRESA='31' AND CBALCAO='0003' AND CNUMECTA='18471762096' THEN 'A.2.7.'</v>
      </c>
    </row>
    <row r="1008" spans="2:13" x14ac:dyDescent="0.25">
      <c r="B1008" s="1" t="s">
        <v>45</v>
      </c>
      <c r="C1008" s="1" t="s">
        <v>46</v>
      </c>
      <c r="D1008" s="1" t="s">
        <v>1318</v>
      </c>
      <c r="E1008" s="1"/>
      <c r="F1008" s="1">
        <v>1</v>
      </c>
      <c r="G1008" s="1" t="s">
        <v>76</v>
      </c>
      <c r="H1008" s="1" t="str">
        <f t="shared" si="90"/>
        <v xml:space="preserve">CEMPRESA='31' </v>
      </c>
      <c r="I1008" s="1" t="str">
        <f t="shared" si="91"/>
        <v xml:space="preserve">AND CBALCAO='0003' </v>
      </c>
      <c r="J1008" s="1" t="str">
        <f t="shared" si="92"/>
        <v xml:space="preserve">AND CNUMECTA='18577849097' </v>
      </c>
      <c r="K1008" s="1" t="str">
        <f t="shared" si="93"/>
        <v/>
      </c>
      <c r="L1008" s="1" t="str">
        <f t="shared" si="94"/>
        <v>WHEN CEMPRESA='31' AND CBALCAO='0003' AND CNUMECTA='18577849097' THEN 1</v>
      </c>
      <c r="M1008" s="1" t="str">
        <f t="shared" si="95"/>
        <v>WHEN CEMPRESA='31' AND CBALCAO='0003' AND CNUMECTA='18577849097' THEN 'A.7.7.'</v>
      </c>
    </row>
    <row r="1009" spans="2:13" x14ac:dyDescent="0.25">
      <c r="B1009" s="1" t="s">
        <v>45</v>
      </c>
      <c r="C1009" s="1" t="s">
        <v>46</v>
      </c>
      <c r="D1009" s="1" t="s">
        <v>1319</v>
      </c>
      <c r="E1009" s="1"/>
      <c r="F1009" s="1">
        <v>1</v>
      </c>
      <c r="G1009" s="1" t="s">
        <v>76</v>
      </c>
      <c r="H1009" s="1" t="str">
        <f t="shared" si="90"/>
        <v xml:space="preserve">CEMPRESA='31' </v>
      </c>
      <c r="I1009" s="1" t="str">
        <f t="shared" si="91"/>
        <v xml:space="preserve">AND CBALCAO='0003' </v>
      </c>
      <c r="J1009" s="1" t="str">
        <f t="shared" si="92"/>
        <v xml:space="preserve">AND CNUMECTA='18581916097' </v>
      </c>
      <c r="K1009" s="1" t="str">
        <f t="shared" si="93"/>
        <v/>
      </c>
      <c r="L1009" s="1" t="str">
        <f t="shared" si="94"/>
        <v>WHEN CEMPRESA='31' AND CBALCAO='0003' AND CNUMECTA='18581916097' THEN 1</v>
      </c>
      <c r="M1009" s="1" t="str">
        <f t="shared" si="95"/>
        <v>WHEN CEMPRESA='31' AND CBALCAO='0003' AND CNUMECTA='18581916097' THEN 'A.7.7.'</v>
      </c>
    </row>
    <row r="1010" spans="2:13" x14ac:dyDescent="0.25">
      <c r="B1010" s="1" t="s">
        <v>45</v>
      </c>
      <c r="C1010" s="1" t="s">
        <v>46</v>
      </c>
      <c r="D1010" s="1" t="s">
        <v>1320</v>
      </c>
      <c r="E1010" s="1"/>
      <c r="F1010" s="1">
        <v>1</v>
      </c>
      <c r="G1010" s="1" t="s">
        <v>76</v>
      </c>
      <c r="H1010" s="1" t="str">
        <f t="shared" si="90"/>
        <v xml:space="preserve">CEMPRESA='31' </v>
      </c>
      <c r="I1010" s="1" t="str">
        <f t="shared" si="91"/>
        <v xml:space="preserve">AND CBALCAO='0003' </v>
      </c>
      <c r="J1010" s="1" t="str">
        <f t="shared" si="92"/>
        <v xml:space="preserve">AND CNUMECTA='18584910097' </v>
      </c>
      <c r="K1010" s="1" t="str">
        <f t="shared" si="93"/>
        <v/>
      </c>
      <c r="L1010" s="1" t="str">
        <f t="shared" si="94"/>
        <v>WHEN CEMPRESA='31' AND CBALCAO='0003' AND CNUMECTA='18584910097' THEN 1</v>
      </c>
      <c r="M1010" s="1" t="str">
        <f t="shared" si="95"/>
        <v>WHEN CEMPRESA='31' AND CBALCAO='0003' AND CNUMECTA='18584910097' THEN 'A.7.7.'</v>
      </c>
    </row>
    <row r="1011" spans="2:13" x14ac:dyDescent="0.25">
      <c r="B1011" s="1" t="s">
        <v>45</v>
      </c>
      <c r="C1011" s="1" t="s">
        <v>46</v>
      </c>
      <c r="D1011" s="1" t="s">
        <v>1321</v>
      </c>
      <c r="E1011" s="1"/>
      <c r="F1011" s="1">
        <v>1</v>
      </c>
      <c r="G1011" s="1" t="s">
        <v>49</v>
      </c>
      <c r="H1011" s="1" t="str">
        <f t="shared" si="90"/>
        <v xml:space="preserve">CEMPRESA='31' </v>
      </c>
      <c r="I1011" s="1" t="str">
        <f t="shared" si="91"/>
        <v xml:space="preserve">AND CBALCAO='0003' </v>
      </c>
      <c r="J1011" s="1" t="str">
        <f t="shared" si="92"/>
        <v xml:space="preserve">AND CNUMECTA='18617835097' </v>
      </c>
      <c r="K1011" s="1" t="str">
        <f t="shared" si="93"/>
        <v/>
      </c>
      <c r="L1011" s="1" t="str">
        <f t="shared" si="94"/>
        <v>WHEN CEMPRESA='31' AND CBALCAO='0003' AND CNUMECTA='18617835097' THEN 1</v>
      </c>
      <c r="M1011" s="1" t="str">
        <f t="shared" si="95"/>
        <v>WHEN CEMPRESA='31' AND CBALCAO='0003' AND CNUMECTA='18617835097' THEN 'A.2.3.'</v>
      </c>
    </row>
    <row r="1012" spans="2:13" x14ac:dyDescent="0.25">
      <c r="B1012" s="1" t="s">
        <v>45</v>
      </c>
      <c r="C1012" s="1" t="s">
        <v>46</v>
      </c>
      <c r="D1012" s="1" t="s">
        <v>1322</v>
      </c>
      <c r="E1012" s="1"/>
      <c r="F1012" s="1">
        <v>1</v>
      </c>
      <c r="G1012" s="1" t="s">
        <v>1215</v>
      </c>
      <c r="H1012" s="1" t="str">
        <f t="shared" si="90"/>
        <v xml:space="preserve">CEMPRESA='31' </v>
      </c>
      <c r="I1012" s="1" t="str">
        <f t="shared" si="91"/>
        <v xml:space="preserve">AND CBALCAO='0003' </v>
      </c>
      <c r="J1012" s="1" t="str">
        <f t="shared" si="92"/>
        <v xml:space="preserve">AND CNUMECTA='15970279096' </v>
      </c>
      <c r="K1012" s="1" t="str">
        <f t="shared" si="93"/>
        <v/>
      </c>
      <c r="L1012" s="1" t="str">
        <f t="shared" si="94"/>
        <v>WHEN CEMPRESA='31' AND CBALCAO='0003' AND CNUMECTA='15970279096' THEN 1</v>
      </c>
      <c r="M1012" s="1" t="str">
        <f t="shared" si="95"/>
        <v>WHEN CEMPRESA='31' AND CBALCAO='0003' AND CNUMECTA='15970279096' THEN 'A.1.3.'</v>
      </c>
    </row>
    <row r="1013" spans="2:13" x14ac:dyDescent="0.25">
      <c r="B1013" s="1" t="s">
        <v>45</v>
      </c>
      <c r="C1013" s="1" t="s">
        <v>46</v>
      </c>
      <c r="D1013" s="1" t="s">
        <v>1323</v>
      </c>
      <c r="E1013" s="1"/>
      <c r="F1013" s="1">
        <v>1</v>
      </c>
      <c r="G1013" s="1" t="s">
        <v>49</v>
      </c>
      <c r="H1013" s="1" t="str">
        <f t="shared" si="90"/>
        <v xml:space="preserve">CEMPRESA='31' </v>
      </c>
      <c r="I1013" s="1" t="str">
        <f t="shared" si="91"/>
        <v xml:space="preserve">AND CBALCAO='0003' </v>
      </c>
      <c r="J1013" s="1" t="str">
        <f t="shared" si="92"/>
        <v xml:space="preserve">AND CNUMECTA='17734145096' </v>
      </c>
      <c r="K1013" s="1" t="str">
        <f t="shared" si="93"/>
        <v/>
      </c>
      <c r="L1013" s="1" t="str">
        <f t="shared" si="94"/>
        <v>WHEN CEMPRESA='31' AND CBALCAO='0003' AND CNUMECTA='17734145096' THEN 1</v>
      </c>
      <c r="M1013" s="1" t="str">
        <f t="shared" si="95"/>
        <v>WHEN CEMPRESA='31' AND CBALCAO='0003' AND CNUMECTA='17734145096' THEN 'A.2.3.'</v>
      </c>
    </row>
    <row r="1014" spans="2:13" x14ac:dyDescent="0.25">
      <c r="B1014" s="1" t="s">
        <v>54</v>
      </c>
      <c r="C1014" s="1" t="s">
        <v>55</v>
      </c>
      <c r="D1014" s="1" t="s">
        <v>1324</v>
      </c>
      <c r="E1014" s="1"/>
      <c r="F1014" s="1">
        <v>1</v>
      </c>
      <c r="G1014" s="1" t="s">
        <v>1195</v>
      </c>
      <c r="H1014" s="1" t="str">
        <f t="shared" si="90"/>
        <v xml:space="preserve">CEMPRESA='89' </v>
      </c>
      <c r="I1014" s="1" t="str">
        <f t="shared" si="91"/>
        <v xml:space="preserve">AND CBALCAO='0000' </v>
      </c>
      <c r="J1014" s="1" t="str">
        <f t="shared" si="92"/>
        <v xml:space="preserve">AND CNUMECTA='20200000282' </v>
      </c>
      <c r="K1014" s="1" t="str">
        <f t="shared" si="93"/>
        <v/>
      </c>
      <c r="L1014" s="1" t="str">
        <f t="shared" si="94"/>
        <v>WHEN CEMPRESA='89' AND CBALCAO='0000' AND CNUMECTA='20200000282' THEN 1</v>
      </c>
      <c r="M1014" s="1" t="str">
        <f t="shared" si="95"/>
        <v>WHEN CEMPRESA='89' AND CBALCAO='0000' AND CNUMECTA='20200000282' THEN 'A.2.2.'</v>
      </c>
    </row>
    <row r="1015" spans="2:13" x14ac:dyDescent="0.25">
      <c r="B1015" s="1" t="s">
        <v>45</v>
      </c>
      <c r="C1015" s="1" t="s">
        <v>46</v>
      </c>
      <c r="D1015" s="1" t="s">
        <v>1325</v>
      </c>
      <c r="E1015" s="1"/>
      <c r="F1015" s="1">
        <v>1</v>
      </c>
      <c r="G1015" s="1" t="s">
        <v>76</v>
      </c>
      <c r="H1015" s="1" t="str">
        <f t="shared" si="90"/>
        <v xml:space="preserve">CEMPRESA='31' </v>
      </c>
      <c r="I1015" s="1" t="str">
        <f t="shared" si="91"/>
        <v xml:space="preserve">AND CBALCAO='0003' </v>
      </c>
      <c r="J1015" s="1" t="str">
        <f t="shared" si="92"/>
        <v xml:space="preserve">AND CNUMECTA='18586329097' </v>
      </c>
      <c r="K1015" s="1" t="str">
        <f t="shared" si="93"/>
        <v/>
      </c>
      <c r="L1015" s="1" t="str">
        <f t="shared" si="94"/>
        <v>WHEN CEMPRESA='31' AND CBALCAO='0003' AND CNUMECTA='18586329097' THEN 1</v>
      </c>
      <c r="M1015" s="1" t="str">
        <f t="shared" si="95"/>
        <v>WHEN CEMPRESA='31' AND CBALCAO='0003' AND CNUMECTA='18586329097' THEN 'A.7.7.'</v>
      </c>
    </row>
    <row r="1016" spans="2:13" x14ac:dyDescent="0.25">
      <c r="B1016" s="1" t="s">
        <v>45</v>
      </c>
      <c r="C1016" s="1" t="s">
        <v>46</v>
      </c>
      <c r="D1016" s="1" t="s">
        <v>1326</v>
      </c>
      <c r="E1016" s="1"/>
      <c r="F1016" s="1">
        <v>1</v>
      </c>
      <c r="G1016" s="1" t="s">
        <v>76</v>
      </c>
      <c r="H1016" s="1" t="str">
        <f t="shared" si="90"/>
        <v xml:space="preserve">CEMPRESA='31' </v>
      </c>
      <c r="I1016" s="1" t="str">
        <f t="shared" si="91"/>
        <v xml:space="preserve">AND CBALCAO='0003' </v>
      </c>
      <c r="J1016" s="1" t="str">
        <f t="shared" si="92"/>
        <v xml:space="preserve">AND CNUMECTA='18582856097' </v>
      </c>
      <c r="K1016" s="1" t="str">
        <f t="shared" si="93"/>
        <v/>
      </c>
      <c r="L1016" s="1" t="str">
        <f t="shared" si="94"/>
        <v>WHEN CEMPRESA='31' AND CBALCAO='0003' AND CNUMECTA='18582856097' THEN 1</v>
      </c>
      <c r="M1016" s="1" t="str">
        <f t="shared" si="95"/>
        <v>WHEN CEMPRESA='31' AND CBALCAO='0003' AND CNUMECTA='18582856097' THEN 'A.7.7.'</v>
      </c>
    </row>
    <row r="1017" spans="2:13" x14ac:dyDescent="0.25">
      <c r="B1017" s="1" t="s">
        <v>45</v>
      </c>
      <c r="C1017" s="1" t="s">
        <v>46</v>
      </c>
      <c r="D1017" s="1" t="s">
        <v>1327</v>
      </c>
      <c r="E1017" s="1"/>
      <c r="F1017" s="1">
        <v>1</v>
      </c>
      <c r="G1017" s="1" t="s">
        <v>76</v>
      </c>
      <c r="H1017" s="1" t="str">
        <f t="shared" si="90"/>
        <v xml:space="preserve">CEMPRESA='31' </v>
      </c>
      <c r="I1017" s="1" t="str">
        <f t="shared" si="91"/>
        <v xml:space="preserve">AND CBALCAO='0003' </v>
      </c>
      <c r="J1017" s="1" t="str">
        <f t="shared" si="92"/>
        <v xml:space="preserve">AND CNUMECTA='18585610097' </v>
      </c>
      <c r="K1017" s="1" t="str">
        <f t="shared" si="93"/>
        <v/>
      </c>
      <c r="L1017" s="1" t="str">
        <f t="shared" si="94"/>
        <v>WHEN CEMPRESA='31' AND CBALCAO='0003' AND CNUMECTA='18585610097' THEN 1</v>
      </c>
      <c r="M1017" s="1" t="str">
        <f t="shared" si="95"/>
        <v>WHEN CEMPRESA='31' AND CBALCAO='0003' AND CNUMECTA='18585610097' THEN 'A.7.7.'</v>
      </c>
    </row>
    <row r="1018" spans="2:13" x14ac:dyDescent="0.25">
      <c r="B1018" s="1" t="s">
        <v>45</v>
      </c>
      <c r="C1018" s="1" t="s">
        <v>46</v>
      </c>
      <c r="D1018" s="1" t="s">
        <v>1328</v>
      </c>
      <c r="E1018" s="1"/>
      <c r="F1018" s="1">
        <v>1</v>
      </c>
      <c r="G1018" s="1" t="s">
        <v>1215</v>
      </c>
      <c r="H1018" s="1" t="str">
        <f t="shared" si="90"/>
        <v xml:space="preserve">CEMPRESA='31' </v>
      </c>
      <c r="I1018" s="1" t="str">
        <f t="shared" si="91"/>
        <v xml:space="preserve">AND CBALCAO='0003' </v>
      </c>
      <c r="J1018" s="1" t="str">
        <f t="shared" si="92"/>
        <v xml:space="preserve">AND CNUMECTA='15970345096' </v>
      </c>
      <c r="K1018" s="1" t="str">
        <f t="shared" si="93"/>
        <v/>
      </c>
      <c r="L1018" s="1" t="str">
        <f t="shared" si="94"/>
        <v>WHEN CEMPRESA='31' AND CBALCAO='0003' AND CNUMECTA='15970345096' THEN 1</v>
      </c>
      <c r="M1018" s="1" t="str">
        <f t="shared" si="95"/>
        <v>WHEN CEMPRESA='31' AND CBALCAO='0003' AND CNUMECTA='15970345096' THEN 'A.1.3.'</v>
      </c>
    </row>
    <row r="1019" spans="2:13" x14ac:dyDescent="0.25">
      <c r="B1019" s="1" t="s">
        <v>45</v>
      </c>
      <c r="C1019" s="1" t="s">
        <v>46</v>
      </c>
      <c r="D1019" s="1" t="s">
        <v>1329</v>
      </c>
      <c r="E1019" s="1"/>
      <c r="F1019" s="1">
        <v>1</v>
      </c>
      <c r="G1019" s="1" t="s">
        <v>76</v>
      </c>
      <c r="H1019" s="1" t="str">
        <f t="shared" si="90"/>
        <v xml:space="preserve">CEMPRESA='31' </v>
      </c>
      <c r="I1019" s="1" t="str">
        <f t="shared" si="91"/>
        <v xml:space="preserve">AND CBALCAO='0003' </v>
      </c>
      <c r="J1019" s="1" t="str">
        <f t="shared" si="92"/>
        <v xml:space="preserve">AND CNUMECTA='18609303097' </v>
      </c>
      <c r="K1019" s="1" t="str">
        <f t="shared" si="93"/>
        <v/>
      </c>
      <c r="L1019" s="1" t="str">
        <f t="shared" si="94"/>
        <v>WHEN CEMPRESA='31' AND CBALCAO='0003' AND CNUMECTA='18609303097' THEN 1</v>
      </c>
      <c r="M1019" s="1" t="str">
        <f t="shared" si="95"/>
        <v>WHEN CEMPRESA='31' AND CBALCAO='0003' AND CNUMECTA='18609303097' THEN 'A.7.7.'</v>
      </c>
    </row>
    <row r="1020" spans="2:13" x14ac:dyDescent="0.25">
      <c r="B1020" s="1" t="s">
        <v>45</v>
      </c>
      <c r="C1020" s="1" t="s">
        <v>46</v>
      </c>
      <c r="D1020" s="1" t="s">
        <v>1330</v>
      </c>
      <c r="E1020" s="1"/>
      <c r="F1020" s="1">
        <v>1</v>
      </c>
      <c r="G1020" s="1" t="s">
        <v>76</v>
      </c>
      <c r="H1020" s="1" t="str">
        <f t="shared" si="90"/>
        <v xml:space="preserve">CEMPRESA='31' </v>
      </c>
      <c r="I1020" s="1" t="str">
        <f t="shared" si="91"/>
        <v xml:space="preserve">AND CBALCAO='0003' </v>
      </c>
      <c r="J1020" s="1" t="str">
        <f t="shared" si="92"/>
        <v xml:space="preserve">AND CNUMECTA='18580702097' </v>
      </c>
      <c r="K1020" s="1" t="str">
        <f t="shared" si="93"/>
        <v/>
      </c>
      <c r="L1020" s="1" t="str">
        <f t="shared" si="94"/>
        <v>WHEN CEMPRESA='31' AND CBALCAO='0003' AND CNUMECTA='18580702097' THEN 1</v>
      </c>
      <c r="M1020" s="1" t="str">
        <f t="shared" si="95"/>
        <v>WHEN CEMPRESA='31' AND CBALCAO='0003' AND CNUMECTA='18580702097' THEN 'A.7.7.'</v>
      </c>
    </row>
    <row r="1021" spans="2:13" x14ac:dyDescent="0.25">
      <c r="B1021" s="1" t="s">
        <v>45</v>
      </c>
      <c r="C1021" s="1" t="s">
        <v>46</v>
      </c>
      <c r="D1021" s="1" t="s">
        <v>1331</v>
      </c>
      <c r="E1021" s="1"/>
      <c r="F1021" s="1">
        <v>1</v>
      </c>
      <c r="G1021" s="1" t="s">
        <v>76</v>
      </c>
      <c r="H1021" s="1" t="str">
        <f t="shared" si="90"/>
        <v xml:space="preserve">CEMPRESA='31' </v>
      </c>
      <c r="I1021" s="1" t="str">
        <f t="shared" si="91"/>
        <v xml:space="preserve">AND CBALCAO='0003' </v>
      </c>
      <c r="J1021" s="1" t="str">
        <f t="shared" si="92"/>
        <v xml:space="preserve">AND CNUMECTA='18578672097' </v>
      </c>
      <c r="K1021" s="1" t="str">
        <f t="shared" si="93"/>
        <v/>
      </c>
      <c r="L1021" s="1" t="str">
        <f t="shared" si="94"/>
        <v>WHEN CEMPRESA='31' AND CBALCAO='0003' AND CNUMECTA='18578672097' THEN 1</v>
      </c>
      <c r="M1021" s="1" t="str">
        <f t="shared" si="95"/>
        <v>WHEN CEMPRESA='31' AND CBALCAO='0003' AND CNUMECTA='18578672097' THEN 'A.7.7.'</v>
      </c>
    </row>
    <row r="1022" spans="2:13" x14ac:dyDescent="0.25">
      <c r="B1022" s="1" t="s">
        <v>45</v>
      </c>
      <c r="C1022" s="1" t="s">
        <v>46</v>
      </c>
      <c r="D1022" s="1" t="s">
        <v>1332</v>
      </c>
      <c r="E1022" s="1"/>
      <c r="F1022" s="1">
        <v>1</v>
      </c>
      <c r="G1022" s="1" t="s">
        <v>1215</v>
      </c>
      <c r="H1022" s="1" t="str">
        <f t="shared" si="90"/>
        <v xml:space="preserve">CEMPRESA='31' </v>
      </c>
      <c r="I1022" s="1" t="str">
        <f t="shared" si="91"/>
        <v xml:space="preserve">AND CBALCAO='0003' </v>
      </c>
      <c r="J1022" s="1" t="str">
        <f t="shared" si="92"/>
        <v xml:space="preserve">AND CNUMECTA='15970428096' </v>
      </c>
      <c r="K1022" s="1" t="str">
        <f t="shared" si="93"/>
        <v/>
      </c>
      <c r="L1022" s="1" t="str">
        <f t="shared" si="94"/>
        <v>WHEN CEMPRESA='31' AND CBALCAO='0003' AND CNUMECTA='15970428096' THEN 1</v>
      </c>
      <c r="M1022" s="1" t="str">
        <f t="shared" si="95"/>
        <v>WHEN CEMPRESA='31' AND CBALCAO='0003' AND CNUMECTA='15970428096' THEN 'A.1.3.'</v>
      </c>
    </row>
    <row r="1023" spans="2:13" x14ac:dyDescent="0.25">
      <c r="B1023" s="1" t="s">
        <v>45</v>
      </c>
      <c r="C1023" s="1" t="s">
        <v>46</v>
      </c>
      <c r="D1023" s="1" t="s">
        <v>1333</v>
      </c>
      <c r="E1023" s="1"/>
      <c r="F1023" s="1">
        <v>1</v>
      </c>
      <c r="G1023" s="1" t="s">
        <v>209</v>
      </c>
      <c r="H1023" s="1" t="str">
        <f t="shared" si="90"/>
        <v xml:space="preserve">CEMPRESA='31' </v>
      </c>
      <c r="I1023" s="1" t="str">
        <f t="shared" si="91"/>
        <v xml:space="preserve">AND CBALCAO='0003' </v>
      </c>
      <c r="J1023" s="1" t="str">
        <f t="shared" si="92"/>
        <v xml:space="preserve">AND CNUMECTA='18061704096' </v>
      </c>
      <c r="K1023" s="1" t="str">
        <f t="shared" si="93"/>
        <v/>
      </c>
      <c r="L1023" s="1" t="str">
        <f t="shared" si="94"/>
        <v>WHEN CEMPRESA='31' AND CBALCAO='0003' AND CNUMECTA='18061704096' THEN 1</v>
      </c>
      <c r="M1023" s="1" t="str">
        <f t="shared" si="95"/>
        <v>WHEN CEMPRESA='31' AND CBALCAO='0003' AND CNUMECTA='18061704096' THEN 'A.3.1.'</v>
      </c>
    </row>
    <row r="1024" spans="2:13" x14ac:dyDescent="0.25">
      <c r="B1024" s="1" t="s">
        <v>45</v>
      </c>
      <c r="C1024" s="1" t="s">
        <v>46</v>
      </c>
      <c r="D1024" s="1" t="s">
        <v>1334</v>
      </c>
      <c r="E1024" s="1"/>
      <c r="F1024" s="1">
        <v>1</v>
      </c>
      <c r="G1024" s="1" t="s">
        <v>209</v>
      </c>
      <c r="H1024" s="1" t="str">
        <f t="shared" si="90"/>
        <v xml:space="preserve">CEMPRESA='31' </v>
      </c>
      <c r="I1024" s="1" t="str">
        <f t="shared" si="91"/>
        <v xml:space="preserve">AND CBALCAO='0003' </v>
      </c>
      <c r="J1024" s="1" t="str">
        <f t="shared" si="92"/>
        <v xml:space="preserve">AND CNUMECTA='18719509096' </v>
      </c>
      <c r="K1024" s="1" t="str">
        <f t="shared" si="93"/>
        <v/>
      </c>
      <c r="L1024" s="1" t="str">
        <f t="shared" si="94"/>
        <v>WHEN CEMPRESA='31' AND CBALCAO='0003' AND CNUMECTA='18719509096' THEN 1</v>
      </c>
      <c r="M1024" s="1" t="str">
        <f t="shared" si="95"/>
        <v>WHEN CEMPRESA='31' AND CBALCAO='0003' AND CNUMECTA='18719509096' THEN 'A.3.1.'</v>
      </c>
    </row>
    <row r="1025" spans="2:13" x14ac:dyDescent="0.25">
      <c r="B1025" s="1" t="s">
        <v>45</v>
      </c>
      <c r="C1025" s="1" t="s">
        <v>46</v>
      </c>
      <c r="D1025" s="1" t="s">
        <v>1335</v>
      </c>
      <c r="E1025" s="1"/>
      <c r="F1025" s="1">
        <v>1</v>
      </c>
      <c r="G1025" s="1" t="s">
        <v>1215</v>
      </c>
      <c r="H1025" s="1" t="str">
        <f t="shared" si="90"/>
        <v xml:space="preserve">CEMPRESA='31' </v>
      </c>
      <c r="I1025" s="1" t="str">
        <f t="shared" si="91"/>
        <v xml:space="preserve">AND CBALCAO='0003' </v>
      </c>
      <c r="J1025" s="1" t="str">
        <f t="shared" si="92"/>
        <v xml:space="preserve">AND CNUMECTA='15970238096' </v>
      </c>
      <c r="K1025" s="1" t="str">
        <f t="shared" si="93"/>
        <v/>
      </c>
      <c r="L1025" s="1" t="str">
        <f t="shared" si="94"/>
        <v>WHEN CEMPRESA='31' AND CBALCAO='0003' AND CNUMECTA='15970238096' THEN 1</v>
      </c>
      <c r="M1025" s="1" t="str">
        <f t="shared" si="95"/>
        <v>WHEN CEMPRESA='31' AND CBALCAO='0003' AND CNUMECTA='15970238096' THEN 'A.1.3.'</v>
      </c>
    </row>
    <row r="1026" spans="2:13" x14ac:dyDescent="0.25">
      <c r="B1026" s="1" t="s">
        <v>45</v>
      </c>
      <c r="C1026" s="1" t="s">
        <v>46</v>
      </c>
      <c r="D1026" s="1" t="s">
        <v>1336</v>
      </c>
      <c r="E1026" s="1"/>
      <c r="F1026" s="1">
        <v>1</v>
      </c>
      <c r="G1026" s="1" t="s">
        <v>76</v>
      </c>
      <c r="H1026" s="1" t="str">
        <f t="shared" si="90"/>
        <v xml:space="preserve">CEMPRESA='31' </v>
      </c>
      <c r="I1026" s="1" t="str">
        <f t="shared" si="91"/>
        <v xml:space="preserve">AND CBALCAO='0003' </v>
      </c>
      <c r="J1026" s="1" t="str">
        <f t="shared" si="92"/>
        <v xml:space="preserve">AND CNUMECTA='18580736097' </v>
      </c>
      <c r="K1026" s="1" t="str">
        <f t="shared" si="93"/>
        <v/>
      </c>
      <c r="L1026" s="1" t="str">
        <f t="shared" si="94"/>
        <v>WHEN CEMPRESA='31' AND CBALCAO='0003' AND CNUMECTA='18580736097' THEN 1</v>
      </c>
      <c r="M1026" s="1" t="str">
        <f t="shared" si="95"/>
        <v>WHEN CEMPRESA='31' AND CBALCAO='0003' AND CNUMECTA='18580736097' THEN 'A.7.7.'</v>
      </c>
    </row>
    <row r="1027" spans="2:13" x14ac:dyDescent="0.25">
      <c r="B1027" s="1" t="s">
        <v>45</v>
      </c>
      <c r="C1027" s="1" t="s">
        <v>46</v>
      </c>
      <c r="D1027" s="1" t="s">
        <v>1337</v>
      </c>
      <c r="E1027" s="1"/>
      <c r="F1027" s="1">
        <v>1</v>
      </c>
      <c r="G1027" s="1" t="s">
        <v>209</v>
      </c>
      <c r="H1027" s="1" t="str">
        <f t="shared" si="90"/>
        <v xml:space="preserve">CEMPRESA='31' </v>
      </c>
      <c r="I1027" s="1" t="str">
        <f t="shared" si="91"/>
        <v xml:space="preserve">AND CBALCAO='0003' </v>
      </c>
      <c r="J1027" s="1" t="str">
        <f t="shared" si="92"/>
        <v xml:space="preserve">AND CNUMECTA='17864504096' </v>
      </c>
      <c r="K1027" s="1" t="str">
        <f t="shared" si="93"/>
        <v/>
      </c>
      <c r="L1027" s="1" t="str">
        <f t="shared" si="94"/>
        <v>WHEN CEMPRESA='31' AND CBALCAO='0003' AND CNUMECTA='17864504096' THEN 1</v>
      </c>
      <c r="M1027" s="1" t="str">
        <f t="shared" si="95"/>
        <v>WHEN CEMPRESA='31' AND CBALCAO='0003' AND CNUMECTA='17864504096' THEN 'A.3.1.'</v>
      </c>
    </row>
    <row r="1028" spans="2:13" x14ac:dyDescent="0.25">
      <c r="B1028" s="1" t="s">
        <v>45</v>
      </c>
      <c r="C1028" s="1" t="s">
        <v>187</v>
      </c>
      <c r="D1028" s="1" t="s">
        <v>1338</v>
      </c>
      <c r="E1028" s="1"/>
      <c r="F1028" s="1">
        <v>1</v>
      </c>
      <c r="G1028" s="1" t="s">
        <v>49</v>
      </c>
      <c r="H1028" s="1" t="str">
        <f t="shared" ref="H1028:H1091" si="96">+IF(LEN(TRIM(B1028))&gt;0,UPPER($B$2)&amp;"='"&amp;TRIM(B1028)&amp;"' ","")</f>
        <v xml:space="preserve">CEMPRESA='31' </v>
      </c>
      <c r="I1028" s="1" t="str">
        <f t="shared" ref="I1028:I1091" si="97">+IF(LEN(TRIM(C1028))&gt;0,UPPER($C$2)&amp;"='"&amp;TRIM(C1028)&amp;"' ","")</f>
        <v xml:space="preserve">AND CBALCAO='6636' </v>
      </c>
      <c r="J1028" s="1" t="str">
        <f t="shared" ref="J1028:J1091" si="98">+IF(LEN(TRIM(D1028))&gt;0,UPPER($D$2)&amp;"='"&amp;TRIM(D1028)&amp;"' ","")</f>
        <v xml:space="preserve">AND CNUMECTA='00380030145' </v>
      </c>
      <c r="K1028" s="1" t="str">
        <f t="shared" ref="K1028:K1091" si="99">+IF(LEN(TRIM(E1028))&gt;0,UPPER($E$2)&amp;"='"&amp;TRIM(E1028)&amp;"' ","")</f>
        <v/>
      </c>
      <c r="L1028" s="1" t="str">
        <f t="shared" ref="L1028:L1091" si="100">+"WHEN "&amp;H1028&amp;I1028&amp;J1028&amp;K1028&amp;"THEN "&amp;F1028</f>
        <v>WHEN CEMPRESA='31' AND CBALCAO='6636' AND CNUMECTA='00380030145' THEN 1</v>
      </c>
      <c r="M1028" s="1" t="str">
        <f t="shared" ref="M1028:M1091" si="101">+"WHEN "&amp;H1028&amp;I1028&amp;J1028&amp;K1028&amp;"THEN "&amp;G1028</f>
        <v>WHEN CEMPRESA='31' AND CBALCAO='6636' AND CNUMECTA='00380030145' THEN 'A.2.3.'</v>
      </c>
    </row>
    <row r="1029" spans="2:13" x14ac:dyDescent="0.25">
      <c r="B1029" s="1" t="s">
        <v>45</v>
      </c>
      <c r="C1029" s="1" t="s">
        <v>46</v>
      </c>
      <c r="D1029" s="1" t="s">
        <v>1339</v>
      </c>
      <c r="E1029" s="1"/>
      <c r="F1029" s="1">
        <v>1</v>
      </c>
      <c r="G1029" s="1" t="s">
        <v>53</v>
      </c>
      <c r="H1029" s="1" t="str">
        <f t="shared" si="96"/>
        <v xml:space="preserve">CEMPRESA='31' </v>
      </c>
      <c r="I1029" s="1" t="str">
        <f t="shared" si="97"/>
        <v xml:space="preserve">AND CBALCAO='0003' </v>
      </c>
      <c r="J1029" s="1" t="str">
        <f t="shared" si="98"/>
        <v xml:space="preserve">AND CNUMECTA='15970469096' </v>
      </c>
      <c r="K1029" s="1" t="str">
        <f t="shared" si="99"/>
        <v/>
      </c>
      <c r="L1029" s="1" t="str">
        <f t="shared" si="100"/>
        <v>WHEN CEMPRESA='31' AND CBALCAO='0003' AND CNUMECTA='15970469096' THEN 1</v>
      </c>
      <c r="M1029" s="1" t="str">
        <f t="shared" si="101"/>
        <v>WHEN CEMPRESA='31' AND CBALCAO='0003' AND CNUMECTA='15970469096' THEN 'A.1.1.'</v>
      </c>
    </row>
    <row r="1030" spans="2:13" x14ac:dyDescent="0.25">
      <c r="B1030" s="1" t="s">
        <v>45</v>
      </c>
      <c r="C1030" s="1" t="s">
        <v>46</v>
      </c>
      <c r="D1030" s="1" t="s">
        <v>1340</v>
      </c>
      <c r="E1030" s="1"/>
      <c r="F1030" s="1">
        <v>1</v>
      </c>
      <c r="G1030" s="1" t="s">
        <v>53</v>
      </c>
      <c r="H1030" s="1" t="str">
        <f t="shared" si="96"/>
        <v xml:space="preserve">CEMPRESA='31' </v>
      </c>
      <c r="I1030" s="1" t="str">
        <f t="shared" si="97"/>
        <v xml:space="preserve">AND CBALCAO='0003' </v>
      </c>
      <c r="J1030" s="1" t="str">
        <f t="shared" si="98"/>
        <v xml:space="preserve">AND CNUMECTA='18574804097' </v>
      </c>
      <c r="K1030" s="1" t="str">
        <f t="shared" si="99"/>
        <v/>
      </c>
      <c r="L1030" s="1" t="str">
        <f t="shared" si="100"/>
        <v>WHEN CEMPRESA='31' AND CBALCAO='0003' AND CNUMECTA='18574804097' THEN 1</v>
      </c>
      <c r="M1030" s="1" t="str">
        <f t="shared" si="101"/>
        <v>WHEN CEMPRESA='31' AND CBALCAO='0003' AND CNUMECTA='18574804097' THEN 'A.1.1.'</v>
      </c>
    </row>
    <row r="1031" spans="2:13" x14ac:dyDescent="0.25">
      <c r="B1031" s="1" t="s">
        <v>45</v>
      </c>
      <c r="C1031" s="1" t="s">
        <v>46</v>
      </c>
      <c r="D1031" s="1" t="s">
        <v>1341</v>
      </c>
      <c r="E1031" s="1"/>
      <c r="F1031" s="1">
        <v>1</v>
      </c>
      <c r="G1031" s="1" t="s">
        <v>76</v>
      </c>
      <c r="H1031" s="1" t="str">
        <f t="shared" si="96"/>
        <v xml:space="preserve">CEMPRESA='31' </v>
      </c>
      <c r="I1031" s="1" t="str">
        <f t="shared" si="97"/>
        <v xml:space="preserve">AND CBALCAO='0003' </v>
      </c>
      <c r="J1031" s="1" t="str">
        <f t="shared" si="98"/>
        <v xml:space="preserve">AND CNUMECTA='18579902097' </v>
      </c>
      <c r="K1031" s="1" t="str">
        <f t="shared" si="99"/>
        <v/>
      </c>
      <c r="L1031" s="1" t="str">
        <f t="shared" si="100"/>
        <v>WHEN CEMPRESA='31' AND CBALCAO='0003' AND CNUMECTA='18579902097' THEN 1</v>
      </c>
      <c r="M1031" s="1" t="str">
        <f t="shared" si="101"/>
        <v>WHEN CEMPRESA='31' AND CBALCAO='0003' AND CNUMECTA='18579902097' THEN 'A.7.7.'</v>
      </c>
    </row>
    <row r="1032" spans="2:13" x14ac:dyDescent="0.25">
      <c r="B1032" s="1" t="s">
        <v>45</v>
      </c>
      <c r="C1032" s="1" t="s">
        <v>46</v>
      </c>
      <c r="D1032" s="1" t="s">
        <v>1342</v>
      </c>
      <c r="E1032" s="1"/>
      <c r="F1032" s="1">
        <v>1</v>
      </c>
      <c r="G1032" s="1" t="s">
        <v>76</v>
      </c>
      <c r="H1032" s="1" t="str">
        <f t="shared" si="96"/>
        <v xml:space="preserve">CEMPRESA='31' </v>
      </c>
      <c r="I1032" s="1" t="str">
        <f t="shared" si="97"/>
        <v xml:space="preserve">AND CBALCAO='0003' </v>
      </c>
      <c r="J1032" s="1" t="str">
        <f t="shared" si="98"/>
        <v xml:space="preserve">AND CNUMECTA='18581890097' </v>
      </c>
      <c r="K1032" s="1" t="str">
        <f t="shared" si="99"/>
        <v/>
      </c>
      <c r="L1032" s="1" t="str">
        <f t="shared" si="100"/>
        <v>WHEN CEMPRESA='31' AND CBALCAO='0003' AND CNUMECTA='18581890097' THEN 1</v>
      </c>
      <c r="M1032" s="1" t="str">
        <f t="shared" si="101"/>
        <v>WHEN CEMPRESA='31' AND CBALCAO='0003' AND CNUMECTA='18581890097' THEN 'A.7.7.'</v>
      </c>
    </row>
    <row r="1033" spans="2:13" x14ac:dyDescent="0.25">
      <c r="B1033" s="1" t="s">
        <v>45</v>
      </c>
      <c r="C1033" s="1" t="s">
        <v>46</v>
      </c>
      <c r="D1033" s="1" t="s">
        <v>1343</v>
      </c>
      <c r="E1033" s="1"/>
      <c r="F1033" s="1">
        <v>1</v>
      </c>
      <c r="G1033" s="1" t="s">
        <v>53</v>
      </c>
      <c r="H1033" s="1" t="str">
        <f t="shared" si="96"/>
        <v xml:space="preserve">CEMPRESA='31' </v>
      </c>
      <c r="I1033" s="1" t="str">
        <f t="shared" si="97"/>
        <v xml:space="preserve">AND CBALCAO='0003' </v>
      </c>
      <c r="J1033" s="1" t="str">
        <f t="shared" si="98"/>
        <v xml:space="preserve">AND CNUMECTA='17988014096' </v>
      </c>
      <c r="K1033" s="1" t="str">
        <f t="shared" si="99"/>
        <v/>
      </c>
      <c r="L1033" s="1" t="str">
        <f t="shared" si="100"/>
        <v>WHEN CEMPRESA='31' AND CBALCAO='0003' AND CNUMECTA='17988014096' THEN 1</v>
      </c>
      <c r="M1033" s="1" t="str">
        <f t="shared" si="101"/>
        <v>WHEN CEMPRESA='31' AND CBALCAO='0003' AND CNUMECTA='17988014096' THEN 'A.1.1.'</v>
      </c>
    </row>
    <row r="1034" spans="2:13" x14ac:dyDescent="0.25">
      <c r="B1034" s="1" t="s">
        <v>45</v>
      </c>
      <c r="C1034" s="1" t="s">
        <v>46</v>
      </c>
      <c r="D1034" s="1" t="s">
        <v>1344</v>
      </c>
      <c r="E1034" s="1"/>
      <c r="F1034" s="1">
        <v>1</v>
      </c>
      <c r="G1034" s="1" t="s">
        <v>76</v>
      </c>
      <c r="H1034" s="1" t="str">
        <f t="shared" si="96"/>
        <v xml:space="preserve">CEMPRESA='31' </v>
      </c>
      <c r="I1034" s="1" t="str">
        <f t="shared" si="97"/>
        <v xml:space="preserve">AND CBALCAO='0003' </v>
      </c>
      <c r="J1034" s="1" t="str">
        <f t="shared" si="98"/>
        <v xml:space="preserve">AND CNUMECTA='18584472097' </v>
      </c>
      <c r="K1034" s="1" t="str">
        <f t="shared" si="99"/>
        <v/>
      </c>
      <c r="L1034" s="1" t="str">
        <f t="shared" si="100"/>
        <v>WHEN CEMPRESA='31' AND CBALCAO='0003' AND CNUMECTA='18584472097' THEN 1</v>
      </c>
      <c r="M1034" s="1" t="str">
        <f t="shared" si="101"/>
        <v>WHEN CEMPRESA='31' AND CBALCAO='0003' AND CNUMECTA='18584472097' THEN 'A.7.7.'</v>
      </c>
    </row>
    <row r="1035" spans="2:13" x14ac:dyDescent="0.25">
      <c r="B1035" s="1" t="s">
        <v>45</v>
      </c>
      <c r="C1035" s="1" t="s">
        <v>46</v>
      </c>
      <c r="D1035" s="1" t="s">
        <v>1345</v>
      </c>
      <c r="E1035" s="1"/>
      <c r="F1035" s="1">
        <v>1</v>
      </c>
      <c r="G1035" s="1" t="s">
        <v>53</v>
      </c>
      <c r="H1035" s="1" t="str">
        <f t="shared" si="96"/>
        <v xml:space="preserve">CEMPRESA='31' </v>
      </c>
      <c r="I1035" s="1" t="str">
        <f t="shared" si="97"/>
        <v xml:space="preserve">AND CBALCAO='0003' </v>
      </c>
      <c r="J1035" s="1" t="str">
        <f t="shared" si="98"/>
        <v xml:space="preserve">AND CNUMECTA='19725695096' </v>
      </c>
      <c r="K1035" s="1" t="str">
        <f t="shared" si="99"/>
        <v/>
      </c>
      <c r="L1035" s="1" t="str">
        <f t="shared" si="100"/>
        <v>WHEN CEMPRESA='31' AND CBALCAO='0003' AND CNUMECTA='19725695096' THEN 1</v>
      </c>
      <c r="M1035" s="1" t="str">
        <f t="shared" si="101"/>
        <v>WHEN CEMPRESA='31' AND CBALCAO='0003' AND CNUMECTA='19725695096' THEN 'A.1.1.'</v>
      </c>
    </row>
    <row r="1036" spans="2:13" x14ac:dyDescent="0.25">
      <c r="B1036" s="1" t="s">
        <v>54</v>
      </c>
      <c r="C1036" s="1" t="s">
        <v>55</v>
      </c>
      <c r="D1036" s="1" t="s">
        <v>1346</v>
      </c>
      <c r="E1036" s="1"/>
      <c r="F1036" s="1">
        <v>1</v>
      </c>
      <c r="G1036" s="1" t="s">
        <v>209</v>
      </c>
      <c r="H1036" s="1" t="str">
        <f t="shared" si="96"/>
        <v xml:space="preserve">CEMPRESA='89' </v>
      </c>
      <c r="I1036" s="1" t="str">
        <f t="shared" si="97"/>
        <v xml:space="preserve">AND CBALCAO='0000' </v>
      </c>
      <c r="J1036" s="1" t="str">
        <f t="shared" si="98"/>
        <v xml:space="preserve">AND CNUMECTA='20240000211' </v>
      </c>
      <c r="K1036" s="1" t="str">
        <f t="shared" si="99"/>
        <v/>
      </c>
      <c r="L1036" s="1" t="str">
        <f t="shared" si="100"/>
        <v>WHEN CEMPRESA='89' AND CBALCAO='0000' AND CNUMECTA='20240000211' THEN 1</v>
      </c>
      <c r="M1036" s="1" t="str">
        <f t="shared" si="101"/>
        <v>WHEN CEMPRESA='89' AND CBALCAO='0000' AND CNUMECTA='20240000211' THEN 'A.3.1.'</v>
      </c>
    </row>
    <row r="1037" spans="2:13" x14ac:dyDescent="0.25">
      <c r="B1037" s="1" t="s">
        <v>45</v>
      </c>
      <c r="C1037" s="1" t="s">
        <v>46</v>
      </c>
      <c r="D1037" s="1" t="s">
        <v>1347</v>
      </c>
      <c r="E1037" s="1"/>
      <c r="F1037" s="1">
        <v>1</v>
      </c>
      <c r="G1037" s="1" t="s">
        <v>209</v>
      </c>
      <c r="H1037" s="1" t="str">
        <f t="shared" si="96"/>
        <v xml:space="preserve">CEMPRESA='31' </v>
      </c>
      <c r="I1037" s="1" t="str">
        <f t="shared" si="97"/>
        <v xml:space="preserve">AND CBALCAO='0003' </v>
      </c>
      <c r="J1037" s="1" t="str">
        <f t="shared" si="98"/>
        <v xml:space="preserve">AND CNUMECTA='18708411096' </v>
      </c>
      <c r="K1037" s="1" t="str">
        <f t="shared" si="99"/>
        <v/>
      </c>
      <c r="L1037" s="1" t="str">
        <f t="shared" si="100"/>
        <v>WHEN CEMPRESA='31' AND CBALCAO='0003' AND CNUMECTA='18708411096' THEN 1</v>
      </c>
      <c r="M1037" s="1" t="str">
        <f t="shared" si="101"/>
        <v>WHEN CEMPRESA='31' AND CBALCAO='0003' AND CNUMECTA='18708411096' THEN 'A.3.1.'</v>
      </c>
    </row>
    <row r="1038" spans="2:13" x14ac:dyDescent="0.25">
      <c r="B1038" s="1" t="s">
        <v>45</v>
      </c>
      <c r="C1038" s="1" t="s">
        <v>46</v>
      </c>
      <c r="D1038" s="1" t="s">
        <v>1348</v>
      </c>
      <c r="E1038" s="1"/>
      <c r="F1038" s="1">
        <v>1</v>
      </c>
      <c r="G1038" s="1" t="s">
        <v>1164</v>
      </c>
      <c r="H1038" s="1" t="str">
        <f t="shared" si="96"/>
        <v xml:space="preserve">CEMPRESA='31' </v>
      </c>
      <c r="I1038" s="1" t="str">
        <f t="shared" si="97"/>
        <v xml:space="preserve">AND CBALCAO='0003' </v>
      </c>
      <c r="J1038" s="1" t="str">
        <f t="shared" si="98"/>
        <v xml:space="preserve">AND CNUMECTA='15970139096' </v>
      </c>
      <c r="K1038" s="1" t="str">
        <f t="shared" si="99"/>
        <v/>
      </c>
      <c r="L1038" s="1" t="str">
        <f t="shared" si="100"/>
        <v>WHEN CEMPRESA='31' AND CBALCAO='0003' AND CNUMECTA='15970139096' THEN 1</v>
      </c>
      <c r="M1038" s="1" t="str">
        <f t="shared" si="101"/>
        <v>WHEN CEMPRESA='31' AND CBALCAO='0003' AND CNUMECTA='15970139096' THEN 'A.1.5.'</v>
      </c>
    </row>
    <row r="1039" spans="2:13" x14ac:dyDescent="0.25">
      <c r="B1039" s="1" t="s">
        <v>45</v>
      </c>
      <c r="C1039" s="1" t="s">
        <v>46</v>
      </c>
      <c r="D1039" s="1" t="s">
        <v>1349</v>
      </c>
      <c r="E1039" s="1"/>
      <c r="F1039" s="1">
        <v>1</v>
      </c>
      <c r="G1039" s="1" t="s">
        <v>76</v>
      </c>
      <c r="H1039" s="1" t="str">
        <f t="shared" si="96"/>
        <v xml:space="preserve">CEMPRESA='31' </v>
      </c>
      <c r="I1039" s="1" t="str">
        <f t="shared" si="97"/>
        <v xml:space="preserve">AND CBALCAO='0003' </v>
      </c>
      <c r="J1039" s="1" t="str">
        <f t="shared" si="98"/>
        <v xml:space="preserve">AND CNUMECTA='18581924097' </v>
      </c>
      <c r="K1039" s="1" t="str">
        <f t="shared" si="99"/>
        <v/>
      </c>
      <c r="L1039" s="1" t="str">
        <f t="shared" si="100"/>
        <v>WHEN CEMPRESA='31' AND CBALCAO='0003' AND CNUMECTA='18581924097' THEN 1</v>
      </c>
      <c r="M1039" s="1" t="str">
        <f t="shared" si="101"/>
        <v>WHEN CEMPRESA='31' AND CBALCAO='0003' AND CNUMECTA='18581924097' THEN 'A.7.7.'</v>
      </c>
    </row>
    <row r="1040" spans="2:13" x14ac:dyDescent="0.25">
      <c r="B1040" s="1" t="s">
        <v>45</v>
      </c>
      <c r="C1040" s="1" t="s">
        <v>46</v>
      </c>
      <c r="D1040" s="1" t="s">
        <v>1350</v>
      </c>
      <c r="E1040" s="1"/>
      <c r="F1040" s="1">
        <v>1</v>
      </c>
      <c r="G1040" s="1" t="s">
        <v>49</v>
      </c>
      <c r="H1040" s="1" t="str">
        <f t="shared" si="96"/>
        <v xml:space="preserve">CEMPRESA='31' </v>
      </c>
      <c r="I1040" s="1" t="str">
        <f t="shared" si="97"/>
        <v xml:space="preserve">AND CBALCAO='0003' </v>
      </c>
      <c r="J1040" s="1" t="str">
        <f t="shared" si="98"/>
        <v xml:space="preserve">AND CNUMECTA='20177472096' </v>
      </c>
      <c r="K1040" s="1" t="str">
        <f t="shared" si="99"/>
        <v/>
      </c>
      <c r="L1040" s="1" t="str">
        <f t="shared" si="100"/>
        <v>WHEN CEMPRESA='31' AND CBALCAO='0003' AND CNUMECTA='20177472096' THEN 1</v>
      </c>
      <c r="M1040" s="1" t="str">
        <f t="shared" si="101"/>
        <v>WHEN CEMPRESA='31' AND CBALCAO='0003' AND CNUMECTA='20177472096' THEN 'A.2.3.'</v>
      </c>
    </row>
    <row r="1041" spans="2:13" x14ac:dyDescent="0.25">
      <c r="B1041" s="1" t="s">
        <v>45</v>
      </c>
      <c r="C1041" s="1" t="s">
        <v>187</v>
      </c>
      <c r="D1041" s="1" t="s">
        <v>1351</v>
      </c>
      <c r="E1041" s="1"/>
      <c r="F1041" s="1">
        <v>1</v>
      </c>
      <c r="G1041" s="1" t="s">
        <v>49</v>
      </c>
      <c r="H1041" s="1" t="str">
        <f t="shared" si="96"/>
        <v xml:space="preserve">CEMPRESA='31' </v>
      </c>
      <c r="I1041" s="1" t="str">
        <f t="shared" si="97"/>
        <v xml:space="preserve">AND CBALCAO='6636' </v>
      </c>
      <c r="J1041" s="1" t="str">
        <f t="shared" si="98"/>
        <v xml:space="preserve">AND CNUMECTA='00380030438' </v>
      </c>
      <c r="K1041" s="1" t="str">
        <f t="shared" si="99"/>
        <v/>
      </c>
      <c r="L1041" s="1" t="str">
        <f t="shared" si="100"/>
        <v>WHEN CEMPRESA='31' AND CBALCAO='6636' AND CNUMECTA='00380030438' THEN 1</v>
      </c>
      <c r="M1041" s="1" t="str">
        <f t="shared" si="101"/>
        <v>WHEN CEMPRESA='31' AND CBALCAO='6636' AND CNUMECTA='00380030438' THEN 'A.2.3.'</v>
      </c>
    </row>
    <row r="1042" spans="2:13" x14ac:dyDescent="0.25">
      <c r="B1042" s="1" t="s">
        <v>45</v>
      </c>
      <c r="C1042" s="1" t="s">
        <v>46</v>
      </c>
      <c r="D1042" s="1" t="s">
        <v>1352</v>
      </c>
      <c r="E1042" s="1"/>
      <c r="F1042" s="1" t="s">
        <v>1353</v>
      </c>
      <c r="G1042" s="1" t="s">
        <v>76</v>
      </c>
      <c r="H1042" s="1" t="str">
        <f t="shared" si="96"/>
        <v xml:space="preserve">CEMPRESA='31' </v>
      </c>
      <c r="I1042" s="1" t="str">
        <f t="shared" si="97"/>
        <v xml:space="preserve">AND CBALCAO='0003' </v>
      </c>
      <c r="J1042" s="1" t="str">
        <f t="shared" si="98"/>
        <v xml:space="preserve">AND CNUMECTA='19260578096' </v>
      </c>
      <c r="K1042" s="1" t="str">
        <f t="shared" si="99"/>
        <v/>
      </c>
      <c r="L1042" s="1" t="str">
        <f t="shared" si="100"/>
        <v>WHEN CEMPRESA='31' AND CBALCAO='0003' AND CNUMECTA='19260578096' THEN 0.73</v>
      </c>
      <c r="M1042" s="1" t="str">
        <f t="shared" si="101"/>
        <v>WHEN CEMPRESA='31' AND CBALCAO='0003' AND CNUMECTA='19260578096' THEN 'A.7.7.'</v>
      </c>
    </row>
    <row r="1043" spans="2:13" x14ac:dyDescent="0.25">
      <c r="B1043" s="1" t="s">
        <v>45</v>
      </c>
      <c r="C1043" s="1" t="s">
        <v>46</v>
      </c>
      <c r="D1043" s="1" t="s">
        <v>1354</v>
      </c>
      <c r="E1043" s="1"/>
      <c r="F1043" s="1">
        <v>1</v>
      </c>
      <c r="G1043" s="1" t="s">
        <v>209</v>
      </c>
      <c r="H1043" s="1" t="str">
        <f t="shared" si="96"/>
        <v xml:space="preserve">CEMPRESA='31' </v>
      </c>
      <c r="I1043" s="1" t="str">
        <f t="shared" si="97"/>
        <v xml:space="preserve">AND CBALCAO='0003' </v>
      </c>
      <c r="J1043" s="1" t="str">
        <f t="shared" si="98"/>
        <v xml:space="preserve">AND CNUMECTA='18850452096' </v>
      </c>
      <c r="K1043" s="1" t="str">
        <f t="shared" si="99"/>
        <v/>
      </c>
      <c r="L1043" s="1" t="str">
        <f t="shared" si="100"/>
        <v>WHEN CEMPRESA='31' AND CBALCAO='0003' AND CNUMECTA='18850452096' THEN 1</v>
      </c>
      <c r="M1043" s="1" t="str">
        <f t="shared" si="101"/>
        <v>WHEN CEMPRESA='31' AND CBALCAO='0003' AND CNUMECTA='18850452096' THEN 'A.3.1.'</v>
      </c>
    </row>
    <row r="1044" spans="2:13" x14ac:dyDescent="0.25">
      <c r="B1044" s="1" t="s">
        <v>45</v>
      </c>
      <c r="C1044" s="1" t="s">
        <v>46</v>
      </c>
      <c r="D1044" s="1" t="s">
        <v>1355</v>
      </c>
      <c r="E1044" s="1"/>
      <c r="F1044" s="1">
        <v>1</v>
      </c>
      <c r="G1044" s="1" t="s">
        <v>1249</v>
      </c>
      <c r="H1044" s="1" t="str">
        <f t="shared" si="96"/>
        <v xml:space="preserve">CEMPRESA='31' </v>
      </c>
      <c r="I1044" s="1" t="str">
        <f t="shared" si="97"/>
        <v xml:space="preserve">AND CBALCAO='0003' </v>
      </c>
      <c r="J1044" s="1" t="str">
        <f t="shared" si="98"/>
        <v xml:space="preserve">AND CNUMECTA='17587055096' </v>
      </c>
      <c r="K1044" s="1" t="str">
        <f t="shared" si="99"/>
        <v/>
      </c>
      <c r="L1044" s="1" t="str">
        <f t="shared" si="100"/>
        <v>WHEN CEMPRESA='31' AND CBALCAO='0003' AND CNUMECTA='17587055096' THEN 1</v>
      </c>
      <c r="M1044" s="1" t="str">
        <f t="shared" si="101"/>
        <v>WHEN CEMPRESA='31' AND CBALCAO='0003' AND CNUMECTA='17587055096' THEN 'A.7.18.'</v>
      </c>
    </row>
    <row r="1045" spans="2:13" x14ac:dyDescent="0.25">
      <c r="B1045" s="1" t="s">
        <v>45</v>
      </c>
      <c r="C1045" s="1" t="s">
        <v>46</v>
      </c>
      <c r="D1045" s="1" t="s">
        <v>1356</v>
      </c>
      <c r="E1045" s="1"/>
      <c r="F1045" s="1">
        <v>1</v>
      </c>
      <c r="G1045" s="1" t="s">
        <v>76</v>
      </c>
      <c r="H1045" s="1" t="str">
        <f t="shared" si="96"/>
        <v xml:space="preserve">CEMPRESA='31' </v>
      </c>
      <c r="I1045" s="1" t="str">
        <f t="shared" si="97"/>
        <v xml:space="preserve">AND CBALCAO='0003' </v>
      </c>
      <c r="J1045" s="1" t="str">
        <f t="shared" si="98"/>
        <v xml:space="preserve">AND CNUMECTA='18602886097' </v>
      </c>
      <c r="K1045" s="1" t="str">
        <f t="shared" si="99"/>
        <v/>
      </c>
      <c r="L1045" s="1" t="str">
        <f t="shared" si="100"/>
        <v>WHEN CEMPRESA='31' AND CBALCAO='0003' AND CNUMECTA='18602886097' THEN 1</v>
      </c>
      <c r="M1045" s="1" t="str">
        <f t="shared" si="101"/>
        <v>WHEN CEMPRESA='31' AND CBALCAO='0003' AND CNUMECTA='18602886097' THEN 'A.7.7.'</v>
      </c>
    </row>
    <row r="1046" spans="2:13" x14ac:dyDescent="0.25">
      <c r="B1046" s="1" t="s">
        <v>45</v>
      </c>
      <c r="C1046" s="1" t="s">
        <v>46</v>
      </c>
      <c r="D1046" s="1" t="s">
        <v>1357</v>
      </c>
      <c r="E1046" s="1"/>
      <c r="F1046" s="1">
        <v>1</v>
      </c>
      <c r="G1046" s="1" t="s">
        <v>49</v>
      </c>
      <c r="H1046" s="1" t="str">
        <f t="shared" si="96"/>
        <v xml:space="preserve">CEMPRESA='31' </v>
      </c>
      <c r="I1046" s="1" t="str">
        <f t="shared" si="97"/>
        <v xml:space="preserve">AND CBALCAO='0003' </v>
      </c>
      <c r="J1046" s="1" t="str">
        <f t="shared" si="98"/>
        <v xml:space="preserve">AND CNUMECTA='18320845096' </v>
      </c>
      <c r="K1046" s="1" t="str">
        <f t="shared" si="99"/>
        <v/>
      </c>
      <c r="L1046" s="1" t="str">
        <f t="shared" si="100"/>
        <v>WHEN CEMPRESA='31' AND CBALCAO='0003' AND CNUMECTA='18320845096' THEN 1</v>
      </c>
      <c r="M1046" s="1" t="str">
        <f t="shared" si="101"/>
        <v>WHEN CEMPRESA='31' AND CBALCAO='0003' AND CNUMECTA='18320845096' THEN 'A.2.3.'</v>
      </c>
    </row>
    <row r="1047" spans="2:13" x14ac:dyDescent="0.25">
      <c r="B1047" s="1" t="s">
        <v>45</v>
      </c>
      <c r="C1047" s="1" t="s">
        <v>46</v>
      </c>
      <c r="D1047" s="1" t="s">
        <v>1358</v>
      </c>
      <c r="E1047" s="1"/>
      <c r="F1047" s="1">
        <v>1</v>
      </c>
      <c r="G1047" s="1" t="s">
        <v>76</v>
      </c>
      <c r="H1047" s="1" t="str">
        <f t="shared" si="96"/>
        <v xml:space="preserve">CEMPRESA='31' </v>
      </c>
      <c r="I1047" s="1" t="str">
        <f t="shared" si="97"/>
        <v xml:space="preserve">AND CBALCAO='0003' </v>
      </c>
      <c r="J1047" s="1" t="str">
        <f t="shared" si="98"/>
        <v xml:space="preserve">AND CNUMECTA='18607208097' </v>
      </c>
      <c r="K1047" s="1" t="str">
        <f t="shared" si="99"/>
        <v/>
      </c>
      <c r="L1047" s="1" t="str">
        <f t="shared" si="100"/>
        <v>WHEN CEMPRESA='31' AND CBALCAO='0003' AND CNUMECTA='18607208097' THEN 1</v>
      </c>
      <c r="M1047" s="1" t="str">
        <f t="shared" si="101"/>
        <v>WHEN CEMPRESA='31' AND CBALCAO='0003' AND CNUMECTA='18607208097' THEN 'A.7.7.'</v>
      </c>
    </row>
    <row r="1048" spans="2:13" x14ac:dyDescent="0.25">
      <c r="B1048" s="1" t="s">
        <v>45</v>
      </c>
      <c r="C1048" s="1" t="s">
        <v>46</v>
      </c>
      <c r="D1048" s="1" t="s">
        <v>1359</v>
      </c>
      <c r="E1048" s="1"/>
      <c r="F1048" s="1">
        <v>1</v>
      </c>
      <c r="G1048" s="1" t="s">
        <v>76</v>
      </c>
      <c r="H1048" s="1" t="str">
        <f t="shared" si="96"/>
        <v xml:space="preserve">CEMPRESA='31' </v>
      </c>
      <c r="I1048" s="1" t="str">
        <f t="shared" si="97"/>
        <v xml:space="preserve">AND CBALCAO='0003' </v>
      </c>
      <c r="J1048" s="1" t="str">
        <f t="shared" si="98"/>
        <v xml:space="preserve">AND CNUMECTA='17984740096' </v>
      </c>
      <c r="K1048" s="1" t="str">
        <f t="shared" si="99"/>
        <v/>
      </c>
      <c r="L1048" s="1" t="str">
        <f t="shared" si="100"/>
        <v>WHEN CEMPRESA='31' AND CBALCAO='0003' AND CNUMECTA='17984740096' THEN 1</v>
      </c>
      <c r="M1048" s="1" t="str">
        <f t="shared" si="101"/>
        <v>WHEN CEMPRESA='31' AND CBALCAO='0003' AND CNUMECTA='17984740096' THEN 'A.7.7.'</v>
      </c>
    </row>
    <row r="1049" spans="2:13" x14ac:dyDescent="0.25">
      <c r="B1049" s="1" t="s">
        <v>45</v>
      </c>
      <c r="C1049" s="1" t="s">
        <v>46</v>
      </c>
      <c r="D1049" s="1" t="s">
        <v>1360</v>
      </c>
      <c r="E1049" s="1"/>
      <c r="F1049" s="1">
        <v>1</v>
      </c>
      <c r="G1049" s="1" t="s">
        <v>76</v>
      </c>
      <c r="H1049" s="1" t="str">
        <f t="shared" si="96"/>
        <v xml:space="preserve">CEMPRESA='31' </v>
      </c>
      <c r="I1049" s="1" t="str">
        <f t="shared" si="97"/>
        <v xml:space="preserve">AND CBALCAO='0003' </v>
      </c>
      <c r="J1049" s="1" t="str">
        <f t="shared" si="98"/>
        <v xml:space="preserve">AND CNUMECTA='18609246097' </v>
      </c>
      <c r="K1049" s="1" t="str">
        <f t="shared" si="99"/>
        <v/>
      </c>
      <c r="L1049" s="1" t="str">
        <f t="shared" si="100"/>
        <v>WHEN CEMPRESA='31' AND CBALCAO='0003' AND CNUMECTA='18609246097' THEN 1</v>
      </c>
      <c r="M1049" s="1" t="str">
        <f t="shared" si="101"/>
        <v>WHEN CEMPRESA='31' AND CBALCAO='0003' AND CNUMECTA='18609246097' THEN 'A.7.7.'</v>
      </c>
    </row>
    <row r="1050" spans="2:13" x14ac:dyDescent="0.25">
      <c r="B1050" s="1" t="s">
        <v>45</v>
      </c>
      <c r="C1050" s="1" t="s">
        <v>187</v>
      </c>
      <c r="D1050" s="1" t="s">
        <v>1361</v>
      </c>
      <c r="E1050" s="1"/>
      <c r="F1050" s="1">
        <v>1</v>
      </c>
      <c r="G1050" s="1" t="s">
        <v>49</v>
      </c>
      <c r="H1050" s="1" t="str">
        <f t="shared" si="96"/>
        <v xml:space="preserve">CEMPRESA='31' </v>
      </c>
      <c r="I1050" s="1" t="str">
        <f t="shared" si="97"/>
        <v xml:space="preserve">AND CBALCAO='6636' </v>
      </c>
      <c r="J1050" s="1" t="str">
        <f t="shared" si="98"/>
        <v xml:space="preserve">AND CNUMECTA='00380030480' </v>
      </c>
      <c r="K1050" s="1" t="str">
        <f t="shared" si="99"/>
        <v/>
      </c>
      <c r="L1050" s="1" t="str">
        <f t="shared" si="100"/>
        <v>WHEN CEMPRESA='31' AND CBALCAO='6636' AND CNUMECTA='00380030480' THEN 1</v>
      </c>
      <c r="M1050" s="1" t="str">
        <f t="shared" si="101"/>
        <v>WHEN CEMPRESA='31' AND CBALCAO='6636' AND CNUMECTA='00380030480' THEN 'A.2.3.'</v>
      </c>
    </row>
    <row r="1051" spans="2:13" x14ac:dyDescent="0.25">
      <c r="B1051" s="1" t="s">
        <v>45</v>
      </c>
      <c r="C1051" s="1" t="s">
        <v>46</v>
      </c>
      <c r="D1051" s="1" t="s">
        <v>1362</v>
      </c>
      <c r="E1051" s="1"/>
      <c r="F1051" s="1">
        <v>1</v>
      </c>
      <c r="G1051" s="1" t="s">
        <v>49</v>
      </c>
      <c r="H1051" s="1" t="str">
        <f t="shared" si="96"/>
        <v xml:space="preserve">CEMPRESA='31' </v>
      </c>
      <c r="I1051" s="1" t="str">
        <f t="shared" si="97"/>
        <v xml:space="preserve">AND CBALCAO='0003' </v>
      </c>
      <c r="J1051" s="1" t="str">
        <f t="shared" si="98"/>
        <v xml:space="preserve">AND CNUMECTA='20193511096' </v>
      </c>
      <c r="K1051" s="1" t="str">
        <f t="shared" si="99"/>
        <v/>
      </c>
      <c r="L1051" s="1" t="str">
        <f t="shared" si="100"/>
        <v>WHEN CEMPRESA='31' AND CBALCAO='0003' AND CNUMECTA='20193511096' THEN 1</v>
      </c>
      <c r="M1051" s="1" t="str">
        <f t="shared" si="101"/>
        <v>WHEN CEMPRESA='31' AND CBALCAO='0003' AND CNUMECTA='20193511096' THEN 'A.2.3.'</v>
      </c>
    </row>
    <row r="1052" spans="2:13" x14ac:dyDescent="0.25">
      <c r="B1052" s="1" t="s">
        <v>45</v>
      </c>
      <c r="C1052" s="1" t="s">
        <v>46</v>
      </c>
      <c r="D1052" s="1" t="s">
        <v>1363</v>
      </c>
      <c r="E1052" s="1"/>
      <c r="F1052" s="1">
        <v>1</v>
      </c>
      <c r="G1052" s="1" t="s">
        <v>76</v>
      </c>
      <c r="H1052" s="1" t="str">
        <f t="shared" si="96"/>
        <v xml:space="preserve">CEMPRESA='31' </v>
      </c>
      <c r="I1052" s="1" t="str">
        <f t="shared" si="97"/>
        <v xml:space="preserve">AND CBALCAO='0003' </v>
      </c>
      <c r="J1052" s="1" t="str">
        <f t="shared" si="98"/>
        <v xml:space="preserve">AND CNUMECTA='18578680097' </v>
      </c>
      <c r="K1052" s="1" t="str">
        <f t="shared" si="99"/>
        <v/>
      </c>
      <c r="L1052" s="1" t="str">
        <f t="shared" si="100"/>
        <v>WHEN CEMPRESA='31' AND CBALCAO='0003' AND CNUMECTA='18578680097' THEN 1</v>
      </c>
      <c r="M1052" s="1" t="str">
        <f t="shared" si="101"/>
        <v>WHEN CEMPRESA='31' AND CBALCAO='0003' AND CNUMECTA='18578680097' THEN 'A.7.7.'</v>
      </c>
    </row>
    <row r="1053" spans="2:13" x14ac:dyDescent="0.25">
      <c r="B1053" s="1" t="s">
        <v>45</v>
      </c>
      <c r="C1053" s="1" t="s">
        <v>46</v>
      </c>
      <c r="D1053" s="1" t="s">
        <v>1364</v>
      </c>
      <c r="E1053" s="1"/>
      <c r="F1053" s="1">
        <v>1</v>
      </c>
      <c r="G1053" s="1" t="s">
        <v>1170</v>
      </c>
      <c r="H1053" s="1" t="str">
        <f t="shared" si="96"/>
        <v xml:space="preserve">CEMPRESA='31' </v>
      </c>
      <c r="I1053" s="1" t="str">
        <f t="shared" si="97"/>
        <v xml:space="preserve">AND CBALCAO='0003' </v>
      </c>
      <c r="J1053" s="1" t="str">
        <f t="shared" si="98"/>
        <v xml:space="preserve">AND CNUMECTA='00117215007' </v>
      </c>
      <c r="K1053" s="1" t="str">
        <f t="shared" si="99"/>
        <v/>
      </c>
      <c r="L1053" s="1" t="str">
        <f t="shared" si="100"/>
        <v>WHEN CEMPRESA='31' AND CBALCAO='0003' AND CNUMECTA='00117215007' THEN 1</v>
      </c>
      <c r="M1053" s="1" t="str">
        <f t="shared" si="101"/>
        <v>WHEN CEMPRESA='31' AND CBALCAO='0003' AND CNUMECTA='00117215007' THEN 'KPI Linked - Green'</v>
      </c>
    </row>
    <row r="1054" spans="2:13" x14ac:dyDescent="0.25">
      <c r="B1054" s="1" t="s">
        <v>45</v>
      </c>
      <c r="C1054" s="1" t="s">
        <v>46</v>
      </c>
      <c r="D1054" s="1" t="s">
        <v>1365</v>
      </c>
      <c r="E1054" s="1"/>
      <c r="F1054" s="1">
        <v>1</v>
      </c>
      <c r="G1054" s="1" t="s">
        <v>49</v>
      </c>
      <c r="H1054" s="1" t="str">
        <f t="shared" si="96"/>
        <v xml:space="preserve">CEMPRESA='31' </v>
      </c>
      <c r="I1054" s="1" t="str">
        <f t="shared" si="97"/>
        <v xml:space="preserve">AND CBALCAO='0003' </v>
      </c>
      <c r="J1054" s="1" t="str">
        <f t="shared" si="98"/>
        <v xml:space="preserve">AND CNUMECTA='20177555096' </v>
      </c>
      <c r="K1054" s="1" t="str">
        <f t="shared" si="99"/>
        <v/>
      </c>
      <c r="L1054" s="1" t="str">
        <f t="shared" si="100"/>
        <v>WHEN CEMPRESA='31' AND CBALCAO='0003' AND CNUMECTA='20177555096' THEN 1</v>
      </c>
      <c r="M1054" s="1" t="str">
        <f t="shared" si="101"/>
        <v>WHEN CEMPRESA='31' AND CBALCAO='0003' AND CNUMECTA='20177555096' THEN 'A.2.3.'</v>
      </c>
    </row>
    <row r="1055" spans="2:13" x14ac:dyDescent="0.25">
      <c r="B1055" s="1" t="s">
        <v>45</v>
      </c>
      <c r="C1055" s="1" t="s">
        <v>46</v>
      </c>
      <c r="D1055" s="1" t="s">
        <v>1366</v>
      </c>
      <c r="E1055" s="1"/>
      <c r="F1055" s="1">
        <v>1</v>
      </c>
      <c r="G1055" s="1" t="s">
        <v>76</v>
      </c>
      <c r="H1055" s="1" t="str">
        <f t="shared" si="96"/>
        <v xml:space="preserve">CEMPRESA='31' </v>
      </c>
      <c r="I1055" s="1" t="str">
        <f t="shared" si="97"/>
        <v xml:space="preserve">AND CBALCAO='0003' </v>
      </c>
      <c r="J1055" s="1" t="str">
        <f t="shared" si="98"/>
        <v xml:space="preserve">AND CNUMECTA='18609253097' </v>
      </c>
      <c r="K1055" s="1" t="str">
        <f t="shared" si="99"/>
        <v/>
      </c>
      <c r="L1055" s="1" t="str">
        <f t="shared" si="100"/>
        <v>WHEN CEMPRESA='31' AND CBALCAO='0003' AND CNUMECTA='18609253097' THEN 1</v>
      </c>
      <c r="M1055" s="1" t="str">
        <f t="shared" si="101"/>
        <v>WHEN CEMPRESA='31' AND CBALCAO='0003' AND CNUMECTA='18609253097' THEN 'A.7.7.'</v>
      </c>
    </row>
    <row r="1056" spans="2:13" x14ac:dyDescent="0.25">
      <c r="B1056" s="1" t="s">
        <v>45</v>
      </c>
      <c r="C1056" s="1" t="s">
        <v>46</v>
      </c>
      <c r="D1056" s="1" t="s">
        <v>1367</v>
      </c>
      <c r="E1056" s="1"/>
      <c r="F1056" s="1">
        <v>1</v>
      </c>
      <c r="G1056" s="1" t="s">
        <v>1215</v>
      </c>
      <c r="H1056" s="1" t="str">
        <f t="shared" si="96"/>
        <v xml:space="preserve">CEMPRESA='31' </v>
      </c>
      <c r="I1056" s="1" t="str">
        <f t="shared" si="97"/>
        <v xml:space="preserve">AND CBALCAO='0003' </v>
      </c>
      <c r="J1056" s="1" t="str">
        <f t="shared" si="98"/>
        <v xml:space="preserve">AND CNUMECTA='15970402096' </v>
      </c>
      <c r="K1056" s="1" t="str">
        <f t="shared" si="99"/>
        <v/>
      </c>
      <c r="L1056" s="1" t="str">
        <f t="shared" si="100"/>
        <v>WHEN CEMPRESA='31' AND CBALCAO='0003' AND CNUMECTA='15970402096' THEN 1</v>
      </c>
      <c r="M1056" s="1" t="str">
        <f t="shared" si="101"/>
        <v>WHEN CEMPRESA='31' AND CBALCAO='0003' AND CNUMECTA='15970402096' THEN 'A.1.3.'</v>
      </c>
    </row>
    <row r="1057" spans="2:13" x14ac:dyDescent="0.25">
      <c r="B1057" s="1" t="s">
        <v>45</v>
      </c>
      <c r="C1057" s="1" t="s">
        <v>46</v>
      </c>
      <c r="D1057" s="1" t="s">
        <v>1368</v>
      </c>
      <c r="E1057" s="1"/>
      <c r="F1057" s="1">
        <v>1</v>
      </c>
      <c r="G1057" s="1" t="s">
        <v>76</v>
      </c>
      <c r="H1057" s="1" t="str">
        <f t="shared" si="96"/>
        <v xml:space="preserve">CEMPRESA='31' </v>
      </c>
      <c r="I1057" s="1" t="str">
        <f t="shared" si="97"/>
        <v xml:space="preserve">AND CBALCAO='0003' </v>
      </c>
      <c r="J1057" s="1" t="str">
        <f t="shared" si="98"/>
        <v xml:space="preserve">AND CNUMECTA='18585560097' </v>
      </c>
      <c r="K1057" s="1" t="str">
        <f t="shared" si="99"/>
        <v/>
      </c>
      <c r="L1057" s="1" t="str">
        <f t="shared" si="100"/>
        <v>WHEN CEMPRESA='31' AND CBALCAO='0003' AND CNUMECTA='18585560097' THEN 1</v>
      </c>
      <c r="M1057" s="1" t="str">
        <f t="shared" si="101"/>
        <v>WHEN CEMPRESA='31' AND CBALCAO='0003' AND CNUMECTA='18585560097' THEN 'A.7.7.'</v>
      </c>
    </row>
    <row r="1058" spans="2:13" x14ac:dyDescent="0.25">
      <c r="B1058" s="1" t="s">
        <v>45</v>
      </c>
      <c r="C1058" s="1" t="s">
        <v>46</v>
      </c>
      <c r="D1058" s="1" t="s">
        <v>1369</v>
      </c>
      <c r="E1058" s="1"/>
      <c r="F1058" s="1">
        <v>1</v>
      </c>
      <c r="G1058" s="1" t="s">
        <v>76</v>
      </c>
      <c r="H1058" s="1" t="str">
        <f t="shared" si="96"/>
        <v xml:space="preserve">CEMPRESA='31' </v>
      </c>
      <c r="I1058" s="1" t="str">
        <f t="shared" si="97"/>
        <v xml:space="preserve">AND CBALCAO='0003' </v>
      </c>
      <c r="J1058" s="1" t="str">
        <f t="shared" si="98"/>
        <v xml:space="preserve">AND CNUMECTA='18609238097' </v>
      </c>
      <c r="K1058" s="1" t="str">
        <f t="shared" si="99"/>
        <v/>
      </c>
      <c r="L1058" s="1" t="str">
        <f t="shared" si="100"/>
        <v>WHEN CEMPRESA='31' AND CBALCAO='0003' AND CNUMECTA='18609238097' THEN 1</v>
      </c>
      <c r="M1058" s="1" t="str">
        <f t="shared" si="101"/>
        <v>WHEN CEMPRESA='31' AND CBALCAO='0003' AND CNUMECTA='18609238097' THEN 'A.7.7.'</v>
      </c>
    </row>
    <row r="1059" spans="2:13" x14ac:dyDescent="0.25">
      <c r="B1059" s="1" t="s">
        <v>54</v>
      </c>
      <c r="C1059" s="1" t="s">
        <v>55</v>
      </c>
      <c r="D1059" s="1" t="s">
        <v>1370</v>
      </c>
      <c r="E1059" s="1"/>
      <c r="F1059" s="1">
        <v>1</v>
      </c>
      <c r="G1059" s="1" t="s">
        <v>1174</v>
      </c>
      <c r="H1059" s="1" t="str">
        <f t="shared" si="96"/>
        <v xml:space="preserve">CEMPRESA='89' </v>
      </c>
      <c r="I1059" s="1" t="str">
        <f t="shared" si="97"/>
        <v xml:space="preserve">AND CBALCAO='0000' </v>
      </c>
      <c r="J1059" s="1" t="str">
        <f t="shared" si="98"/>
        <v xml:space="preserve">AND CNUMECTA='00000249672' </v>
      </c>
      <c r="K1059" s="1" t="str">
        <f t="shared" si="99"/>
        <v/>
      </c>
      <c r="L1059" s="1" t="str">
        <f t="shared" si="100"/>
        <v>WHEN CEMPRESA='89' AND CBALCAO='0000' AND CNUMECTA='00000249672' THEN 1</v>
      </c>
      <c r="M1059" s="1" t="str">
        <f t="shared" si="101"/>
        <v>WHEN CEMPRESA='89' AND CBALCAO='0000' AND CNUMECTA='00000249672' THEN 'A.7.12.'</v>
      </c>
    </row>
    <row r="1060" spans="2:13" x14ac:dyDescent="0.25">
      <c r="B1060" s="1" t="s">
        <v>45</v>
      </c>
      <c r="C1060" s="1" t="s">
        <v>46</v>
      </c>
      <c r="D1060" s="1" t="s">
        <v>1371</v>
      </c>
      <c r="E1060" s="1"/>
      <c r="F1060" s="1">
        <v>1</v>
      </c>
      <c r="G1060" s="1" t="s">
        <v>76</v>
      </c>
      <c r="H1060" s="1" t="str">
        <f t="shared" si="96"/>
        <v xml:space="preserve">CEMPRESA='31' </v>
      </c>
      <c r="I1060" s="1" t="str">
        <f t="shared" si="97"/>
        <v xml:space="preserve">AND CBALCAO='0003' </v>
      </c>
      <c r="J1060" s="1" t="str">
        <f t="shared" si="98"/>
        <v xml:space="preserve">AND CNUMECTA='18573699097' </v>
      </c>
      <c r="K1060" s="1" t="str">
        <f t="shared" si="99"/>
        <v/>
      </c>
      <c r="L1060" s="1" t="str">
        <f t="shared" si="100"/>
        <v>WHEN CEMPRESA='31' AND CBALCAO='0003' AND CNUMECTA='18573699097' THEN 1</v>
      </c>
      <c r="M1060" s="1" t="str">
        <f t="shared" si="101"/>
        <v>WHEN CEMPRESA='31' AND CBALCAO='0003' AND CNUMECTA='18573699097' THEN 'A.7.7.'</v>
      </c>
    </row>
    <row r="1061" spans="2:13" x14ac:dyDescent="0.25">
      <c r="B1061" s="1" t="s">
        <v>45</v>
      </c>
      <c r="C1061" s="1" t="s">
        <v>46</v>
      </c>
      <c r="D1061" s="1" t="s">
        <v>1372</v>
      </c>
      <c r="E1061" s="1"/>
      <c r="F1061" s="1">
        <v>1</v>
      </c>
      <c r="G1061" s="1" t="s">
        <v>209</v>
      </c>
      <c r="H1061" s="1" t="str">
        <f t="shared" si="96"/>
        <v xml:space="preserve">CEMPRESA='31' </v>
      </c>
      <c r="I1061" s="1" t="str">
        <f t="shared" si="97"/>
        <v xml:space="preserve">AND CBALCAO='0003' </v>
      </c>
      <c r="J1061" s="1" t="str">
        <f t="shared" si="98"/>
        <v xml:space="preserve">AND CNUMECTA='19748267096' </v>
      </c>
      <c r="K1061" s="1" t="str">
        <f t="shared" si="99"/>
        <v/>
      </c>
      <c r="L1061" s="1" t="str">
        <f t="shared" si="100"/>
        <v>WHEN CEMPRESA='31' AND CBALCAO='0003' AND CNUMECTA='19748267096' THEN 1</v>
      </c>
      <c r="M1061" s="1" t="str">
        <f t="shared" si="101"/>
        <v>WHEN CEMPRESA='31' AND CBALCAO='0003' AND CNUMECTA='19748267096' THEN 'A.3.1.'</v>
      </c>
    </row>
    <row r="1062" spans="2:13" x14ac:dyDescent="0.25">
      <c r="B1062" s="1" t="s">
        <v>45</v>
      </c>
      <c r="C1062" s="1" t="s">
        <v>46</v>
      </c>
      <c r="D1062" s="1" t="s">
        <v>1373</v>
      </c>
      <c r="E1062" s="1"/>
      <c r="F1062" s="1">
        <v>1</v>
      </c>
      <c r="G1062" s="1" t="s">
        <v>53</v>
      </c>
      <c r="H1062" s="1" t="str">
        <f t="shared" si="96"/>
        <v xml:space="preserve">CEMPRESA='31' </v>
      </c>
      <c r="I1062" s="1" t="str">
        <f t="shared" si="97"/>
        <v xml:space="preserve">AND CBALCAO='0003' </v>
      </c>
      <c r="J1062" s="1" t="str">
        <f t="shared" si="98"/>
        <v xml:space="preserve">AND CNUMECTA='17988238096' </v>
      </c>
      <c r="K1062" s="1" t="str">
        <f t="shared" si="99"/>
        <v/>
      </c>
      <c r="L1062" s="1" t="str">
        <f t="shared" si="100"/>
        <v>WHEN CEMPRESA='31' AND CBALCAO='0003' AND CNUMECTA='17988238096' THEN 1</v>
      </c>
      <c r="M1062" s="1" t="str">
        <f t="shared" si="101"/>
        <v>WHEN CEMPRESA='31' AND CBALCAO='0003' AND CNUMECTA='17988238096' THEN 'A.1.1.'</v>
      </c>
    </row>
    <row r="1063" spans="2:13" x14ac:dyDescent="0.25">
      <c r="B1063" s="1" t="s">
        <v>45</v>
      </c>
      <c r="C1063" s="1" t="s">
        <v>46</v>
      </c>
      <c r="D1063" s="1" t="s">
        <v>1374</v>
      </c>
      <c r="E1063" s="1"/>
      <c r="F1063" s="1">
        <v>1</v>
      </c>
      <c r="G1063" s="1" t="s">
        <v>49</v>
      </c>
      <c r="H1063" s="1" t="str">
        <f t="shared" si="96"/>
        <v xml:space="preserve">CEMPRESA='31' </v>
      </c>
      <c r="I1063" s="1" t="str">
        <f t="shared" si="97"/>
        <v xml:space="preserve">AND CBALCAO='0003' </v>
      </c>
      <c r="J1063" s="1" t="str">
        <f t="shared" si="98"/>
        <v xml:space="preserve">AND CNUMECTA='18455971096' </v>
      </c>
      <c r="K1063" s="1" t="str">
        <f t="shared" si="99"/>
        <v/>
      </c>
      <c r="L1063" s="1" t="str">
        <f t="shared" si="100"/>
        <v>WHEN CEMPRESA='31' AND CBALCAO='0003' AND CNUMECTA='18455971096' THEN 1</v>
      </c>
      <c r="M1063" s="1" t="str">
        <f t="shared" si="101"/>
        <v>WHEN CEMPRESA='31' AND CBALCAO='0003' AND CNUMECTA='18455971096' THEN 'A.2.3.'</v>
      </c>
    </row>
    <row r="1064" spans="2:13" x14ac:dyDescent="0.25">
      <c r="B1064" s="1" t="s">
        <v>45</v>
      </c>
      <c r="C1064" s="1" t="s">
        <v>46</v>
      </c>
      <c r="D1064" s="1" t="s">
        <v>1375</v>
      </c>
      <c r="E1064" s="1"/>
      <c r="F1064" s="1">
        <v>1</v>
      </c>
      <c r="G1064" s="1" t="s">
        <v>53</v>
      </c>
      <c r="H1064" s="1" t="str">
        <f t="shared" si="96"/>
        <v xml:space="preserve">CEMPRESA='31' </v>
      </c>
      <c r="I1064" s="1" t="str">
        <f t="shared" si="97"/>
        <v xml:space="preserve">AND CBALCAO='0003' </v>
      </c>
      <c r="J1064" s="1" t="str">
        <f t="shared" si="98"/>
        <v xml:space="preserve">AND CNUMECTA='20140124096' </v>
      </c>
      <c r="K1064" s="1" t="str">
        <f t="shared" si="99"/>
        <v/>
      </c>
      <c r="L1064" s="1" t="str">
        <f t="shared" si="100"/>
        <v>WHEN CEMPRESA='31' AND CBALCAO='0003' AND CNUMECTA='20140124096' THEN 1</v>
      </c>
      <c r="M1064" s="1" t="str">
        <f t="shared" si="101"/>
        <v>WHEN CEMPRESA='31' AND CBALCAO='0003' AND CNUMECTA='20140124096' THEN 'A.1.1.'</v>
      </c>
    </row>
    <row r="1065" spans="2:13" x14ac:dyDescent="0.25">
      <c r="B1065" s="1" t="s">
        <v>45</v>
      </c>
      <c r="C1065" s="1" t="s">
        <v>46</v>
      </c>
      <c r="D1065" s="1" t="s">
        <v>1376</v>
      </c>
      <c r="E1065" s="1"/>
      <c r="F1065" s="1">
        <v>1</v>
      </c>
      <c r="G1065" s="1" t="s">
        <v>1195</v>
      </c>
      <c r="H1065" s="1" t="str">
        <f t="shared" si="96"/>
        <v xml:space="preserve">CEMPRESA='31' </v>
      </c>
      <c r="I1065" s="1" t="str">
        <f t="shared" si="97"/>
        <v xml:space="preserve">AND CBALCAO='0003' </v>
      </c>
      <c r="J1065" s="1" t="str">
        <f t="shared" si="98"/>
        <v xml:space="preserve">AND CNUMECTA='00155736007' </v>
      </c>
      <c r="K1065" s="1" t="str">
        <f t="shared" si="99"/>
        <v/>
      </c>
      <c r="L1065" s="1" t="str">
        <f t="shared" si="100"/>
        <v>WHEN CEMPRESA='31' AND CBALCAO='0003' AND CNUMECTA='00155736007' THEN 1</v>
      </c>
      <c r="M1065" s="1" t="str">
        <f t="shared" si="101"/>
        <v>WHEN CEMPRESA='31' AND CBALCAO='0003' AND CNUMECTA='00155736007' THEN 'A.2.2.'</v>
      </c>
    </row>
    <row r="1066" spans="2:13" x14ac:dyDescent="0.25">
      <c r="B1066" s="1" t="s">
        <v>45</v>
      </c>
      <c r="C1066" s="1" t="s">
        <v>46</v>
      </c>
      <c r="D1066" s="1" t="s">
        <v>1377</v>
      </c>
      <c r="E1066" s="1"/>
      <c r="F1066" s="1">
        <v>1</v>
      </c>
      <c r="G1066" s="1" t="s">
        <v>76</v>
      </c>
      <c r="H1066" s="1" t="str">
        <f t="shared" si="96"/>
        <v xml:space="preserve">CEMPRESA='31' </v>
      </c>
      <c r="I1066" s="1" t="str">
        <f t="shared" si="97"/>
        <v xml:space="preserve">AND CBALCAO='0003' </v>
      </c>
      <c r="J1066" s="1" t="str">
        <f t="shared" si="98"/>
        <v xml:space="preserve">AND CNUMECTA='18607273097' </v>
      </c>
      <c r="K1066" s="1" t="str">
        <f t="shared" si="99"/>
        <v/>
      </c>
      <c r="L1066" s="1" t="str">
        <f t="shared" si="100"/>
        <v>WHEN CEMPRESA='31' AND CBALCAO='0003' AND CNUMECTA='18607273097' THEN 1</v>
      </c>
      <c r="M1066" s="1" t="str">
        <f t="shared" si="101"/>
        <v>WHEN CEMPRESA='31' AND CBALCAO='0003' AND CNUMECTA='18607273097' THEN 'A.7.7.'</v>
      </c>
    </row>
    <row r="1067" spans="2:13" x14ac:dyDescent="0.25">
      <c r="B1067" s="1" t="s">
        <v>45</v>
      </c>
      <c r="C1067" s="1" t="s">
        <v>46</v>
      </c>
      <c r="D1067" s="1" t="s">
        <v>1378</v>
      </c>
      <c r="E1067" s="1"/>
      <c r="F1067" s="1">
        <v>1</v>
      </c>
      <c r="G1067" s="1" t="s">
        <v>76</v>
      </c>
      <c r="H1067" s="1" t="str">
        <f t="shared" si="96"/>
        <v xml:space="preserve">CEMPRESA='31' </v>
      </c>
      <c r="I1067" s="1" t="str">
        <f t="shared" si="97"/>
        <v xml:space="preserve">AND CBALCAO='0003' </v>
      </c>
      <c r="J1067" s="1" t="str">
        <f t="shared" si="98"/>
        <v xml:space="preserve">AND CNUMECTA='18581874097' </v>
      </c>
      <c r="K1067" s="1" t="str">
        <f t="shared" si="99"/>
        <v/>
      </c>
      <c r="L1067" s="1" t="str">
        <f t="shared" si="100"/>
        <v>WHEN CEMPRESA='31' AND CBALCAO='0003' AND CNUMECTA='18581874097' THEN 1</v>
      </c>
      <c r="M1067" s="1" t="str">
        <f t="shared" si="101"/>
        <v>WHEN CEMPRESA='31' AND CBALCAO='0003' AND CNUMECTA='18581874097' THEN 'A.7.7.'</v>
      </c>
    </row>
    <row r="1068" spans="2:13" x14ac:dyDescent="0.25">
      <c r="B1068" s="1" t="s">
        <v>45</v>
      </c>
      <c r="C1068" s="1" t="s">
        <v>46</v>
      </c>
      <c r="D1068" s="1" t="s">
        <v>1379</v>
      </c>
      <c r="E1068" s="1"/>
      <c r="F1068" s="1">
        <v>1</v>
      </c>
      <c r="G1068" s="1" t="s">
        <v>76</v>
      </c>
      <c r="H1068" s="1" t="str">
        <f t="shared" si="96"/>
        <v xml:space="preserve">CEMPRESA='31' </v>
      </c>
      <c r="I1068" s="1" t="str">
        <f t="shared" si="97"/>
        <v xml:space="preserve">AND CBALCAO='0003' </v>
      </c>
      <c r="J1068" s="1" t="str">
        <f t="shared" si="98"/>
        <v xml:space="preserve">AND CNUMECTA='18607984097' </v>
      </c>
      <c r="K1068" s="1" t="str">
        <f t="shared" si="99"/>
        <v/>
      </c>
      <c r="L1068" s="1" t="str">
        <f t="shared" si="100"/>
        <v>WHEN CEMPRESA='31' AND CBALCAO='0003' AND CNUMECTA='18607984097' THEN 1</v>
      </c>
      <c r="M1068" s="1" t="str">
        <f t="shared" si="101"/>
        <v>WHEN CEMPRESA='31' AND CBALCAO='0003' AND CNUMECTA='18607984097' THEN 'A.7.7.'</v>
      </c>
    </row>
    <row r="1069" spans="2:13" x14ac:dyDescent="0.25">
      <c r="B1069" s="1" t="s">
        <v>45</v>
      </c>
      <c r="C1069" s="1" t="s">
        <v>46</v>
      </c>
      <c r="D1069" s="1" t="s">
        <v>1380</v>
      </c>
      <c r="E1069" s="1"/>
      <c r="F1069" s="1">
        <v>1</v>
      </c>
      <c r="G1069" s="1" t="s">
        <v>1215</v>
      </c>
      <c r="H1069" s="1" t="str">
        <f t="shared" si="96"/>
        <v xml:space="preserve">CEMPRESA='31' </v>
      </c>
      <c r="I1069" s="1" t="str">
        <f t="shared" si="97"/>
        <v xml:space="preserve">AND CBALCAO='0003' </v>
      </c>
      <c r="J1069" s="1" t="str">
        <f t="shared" si="98"/>
        <v xml:space="preserve">AND CNUMECTA='15970311096' </v>
      </c>
      <c r="K1069" s="1" t="str">
        <f t="shared" si="99"/>
        <v/>
      </c>
      <c r="L1069" s="1" t="str">
        <f t="shared" si="100"/>
        <v>WHEN CEMPRESA='31' AND CBALCAO='0003' AND CNUMECTA='15970311096' THEN 1</v>
      </c>
      <c r="M1069" s="1" t="str">
        <f t="shared" si="101"/>
        <v>WHEN CEMPRESA='31' AND CBALCAO='0003' AND CNUMECTA='15970311096' THEN 'A.1.3.'</v>
      </c>
    </row>
    <row r="1070" spans="2:13" x14ac:dyDescent="0.25">
      <c r="B1070" s="1" t="s">
        <v>45</v>
      </c>
      <c r="C1070" s="1" t="s">
        <v>46</v>
      </c>
      <c r="D1070" s="1" t="s">
        <v>1381</v>
      </c>
      <c r="E1070" s="1"/>
      <c r="F1070" s="1">
        <v>1</v>
      </c>
      <c r="G1070" s="1" t="s">
        <v>76</v>
      </c>
      <c r="H1070" s="1" t="str">
        <f t="shared" si="96"/>
        <v xml:space="preserve">CEMPRESA='31' </v>
      </c>
      <c r="I1070" s="1" t="str">
        <f t="shared" si="97"/>
        <v xml:space="preserve">AND CBALCAO='0003' </v>
      </c>
      <c r="J1070" s="1" t="str">
        <f t="shared" si="98"/>
        <v xml:space="preserve">AND CNUMECTA='18598373097' </v>
      </c>
      <c r="K1070" s="1" t="str">
        <f t="shared" si="99"/>
        <v/>
      </c>
      <c r="L1070" s="1" t="str">
        <f t="shared" si="100"/>
        <v>WHEN CEMPRESA='31' AND CBALCAO='0003' AND CNUMECTA='18598373097' THEN 1</v>
      </c>
      <c r="M1070" s="1" t="str">
        <f t="shared" si="101"/>
        <v>WHEN CEMPRESA='31' AND CBALCAO='0003' AND CNUMECTA='18598373097' THEN 'A.7.7.'</v>
      </c>
    </row>
    <row r="1071" spans="2:13" x14ac:dyDescent="0.25">
      <c r="B1071" s="1" t="s">
        <v>45</v>
      </c>
      <c r="C1071" s="1" t="s">
        <v>46</v>
      </c>
      <c r="D1071" s="1" t="s">
        <v>1382</v>
      </c>
      <c r="E1071" s="1"/>
      <c r="F1071" s="1">
        <v>1</v>
      </c>
      <c r="G1071" s="1" t="s">
        <v>209</v>
      </c>
      <c r="H1071" s="1" t="str">
        <f t="shared" si="96"/>
        <v xml:space="preserve">CEMPRESA='31' </v>
      </c>
      <c r="I1071" s="1" t="str">
        <f t="shared" si="97"/>
        <v xml:space="preserve">AND CBALCAO='0003' </v>
      </c>
      <c r="J1071" s="1" t="str">
        <f t="shared" si="98"/>
        <v xml:space="preserve">AND CNUMECTA='18710680096' </v>
      </c>
      <c r="K1071" s="1" t="str">
        <f t="shared" si="99"/>
        <v/>
      </c>
      <c r="L1071" s="1" t="str">
        <f t="shared" si="100"/>
        <v>WHEN CEMPRESA='31' AND CBALCAO='0003' AND CNUMECTA='18710680096' THEN 1</v>
      </c>
      <c r="M1071" s="1" t="str">
        <f t="shared" si="101"/>
        <v>WHEN CEMPRESA='31' AND CBALCAO='0003' AND CNUMECTA='18710680096' THEN 'A.3.1.'</v>
      </c>
    </row>
    <row r="1072" spans="2:13" x14ac:dyDescent="0.25">
      <c r="B1072" s="1" t="s">
        <v>45</v>
      </c>
      <c r="C1072" s="1" t="s">
        <v>114</v>
      </c>
      <c r="D1072" s="1" t="s">
        <v>1383</v>
      </c>
      <c r="E1072" s="1"/>
      <c r="F1072" s="1">
        <v>1</v>
      </c>
      <c r="G1072" s="1" t="s">
        <v>1170</v>
      </c>
      <c r="H1072" s="1" t="str">
        <f t="shared" si="96"/>
        <v xml:space="preserve">CEMPRESA='31' </v>
      </c>
      <c r="I1072" s="1" t="str">
        <f t="shared" si="97"/>
        <v xml:space="preserve">AND CBALCAO='6416' </v>
      </c>
      <c r="J1072" s="1" t="str">
        <f t="shared" si="98"/>
        <v xml:space="preserve">AND CNUMECTA='00000000518' </v>
      </c>
      <c r="K1072" s="1" t="str">
        <f t="shared" si="99"/>
        <v/>
      </c>
      <c r="L1072" s="1" t="str">
        <f t="shared" si="100"/>
        <v>WHEN CEMPRESA='31' AND CBALCAO='6416' AND CNUMECTA='00000000518' THEN 1</v>
      </c>
      <c r="M1072" s="1" t="str">
        <f t="shared" si="101"/>
        <v>WHEN CEMPRESA='31' AND CBALCAO='6416' AND CNUMECTA='00000000518' THEN 'KPI Linked - Green'</v>
      </c>
    </row>
    <row r="1073" spans="2:13" x14ac:dyDescent="0.25">
      <c r="B1073" s="1" t="s">
        <v>45</v>
      </c>
      <c r="C1073" s="1" t="s">
        <v>46</v>
      </c>
      <c r="D1073" s="1" t="s">
        <v>1384</v>
      </c>
      <c r="E1073" s="1"/>
      <c r="F1073" s="1">
        <v>1</v>
      </c>
      <c r="G1073" s="1" t="s">
        <v>76</v>
      </c>
      <c r="H1073" s="1" t="str">
        <f t="shared" si="96"/>
        <v xml:space="preserve">CEMPRESA='31' </v>
      </c>
      <c r="I1073" s="1" t="str">
        <f t="shared" si="97"/>
        <v xml:space="preserve">AND CBALCAO='0003' </v>
      </c>
      <c r="J1073" s="1" t="str">
        <f t="shared" si="98"/>
        <v xml:space="preserve">AND CNUMECTA='18610350097' </v>
      </c>
      <c r="K1073" s="1" t="str">
        <f t="shared" si="99"/>
        <v/>
      </c>
      <c r="L1073" s="1" t="str">
        <f t="shared" si="100"/>
        <v>WHEN CEMPRESA='31' AND CBALCAO='0003' AND CNUMECTA='18610350097' THEN 1</v>
      </c>
      <c r="M1073" s="1" t="str">
        <f t="shared" si="101"/>
        <v>WHEN CEMPRESA='31' AND CBALCAO='0003' AND CNUMECTA='18610350097' THEN 'A.7.7.'</v>
      </c>
    </row>
    <row r="1074" spans="2:13" x14ac:dyDescent="0.25">
      <c r="B1074" s="1" t="s">
        <v>45</v>
      </c>
      <c r="C1074" s="1" t="s">
        <v>46</v>
      </c>
      <c r="D1074" s="1" t="s">
        <v>1385</v>
      </c>
      <c r="E1074" s="1"/>
      <c r="F1074" s="1">
        <v>1</v>
      </c>
      <c r="G1074" s="1" t="s">
        <v>209</v>
      </c>
      <c r="H1074" s="1" t="str">
        <f t="shared" si="96"/>
        <v xml:space="preserve">CEMPRESA='31' </v>
      </c>
      <c r="I1074" s="1" t="str">
        <f t="shared" si="97"/>
        <v xml:space="preserve">AND CBALCAO='0003' </v>
      </c>
      <c r="J1074" s="1" t="str">
        <f t="shared" si="98"/>
        <v xml:space="preserve">AND CNUMECTA='13098164096' </v>
      </c>
      <c r="K1074" s="1" t="str">
        <f t="shared" si="99"/>
        <v/>
      </c>
      <c r="L1074" s="1" t="str">
        <f t="shared" si="100"/>
        <v>WHEN CEMPRESA='31' AND CBALCAO='0003' AND CNUMECTA='13098164096' THEN 1</v>
      </c>
      <c r="M1074" s="1" t="str">
        <f t="shared" si="101"/>
        <v>WHEN CEMPRESA='31' AND CBALCAO='0003' AND CNUMECTA='13098164096' THEN 'A.3.1.'</v>
      </c>
    </row>
    <row r="1075" spans="2:13" x14ac:dyDescent="0.25">
      <c r="B1075" s="1" t="s">
        <v>54</v>
      </c>
      <c r="C1075" s="1" t="s">
        <v>55</v>
      </c>
      <c r="D1075" s="1" t="s">
        <v>1386</v>
      </c>
      <c r="E1075" s="1"/>
      <c r="F1075" s="1">
        <v>1</v>
      </c>
      <c r="G1075" s="1" t="s">
        <v>1247</v>
      </c>
      <c r="H1075" s="1" t="str">
        <f t="shared" si="96"/>
        <v xml:space="preserve">CEMPRESA='89' </v>
      </c>
      <c r="I1075" s="1" t="str">
        <f t="shared" si="97"/>
        <v xml:space="preserve">AND CBALCAO='0000' </v>
      </c>
      <c r="J1075" s="1" t="str">
        <f t="shared" si="98"/>
        <v xml:space="preserve">AND CNUMECTA='20220000078' </v>
      </c>
      <c r="K1075" s="1" t="str">
        <f t="shared" si="99"/>
        <v/>
      </c>
      <c r="L1075" s="1" t="str">
        <f t="shared" si="100"/>
        <v>WHEN CEMPRESA='89' AND CBALCAO='0000' AND CNUMECTA='20220000078' THEN 1</v>
      </c>
      <c r="M1075" s="1" t="str">
        <f t="shared" si="101"/>
        <v>WHEN CEMPRESA='89' AND CBALCAO='0000' AND CNUMECTA='20220000078' THEN 'A.6.19.'</v>
      </c>
    </row>
    <row r="1076" spans="2:13" x14ac:dyDescent="0.25">
      <c r="B1076" s="1" t="s">
        <v>45</v>
      </c>
      <c r="C1076" s="1" t="s">
        <v>46</v>
      </c>
      <c r="D1076" s="1" t="s">
        <v>1387</v>
      </c>
      <c r="E1076" s="1"/>
      <c r="F1076" s="1">
        <v>1</v>
      </c>
      <c r="G1076" s="1" t="s">
        <v>76</v>
      </c>
      <c r="H1076" s="1" t="str">
        <f t="shared" si="96"/>
        <v xml:space="preserve">CEMPRESA='31' </v>
      </c>
      <c r="I1076" s="1" t="str">
        <f t="shared" si="97"/>
        <v xml:space="preserve">AND CBALCAO='0003' </v>
      </c>
      <c r="J1076" s="1" t="str">
        <f t="shared" si="98"/>
        <v xml:space="preserve">AND CNUMECTA='18603645097' </v>
      </c>
      <c r="K1076" s="1" t="str">
        <f t="shared" si="99"/>
        <v/>
      </c>
      <c r="L1076" s="1" t="str">
        <f t="shared" si="100"/>
        <v>WHEN CEMPRESA='31' AND CBALCAO='0003' AND CNUMECTA='18603645097' THEN 1</v>
      </c>
      <c r="M1076" s="1" t="str">
        <f t="shared" si="101"/>
        <v>WHEN CEMPRESA='31' AND CBALCAO='0003' AND CNUMECTA='18603645097' THEN 'A.7.7.'</v>
      </c>
    </row>
    <row r="1077" spans="2:13" x14ac:dyDescent="0.25">
      <c r="B1077" s="1" t="s">
        <v>45</v>
      </c>
      <c r="C1077" s="1" t="s">
        <v>46</v>
      </c>
      <c r="D1077" s="1" t="s">
        <v>1388</v>
      </c>
      <c r="E1077" s="1"/>
      <c r="F1077" s="1">
        <v>1</v>
      </c>
      <c r="G1077" s="1" t="s">
        <v>49</v>
      </c>
      <c r="H1077" s="1" t="str">
        <f t="shared" si="96"/>
        <v xml:space="preserve">CEMPRESA='31' </v>
      </c>
      <c r="I1077" s="1" t="str">
        <f t="shared" si="97"/>
        <v xml:space="preserve">AND CBALCAO='0003' </v>
      </c>
      <c r="J1077" s="1" t="str">
        <f t="shared" si="98"/>
        <v xml:space="preserve">AND CNUMECTA='18614568097' </v>
      </c>
      <c r="K1077" s="1" t="str">
        <f t="shared" si="99"/>
        <v/>
      </c>
      <c r="L1077" s="1" t="str">
        <f t="shared" si="100"/>
        <v>WHEN CEMPRESA='31' AND CBALCAO='0003' AND CNUMECTA='18614568097' THEN 1</v>
      </c>
      <c r="M1077" s="1" t="str">
        <f t="shared" si="101"/>
        <v>WHEN CEMPRESA='31' AND CBALCAO='0003' AND CNUMECTA='18614568097' THEN 'A.2.3.'</v>
      </c>
    </row>
    <row r="1078" spans="2:13" x14ac:dyDescent="0.25">
      <c r="B1078" s="1" t="s">
        <v>45</v>
      </c>
      <c r="C1078" s="1" t="s">
        <v>114</v>
      </c>
      <c r="D1078" s="1" t="s">
        <v>1389</v>
      </c>
      <c r="E1078" s="1"/>
      <c r="F1078" s="1">
        <v>1</v>
      </c>
      <c r="G1078" s="1" t="s">
        <v>1170</v>
      </c>
      <c r="H1078" s="1" t="str">
        <f t="shared" si="96"/>
        <v xml:space="preserve">CEMPRESA='31' </v>
      </c>
      <c r="I1078" s="1" t="str">
        <f t="shared" si="97"/>
        <v xml:space="preserve">AND CBALCAO='6416' </v>
      </c>
      <c r="J1078" s="1" t="str">
        <f t="shared" si="98"/>
        <v xml:space="preserve">AND CNUMECTA='00000000824' </v>
      </c>
      <c r="K1078" s="1" t="str">
        <f t="shared" si="99"/>
        <v/>
      </c>
      <c r="L1078" s="1" t="str">
        <f t="shared" si="100"/>
        <v>WHEN CEMPRESA='31' AND CBALCAO='6416' AND CNUMECTA='00000000824' THEN 1</v>
      </c>
      <c r="M1078" s="1" t="str">
        <f t="shared" si="101"/>
        <v>WHEN CEMPRESA='31' AND CBALCAO='6416' AND CNUMECTA='00000000824' THEN 'KPI Linked - Green'</v>
      </c>
    </row>
    <row r="1079" spans="2:13" x14ac:dyDescent="0.25">
      <c r="B1079" s="1" t="s">
        <v>45</v>
      </c>
      <c r="C1079" s="1" t="s">
        <v>46</v>
      </c>
      <c r="D1079" s="1" t="s">
        <v>1390</v>
      </c>
      <c r="E1079" s="1"/>
      <c r="F1079" s="1">
        <v>1</v>
      </c>
      <c r="G1079" s="1" t="s">
        <v>49</v>
      </c>
      <c r="H1079" s="1" t="str">
        <f t="shared" si="96"/>
        <v xml:space="preserve">CEMPRESA='31' </v>
      </c>
      <c r="I1079" s="1" t="str">
        <f t="shared" si="97"/>
        <v xml:space="preserve">AND CBALCAO='0003' </v>
      </c>
      <c r="J1079" s="1" t="str">
        <f t="shared" si="98"/>
        <v xml:space="preserve">AND CNUMECTA='20177605096' </v>
      </c>
      <c r="K1079" s="1" t="str">
        <f t="shared" si="99"/>
        <v/>
      </c>
      <c r="L1079" s="1" t="str">
        <f t="shared" si="100"/>
        <v>WHEN CEMPRESA='31' AND CBALCAO='0003' AND CNUMECTA='20177605096' THEN 1</v>
      </c>
      <c r="M1079" s="1" t="str">
        <f t="shared" si="101"/>
        <v>WHEN CEMPRESA='31' AND CBALCAO='0003' AND CNUMECTA='20177605096' THEN 'A.2.3.'</v>
      </c>
    </row>
    <row r="1080" spans="2:13" x14ac:dyDescent="0.25">
      <c r="B1080" s="1" t="s">
        <v>45</v>
      </c>
      <c r="C1080" s="1" t="s">
        <v>46</v>
      </c>
      <c r="D1080" s="1" t="s">
        <v>1391</v>
      </c>
      <c r="E1080" s="1"/>
      <c r="F1080" s="1">
        <v>1</v>
      </c>
      <c r="G1080" s="1" t="s">
        <v>76</v>
      </c>
      <c r="H1080" s="1" t="str">
        <f t="shared" si="96"/>
        <v xml:space="preserve">CEMPRESA='31' </v>
      </c>
      <c r="I1080" s="1" t="str">
        <f t="shared" si="97"/>
        <v xml:space="preserve">AND CBALCAO='0003' </v>
      </c>
      <c r="J1080" s="1" t="str">
        <f t="shared" si="98"/>
        <v xml:space="preserve">AND CNUMECTA='18582849097' </v>
      </c>
      <c r="K1080" s="1" t="str">
        <f t="shared" si="99"/>
        <v/>
      </c>
      <c r="L1080" s="1" t="str">
        <f t="shared" si="100"/>
        <v>WHEN CEMPRESA='31' AND CBALCAO='0003' AND CNUMECTA='18582849097' THEN 1</v>
      </c>
      <c r="M1080" s="1" t="str">
        <f t="shared" si="101"/>
        <v>WHEN CEMPRESA='31' AND CBALCAO='0003' AND CNUMECTA='18582849097' THEN 'A.7.7.'</v>
      </c>
    </row>
    <row r="1081" spans="2:13" x14ac:dyDescent="0.25">
      <c r="B1081" s="1" t="s">
        <v>45</v>
      </c>
      <c r="C1081" s="1" t="s">
        <v>114</v>
      </c>
      <c r="D1081" s="1" t="s">
        <v>1392</v>
      </c>
      <c r="E1081" s="1"/>
      <c r="F1081" s="1">
        <v>1</v>
      </c>
      <c r="G1081" s="1" t="s">
        <v>1170</v>
      </c>
      <c r="H1081" s="1" t="str">
        <f t="shared" si="96"/>
        <v xml:space="preserve">CEMPRESA='31' </v>
      </c>
      <c r="I1081" s="1" t="str">
        <f t="shared" si="97"/>
        <v xml:space="preserve">AND CBALCAO='6416' </v>
      </c>
      <c r="J1081" s="1" t="str">
        <f t="shared" si="98"/>
        <v xml:space="preserve">AND CNUMECTA='00000000914' </v>
      </c>
      <c r="K1081" s="1" t="str">
        <f t="shared" si="99"/>
        <v/>
      </c>
      <c r="L1081" s="1" t="str">
        <f t="shared" si="100"/>
        <v>WHEN CEMPRESA='31' AND CBALCAO='6416' AND CNUMECTA='00000000914' THEN 1</v>
      </c>
      <c r="M1081" s="1" t="str">
        <f t="shared" si="101"/>
        <v>WHEN CEMPRESA='31' AND CBALCAO='6416' AND CNUMECTA='00000000914' THEN 'KPI Linked - Green'</v>
      </c>
    </row>
    <row r="1082" spans="2:13" x14ac:dyDescent="0.25">
      <c r="B1082" s="1" t="s">
        <v>45</v>
      </c>
      <c r="C1082" s="1" t="s">
        <v>46</v>
      </c>
      <c r="D1082" s="1" t="s">
        <v>1393</v>
      </c>
      <c r="E1082" s="1"/>
      <c r="F1082" s="1">
        <v>1</v>
      </c>
      <c r="G1082" s="1" t="s">
        <v>76</v>
      </c>
      <c r="H1082" s="1" t="str">
        <f t="shared" si="96"/>
        <v xml:space="preserve">CEMPRESA='31' </v>
      </c>
      <c r="I1082" s="1" t="str">
        <f t="shared" si="97"/>
        <v xml:space="preserve">AND CBALCAO='0003' </v>
      </c>
      <c r="J1082" s="1" t="str">
        <f t="shared" si="98"/>
        <v xml:space="preserve">AND CNUMECTA='18610558097' </v>
      </c>
      <c r="K1082" s="1" t="str">
        <f t="shared" si="99"/>
        <v/>
      </c>
      <c r="L1082" s="1" t="str">
        <f t="shared" si="100"/>
        <v>WHEN CEMPRESA='31' AND CBALCAO='0003' AND CNUMECTA='18610558097' THEN 1</v>
      </c>
      <c r="M1082" s="1" t="str">
        <f t="shared" si="101"/>
        <v>WHEN CEMPRESA='31' AND CBALCAO='0003' AND CNUMECTA='18610558097' THEN 'A.7.7.'</v>
      </c>
    </row>
    <row r="1083" spans="2:13" x14ac:dyDescent="0.25">
      <c r="B1083" s="1" t="s">
        <v>45</v>
      </c>
      <c r="C1083" s="1" t="s">
        <v>46</v>
      </c>
      <c r="D1083" s="1" t="s">
        <v>1394</v>
      </c>
      <c r="E1083" s="1"/>
      <c r="F1083" s="1">
        <v>1</v>
      </c>
      <c r="G1083" s="1" t="s">
        <v>76</v>
      </c>
      <c r="H1083" s="1" t="str">
        <f t="shared" si="96"/>
        <v xml:space="preserve">CEMPRESA='31' </v>
      </c>
      <c r="I1083" s="1" t="str">
        <f t="shared" si="97"/>
        <v xml:space="preserve">AND CBALCAO='0003' </v>
      </c>
      <c r="J1083" s="1" t="str">
        <f t="shared" si="98"/>
        <v xml:space="preserve">AND CNUMECTA='18584662097' </v>
      </c>
      <c r="K1083" s="1" t="str">
        <f t="shared" si="99"/>
        <v/>
      </c>
      <c r="L1083" s="1" t="str">
        <f t="shared" si="100"/>
        <v>WHEN CEMPRESA='31' AND CBALCAO='0003' AND CNUMECTA='18584662097' THEN 1</v>
      </c>
      <c r="M1083" s="1" t="str">
        <f t="shared" si="101"/>
        <v>WHEN CEMPRESA='31' AND CBALCAO='0003' AND CNUMECTA='18584662097' THEN 'A.7.7.'</v>
      </c>
    </row>
    <row r="1084" spans="2:13" x14ac:dyDescent="0.25">
      <c r="B1084" s="1" t="s">
        <v>1395</v>
      </c>
      <c r="C1084" s="1" t="s">
        <v>114</v>
      </c>
      <c r="D1084" s="1" t="s">
        <v>1396</v>
      </c>
      <c r="E1084" s="1" t="s">
        <v>1397</v>
      </c>
      <c r="F1084" s="1">
        <v>1</v>
      </c>
      <c r="G1084" s="1" t="s">
        <v>53</v>
      </c>
      <c r="H1084" s="1" t="str">
        <f t="shared" si="96"/>
        <v xml:space="preserve">CEMPRESA='80' </v>
      </c>
      <c r="I1084" s="1" t="str">
        <f t="shared" si="97"/>
        <v xml:space="preserve">AND CBALCAO='6416' </v>
      </c>
      <c r="J1084" s="1" t="str">
        <f t="shared" si="98"/>
        <v/>
      </c>
      <c r="K1084" s="1" t="str">
        <f t="shared" si="99"/>
        <v xml:space="preserve">AND ZDEPOSIT='335785840000000' </v>
      </c>
      <c r="L1084" s="1" t="str">
        <f t="shared" si="100"/>
        <v>WHEN CEMPRESA='80' AND CBALCAO='6416' AND ZDEPOSIT='335785840000000' THEN 1</v>
      </c>
      <c r="M1084" s="1" t="str">
        <f t="shared" si="101"/>
        <v>WHEN CEMPRESA='80' AND CBALCAO='6416' AND ZDEPOSIT='335785840000000' THEN 'A.1.1.'</v>
      </c>
    </row>
    <row r="1085" spans="2:13" x14ac:dyDescent="0.25">
      <c r="B1085" s="1" t="s">
        <v>1395</v>
      </c>
      <c r="C1085" s="1" t="s">
        <v>114</v>
      </c>
      <c r="D1085" s="1" t="s">
        <v>1396</v>
      </c>
      <c r="E1085" s="1" t="s">
        <v>1398</v>
      </c>
      <c r="F1085" s="1">
        <v>1</v>
      </c>
      <c r="G1085" s="1" t="s">
        <v>190</v>
      </c>
      <c r="H1085" s="1" t="str">
        <f t="shared" si="96"/>
        <v xml:space="preserve">CEMPRESA='80' </v>
      </c>
      <c r="I1085" s="1" t="str">
        <f t="shared" si="97"/>
        <v xml:space="preserve">AND CBALCAO='6416' </v>
      </c>
      <c r="J1085" s="1" t="str">
        <f t="shared" si="98"/>
        <v/>
      </c>
      <c r="K1085" s="1" t="str">
        <f t="shared" si="99"/>
        <v xml:space="preserve">AND ZDEPOSIT='504121590000000' </v>
      </c>
      <c r="L1085" s="1" t="str">
        <f t="shared" si="100"/>
        <v>WHEN CEMPRESA='80' AND CBALCAO='6416' AND ZDEPOSIT='504121590000000' THEN 1</v>
      </c>
      <c r="M1085" s="1" t="str">
        <f t="shared" si="101"/>
        <v>WHEN CEMPRESA='80' AND CBALCAO='6416' AND ZDEPOSIT='504121590000000' THEN 'Pure Green counterparty - Default'</v>
      </c>
    </row>
    <row r="1086" spans="2:13" x14ac:dyDescent="0.25">
      <c r="B1086" s="1" t="s">
        <v>1395</v>
      </c>
      <c r="C1086" s="1" t="s">
        <v>114</v>
      </c>
      <c r="D1086" s="1" t="s">
        <v>1396</v>
      </c>
      <c r="E1086" s="1" t="s">
        <v>1399</v>
      </c>
      <c r="F1086" s="1">
        <v>1</v>
      </c>
      <c r="G1086" s="1" t="s">
        <v>190</v>
      </c>
      <c r="H1086" s="1" t="str">
        <f t="shared" si="96"/>
        <v xml:space="preserve">CEMPRESA='80' </v>
      </c>
      <c r="I1086" s="1" t="str">
        <f t="shared" si="97"/>
        <v xml:space="preserve">AND CBALCAO='6416' </v>
      </c>
      <c r="J1086" s="1" t="str">
        <f t="shared" si="98"/>
        <v/>
      </c>
      <c r="K1086" s="1" t="str">
        <f t="shared" si="99"/>
        <v xml:space="preserve">AND ZDEPOSIT='521431150000000' </v>
      </c>
      <c r="L1086" s="1" t="str">
        <f t="shared" si="100"/>
        <v>WHEN CEMPRESA='80' AND CBALCAO='6416' AND ZDEPOSIT='521431150000000' THEN 1</v>
      </c>
      <c r="M1086" s="1" t="str">
        <f t="shared" si="101"/>
        <v>WHEN CEMPRESA='80' AND CBALCAO='6416' AND ZDEPOSIT='521431150000000' THEN 'Pure Green counterparty - Default'</v>
      </c>
    </row>
    <row r="1087" spans="2:13" x14ac:dyDescent="0.25">
      <c r="B1087" s="1" t="s">
        <v>1395</v>
      </c>
      <c r="C1087" s="1" t="s">
        <v>114</v>
      </c>
      <c r="D1087" s="1" t="s">
        <v>1396</v>
      </c>
      <c r="E1087" s="1" t="s">
        <v>1400</v>
      </c>
      <c r="F1087" s="1">
        <v>1</v>
      </c>
      <c r="G1087" s="1" t="s">
        <v>53</v>
      </c>
      <c r="H1087" s="1" t="str">
        <f t="shared" si="96"/>
        <v xml:space="preserve">CEMPRESA='80' </v>
      </c>
      <c r="I1087" s="1" t="str">
        <f t="shared" si="97"/>
        <v xml:space="preserve">AND CBALCAO='6416' </v>
      </c>
      <c r="J1087" s="1" t="str">
        <f t="shared" si="98"/>
        <v/>
      </c>
      <c r="K1087" s="1" t="str">
        <f t="shared" si="99"/>
        <v xml:space="preserve">AND ZDEPOSIT='336426400000000' </v>
      </c>
      <c r="L1087" s="1" t="str">
        <f t="shared" si="100"/>
        <v>WHEN CEMPRESA='80' AND CBALCAO='6416' AND ZDEPOSIT='336426400000000' THEN 1</v>
      </c>
      <c r="M1087" s="1" t="str">
        <f t="shared" si="101"/>
        <v>WHEN CEMPRESA='80' AND CBALCAO='6416' AND ZDEPOSIT='336426400000000' THEN 'A.1.1.'</v>
      </c>
    </row>
    <row r="1088" spans="2:13" x14ac:dyDescent="0.25">
      <c r="B1088" s="1" t="s">
        <v>45</v>
      </c>
      <c r="C1088" s="1" t="s">
        <v>46</v>
      </c>
      <c r="D1088" s="1" t="s">
        <v>1401</v>
      </c>
      <c r="E1088" s="1" t="s">
        <v>48</v>
      </c>
      <c r="F1088" s="1">
        <v>1</v>
      </c>
      <c r="G1088" s="1" t="s">
        <v>209</v>
      </c>
      <c r="H1088" s="1" t="str">
        <f t="shared" si="96"/>
        <v xml:space="preserve">CEMPRESA='31' </v>
      </c>
      <c r="I1088" s="1" t="str">
        <f t="shared" si="97"/>
        <v xml:space="preserve">AND CBALCAO='0003' </v>
      </c>
      <c r="J1088" s="1" t="str">
        <f t="shared" si="98"/>
        <v xml:space="preserve">AND CNUMECTA='54960380020' </v>
      </c>
      <c r="K1088" s="1" t="str">
        <f t="shared" si="99"/>
        <v xml:space="preserve">AND ZDEPOSIT='000000000000000' </v>
      </c>
      <c r="L1088" s="1" t="str">
        <f t="shared" si="100"/>
        <v>WHEN CEMPRESA='31' AND CBALCAO='0003' AND CNUMECTA='54960380020' AND ZDEPOSIT='000000000000000' THEN 1</v>
      </c>
      <c r="M1088" s="1" t="str">
        <f t="shared" si="101"/>
        <v>WHEN CEMPRESA='31' AND CBALCAO='0003' AND CNUMECTA='54960380020' AND ZDEPOSIT='000000000000000' THEN 'A.3.1.'</v>
      </c>
    </row>
    <row r="1089" spans="2:13" x14ac:dyDescent="0.25">
      <c r="B1089" s="1" t="s">
        <v>45</v>
      </c>
      <c r="C1089" s="1" t="s">
        <v>55</v>
      </c>
      <c r="D1089" s="1" t="s">
        <v>1402</v>
      </c>
      <c r="E1089" s="1" t="s">
        <v>48</v>
      </c>
      <c r="F1089" s="1">
        <v>1</v>
      </c>
      <c r="G1089" s="1" t="s">
        <v>946</v>
      </c>
      <c r="H1089" s="1" t="str">
        <f t="shared" si="96"/>
        <v xml:space="preserve">CEMPRESA='31' </v>
      </c>
      <c r="I1089" s="1" t="str">
        <f t="shared" si="97"/>
        <v xml:space="preserve">AND CBALCAO='0000' </v>
      </c>
      <c r="J1089" s="1" t="str">
        <f t="shared" si="98"/>
        <v xml:space="preserve">AND CNUMECTA='21661935001' </v>
      </c>
      <c r="K1089" s="1" t="str">
        <f t="shared" si="99"/>
        <v xml:space="preserve">AND ZDEPOSIT='000000000000000' </v>
      </c>
      <c r="L1089" s="1" t="str">
        <f t="shared" si="100"/>
        <v>WHEN CEMPRESA='31' AND CBALCAO='0000' AND CNUMECTA='21661935001' AND ZDEPOSIT='000000000000000' THEN 1</v>
      </c>
      <c r="M1089" s="1" t="str">
        <f t="shared" si="101"/>
        <v>WHEN CEMPRESA='31' AND CBALCAO='0000' AND CNUMECTA='21661935001' AND ZDEPOSIT='000000000000000' THEN 'A.3.2.'</v>
      </c>
    </row>
    <row r="1090" spans="2:13" x14ac:dyDescent="0.25">
      <c r="B1090" s="1" t="s">
        <v>45</v>
      </c>
      <c r="C1090" s="1" t="s">
        <v>1403</v>
      </c>
      <c r="D1090" s="1" t="s">
        <v>1396</v>
      </c>
      <c r="E1090" s="1" t="s">
        <v>1404</v>
      </c>
      <c r="F1090" s="1">
        <v>1</v>
      </c>
      <c r="G1090" s="1" t="s">
        <v>1405</v>
      </c>
      <c r="H1090" s="1" t="str">
        <f t="shared" si="96"/>
        <v xml:space="preserve">CEMPRESA='31' </v>
      </c>
      <c r="I1090" s="1" t="str">
        <f t="shared" si="97"/>
        <v/>
      </c>
      <c r="J1090" s="1" t="str">
        <f t="shared" si="98"/>
        <v/>
      </c>
      <c r="K1090" s="1" t="str">
        <f t="shared" si="99"/>
        <v xml:space="preserve">AND ZDEPOSIT='962304880441640' </v>
      </c>
      <c r="L1090" s="1" t="str">
        <f t="shared" si="100"/>
        <v>WHEN CEMPRESA='31' AND ZDEPOSIT='962304880441640' THEN 1</v>
      </c>
      <c r="M1090" s="1" t="str">
        <f t="shared" si="101"/>
        <v>WHEN CEMPRESA='31' AND ZDEPOSIT='962304880441640' THEN 'A.2.1.'</v>
      </c>
    </row>
    <row r="1091" spans="2:13" x14ac:dyDescent="0.25">
      <c r="B1091" s="1" t="s">
        <v>45</v>
      </c>
      <c r="C1091" s="1" t="s">
        <v>1403</v>
      </c>
      <c r="D1091" s="1" t="s">
        <v>1396</v>
      </c>
      <c r="E1091" s="1" t="s">
        <v>1406</v>
      </c>
      <c r="F1091" s="1">
        <v>1</v>
      </c>
      <c r="G1091" s="1" t="s">
        <v>1405</v>
      </c>
      <c r="H1091" s="1" t="str">
        <f t="shared" si="96"/>
        <v xml:space="preserve">CEMPRESA='31' </v>
      </c>
      <c r="I1091" s="1" t="str">
        <f t="shared" si="97"/>
        <v/>
      </c>
      <c r="J1091" s="1" t="str">
        <f t="shared" si="98"/>
        <v/>
      </c>
      <c r="K1091" s="1" t="str">
        <f t="shared" si="99"/>
        <v xml:space="preserve">AND ZDEPOSIT='962304880423280' </v>
      </c>
      <c r="L1091" s="1" t="str">
        <f t="shared" si="100"/>
        <v>WHEN CEMPRESA='31' AND ZDEPOSIT='962304880423280' THEN 1</v>
      </c>
      <c r="M1091" s="1" t="str">
        <f t="shared" si="101"/>
        <v>WHEN CEMPRESA='31' AND ZDEPOSIT='962304880423280' THEN 'A.2.1.'</v>
      </c>
    </row>
    <row r="1092" spans="2:13" x14ac:dyDescent="0.25">
      <c r="B1092" s="1" t="s">
        <v>45</v>
      </c>
      <c r="C1092" s="1" t="s">
        <v>1403</v>
      </c>
      <c r="D1092" s="1" t="s">
        <v>1396</v>
      </c>
      <c r="E1092" s="1" t="s">
        <v>1407</v>
      </c>
      <c r="F1092" s="1">
        <v>1</v>
      </c>
      <c r="G1092" s="1" t="s">
        <v>1408</v>
      </c>
      <c r="H1092" s="1" t="str">
        <f t="shared" ref="H1092:H1155" si="102">+IF(LEN(TRIM(B1092))&gt;0,UPPER($B$2)&amp;"='"&amp;TRIM(B1092)&amp;"' ","")</f>
        <v xml:space="preserve">CEMPRESA='31' </v>
      </c>
      <c r="I1092" s="1" t="str">
        <f t="shared" ref="I1092:I1155" si="103">+IF(LEN(TRIM(C1092))&gt;0,UPPER($C$2)&amp;"='"&amp;TRIM(C1092)&amp;"' ","")</f>
        <v/>
      </c>
      <c r="J1092" s="1" t="str">
        <f t="shared" ref="J1092:J1155" si="104">+IF(LEN(TRIM(D1092))&gt;0,UPPER($D$2)&amp;"='"&amp;TRIM(D1092)&amp;"' ","")</f>
        <v/>
      </c>
      <c r="K1092" s="1" t="str">
        <f t="shared" ref="K1092:K1155" si="105">+IF(LEN(TRIM(E1092))&gt;0,UPPER($E$2)&amp;"='"&amp;TRIM(E1092)&amp;"' ","")</f>
        <v xml:space="preserve">AND ZDEPOSIT='962304880378030' </v>
      </c>
      <c r="L1092" s="1" t="str">
        <f t="shared" ref="L1092:L1155" si="106">+"WHEN "&amp;H1092&amp;I1092&amp;J1092&amp;K1092&amp;"THEN "&amp;F1092</f>
        <v>WHEN CEMPRESA='31' AND ZDEPOSIT='962304880378030' THEN 1</v>
      </c>
      <c r="M1092" s="1" t="str">
        <f t="shared" ref="M1092:M1155" si="107">+"WHEN "&amp;H1092&amp;I1092&amp;J1092&amp;K1092&amp;"THEN "&amp;G1092</f>
        <v>WHEN CEMPRESA='31' AND ZDEPOSIT='962304880378030' THEN 'A.2.14.'</v>
      </c>
    </row>
    <row r="1093" spans="2:13" x14ac:dyDescent="0.25">
      <c r="B1093" s="1" t="s">
        <v>45</v>
      </c>
      <c r="C1093" s="1" t="s">
        <v>1403</v>
      </c>
      <c r="D1093" s="1" t="s">
        <v>1396</v>
      </c>
      <c r="E1093" s="1" t="s">
        <v>1409</v>
      </c>
      <c r="F1093" s="1">
        <v>1</v>
      </c>
      <c r="G1093" s="1" t="s">
        <v>53</v>
      </c>
      <c r="H1093" s="1" t="str">
        <f t="shared" si="102"/>
        <v xml:space="preserve">CEMPRESA='31' </v>
      </c>
      <c r="I1093" s="1" t="str">
        <f t="shared" si="103"/>
        <v/>
      </c>
      <c r="J1093" s="1" t="str">
        <f t="shared" si="104"/>
        <v/>
      </c>
      <c r="K1093" s="1" t="str">
        <f t="shared" si="105"/>
        <v xml:space="preserve">AND ZDEPOSIT='962304820426880' </v>
      </c>
      <c r="L1093" s="1" t="str">
        <f t="shared" si="106"/>
        <v>WHEN CEMPRESA='31' AND ZDEPOSIT='962304820426880' THEN 1</v>
      </c>
      <c r="M1093" s="1" t="str">
        <f t="shared" si="107"/>
        <v>WHEN CEMPRESA='31' AND ZDEPOSIT='962304820426880' THEN 'A.1.1.'</v>
      </c>
    </row>
    <row r="1094" spans="2:13" x14ac:dyDescent="0.25">
      <c r="B1094" s="1" t="s">
        <v>45</v>
      </c>
      <c r="C1094" s="1" t="s">
        <v>1403</v>
      </c>
      <c r="D1094" s="1" t="s">
        <v>1396</v>
      </c>
      <c r="E1094" s="1" t="s">
        <v>1410</v>
      </c>
      <c r="F1094" s="1">
        <v>1</v>
      </c>
      <c r="G1094" s="1" t="s">
        <v>209</v>
      </c>
      <c r="H1094" s="1" t="str">
        <f t="shared" si="102"/>
        <v xml:space="preserve">CEMPRESA='31' </v>
      </c>
      <c r="I1094" s="1" t="str">
        <f t="shared" si="103"/>
        <v/>
      </c>
      <c r="J1094" s="1" t="str">
        <f t="shared" si="104"/>
        <v/>
      </c>
      <c r="K1094" s="1" t="str">
        <f t="shared" si="105"/>
        <v xml:space="preserve">AND ZDEPOSIT='962304880453120' </v>
      </c>
      <c r="L1094" s="1" t="str">
        <f t="shared" si="106"/>
        <v>WHEN CEMPRESA='31' AND ZDEPOSIT='962304880453120' THEN 1</v>
      </c>
      <c r="M1094" s="1" t="str">
        <f t="shared" si="107"/>
        <v>WHEN CEMPRESA='31' AND ZDEPOSIT='962304880453120' THEN 'A.3.1.'</v>
      </c>
    </row>
    <row r="1095" spans="2:13" x14ac:dyDescent="0.25">
      <c r="B1095" s="1" t="s">
        <v>45</v>
      </c>
      <c r="C1095" s="1" t="s">
        <v>1403</v>
      </c>
      <c r="D1095" s="1" t="s">
        <v>1396</v>
      </c>
      <c r="E1095" s="1" t="s">
        <v>1411</v>
      </c>
      <c r="F1095" s="1">
        <v>1</v>
      </c>
      <c r="G1095" s="1" t="s">
        <v>1405</v>
      </c>
      <c r="H1095" s="1" t="str">
        <f t="shared" si="102"/>
        <v xml:space="preserve">CEMPRESA='31' </v>
      </c>
      <c r="I1095" s="1" t="str">
        <f t="shared" si="103"/>
        <v/>
      </c>
      <c r="J1095" s="1" t="str">
        <f t="shared" si="104"/>
        <v/>
      </c>
      <c r="K1095" s="1" t="str">
        <f t="shared" si="105"/>
        <v xml:space="preserve">AND ZDEPOSIT='962304880423300' </v>
      </c>
      <c r="L1095" s="1" t="str">
        <f t="shared" si="106"/>
        <v>WHEN CEMPRESA='31' AND ZDEPOSIT='962304880423300' THEN 1</v>
      </c>
      <c r="M1095" s="1" t="str">
        <f t="shared" si="107"/>
        <v>WHEN CEMPRESA='31' AND ZDEPOSIT='962304880423300' THEN 'A.2.1.'</v>
      </c>
    </row>
    <row r="1096" spans="2:13" x14ac:dyDescent="0.25">
      <c r="B1096" s="1" t="s">
        <v>45</v>
      </c>
      <c r="C1096" s="1" t="s">
        <v>1403</v>
      </c>
      <c r="D1096" s="1" t="s">
        <v>1396</v>
      </c>
      <c r="E1096" s="1" t="s">
        <v>1412</v>
      </c>
      <c r="F1096" s="1">
        <v>1</v>
      </c>
      <c r="G1096" s="1" t="s">
        <v>209</v>
      </c>
      <c r="H1096" s="1" t="str">
        <f t="shared" si="102"/>
        <v xml:space="preserve">CEMPRESA='31' </v>
      </c>
      <c r="I1096" s="1" t="str">
        <f t="shared" si="103"/>
        <v/>
      </c>
      <c r="J1096" s="1" t="str">
        <f t="shared" si="104"/>
        <v/>
      </c>
      <c r="K1096" s="1" t="str">
        <f t="shared" si="105"/>
        <v xml:space="preserve">AND ZDEPOSIT='962304880440190' </v>
      </c>
      <c r="L1096" s="1" t="str">
        <f t="shared" si="106"/>
        <v>WHEN CEMPRESA='31' AND ZDEPOSIT='962304880440190' THEN 1</v>
      </c>
      <c r="M1096" s="1" t="str">
        <f t="shared" si="107"/>
        <v>WHEN CEMPRESA='31' AND ZDEPOSIT='962304880440190' THEN 'A.3.1.'</v>
      </c>
    </row>
    <row r="1097" spans="2:13" x14ac:dyDescent="0.25">
      <c r="B1097" s="1" t="s">
        <v>45</v>
      </c>
      <c r="C1097" s="1" t="s">
        <v>1403</v>
      </c>
      <c r="D1097" s="1" t="s">
        <v>1396</v>
      </c>
      <c r="E1097" s="1" t="s">
        <v>1413</v>
      </c>
      <c r="F1097" s="1">
        <v>1</v>
      </c>
      <c r="G1097" s="1" t="s">
        <v>1215</v>
      </c>
      <c r="H1097" s="1" t="str">
        <f t="shared" si="102"/>
        <v xml:space="preserve">CEMPRESA='31' </v>
      </c>
      <c r="I1097" s="1" t="str">
        <f t="shared" si="103"/>
        <v/>
      </c>
      <c r="J1097" s="1" t="str">
        <f t="shared" si="104"/>
        <v/>
      </c>
      <c r="K1097" s="1" t="str">
        <f t="shared" si="105"/>
        <v xml:space="preserve">AND ZDEPOSIT='962304880447100' </v>
      </c>
      <c r="L1097" s="1" t="str">
        <f t="shared" si="106"/>
        <v>WHEN CEMPRESA='31' AND ZDEPOSIT='962304880447100' THEN 1</v>
      </c>
      <c r="M1097" s="1" t="str">
        <f t="shared" si="107"/>
        <v>WHEN CEMPRESA='31' AND ZDEPOSIT='962304880447100' THEN 'A.1.3.'</v>
      </c>
    </row>
    <row r="1098" spans="2:13" x14ac:dyDescent="0.25">
      <c r="B1098" s="1" t="s">
        <v>45</v>
      </c>
      <c r="C1098" s="1" t="s">
        <v>1403</v>
      </c>
      <c r="D1098" s="1" t="s">
        <v>1396</v>
      </c>
      <c r="E1098" s="1" t="s">
        <v>1414</v>
      </c>
      <c r="F1098" s="1">
        <v>1</v>
      </c>
      <c r="G1098" s="1" t="s">
        <v>1215</v>
      </c>
      <c r="H1098" s="1" t="str">
        <f t="shared" si="102"/>
        <v xml:space="preserve">CEMPRESA='31' </v>
      </c>
      <c r="I1098" s="1" t="str">
        <f t="shared" si="103"/>
        <v/>
      </c>
      <c r="J1098" s="1" t="str">
        <f t="shared" si="104"/>
        <v/>
      </c>
      <c r="K1098" s="1" t="str">
        <f t="shared" si="105"/>
        <v xml:space="preserve">AND ZDEPOSIT='962304880412130' </v>
      </c>
      <c r="L1098" s="1" t="str">
        <f t="shared" si="106"/>
        <v>WHEN CEMPRESA='31' AND ZDEPOSIT='962304880412130' THEN 1</v>
      </c>
      <c r="M1098" s="1" t="str">
        <f t="shared" si="107"/>
        <v>WHEN CEMPRESA='31' AND ZDEPOSIT='962304880412130' THEN 'A.1.3.'</v>
      </c>
    </row>
    <row r="1099" spans="2:13" x14ac:dyDescent="0.25">
      <c r="B1099" s="1" t="s">
        <v>45</v>
      </c>
      <c r="C1099" s="1" t="s">
        <v>1403</v>
      </c>
      <c r="D1099" s="1" t="s">
        <v>1396</v>
      </c>
      <c r="E1099" s="1" t="s">
        <v>1415</v>
      </c>
      <c r="F1099" s="1">
        <v>1</v>
      </c>
      <c r="G1099" s="1" t="s">
        <v>1405</v>
      </c>
      <c r="H1099" s="1" t="str">
        <f t="shared" si="102"/>
        <v xml:space="preserve">CEMPRESA='31' </v>
      </c>
      <c r="I1099" s="1" t="str">
        <f t="shared" si="103"/>
        <v/>
      </c>
      <c r="J1099" s="1" t="str">
        <f t="shared" si="104"/>
        <v/>
      </c>
      <c r="K1099" s="1" t="str">
        <f t="shared" si="105"/>
        <v xml:space="preserve">AND ZDEPOSIT='962304880423310' </v>
      </c>
      <c r="L1099" s="1" t="str">
        <f t="shared" si="106"/>
        <v>WHEN CEMPRESA='31' AND ZDEPOSIT='962304880423310' THEN 1</v>
      </c>
      <c r="M1099" s="1" t="str">
        <f t="shared" si="107"/>
        <v>WHEN CEMPRESA='31' AND ZDEPOSIT='962304880423310' THEN 'A.2.1.'</v>
      </c>
    </row>
    <row r="1100" spans="2:13" x14ac:dyDescent="0.25">
      <c r="B1100" s="1" t="s">
        <v>45</v>
      </c>
      <c r="C1100" s="1" t="s">
        <v>1403</v>
      </c>
      <c r="D1100" s="1" t="s">
        <v>1396</v>
      </c>
      <c r="E1100" s="1" t="s">
        <v>1416</v>
      </c>
      <c r="F1100" s="1">
        <v>1</v>
      </c>
      <c r="G1100" s="1" t="s">
        <v>49</v>
      </c>
      <c r="H1100" s="1" t="str">
        <f t="shared" si="102"/>
        <v xml:space="preserve">CEMPRESA='31' </v>
      </c>
      <c r="I1100" s="1" t="str">
        <f t="shared" si="103"/>
        <v/>
      </c>
      <c r="J1100" s="1" t="str">
        <f t="shared" si="104"/>
        <v/>
      </c>
      <c r="K1100" s="1" t="str">
        <f t="shared" si="105"/>
        <v xml:space="preserve">AND ZDEPOSIT='962304890421450' </v>
      </c>
      <c r="L1100" s="1" t="str">
        <f t="shared" si="106"/>
        <v>WHEN CEMPRESA='31' AND ZDEPOSIT='962304890421450' THEN 1</v>
      </c>
      <c r="M1100" s="1" t="str">
        <f t="shared" si="107"/>
        <v>WHEN CEMPRESA='31' AND ZDEPOSIT='962304890421450' THEN 'A.2.3.'</v>
      </c>
    </row>
    <row r="1101" spans="2:13" x14ac:dyDescent="0.25">
      <c r="B1101" s="1" t="s">
        <v>45</v>
      </c>
      <c r="C1101" s="1" t="s">
        <v>1403</v>
      </c>
      <c r="D1101" s="1" t="s">
        <v>1396</v>
      </c>
      <c r="E1101" s="1" t="s">
        <v>1417</v>
      </c>
      <c r="F1101" s="1">
        <v>1</v>
      </c>
      <c r="G1101" s="1" t="s">
        <v>1405</v>
      </c>
      <c r="H1101" s="1" t="str">
        <f t="shared" si="102"/>
        <v xml:space="preserve">CEMPRESA='31' </v>
      </c>
      <c r="I1101" s="1" t="str">
        <f t="shared" si="103"/>
        <v/>
      </c>
      <c r="J1101" s="1" t="str">
        <f t="shared" si="104"/>
        <v/>
      </c>
      <c r="K1101" s="1" t="str">
        <f t="shared" si="105"/>
        <v xml:space="preserve">AND ZDEPOSIT='962304880441620' </v>
      </c>
      <c r="L1101" s="1" t="str">
        <f t="shared" si="106"/>
        <v>WHEN CEMPRESA='31' AND ZDEPOSIT='962304880441620' THEN 1</v>
      </c>
      <c r="M1101" s="1" t="str">
        <f t="shared" si="107"/>
        <v>WHEN CEMPRESA='31' AND ZDEPOSIT='962304880441620' THEN 'A.2.1.'</v>
      </c>
    </row>
    <row r="1102" spans="2:13" x14ac:dyDescent="0.25">
      <c r="B1102" s="1" t="s">
        <v>45</v>
      </c>
      <c r="C1102" s="1" t="s">
        <v>1403</v>
      </c>
      <c r="D1102" s="1" t="s">
        <v>1396</v>
      </c>
      <c r="E1102" s="1" t="s">
        <v>1418</v>
      </c>
      <c r="F1102" s="1">
        <v>1</v>
      </c>
      <c r="G1102" s="1" t="s">
        <v>1405</v>
      </c>
      <c r="H1102" s="1" t="str">
        <f t="shared" si="102"/>
        <v xml:space="preserve">CEMPRESA='31' </v>
      </c>
      <c r="I1102" s="1" t="str">
        <f t="shared" si="103"/>
        <v/>
      </c>
      <c r="J1102" s="1" t="str">
        <f t="shared" si="104"/>
        <v/>
      </c>
      <c r="K1102" s="1" t="str">
        <f t="shared" si="105"/>
        <v xml:space="preserve">AND ZDEPOSIT='962304880423340' </v>
      </c>
      <c r="L1102" s="1" t="str">
        <f t="shared" si="106"/>
        <v>WHEN CEMPRESA='31' AND ZDEPOSIT='962304880423340' THEN 1</v>
      </c>
      <c r="M1102" s="1" t="str">
        <f t="shared" si="107"/>
        <v>WHEN CEMPRESA='31' AND ZDEPOSIT='962304880423340' THEN 'A.2.1.'</v>
      </c>
    </row>
    <row r="1103" spans="2:13" x14ac:dyDescent="0.25">
      <c r="B1103" s="1" t="s">
        <v>45</v>
      </c>
      <c r="C1103" s="1" t="s">
        <v>1403</v>
      </c>
      <c r="D1103" s="1" t="s">
        <v>1396</v>
      </c>
      <c r="E1103" s="1" t="s">
        <v>1419</v>
      </c>
      <c r="F1103" s="1">
        <v>1</v>
      </c>
      <c r="G1103" s="1" t="s">
        <v>1195</v>
      </c>
      <c r="H1103" s="1" t="str">
        <f t="shared" si="102"/>
        <v xml:space="preserve">CEMPRESA='31' </v>
      </c>
      <c r="I1103" s="1" t="str">
        <f t="shared" si="103"/>
        <v/>
      </c>
      <c r="J1103" s="1" t="str">
        <f t="shared" si="104"/>
        <v/>
      </c>
      <c r="K1103" s="1" t="str">
        <f t="shared" si="105"/>
        <v xml:space="preserve">AND ZDEPOSIT='962304880419800' </v>
      </c>
      <c r="L1103" s="1" t="str">
        <f t="shared" si="106"/>
        <v>WHEN CEMPRESA='31' AND ZDEPOSIT='962304880419800' THEN 1</v>
      </c>
      <c r="M1103" s="1" t="str">
        <f t="shared" si="107"/>
        <v>WHEN CEMPRESA='31' AND ZDEPOSIT='962304880419800' THEN 'A.2.2.'</v>
      </c>
    </row>
    <row r="1104" spans="2:13" x14ac:dyDescent="0.25">
      <c r="B1104" s="1" t="s">
        <v>45</v>
      </c>
      <c r="C1104" s="1" t="s">
        <v>1403</v>
      </c>
      <c r="D1104" s="1" t="s">
        <v>1396</v>
      </c>
      <c r="E1104" s="1" t="s">
        <v>1420</v>
      </c>
      <c r="F1104" s="1">
        <v>1</v>
      </c>
      <c r="G1104" s="1" t="s">
        <v>1405</v>
      </c>
      <c r="H1104" s="1" t="str">
        <f t="shared" si="102"/>
        <v xml:space="preserve">CEMPRESA='31' </v>
      </c>
      <c r="I1104" s="1" t="str">
        <f t="shared" si="103"/>
        <v/>
      </c>
      <c r="J1104" s="1" t="str">
        <f t="shared" si="104"/>
        <v/>
      </c>
      <c r="K1104" s="1" t="str">
        <f t="shared" si="105"/>
        <v xml:space="preserve">AND ZDEPOSIT='962304880423140' </v>
      </c>
      <c r="L1104" s="1" t="str">
        <f t="shared" si="106"/>
        <v>WHEN CEMPRESA='31' AND ZDEPOSIT='962304880423140' THEN 1</v>
      </c>
      <c r="M1104" s="1" t="str">
        <f t="shared" si="107"/>
        <v>WHEN CEMPRESA='31' AND ZDEPOSIT='962304880423140' THEN 'A.2.1.'</v>
      </c>
    </row>
    <row r="1105" spans="2:13" x14ac:dyDescent="0.25">
      <c r="B1105" s="1" t="s">
        <v>45</v>
      </c>
      <c r="C1105" s="1" t="s">
        <v>1403</v>
      </c>
      <c r="D1105" s="1" t="s">
        <v>1396</v>
      </c>
      <c r="E1105" s="1" t="s">
        <v>1421</v>
      </c>
      <c r="F1105" s="1">
        <v>1</v>
      </c>
      <c r="G1105" s="1" t="s">
        <v>1405</v>
      </c>
      <c r="H1105" s="1" t="str">
        <f t="shared" si="102"/>
        <v xml:space="preserve">CEMPRESA='31' </v>
      </c>
      <c r="I1105" s="1" t="str">
        <f t="shared" si="103"/>
        <v/>
      </c>
      <c r="J1105" s="1" t="str">
        <f t="shared" si="104"/>
        <v/>
      </c>
      <c r="K1105" s="1" t="str">
        <f t="shared" si="105"/>
        <v xml:space="preserve">AND ZDEPOSIT='962304880441610' </v>
      </c>
      <c r="L1105" s="1" t="str">
        <f t="shared" si="106"/>
        <v>WHEN CEMPRESA='31' AND ZDEPOSIT='962304880441610' THEN 1</v>
      </c>
      <c r="M1105" s="1" t="str">
        <f t="shared" si="107"/>
        <v>WHEN CEMPRESA='31' AND ZDEPOSIT='962304880441610' THEN 'A.2.1.'</v>
      </c>
    </row>
    <row r="1106" spans="2:13" x14ac:dyDescent="0.25">
      <c r="B1106" s="1" t="s">
        <v>45</v>
      </c>
      <c r="C1106" s="1" t="s">
        <v>1403</v>
      </c>
      <c r="D1106" s="1" t="s">
        <v>1396</v>
      </c>
      <c r="E1106" s="1" t="s">
        <v>1422</v>
      </c>
      <c r="F1106" s="1">
        <v>1</v>
      </c>
      <c r="G1106" s="1" t="s">
        <v>209</v>
      </c>
      <c r="H1106" s="1" t="str">
        <f t="shared" si="102"/>
        <v xml:space="preserve">CEMPRESA='31' </v>
      </c>
      <c r="I1106" s="1" t="str">
        <f t="shared" si="103"/>
        <v/>
      </c>
      <c r="J1106" s="1" t="str">
        <f t="shared" si="104"/>
        <v/>
      </c>
      <c r="K1106" s="1" t="str">
        <f t="shared" si="105"/>
        <v xml:space="preserve">AND ZDEPOSIT='962304880438000' </v>
      </c>
      <c r="L1106" s="1" t="str">
        <f t="shared" si="106"/>
        <v>WHEN CEMPRESA='31' AND ZDEPOSIT='962304880438000' THEN 1</v>
      </c>
      <c r="M1106" s="1" t="str">
        <f t="shared" si="107"/>
        <v>WHEN CEMPRESA='31' AND ZDEPOSIT='962304880438000' THEN 'A.3.1.'</v>
      </c>
    </row>
    <row r="1107" spans="2:13" x14ac:dyDescent="0.25">
      <c r="B1107" s="1" t="s">
        <v>45</v>
      </c>
      <c r="C1107" s="1" t="s">
        <v>1403</v>
      </c>
      <c r="D1107" s="1" t="s">
        <v>1396</v>
      </c>
      <c r="E1107" s="1" t="s">
        <v>1423</v>
      </c>
      <c r="F1107" s="1">
        <v>1</v>
      </c>
      <c r="G1107" s="1" t="s">
        <v>1405</v>
      </c>
      <c r="H1107" s="1" t="str">
        <f t="shared" si="102"/>
        <v xml:space="preserve">CEMPRESA='31' </v>
      </c>
      <c r="I1107" s="1" t="str">
        <f t="shared" si="103"/>
        <v/>
      </c>
      <c r="J1107" s="1" t="str">
        <f t="shared" si="104"/>
        <v/>
      </c>
      <c r="K1107" s="1" t="str">
        <f t="shared" si="105"/>
        <v xml:space="preserve">AND ZDEPOSIT='962304880423320' </v>
      </c>
      <c r="L1107" s="1" t="str">
        <f t="shared" si="106"/>
        <v>WHEN CEMPRESA='31' AND ZDEPOSIT='962304880423320' THEN 1</v>
      </c>
      <c r="M1107" s="1" t="str">
        <f t="shared" si="107"/>
        <v>WHEN CEMPRESA='31' AND ZDEPOSIT='962304880423320' THEN 'A.2.1.'</v>
      </c>
    </row>
    <row r="1108" spans="2:13" x14ac:dyDescent="0.25">
      <c r="B1108" s="1" t="s">
        <v>45</v>
      </c>
      <c r="C1108" s="1" t="s">
        <v>1403</v>
      </c>
      <c r="D1108" s="1" t="s">
        <v>1396</v>
      </c>
      <c r="E1108" s="1" t="s">
        <v>1424</v>
      </c>
      <c r="F1108" s="1">
        <v>1</v>
      </c>
      <c r="G1108" s="1" t="s">
        <v>1405</v>
      </c>
      <c r="H1108" s="1" t="str">
        <f t="shared" si="102"/>
        <v xml:space="preserve">CEMPRESA='31' </v>
      </c>
      <c r="I1108" s="1" t="str">
        <f t="shared" si="103"/>
        <v/>
      </c>
      <c r="J1108" s="1" t="str">
        <f t="shared" si="104"/>
        <v/>
      </c>
      <c r="K1108" s="1" t="str">
        <f t="shared" si="105"/>
        <v xml:space="preserve">AND ZDEPOSIT='962304880423150' </v>
      </c>
      <c r="L1108" s="1" t="str">
        <f t="shared" si="106"/>
        <v>WHEN CEMPRESA='31' AND ZDEPOSIT='962304880423150' THEN 1</v>
      </c>
      <c r="M1108" s="1" t="str">
        <f t="shared" si="107"/>
        <v>WHEN CEMPRESA='31' AND ZDEPOSIT='962304880423150' THEN 'A.2.1.'</v>
      </c>
    </row>
    <row r="1109" spans="2:13" x14ac:dyDescent="0.25">
      <c r="B1109" s="1" t="s">
        <v>45</v>
      </c>
      <c r="C1109" s="1" t="s">
        <v>1403</v>
      </c>
      <c r="D1109" s="1" t="s">
        <v>1396</v>
      </c>
      <c r="E1109" s="1" t="s">
        <v>1425</v>
      </c>
      <c r="F1109" s="1">
        <v>1</v>
      </c>
      <c r="G1109" s="1" t="s">
        <v>209</v>
      </c>
      <c r="H1109" s="1" t="str">
        <f t="shared" si="102"/>
        <v xml:space="preserve">CEMPRESA='31' </v>
      </c>
      <c r="I1109" s="1" t="str">
        <f t="shared" si="103"/>
        <v/>
      </c>
      <c r="J1109" s="1" t="str">
        <f t="shared" si="104"/>
        <v/>
      </c>
      <c r="K1109" s="1" t="str">
        <f t="shared" si="105"/>
        <v xml:space="preserve">AND ZDEPOSIT='962304880437990' </v>
      </c>
      <c r="L1109" s="1" t="str">
        <f t="shared" si="106"/>
        <v>WHEN CEMPRESA='31' AND ZDEPOSIT='962304880437990' THEN 1</v>
      </c>
      <c r="M1109" s="1" t="str">
        <f t="shared" si="107"/>
        <v>WHEN CEMPRESA='31' AND ZDEPOSIT='962304880437990' THEN 'A.3.1.'</v>
      </c>
    </row>
    <row r="1110" spans="2:13" x14ac:dyDescent="0.25">
      <c r="B1110" s="1" t="s">
        <v>45</v>
      </c>
      <c r="C1110" s="1" t="s">
        <v>1403</v>
      </c>
      <c r="D1110" s="1" t="s">
        <v>1396</v>
      </c>
      <c r="E1110" s="1" t="s">
        <v>1426</v>
      </c>
      <c r="F1110" s="1">
        <v>1</v>
      </c>
      <c r="G1110" s="1" t="s">
        <v>1405</v>
      </c>
      <c r="H1110" s="1" t="str">
        <f t="shared" si="102"/>
        <v xml:space="preserve">CEMPRESA='31' </v>
      </c>
      <c r="I1110" s="1" t="str">
        <f t="shared" si="103"/>
        <v/>
      </c>
      <c r="J1110" s="1" t="str">
        <f t="shared" si="104"/>
        <v/>
      </c>
      <c r="K1110" s="1" t="str">
        <f t="shared" si="105"/>
        <v xml:space="preserve">AND ZDEPOSIT='962304880423160' </v>
      </c>
      <c r="L1110" s="1" t="str">
        <f t="shared" si="106"/>
        <v>WHEN CEMPRESA='31' AND ZDEPOSIT='962304880423160' THEN 1</v>
      </c>
      <c r="M1110" s="1" t="str">
        <f t="shared" si="107"/>
        <v>WHEN CEMPRESA='31' AND ZDEPOSIT='962304880423160' THEN 'A.2.1.'</v>
      </c>
    </row>
    <row r="1111" spans="2:13" x14ac:dyDescent="0.25">
      <c r="B1111" s="1" t="s">
        <v>45</v>
      </c>
      <c r="C1111" s="1" t="s">
        <v>1403</v>
      </c>
      <c r="D1111" s="1" t="s">
        <v>1396</v>
      </c>
      <c r="E1111" s="1" t="s">
        <v>1427</v>
      </c>
      <c r="F1111" s="1">
        <v>1</v>
      </c>
      <c r="G1111" s="1" t="s">
        <v>1405</v>
      </c>
      <c r="H1111" s="1" t="str">
        <f t="shared" si="102"/>
        <v xml:space="preserve">CEMPRESA='31' </v>
      </c>
      <c r="I1111" s="1" t="str">
        <f t="shared" si="103"/>
        <v/>
      </c>
      <c r="J1111" s="1" t="str">
        <f t="shared" si="104"/>
        <v/>
      </c>
      <c r="K1111" s="1" t="str">
        <f t="shared" si="105"/>
        <v xml:space="preserve">AND ZDEPOSIT='962304880423050' </v>
      </c>
      <c r="L1111" s="1" t="str">
        <f t="shared" si="106"/>
        <v>WHEN CEMPRESA='31' AND ZDEPOSIT='962304880423050' THEN 1</v>
      </c>
      <c r="M1111" s="1" t="str">
        <f t="shared" si="107"/>
        <v>WHEN CEMPRESA='31' AND ZDEPOSIT='962304880423050' THEN 'A.2.1.'</v>
      </c>
    </row>
    <row r="1112" spans="2:13" x14ac:dyDescent="0.25">
      <c r="B1112" s="1" t="s">
        <v>45</v>
      </c>
      <c r="C1112" s="1" t="s">
        <v>1403</v>
      </c>
      <c r="D1112" s="1" t="s">
        <v>1396</v>
      </c>
      <c r="E1112" s="1" t="s">
        <v>1428</v>
      </c>
      <c r="F1112" s="1">
        <v>1</v>
      </c>
      <c r="G1112" s="1" t="s">
        <v>53</v>
      </c>
      <c r="H1112" s="1" t="str">
        <f t="shared" si="102"/>
        <v xml:space="preserve">CEMPRESA='31' </v>
      </c>
      <c r="I1112" s="1" t="str">
        <f t="shared" si="103"/>
        <v/>
      </c>
      <c r="J1112" s="1" t="str">
        <f t="shared" si="104"/>
        <v/>
      </c>
      <c r="K1112" s="1" t="str">
        <f t="shared" si="105"/>
        <v xml:space="preserve">AND ZDEPOSIT='962304820426870' </v>
      </c>
      <c r="L1112" s="1" t="str">
        <f t="shared" si="106"/>
        <v>WHEN CEMPRESA='31' AND ZDEPOSIT='962304820426870' THEN 1</v>
      </c>
      <c r="M1112" s="1" t="str">
        <f t="shared" si="107"/>
        <v>WHEN CEMPRESA='31' AND ZDEPOSIT='962304820426870' THEN 'A.1.1.'</v>
      </c>
    </row>
    <row r="1113" spans="2:13" x14ac:dyDescent="0.25">
      <c r="B1113" s="1" t="s">
        <v>45</v>
      </c>
      <c r="C1113" s="1" t="s">
        <v>1403</v>
      </c>
      <c r="D1113" s="1" t="s">
        <v>1396</v>
      </c>
      <c r="E1113" s="1" t="s">
        <v>1429</v>
      </c>
      <c r="F1113" s="1">
        <v>1</v>
      </c>
      <c r="G1113" s="1" t="s">
        <v>209</v>
      </c>
      <c r="H1113" s="1" t="str">
        <f t="shared" si="102"/>
        <v xml:space="preserve">CEMPRESA='31' </v>
      </c>
      <c r="I1113" s="1" t="str">
        <f t="shared" si="103"/>
        <v/>
      </c>
      <c r="J1113" s="1" t="str">
        <f t="shared" si="104"/>
        <v/>
      </c>
      <c r="K1113" s="1" t="str">
        <f t="shared" si="105"/>
        <v xml:space="preserve">AND ZDEPOSIT='962304880429700' </v>
      </c>
      <c r="L1113" s="1" t="str">
        <f t="shared" si="106"/>
        <v>WHEN CEMPRESA='31' AND ZDEPOSIT='962304880429700' THEN 1</v>
      </c>
      <c r="M1113" s="1" t="str">
        <f t="shared" si="107"/>
        <v>WHEN CEMPRESA='31' AND ZDEPOSIT='962304880429700' THEN 'A.3.1.'</v>
      </c>
    </row>
    <row r="1114" spans="2:13" x14ac:dyDescent="0.25">
      <c r="B1114" s="1" t="s">
        <v>45</v>
      </c>
      <c r="C1114" s="1" t="s">
        <v>1403</v>
      </c>
      <c r="D1114" s="1" t="s">
        <v>1396</v>
      </c>
      <c r="E1114" s="1" t="s">
        <v>1430</v>
      </c>
      <c r="F1114" s="1">
        <v>1</v>
      </c>
      <c r="G1114" s="1" t="s">
        <v>53</v>
      </c>
      <c r="H1114" s="1" t="str">
        <f t="shared" si="102"/>
        <v xml:space="preserve">CEMPRESA='31' </v>
      </c>
      <c r="I1114" s="1" t="str">
        <f t="shared" si="103"/>
        <v/>
      </c>
      <c r="J1114" s="1" t="str">
        <f t="shared" si="104"/>
        <v/>
      </c>
      <c r="K1114" s="1" t="str">
        <f t="shared" si="105"/>
        <v xml:space="preserve">AND ZDEPOSIT='962304820433740' </v>
      </c>
      <c r="L1114" s="1" t="str">
        <f t="shared" si="106"/>
        <v>WHEN CEMPRESA='31' AND ZDEPOSIT='962304820433740' THEN 1</v>
      </c>
      <c r="M1114" s="1" t="str">
        <f t="shared" si="107"/>
        <v>WHEN CEMPRESA='31' AND ZDEPOSIT='962304820433740' THEN 'A.1.1.'</v>
      </c>
    </row>
    <row r="1115" spans="2:13" x14ac:dyDescent="0.25">
      <c r="B1115" s="1" t="s">
        <v>45</v>
      </c>
      <c r="C1115" s="1" t="s">
        <v>1403</v>
      </c>
      <c r="D1115" s="1" t="s">
        <v>1396</v>
      </c>
      <c r="E1115" s="1" t="s">
        <v>1431</v>
      </c>
      <c r="F1115" s="1">
        <v>1</v>
      </c>
      <c r="G1115" s="1" t="s">
        <v>1405</v>
      </c>
      <c r="H1115" s="1" t="str">
        <f t="shared" si="102"/>
        <v xml:space="preserve">CEMPRESA='31' </v>
      </c>
      <c r="I1115" s="1" t="str">
        <f t="shared" si="103"/>
        <v/>
      </c>
      <c r="J1115" s="1" t="str">
        <f t="shared" si="104"/>
        <v/>
      </c>
      <c r="K1115" s="1" t="str">
        <f t="shared" si="105"/>
        <v xml:space="preserve">AND ZDEPOSIT='962304880424410' </v>
      </c>
      <c r="L1115" s="1" t="str">
        <f t="shared" si="106"/>
        <v>WHEN CEMPRESA='31' AND ZDEPOSIT='962304880424410' THEN 1</v>
      </c>
      <c r="M1115" s="1" t="str">
        <f t="shared" si="107"/>
        <v>WHEN CEMPRESA='31' AND ZDEPOSIT='962304880424410' THEN 'A.2.1.'</v>
      </c>
    </row>
    <row r="1116" spans="2:13" x14ac:dyDescent="0.25">
      <c r="B1116" s="1" t="s">
        <v>45</v>
      </c>
      <c r="C1116" s="1" t="s">
        <v>1403</v>
      </c>
      <c r="D1116" s="1" t="s">
        <v>1396</v>
      </c>
      <c r="E1116" s="1" t="s">
        <v>1432</v>
      </c>
      <c r="F1116" s="1">
        <v>1</v>
      </c>
      <c r="G1116" s="1" t="s">
        <v>1215</v>
      </c>
      <c r="H1116" s="1" t="str">
        <f t="shared" si="102"/>
        <v xml:space="preserve">CEMPRESA='31' </v>
      </c>
      <c r="I1116" s="1" t="str">
        <f t="shared" si="103"/>
        <v/>
      </c>
      <c r="J1116" s="1" t="str">
        <f t="shared" si="104"/>
        <v/>
      </c>
      <c r="K1116" s="1" t="str">
        <f t="shared" si="105"/>
        <v xml:space="preserve">AND ZDEPOSIT='962304880432120' </v>
      </c>
      <c r="L1116" s="1" t="str">
        <f t="shared" si="106"/>
        <v>WHEN CEMPRESA='31' AND ZDEPOSIT='962304880432120' THEN 1</v>
      </c>
      <c r="M1116" s="1" t="str">
        <f t="shared" si="107"/>
        <v>WHEN CEMPRESA='31' AND ZDEPOSIT='962304880432120' THEN 'A.1.3.'</v>
      </c>
    </row>
    <row r="1117" spans="2:13" x14ac:dyDescent="0.25">
      <c r="B1117" s="1" t="s">
        <v>45</v>
      </c>
      <c r="C1117" s="1" t="s">
        <v>1403</v>
      </c>
      <c r="D1117" s="1" t="s">
        <v>1396</v>
      </c>
      <c r="E1117" s="1" t="s">
        <v>1433</v>
      </c>
      <c r="F1117" s="1">
        <v>1</v>
      </c>
      <c r="G1117" s="1" t="s">
        <v>1405</v>
      </c>
      <c r="H1117" s="1" t="str">
        <f t="shared" si="102"/>
        <v xml:space="preserve">CEMPRESA='31' </v>
      </c>
      <c r="I1117" s="1" t="str">
        <f t="shared" si="103"/>
        <v/>
      </c>
      <c r="J1117" s="1" t="str">
        <f t="shared" si="104"/>
        <v/>
      </c>
      <c r="K1117" s="1" t="str">
        <f t="shared" si="105"/>
        <v xml:space="preserve">AND ZDEPOSIT='962304880423200' </v>
      </c>
      <c r="L1117" s="1" t="str">
        <f t="shared" si="106"/>
        <v>WHEN CEMPRESA='31' AND ZDEPOSIT='962304880423200' THEN 1</v>
      </c>
      <c r="M1117" s="1" t="str">
        <f t="shared" si="107"/>
        <v>WHEN CEMPRESA='31' AND ZDEPOSIT='962304880423200' THEN 'A.2.1.'</v>
      </c>
    </row>
    <row r="1118" spans="2:13" x14ac:dyDescent="0.25">
      <c r="B1118" s="1" t="s">
        <v>45</v>
      </c>
      <c r="C1118" s="1" t="s">
        <v>1403</v>
      </c>
      <c r="D1118" s="1" t="s">
        <v>1396</v>
      </c>
      <c r="E1118" s="1" t="s">
        <v>1434</v>
      </c>
      <c r="F1118" s="1">
        <v>1</v>
      </c>
      <c r="G1118" s="1" t="s">
        <v>1405</v>
      </c>
      <c r="H1118" s="1" t="str">
        <f t="shared" si="102"/>
        <v xml:space="preserve">CEMPRESA='31' </v>
      </c>
      <c r="I1118" s="1" t="str">
        <f t="shared" si="103"/>
        <v/>
      </c>
      <c r="J1118" s="1" t="str">
        <f t="shared" si="104"/>
        <v/>
      </c>
      <c r="K1118" s="1" t="str">
        <f t="shared" si="105"/>
        <v xml:space="preserve">AND ZDEPOSIT='962304880441630' </v>
      </c>
      <c r="L1118" s="1" t="str">
        <f t="shared" si="106"/>
        <v>WHEN CEMPRESA='31' AND ZDEPOSIT='962304880441630' THEN 1</v>
      </c>
      <c r="M1118" s="1" t="str">
        <f t="shared" si="107"/>
        <v>WHEN CEMPRESA='31' AND ZDEPOSIT='962304880441630' THEN 'A.2.1.'</v>
      </c>
    </row>
    <row r="1119" spans="2:13" x14ac:dyDescent="0.25">
      <c r="B1119" s="1" t="s">
        <v>45</v>
      </c>
      <c r="C1119" s="1" t="s">
        <v>1403</v>
      </c>
      <c r="D1119" s="1" t="s">
        <v>1396</v>
      </c>
      <c r="E1119" s="1" t="s">
        <v>1435</v>
      </c>
      <c r="F1119" s="1">
        <v>1</v>
      </c>
      <c r="G1119" s="1" t="s">
        <v>209</v>
      </c>
      <c r="H1119" s="1" t="str">
        <f t="shared" si="102"/>
        <v xml:space="preserve">CEMPRESA='31' </v>
      </c>
      <c r="I1119" s="1" t="str">
        <f t="shared" si="103"/>
        <v/>
      </c>
      <c r="J1119" s="1" t="str">
        <f t="shared" si="104"/>
        <v/>
      </c>
      <c r="K1119" s="1" t="str">
        <f t="shared" si="105"/>
        <v xml:space="preserve">AND ZDEPOSIT='962304880427010' </v>
      </c>
      <c r="L1119" s="1" t="str">
        <f t="shared" si="106"/>
        <v>WHEN CEMPRESA='31' AND ZDEPOSIT='962304880427010' THEN 1</v>
      </c>
      <c r="M1119" s="1" t="str">
        <f t="shared" si="107"/>
        <v>WHEN CEMPRESA='31' AND ZDEPOSIT='962304880427010' THEN 'A.3.1.'</v>
      </c>
    </row>
    <row r="1120" spans="2:13" x14ac:dyDescent="0.25">
      <c r="B1120" s="1" t="s">
        <v>45</v>
      </c>
      <c r="C1120" s="1" t="s">
        <v>1403</v>
      </c>
      <c r="D1120" s="1" t="s">
        <v>1396</v>
      </c>
      <c r="E1120" s="1" t="s">
        <v>1436</v>
      </c>
      <c r="F1120" s="1">
        <v>1</v>
      </c>
      <c r="G1120" s="1" t="s">
        <v>1405</v>
      </c>
      <c r="H1120" s="1" t="str">
        <f t="shared" si="102"/>
        <v xml:space="preserve">CEMPRESA='31' </v>
      </c>
      <c r="I1120" s="1" t="str">
        <f t="shared" si="103"/>
        <v/>
      </c>
      <c r="J1120" s="1" t="str">
        <f t="shared" si="104"/>
        <v/>
      </c>
      <c r="K1120" s="1" t="str">
        <f t="shared" si="105"/>
        <v xml:space="preserve">AND ZDEPOSIT='962304880423270' </v>
      </c>
      <c r="L1120" s="1" t="str">
        <f t="shared" si="106"/>
        <v>WHEN CEMPRESA='31' AND ZDEPOSIT='962304880423270' THEN 1</v>
      </c>
      <c r="M1120" s="1" t="str">
        <f t="shared" si="107"/>
        <v>WHEN CEMPRESA='31' AND ZDEPOSIT='962304880423270' THEN 'A.2.1.'</v>
      </c>
    </row>
    <row r="1121" spans="2:13" x14ac:dyDescent="0.25">
      <c r="B1121" s="1" t="s">
        <v>45</v>
      </c>
      <c r="C1121" s="1" t="s">
        <v>1403</v>
      </c>
      <c r="D1121" s="1" t="s">
        <v>1396</v>
      </c>
      <c r="E1121" s="1" t="s">
        <v>1437</v>
      </c>
      <c r="F1121" s="1">
        <v>1</v>
      </c>
      <c r="G1121" s="1" t="s">
        <v>1405</v>
      </c>
      <c r="H1121" s="1" t="str">
        <f t="shared" si="102"/>
        <v xml:space="preserve">CEMPRESA='31' </v>
      </c>
      <c r="I1121" s="1" t="str">
        <f t="shared" si="103"/>
        <v/>
      </c>
      <c r="J1121" s="1" t="str">
        <f t="shared" si="104"/>
        <v/>
      </c>
      <c r="K1121" s="1" t="str">
        <f t="shared" si="105"/>
        <v xml:space="preserve">AND ZDEPOSIT='962304880428400' </v>
      </c>
      <c r="L1121" s="1" t="str">
        <f t="shared" si="106"/>
        <v>WHEN CEMPRESA='31' AND ZDEPOSIT='962304880428400' THEN 1</v>
      </c>
      <c r="M1121" s="1" t="str">
        <f t="shared" si="107"/>
        <v>WHEN CEMPRESA='31' AND ZDEPOSIT='962304880428400' THEN 'A.2.1.'</v>
      </c>
    </row>
    <row r="1122" spans="2:13" x14ac:dyDescent="0.25">
      <c r="B1122" s="1" t="s">
        <v>45</v>
      </c>
      <c r="C1122" s="1" t="s">
        <v>1403</v>
      </c>
      <c r="D1122" s="1" t="s">
        <v>1396</v>
      </c>
      <c r="E1122" s="1" t="s">
        <v>1438</v>
      </c>
      <c r="F1122" s="1">
        <v>1</v>
      </c>
      <c r="G1122" s="1" t="s">
        <v>53</v>
      </c>
      <c r="H1122" s="1" t="str">
        <f t="shared" si="102"/>
        <v xml:space="preserve">CEMPRESA='31' </v>
      </c>
      <c r="I1122" s="1" t="str">
        <f t="shared" si="103"/>
        <v/>
      </c>
      <c r="J1122" s="1" t="str">
        <f t="shared" si="104"/>
        <v/>
      </c>
      <c r="K1122" s="1" t="str">
        <f t="shared" si="105"/>
        <v xml:space="preserve">AND ZDEPOSIT='962304820433730' </v>
      </c>
      <c r="L1122" s="1" t="str">
        <f t="shared" si="106"/>
        <v>WHEN CEMPRESA='31' AND ZDEPOSIT='962304820433730' THEN 1</v>
      </c>
      <c r="M1122" s="1" t="str">
        <f t="shared" si="107"/>
        <v>WHEN CEMPRESA='31' AND ZDEPOSIT='962304820433730' THEN 'A.1.1.'</v>
      </c>
    </row>
    <row r="1123" spans="2:13" x14ac:dyDescent="0.25">
      <c r="B1123" s="1" t="s">
        <v>45</v>
      </c>
      <c r="C1123" s="1" t="s">
        <v>1403</v>
      </c>
      <c r="D1123" s="1" t="s">
        <v>1396</v>
      </c>
      <c r="E1123" s="1" t="s">
        <v>1439</v>
      </c>
      <c r="F1123" s="1">
        <v>1</v>
      </c>
      <c r="G1123" s="1" t="s">
        <v>1405</v>
      </c>
      <c r="H1123" s="1" t="str">
        <f t="shared" si="102"/>
        <v xml:space="preserve">CEMPRESA='31' </v>
      </c>
      <c r="I1123" s="1" t="str">
        <f t="shared" si="103"/>
        <v/>
      </c>
      <c r="J1123" s="1" t="str">
        <f t="shared" si="104"/>
        <v/>
      </c>
      <c r="K1123" s="1" t="str">
        <f t="shared" si="105"/>
        <v xml:space="preserve">AND ZDEPOSIT='962304880423290' </v>
      </c>
      <c r="L1123" s="1" t="str">
        <f t="shared" si="106"/>
        <v>WHEN CEMPRESA='31' AND ZDEPOSIT='962304880423290' THEN 1</v>
      </c>
      <c r="M1123" s="1" t="str">
        <f t="shared" si="107"/>
        <v>WHEN CEMPRESA='31' AND ZDEPOSIT='962304880423290' THEN 'A.2.1.'</v>
      </c>
    </row>
    <row r="1124" spans="2:13" x14ac:dyDescent="0.25">
      <c r="B1124" s="1" t="s">
        <v>45</v>
      </c>
      <c r="C1124" s="1" t="s">
        <v>1403</v>
      </c>
      <c r="D1124" s="1" t="s">
        <v>1396</v>
      </c>
      <c r="E1124" s="1" t="s">
        <v>1440</v>
      </c>
      <c r="F1124" s="1">
        <v>1</v>
      </c>
      <c r="G1124" s="1" t="s">
        <v>53</v>
      </c>
      <c r="H1124" s="1" t="str">
        <f t="shared" si="102"/>
        <v xml:space="preserve">CEMPRESA='31' </v>
      </c>
      <c r="I1124" s="1" t="str">
        <f t="shared" si="103"/>
        <v/>
      </c>
      <c r="J1124" s="1" t="str">
        <f t="shared" si="104"/>
        <v/>
      </c>
      <c r="K1124" s="1" t="str">
        <f t="shared" si="105"/>
        <v xml:space="preserve">AND ZDEPOSIT='962304820433890' </v>
      </c>
      <c r="L1124" s="1" t="str">
        <f t="shared" si="106"/>
        <v>WHEN CEMPRESA='31' AND ZDEPOSIT='962304820433890' THEN 1</v>
      </c>
      <c r="M1124" s="1" t="str">
        <f t="shared" si="107"/>
        <v>WHEN CEMPRESA='31' AND ZDEPOSIT='962304820433890' THEN 'A.1.1.'</v>
      </c>
    </row>
    <row r="1125" spans="2:13" x14ac:dyDescent="0.25">
      <c r="B1125" s="1" t="s">
        <v>45</v>
      </c>
      <c r="C1125" s="1" t="s">
        <v>1403</v>
      </c>
      <c r="D1125" s="1" t="s">
        <v>1396</v>
      </c>
      <c r="E1125" s="1" t="s">
        <v>1441</v>
      </c>
      <c r="F1125" s="1">
        <v>1</v>
      </c>
      <c r="G1125" s="1" t="s">
        <v>1405</v>
      </c>
      <c r="H1125" s="1" t="str">
        <f t="shared" si="102"/>
        <v xml:space="preserve">CEMPRESA='31' </v>
      </c>
      <c r="I1125" s="1" t="str">
        <f t="shared" si="103"/>
        <v/>
      </c>
      <c r="J1125" s="1" t="str">
        <f t="shared" si="104"/>
        <v/>
      </c>
      <c r="K1125" s="1" t="str">
        <f t="shared" si="105"/>
        <v xml:space="preserve">AND ZDEPOSIT='962304880428430' </v>
      </c>
      <c r="L1125" s="1" t="str">
        <f t="shared" si="106"/>
        <v>WHEN CEMPRESA='31' AND ZDEPOSIT='962304880428430' THEN 1</v>
      </c>
      <c r="M1125" s="1" t="str">
        <f t="shared" si="107"/>
        <v>WHEN CEMPRESA='31' AND ZDEPOSIT='962304880428430' THEN 'A.2.1.'</v>
      </c>
    </row>
    <row r="1126" spans="2:13" x14ac:dyDescent="0.25">
      <c r="B1126" s="1" t="s">
        <v>45</v>
      </c>
      <c r="C1126" s="1" t="s">
        <v>1403</v>
      </c>
      <c r="D1126" s="1" t="s">
        <v>1396</v>
      </c>
      <c r="E1126" s="1" t="s">
        <v>1442</v>
      </c>
      <c r="F1126" s="1">
        <v>1</v>
      </c>
      <c r="G1126" s="1" t="s">
        <v>53</v>
      </c>
      <c r="H1126" s="1" t="str">
        <f t="shared" si="102"/>
        <v xml:space="preserve">CEMPRESA='31' </v>
      </c>
      <c r="I1126" s="1" t="str">
        <f t="shared" si="103"/>
        <v/>
      </c>
      <c r="J1126" s="1" t="str">
        <f t="shared" si="104"/>
        <v/>
      </c>
      <c r="K1126" s="1" t="str">
        <f t="shared" si="105"/>
        <v xml:space="preserve">AND ZDEPOSIT='962304880436270' </v>
      </c>
      <c r="L1126" s="1" t="str">
        <f t="shared" si="106"/>
        <v>WHEN CEMPRESA='31' AND ZDEPOSIT='962304880436270' THEN 1</v>
      </c>
      <c r="M1126" s="1" t="str">
        <f t="shared" si="107"/>
        <v>WHEN CEMPRESA='31' AND ZDEPOSIT='962304880436270' THEN 'A.1.1.'</v>
      </c>
    </row>
    <row r="1127" spans="2:13" x14ac:dyDescent="0.25">
      <c r="B1127" s="1" t="s">
        <v>45</v>
      </c>
      <c r="C1127" s="1" t="s">
        <v>1403</v>
      </c>
      <c r="D1127" s="1" t="s">
        <v>1396</v>
      </c>
      <c r="E1127" s="1" t="s">
        <v>1443</v>
      </c>
      <c r="F1127" s="1">
        <v>1</v>
      </c>
      <c r="G1127" s="1" t="s">
        <v>53</v>
      </c>
      <c r="H1127" s="1" t="str">
        <f t="shared" si="102"/>
        <v xml:space="preserve">CEMPRESA='31' </v>
      </c>
      <c r="I1127" s="1" t="str">
        <f t="shared" si="103"/>
        <v/>
      </c>
      <c r="J1127" s="1" t="str">
        <f t="shared" si="104"/>
        <v/>
      </c>
      <c r="K1127" s="1" t="str">
        <f t="shared" si="105"/>
        <v xml:space="preserve">AND ZDEPOSIT='962304820434610' </v>
      </c>
      <c r="L1127" s="1" t="str">
        <f t="shared" si="106"/>
        <v>WHEN CEMPRESA='31' AND ZDEPOSIT='962304820434610' THEN 1</v>
      </c>
      <c r="M1127" s="1" t="str">
        <f t="shared" si="107"/>
        <v>WHEN CEMPRESA='31' AND ZDEPOSIT='962304820434610' THEN 'A.1.1.'</v>
      </c>
    </row>
    <row r="1128" spans="2:13" x14ac:dyDescent="0.25">
      <c r="B1128" s="1" t="s">
        <v>45</v>
      </c>
      <c r="C1128" s="1" t="s">
        <v>1403</v>
      </c>
      <c r="D1128" s="1" t="s">
        <v>1396</v>
      </c>
      <c r="E1128" s="1" t="s">
        <v>1444</v>
      </c>
      <c r="F1128" s="1">
        <v>1</v>
      </c>
      <c r="G1128" s="1" t="s">
        <v>1405</v>
      </c>
      <c r="H1128" s="1" t="str">
        <f t="shared" si="102"/>
        <v xml:space="preserve">CEMPRESA='31' </v>
      </c>
      <c r="I1128" s="1" t="str">
        <f t="shared" si="103"/>
        <v/>
      </c>
      <c r="J1128" s="1" t="str">
        <f t="shared" si="104"/>
        <v/>
      </c>
      <c r="K1128" s="1" t="str">
        <f t="shared" si="105"/>
        <v xml:space="preserve">AND ZDEPOSIT='962304880423260' </v>
      </c>
      <c r="L1128" s="1" t="str">
        <f t="shared" si="106"/>
        <v>WHEN CEMPRESA='31' AND ZDEPOSIT='962304880423260' THEN 1</v>
      </c>
      <c r="M1128" s="1" t="str">
        <f t="shared" si="107"/>
        <v>WHEN CEMPRESA='31' AND ZDEPOSIT='962304880423260' THEN 'A.2.1.'</v>
      </c>
    </row>
    <row r="1129" spans="2:13" x14ac:dyDescent="0.25">
      <c r="B1129" s="1" t="s">
        <v>45</v>
      </c>
      <c r="C1129" s="1" t="s">
        <v>1403</v>
      </c>
      <c r="D1129" s="1" t="s">
        <v>1396</v>
      </c>
      <c r="E1129" s="1" t="s">
        <v>1445</v>
      </c>
      <c r="F1129" s="1">
        <v>1</v>
      </c>
      <c r="G1129" s="1" t="s">
        <v>1215</v>
      </c>
      <c r="H1129" s="1" t="str">
        <f t="shared" si="102"/>
        <v xml:space="preserve">CEMPRESA='31' </v>
      </c>
      <c r="I1129" s="1" t="str">
        <f t="shared" si="103"/>
        <v/>
      </c>
      <c r="J1129" s="1" t="str">
        <f t="shared" si="104"/>
        <v/>
      </c>
      <c r="K1129" s="1" t="str">
        <f t="shared" si="105"/>
        <v xml:space="preserve">AND ZDEPOSIT='962304880402110' </v>
      </c>
      <c r="L1129" s="1" t="str">
        <f t="shared" si="106"/>
        <v>WHEN CEMPRESA='31' AND ZDEPOSIT='962304880402110' THEN 1</v>
      </c>
      <c r="M1129" s="1" t="str">
        <f t="shared" si="107"/>
        <v>WHEN CEMPRESA='31' AND ZDEPOSIT='962304880402110' THEN 'A.1.3.'</v>
      </c>
    </row>
    <row r="1130" spans="2:13" x14ac:dyDescent="0.25">
      <c r="B1130" s="1" t="s">
        <v>45</v>
      </c>
      <c r="C1130" s="1" t="s">
        <v>1403</v>
      </c>
      <c r="D1130" s="1" t="s">
        <v>1396</v>
      </c>
      <c r="E1130" s="1" t="s">
        <v>1446</v>
      </c>
      <c r="F1130" s="1">
        <v>1</v>
      </c>
      <c r="G1130" s="1" t="s">
        <v>53</v>
      </c>
      <c r="H1130" s="1" t="str">
        <f t="shared" si="102"/>
        <v xml:space="preserve">CEMPRESA='31' </v>
      </c>
      <c r="I1130" s="1" t="str">
        <f t="shared" si="103"/>
        <v/>
      </c>
      <c r="J1130" s="1" t="str">
        <f t="shared" si="104"/>
        <v/>
      </c>
      <c r="K1130" s="1" t="str">
        <f t="shared" si="105"/>
        <v xml:space="preserve">AND ZDEPOSIT='962304880407580' </v>
      </c>
      <c r="L1130" s="1" t="str">
        <f t="shared" si="106"/>
        <v>WHEN CEMPRESA='31' AND ZDEPOSIT='962304880407580' THEN 1</v>
      </c>
      <c r="M1130" s="1" t="str">
        <f t="shared" si="107"/>
        <v>WHEN CEMPRESA='31' AND ZDEPOSIT='962304880407580' THEN 'A.1.1.'</v>
      </c>
    </row>
    <row r="1131" spans="2:13" x14ac:dyDescent="0.25">
      <c r="B1131" s="1" t="s">
        <v>45</v>
      </c>
      <c r="C1131" s="1" t="s">
        <v>1403</v>
      </c>
      <c r="D1131" s="1" t="s">
        <v>1396</v>
      </c>
      <c r="E1131" s="1" t="s">
        <v>1447</v>
      </c>
      <c r="F1131" s="1">
        <v>1</v>
      </c>
      <c r="G1131" s="1" t="s">
        <v>53</v>
      </c>
      <c r="H1131" s="1" t="str">
        <f t="shared" si="102"/>
        <v xml:space="preserve">CEMPRESA='31' </v>
      </c>
      <c r="I1131" s="1" t="str">
        <f t="shared" si="103"/>
        <v/>
      </c>
      <c r="J1131" s="1" t="str">
        <f t="shared" si="104"/>
        <v/>
      </c>
      <c r="K1131" s="1" t="str">
        <f t="shared" si="105"/>
        <v xml:space="preserve">AND ZDEPOSIT='962304880398940' </v>
      </c>
      <c r="L1131" s="1" t="str">
        <f t="shared" si="106"/>
        <v>WHEN CEMPRESA='31' AND ZDEPOSIT='962304880398940' THEN 1</v>
      </c>
      <c r="M1131" s="1" t="str">
        <f t="shared" si="107"/>
        <v>WHEN CEMPRESA='31' AND ZDEPOSIT='962304880398940' THEN 'A.1.1.'</v>
      </c>
    </row>
    <row r="1132" spans="2:13" x14ac:dyDescent="0.25">
      <c r="B1132" s="1" t="s">
        <v>45</v>
      </c>
      <c r="C1132" s="1" t="s">
        <v>1403</v>
      </c>
      <c r="D1132" s="1" t="s">
        <v>1396</v>
      </c>
      <c r="E1132" s="1" t="s">
        <v>1448</v>
      </c>
      <c r="F1132" s="1">
        <v>1</v>
      </c>
      <c r="G1132" s="1" t="s">
        <v>53</v>
      </c>
      <c r="H1132" s="1" t="str">
        <f t="shared" si="102"/>
        <v xml:space="preserve">CEMPRESA='31' </v>
      </c>
      <c r="I1132" s="1" t="str">
        <f t="shared" si="103"/>
        <v/>
      </c>
      <c r="J1132" s="1" t="str">
        <f t="shared" si="104"/>
        <v/>
      </c>
      <c r="K1132" s="1" t="str">
        <f t="shared" si="105"/>
        <v xml:space="preserve">AND ZDEPOSIT='962304820433900' </v>
      </c>
      <c r="L1132" s="1" t="str">
        <f t="shared" si="106"/>
        <v>WHEN CEMPRESA='31' AND ZDEPOSIT='962304820433900' THEN 1</v>
      </c>
      <c r="M1132" s="1" t="str">
        <f t="shared" si="107"/>
        <v>WHEN CEMPRESA='31' AND ZDEPOSIT='962304820433900' THEN 'A.1.1.'</v>
      </c>
    </row>
    <row r="1133" spans="2:13" x14ac:dyDescent="0.25">
      <c r="B1133" s="1" t="s">
        <v>45</v>
      </c>
      <c r="C1133" s="1" t="s">
        <v>1403</v>
      </c>
      <c r="D1133" s="1" t="s">
        <v>1396</v>
      </c>
      <c r="E1133" s="1" t="s">
        <v>1449</v>
      </c>
      <c r="F1133" s="1">
        <v>1</v>
      </c>
      <c r="G1133" s="1" t="s">
        <v>53</v>
      </c>
      <c r="H1133" s="1" t="str">
        <f t="shared" si="102"/>
        <v xml:space="preserve">CEMPRESA='31' </v>
      </c>
      <c r="I1133" s="1" t="str">
        <f t="shared" si="103"/>
        <v/>
      </c>
      <c r="J1133" s="1" t="str">
        <f t="shared" si="104"/>
        <v/>
      </c>
      <c r="K1133" s="1" t="str">
        <f t="shared" si="105"/>
        <v xml:space="preserve">AND ZDEPOSIT='962304820451180' </v>
      </c>
      <c r="L1133" s="1" t="str">
        <f t="shared" si="106"/>
        <v>WHEN CEMPRESA='31' AND ZDEPOSIT='962304820451180' THEN 1</v>
      </c>
      <c r="M1133" s="1" t="str">
        <f t="shared" si="107"/>
        <v>WHEN CEMPRESA='31' AND ZDEPOSIT='962304820451180' THEN 'A.1.1.'</v>
      </c>
    </row>
    <row r="1134" spans="2:13" x14ac:dyDescent="0.25">
      <c r="B1134" s="1" t="s">
        <v>45</v>
      </c>
      <c r="C1134" s="1" t="s">
        <v>1403</v>
      </c>
      <c r="D1134" s="1" t="s">
        <v>1396</v>
      </c>
      <c r="E1134" s="1" t="s">
        <v>1450</v>
      </c>
      <c r="F1134" s="1">
        <v>1</v>
      </c>
      <c r="G1134" s="1" t="s">
        <v>209</v>
      </c>
      <c r="H1134" s="1" t="str">
        <f t="shared" si="102"/>
        <v xml:space="preserve">CEMPRESA='31' </v>
      </c>
      <c r="I1134" s="1" t="str">
        <f t="shared" si="103"/>
        <v/>
      </c>
      <c r="J1134" s="1" t="str">
        <f t="shared" si="104"/>
        <v/>
      </c>
      <c r="K1134" s="1" t="str">
        <f t="shared" si="105"/>
        <v xml:space="preserve">AND ZDEPOSIT='962304890435500' </v>
      </c>
      <c r="L1134" s="1" t="str">
        <f t="shared" si="106"/>
        <v>WHEN CEMPRESA='31' AND ZDEPOSIT='962304890435500' THEN 1</v>
      </c>
      <c r="M1134" s="1" t="str">
        <f t="shared" si="107"/>
        <v>WHEN CEMPRESA='31' AND ZDEPOSIT='962304890435500' THEN 'A.3.1.'</v>
      </c>
    </row>
    <row r="1135" spans="2:13" x14ac:dyDescent="0.25">
      <c r="B1135" s="1" t="s">
        <v>45</v>
      </c>
      <c r="C1135" s="1" t="s">
        <v>1403</v>
      </c>
      <c r="D1135" s="1" t="s">
        <v>1396</v>
      </c>
      <c r="E1135" s="1" t="s">
        <v>1451</v>
      </c>
      <c r="F1135" s="1">
        <v>1</v>
      </c>
      <c r="G1135" s="1" t="s">
        <v>49</v>
      </c>
      <c r="H1135" s="1" t="str">
        <f t="shared" si="102"/>
        <v xml:space="preserve">CEMPRESA='31' </v>
      </c>
      <c r="I1135" s="1" t="str">
        <f t="shared" si="103"/>
        <v/>
      </c>
      <c r="J1135" s="1" t="str">
        <f t="shared" si="104"/>
        <v/>
      </c>
      <c r="K1135" s="1" t="str">
        <f t="shared" si="105"/>
        <v xml:space="preserve">AND ZDEPOSIT='962304880427230' </v>
      </c>
      <c r="L1135" s="1" t="str">
        <f t="shared" si="106"/>
        <v>WHEN CEMPRESA='31' AND ZDEPOSIT='962304880427230' THEN 1</v>
      </c>
      <c r="M1135" s="1" t="str">
        <f t="shared" si="107"/>
        <v>WHEN CEMPRESA='31' AND ZDEPOSIT='962304880427230' THEN 'A.2.3.'</v>
      </c>
    </row>
    <row r="1136" spans="2:13" x14ac:dyDescent="0.25">
      <c r="B1136" s="1" t="s">
        <v>45</v>
      </c>
      <c r="C1136" s="1" t="s">
        <v>1403</v>
      </c>
      <c r="D1136" s="1" t="s">
        <v>1396</v>
      </c>
      <c r="E1136" s="1" t="s">
        <v>1452</v>
      </c>
      <c r="F1136" s="1">
        <v>1</v>
      </c>
      <c r="G1136" s="1" t="s">
        <v>1405</v>
      </c>
      <c r="H1136" s="1" t="str">
        <f t="shared" si="102"/>
        <v xml:space="preserve">CEMPRESA='31' </v>
      </c>
      <c r="I1136" s="1" t="str">
        <f t="shared" si="103"/>
        <v/>
      </c>
      <c r="J1136" s="1" t="str">
        <f t="shared" si="104"/>
        <v/>
      </c>
      <c r="K1136" s="1" t="str">
        <f t="shared" si="105"/>
        <v xml:space="preserve">AND ZDEPOSIT='962304880423210' </v>
      </c>
      <c r="L1136" s="1" t="str">
        <f t="shared" si="106"/>
        <v>WHEN CEMPRESA='31' AND ZDEPOSIT='962304880423210' THEN 1</v>
      </c>
      <c r="M1136" s="1" t="str">
        <f t="shared" si="107"/>
        <v>WHEN CEMPRESA='31' AND ZDEPOSIT='962304880423210' THEN 'A.2.1.'</v>
      </c>
    </row>
    <row r="1137" spans="2:13" x14ac:dyDescent="0.25">
      <c r="B1137" s="1" t="s">
        <v>45</v>
      </c>
      <c r="C1137" s="1" t="s">
        <v>1403</v>
      </c>
      <c r="D1137" s="1" t="s">
        <v>1396</v>
      </c>
      <c r="E1137" s="1" t="s">
        <v>1453</v>
      </c>
      <c r="F1137" s="1">
        <v>1</v>
      </c>
      <c r="G1137" s="1" t="s">
        <v>53</v>
      </c>
      <c r="H1137" s="1" t="str">
        <f t="shared" si="102"/>
        <v xml:space="preserve">CEMPRESA='31' </v>
      </c>
      <c r="I1137" s="1" t="str">
        <f t="shared" si="103"/>
        <v/>
      </c>
      <c r="J1137" s="1" t="str">
        <f t="shared" si="104"/>
        <v/>
      </c>
      <c r="K1137" s="1" t="str">
        <f t="shared" si="105"/>
        <v xml:space="preserve">AND ZDEPOSIT='962304880435030' </v>
      </c>
      <c r="L1137" s="1" t="str">
        <f t="shared" si="106"/>
        <v>WHEN CEMPRESA='31' AND ZDEPOSIT='962304880435030' THEN 1</v>
      </c>
      <c r="M1137" s="1" t="str">
        <f t="shared" si="107"/>
        <v>WHEN CEMPRESA='31' AND ZDEPOSIT='962304880435030' THEN 'A.1.1.'</v>
      </c>
    </row>
    <row r="1138" spans="2:13" x14ac:dyDescent="0.25">
      <c r="B1138" s="1" t="s">
        <v>45</v>
      </c>
      <c r="C1138" s="1" t="s">
        <v>1403</v>
      </c>
      <c r="D1138" s="1" t="s">
        <v>1396</v>
      </c>
      <c r="E1138" s="1" t="s">
        <v>1454</v>
      </c>
      <c r="F1138" s="1">
        <v>1</v>
      </c>
      <c r="G1138" s="1" t="s">
        <v>1455</v>
      </c>
      <c r="H1138" s="1" t="str">
        <f t="shared" si="102"/>
        <v xml:space="preserve">CEMPRESA='31' </v>
      </c>
      <c r="I1138" s="1" t="str">
        <f t="shared" si="103"/>
        <v/>
      </c>
      <c r="J1138" s="1" t="str">
        <f t="shared" si="104"/>
        <v/>
      </c>
      <c r="K1138" s="1" t="str">
        <f t="shared" si="105"/>
        <v xml:space="preserve">AND ZDEPOSIT='962304820364880' </v>
      </c>
      <c r="L1138" s="1" t="str">
        <f t="shared" si="106"/>
        <v>WHEN CEMPRESA='31' AND ZDEPOSIT='962304820364880' THEN 1</v>
      </c>
      <c r="M1138" s="1" t="str">
        <f t="shared" si="107"/>
        <v>WHEN CEMPRESA='31' AND ZDEPOSIT='962304820364880' THEN 'A.1.9.'</v>
      </c>
    </row>
    <row r="1139" spans="2:13" x14ac:dyDescent="0.25">
      <c r="B1139" s="1" t="s">
        <v>45</v>
      </c>
      <c r="C1139" s="1" t="s">
        <v>1403</v>
      </c>
      <c r="D1139" s="1" t="s">
        <v>1396</v>
      </c>
      <c r="E1139" s="1" t="s">
        <v>1456</v>
      </c>
      <c r="F1139" s="1">
        <v>1</v>
      </c>
      <c r="G1139" s="1" t="s">
        <v>1195</v>
      </c>
      <c r="H1139" s="1" t="str">
        <f t="shared" si="102"/>
        <v xml:space="preserve">CEMPRESA='31' </v>
      </c>
      <c r="I1139" s="1" t="str">
        <f t="shared" si="103"/>
        <v/>
      </c>
      <c r="J1139" s="1" t="str">
        <f t="shared" si="104"/>
        <v/>
      </c>
      <c r="K1139" s="1" t="str">
        <f t="shared" si="105"/>
        <v xml:space="preserve">AND ZDEPOSIT='962304880419270' </v>
      </c>
      <c r="L1139" s="1" t="str">
        <f t="shared" si="106"/>
        <v>WHEN CEMPRESA='31' AND ZDEPOSIT='962304880419270' THEN 1</v>
      </c>
      <c r="M1139" s="1" t="str">
        <f t="shared" si="107"/>
        <v>WHEN CEMPRESA='31' AND ZDEPOSIT='962304880419270' THEN 'A.2.2.'</v>
      </c>
    </row>
    <row r="1140" spans="2:13" x14ac:dyDescent="0.25">
      <c r="B1140" s="1" t="s">
        <v>45</v>
      </c>
      <c r="C1140" s="1" t="s">
        <v>1403</v>
      </c>
      <c r="D1140" s="1" t="s">
        <v>1396</v>
      </c>
      <c r="E1140" s="1" t="s">
        <v>1457</v>
      </c>
      <c r="F1140" s="1">
        <v>1</v>
      </c>
      <c r="G1140" s="1" t="s">
        <v>1405</v>
      </c>
      <c r="H1140" s="1" t="str">
        <f t="shared" si="102"/>
        <v xml:space="preserve">CEMPRESA='31' </v>
      </c>
      <c r="I1140" s="1" t="str">
        <f t="shared" si="103"/>
        <v/>
      </c>
      <c r="J1140" s="1" t="str">
        <f t="shared" si="104"/>
        <v/>
      </c>
      <c r="K1140" s="1" t="str">
        <f t="shared" si="105"/>
        <v xml:space="preserve">AND ZDEPOSIT='962304880423190' </v>
      </c>
      <c r="L1140" s="1" t="str">
        <f t="shared" si="106"/>
        <v>WHEN CEMPRESA='31' AND ZDEPOSIT='962304880423190' THEN 1</v>
      </c>
      <c r="M1140" s="1" t="str">
        <f t="shared" si="107"/>
        <v>WHEN CEMPRESA='31' AND ZDEPOSIT='962304880423190' THEN 'A.2.1.'</v>
      </c>
    </row>
    <row r="1141" spans="2:13" x14ac:dyDescent="0.25">
      <c r="B1141" s="1" t="s">
        <v>45</v>
      </c>
      <c r="C1141" s="1" t="s">
        <v>1403</v>
      </c>
      <c r="D1141" s="1" t="s">
        <v>1396</v>
      </c>
      <c r="E1141" s="1" t="s">
        <v>1458</v>
      </c>
      <c r="F1141" s="1">
        <v>1</v>
      </c>
      <c r="G1141" s="1" t="s">
        <v>1405</v>
      </c>
      <c r="H1141" s="1" t="str">
        <f t="shared" si="102"/>
        <v xml:space="preserve">CEMPRESA='31' </v>
      </c>
      <c r="I1141" s="1" t="str">
        <f t="shared" si="103"/>
        <v/>
      </c>
      <c r="J1141" s="1" t="str">
        <f t="shared" si="104"/>
        <v/>
      </c>
      <c r="K1141" s="1" t="str">
        <f t="shared" si="105"/>
        <v xml:space="preserve">AND ZDEPOSIT='962304880423180' </v>
      </c>
      <c r="L1141" s="1" t="str">
        <f t="shared" si="106"/>
        <v>WHEN CEMPRESA='31' AND ZDEPOSIT='962304880423180' THEN 1</v>
      </c>
      <c r="M1141" s="1" t="str">
        <f t="shared" si="107"/>
        <v>WHEN CEMPRESA='31' AND ZDEPOSIT='962304880423180' THEN 'A.2.1.'</v>
      </c>
    </row>
    <row r="1142" spans="2:13" x14ac:dyDescent="0.25">
      <c r="B1142" s="1" t="s">
        <v>45</v>
      </c>
      <c r="C1142" s="1" t="s">
        <v>1403</v>
      </c>
      <c r="D1142" s="1" t="s">
        <v>1396</v>
      </c>
      <c r="E1142" s="1" t="s">
        <v>1459</v>
      </c>
      <c r="F1142" s="1">
        <v>1</v>
      </c>
      <c r="G1142" s="1" t="s">
        <v>1405</v>
      </c>
      <c r="H1142" s="1" t="str">
        <f t="shared" si="102"/>
        <v xml:space="preserve">CEMPRESA='31' </v>
      </c>
      <c r="I1142" s="1" t="str">
        <f t="shared" si="103"/>
        <v/>
      </c>
      <c r="J1142" s="1" t="str">
        <f t="shared" si="104"/>
        <v/>
      </c>
      <c r="K1142" s="1" t="str">
        <f t="shared" si="105"/>
        <v xml:space="preserve">AND ZDEPOSIT='962304880423060' </v>
      </c>
      <c r="L1142" s="1" t="str">
        <f t="shared" si="106"/>
        <v>WHEN CEMPRESA='31' AND ZDEPOSIT='962304880423060' THEN 1</v>
      </c>
      <c r="M1142" s="1" t="str">
        <f t="shared" si="107"/>
        <v>WHEN CEMPRESA='31' AND ZDEPOSIT='962304880423060' THEN 'A.2.1.'</v>
      </c>
    </row>
    <row r="1143" spans="2:13" x14ac:dyDescent="0.25">
      <c r="B1143" s="1" t="s">
        <v>45</v>
      </c>
      <c r="C1143" s="1" t="s">
        <v>1403</v>
      </c>
      <c r="D1143" s="1" t="s">
        <v>1396</v>
      </c>
      <c r="E1143" s="1" t="s">
        <v>1460</v>
      </c>
      <c r="F1143" s="1">
        <v>1</v>
      </c>
      <c r="G1143" s="1" t="s">
        <v>1405</v>
      </c>
      <c r="H1143" s="1" t="str">
        <f t="shared" si="102"/>
        <v xml:space="preserve">CEMPRESA='31' </v>
      </c>
      <c r="I1143" s="1" t="str">
        <f t="shared" si="103"/>
        <v/>
      </c>
      <c r="J1143" s="1" t="str">
        <f t="shared" si="104"/>
        <v/>
      </c>
      <c r="K1143" s="1" t="str">
        <f t="shared" si="105"/>
        <v xml:space="preserve">AND ZDEPOSIT='962304880423030' </v>
      </c>
      <c r="L1143" s="1" t="str">
        <f t="shared" si="106"/>
        <v>WHEN CEMPRESA='31' AND ZDEPOSIT='962304880423030' THEN 1</v>
      </c>
      <c r="M1143" s="1" t="str">
        <f t="shared" si="107"/>
        <v>WHEN CEMPRESA='31' AND ZDEPOSIT='962304880423030' THEN 'A.2.1.'</v>
      </c>
    </row>
    <row r="1144" spans="2:13" x14ac:dyDescent="0.25">
      <c r="B1144" s="1" t="s">
        <v>45</v>
      </c>
      <c r="C1144" s="1" t="s">
        <v>1403</v>
      </c>
      <c r="D1144" s="1" t="s">
        <v>1396</v>
      </c>
      <c r="E1144" s="1" t="s">
        <v>1461</v>
      </c>
      <c r="F1144" s="1">
        <v>1</v>
      </c>
      <c r="G1144" s="1" t="s">
        <v>1405</v>
      </c>
      <c r="H1144" s="1" t="str">
        <f t="shared" si="102"/>
        <v xml:space="preserve">CEMPRESA='31' </v>
      </c>
      <c r="I1144" s="1" t="str">
        <f t="shared" si="103"/>
        <v/>
      </c>
      <c r="J1144" s="1" t="str">
        <f t="shared" si="104"/>
        <v/>
      </c>
      <c r="K1144" s="1" t="str">
        <f t="shared" si="105"/>
        <v xml:space="preserve">AND ZDEPOSIT='962304880423040' </v>
      </c>
      <c r="L1144" s="1" t="str">
        <f t="shared" si="106"/>
        <v>WHEN CEMPRESA='31' AND ZDEPOSIT='962304880423040' THEN 1</v>
      </c>
      <c r="M1144" s="1" t="str">
        <f t="shared" si="107"/>
        <v>WHEN CEMPRESA='31' AND ZDEPOSIT='962304880423040' THEN 'A.2.1.'</v>
      </c>
    </row>
    <row r="1145" spans="2:13" x14ac:dyDescent="0.25">
      <c r="B1145" s="1" t="s">
        <v>45</v>
      </c>
      <c r="C1145" s="1" t="s">
        <v>1403</v>
      </c>
      <c r="D1145" s="1" t="s">
        <v>1396</v>
      </c>
      <c r="E1145" s="1" t="s">
        <v>1462</v>
      </c>
      <c r="F1145" s="1">
        <v>1</v>
      </c>
      <c r="G1145" s="1" t="s">
        <v>1405</v>
      </c>
      <c r="H1145" s="1" t="str">
        <f t="shared" si="102"/>
        <v xml:space="preserve">CEMPRESA='31' </v>
      </c>
      <c r="I1145" s="1" t="str">
        <f t="shared" si="103"/>
        <v/>
      </c>
      <c r="J1145" s="1" t="str">
        <f t="shared" si="104"/>
        <v/>
      </c>
      <c r="K1145" s="1" t="str">
        <f t="shared" si="105"/>
        <v xml:space="preserve">AND ZDEPOSIT='962304880423000' </v>
      </c>
      <c r="L1145" s="1" t="str">
        <f t="shared" si="106"/>
        <v>WHEN CEMPRESA='31' AND ZDEPOSIT='962304880423000' THEN 1</v>
      </c>
      <c r="M1145" s="1" t="str">
        <f t="shared" si="107"/>
        <v>WHEN CEMPRESA='31' AND ZDEPOSIT='962304880423000' THEN 'A.2.1.'</v>
      </c>
    </row>
    <row r="1146" spans="2:13" x14ac:dyDescent="0.25">
      <c r="B1146" s="1" t="s">
        <v>45</v>
      </c>
      <c r="C1146" s="1" t="s">
        <v>1403</v>
      </c>
      <c r="D1146" s="1" t="s">
        <v>1396</v>
      </c>
      <c r="E1146" s="1" t="s">
        <v>1463</v>
      </c>
      <c r="F1146" s="1">
        <v>1</v>
      </c>
      <c r="G1146" s="1" t="s">
        <v>53</v>
      </c>
      <c r="H1146" s="1" t="str">
        <f t="shared" si="102"/>
        <v xml:space="preserve">CEMPRESA='31' </v>
      </c>
      <c r="I1146" s="1" t="str">
        <f t="shared" si="103"/>
        <v/>
      </c>
      <c r="J1146" s="1" t="str">
        <f t="shared" si="104"/>
        <v/>
      </c>
      <c r="K1146" s="1" t="str">
        <f t="shared" si="105"/>
        <v xml:space="preserve">AND ZDEPOSIT='962304820434630' </v>
      </c>
      <c r="L1146" s="1" t="str">
        <f t="shared" si="106"/>
        <v>WHEN CEMPRESA='31' AND ZDEPOSIT='962304820434630' THEN 1</v>
      </c>
      <c r="M1146" s="1" t="str">
        <f t="shared" si="107"/>
        <v>WHEN CEMPRESA='31' AND ZDEPOSIT='962304820434630' THEN 'A.1.1.'</v>
      </c>
    </row>
    <row r="1147" spans="2:13" x14ac:dyDescent="0.25">
      <c r="B1147" s="1" t="s">
        <v>45</v>
      </c>
      <c r="C1147" s="1" t="s">
        <v>1403</v>
      </c>
      <c r="D1147" s="1" t="s">
        <v>1396</v>
      </c>
      <c r="E1147" s="1" t="s">
        <v>1464</v>
      </c>
      <c r="F1147" s="1">
        <v>1</v>
      </c>
      <c r="G1147" s="1" t="s">
        <v>53</v>
      </c>
      <c r="H1147" s="1" t="str">
        <f t="shared" si="102"/>
        <v xml:space="preserve">CEMPRESA='31' </v>
      </c>
      <c r="I1147" s="1" t="str">
        <f t="shared" si="103"/>
        <v/>
      </c>
      <c r="J1147" s="1" t="str">
        <f t="shared" si="104"/>
        <v/>
      </c>
      <c r="K1147" s="1" t="str">
        <f t="shared" si="105"/>
        <v xml:space="preserve">AND ZDEPOSIT='962304880423120' </v>
      </c>
      <c r="L1147" s="1" t="str">
        <f t="shared" si="106"/>
        <v>WHEN CEMPRESA='31' AND ZDEPOSIT='962304880423120' THEN 1</v>
      </c>
      <c r="M1147" s="1" t="str">
        <f t="shared" si="107"/>
        <v>WHEN CEMPRESA='31' AND ZDEPOSIT='962304880423120' THEN 'A.1.1.'</v>
      </c>
    </row>
    <row r="1148" spans="2:13" x14ac:dyDescent="0.25">
      <c r="B1148" s="1" t="s">
        <v>45</v>
      </c>
      <c r="C1148" s="1" t="s">
        <v>1403</v>
      </c>
      <c r="D1148" s="1" t="s">
        <v>1396</v>
      </c>
      <c r="E1148" s="1" t="s">
        <v>1465</v>
      </c>
      <c r="F1148" s="1">
        <v>1</v>
      </c>
      <c r="G1148" s="1" t="s">
        <v>1405</v>
      </c>
      <c r="H1148" s="1" t="str">
        <f t="shared" si="102"/>
        <v xml:space="preserve">CEMPRESA='31' </v>
      </c>
      <c r="I1148" s="1" t="str">
        <f t="shared" si="103"/>
        <v/>
      </c>
      <c r="J1148" s="1" t="str">
        <f t="shared" si="104"/>
        <v/>
      </c>
      <c r="K1148" s="1" t="str">
        <f t="shared" si="105"/>
        <v xml:space="preserve">AND ZDEPOSIT='962304880423020' </v>
      </c>
      <c r="L1148" s="1" t="str">
        <f t="shared" si="106"/>
        <v>WHEN CEMPRESA='31' AND ZDEPOSIT='962304880423020' THEN 1</v>
      </c>
      <c r="M1148" s="1" t="str">
        <f t="shared" si="107"/>
        <v>WHEN CEMPRESA='31' AND ZDEPOSIT='962304880423020' THEN 'A.2.1.'</v>
      </c>
    </row>
    <row r="1149" spans="2:13" x14ac:dyDescent="0.25">
      <c r="B1149" s="1" t="s">
        <v>45</v>
      </c>
      <c r="C1149" s="1" t="s">
        <v>1403</v>
      </c>
      <c r="D1149" s="1" t="s">
        <v>1396</v>
      </c>
      <c r="E1149" s="1" t="s">
        <v>1466</v>
      </c>
      <c r="F1149" s="1">
        <v>1</v>
      </c>
      <c r="G1149" s="1" t="s">
        <v>53</v>
      </c>
      <c r="H1149" s="1" t="str">
        <f t="shared" si="102"/>
        <v xml:space="preserve">CEMPRESA='31' </v>
      </c>
      <c r="I1149" s="1" t="str">
        <f t="shared" si="103"/>
        <v/>
      </c>
      <c r="J1149" s="1" t="str">
        <f t="shared" si="104"/>
        <v/>
      </c>
      <c r="K1149" s="1" t="str">
        <f t="shared" si="105"/>
        <v xml:space="preserve">AND ZDEPOSIT='962304880407590' </v>
      </c>
      <c r="L1149" s="1" t="str">
        <f t="shared" si="106"/>
        <v>WHEN CEMPRESA='31' AND ZDEPOSIT='962304880407590' THEN 1</v>
      </c>
      <c r="M1149" s="1" t="str">
        <f t="shared" si="107"/>
        <v>WHEN CEMPRESA='31' AND ZDEPOSIT='962304880407590' THEN 'A.1.1.'</v>
      </c>
    </row>
    <row r="1150" spans="2:13" x14ac:dyDescent="0.25">
      <c r="B1150" s="1" t="s">
        <v>45</v>
      </c>
      <c r="C1150" s="1" t="s">
        <v>1403</v>
      </c>
      <c r="D1150" s="1" t="s">
        <v>1396</v>
      </c>
      <c r="E1150" s="1" t="s">
        <v>1467</v>
      </c>
      <c r="F1150" s="1">
        <v>1</v>
      </c>
      <c r="G1150" s="1" t="s">
        <v>1405</v>
      </c>
      <c r="H1150" s="1" t="str">
        <f t="shared" si="102"/>
        <v xml:space="preserve">CEMPRESA='31' </v>
      </c>
      <c r="I1150" s="1" t="str">
        <f t="shared" si="103"/>
        <v/>
      </c>
      <c r="J1150" s="1" t="str">
        <f t="shared" si="104"/>
        <v/>
      </c>
      <c r="K1150" s="1" t="str">
        <f t="shared" si="105"/>
        <v xml:space="preserve">AND ZDEPOSIT='962304880423010' </v>
      </c>
      <c r="L1150" s="1" t="str">
        <f t="shared" si="106"/>
        <v>WHEN CEMPRESA='31' AND ZDEPOSIT='962304880423010' THEN 1</v>
      </c>
      <c r="M1150" s="1" t="str">
        <f t="shared" si="107"/>
        <v>WHEN CEMPRESA='31' AND ZDEPOSIT='962304880423010' THEN 'A.2.1.'</v>
      </c>
    </row>
    <row r="1151" spans="2:13" x14ac:dyDescent="0.25">
      <c r="B1151" s="1" t="s">
        <v>45</v>
      </c>
      <c r="C1151" s="1" t="s">
        <v>1403</v>
      </c>
      <c r="D1151" s="1" t="s">
        <v>1396</v>
      </c>
      <c r="E1151" s="1" t="s">
        <v>1468</v>
      </c>
      <c r="F1151" s="1">
        <v>1</v>
      </c>
      <c r="G1151" s="1" t="s">
        <v>1195</v>
      </c>
      <c r="H1151" s="1" t="str">
        <f t="shared" si="102"/>
        <v xml:space="preserve">CEMPRESA='31' </v>
      </c>
      <c r="I1151" s="1" t="str">
        <f t="shared" si="103"/>
        <v/>
      </c>
      <c r="J1151" s="1" t="str">
        <f t="shared" si="104"/>
        <v/>
      </c>
      <c r="K1151" s="1" t="str">
        <f t="shared" si="105"/>
        <v xml:space="preserve">AND ZDEPOSIT='962304880419810' </v>
      </c>
      <c r="L1151" s="1" t="str">
        <f t="shared" si="106"/>
        <v>WHEN CEMPRESA='31' AND ZDEPOSIT='962304880419810' THEN 1</v>
      </c>
      <c r="M1151" s="1" t="str">
        <f t="shared" si="107"/>
        <v>WHEN CEMPRESA='31' AND ZDEPOSIT='962304880419810' THEN 'A.2.2.'</v>
      </c>
    </row>
    <row r="1152" spans="2:13" x14ac:dyDescent="0.25">
      <c r="B1152" s="1" t="s">
        <v>45</v>
      </c>
      <c r="C1152" s="1" t="s">
        <v>1403</v>
      </c>
      <c r="D1152" s="1" t="s">
        <v>1396</v>
      </c>
      <c r="E1152" s="1" t="s">
        <v>1469</v>
      </c>
      <c r="F1152" s="1">
        <v>1</v>
      </c>
      <c r="G1152" s="1" t="s">
        <v>53</v>
      </c>
      <c r="H1152" s="1" t="str">
        <f t="shared" si="102"/>
        <v xml:space="preserve">CEMPRESA='31' </v>
      </c>
      <c r="I1152" s="1" t="str">
        <f t="shared" si="103"/>
        <v/>
      </c>
      <c r="J1152" s="1" t="str">
        <f t="shared" si="104"/>
        <v/>
      </c>
      <c r="K1152" s="1" t="str">
        <f t="shared" si="105"/>
        <v xml:space="preserve">AND ZDEPOSIT='962304880444710' </v>
      </c>
      <c r="L1152" s="1" t="str">
        <f t="shared" si="106"/>
        <v>WHEN CEMPRESA='31' AND ZDEPOSIT='962304880444710' THEN 1</v>
      </c>
      <c r="M1152" s="1" t="str">
        <f t="shared" si="107"/>
        <v>WHEN CEMPRESA='31' AND ZDEPOSIT='962304880444710' THEN 'A.1.1.'</v>
      </c>
    </row>
    <row r="1153" spans="2:13" x14ac:dyDescent="0.25">
      <c r="B1153" s="1" t="s">
        <v>45</v>
      </c>
      <c r="C1153" s="1" t="s">
        <v>1403</v>
      </c>
      <c r="D1153" s="1" t="s">
        <v>1396</v>
      </c>
      <c r="E1153" s="1" t="s">
        <v>1470</v>
      </c>
      <c r="F1153" s="1">
        <v>1</v>
      </c>
      <c r="G1153" s="1" t="s">
        <v>1215</v>
      </c>
      <c r="H1153" s="1" t="str">
        <f t="shared" si="102"/>
        <v xml:space="preserve">CEMPRESA='31' </v>
      </c>
      <c r="I1153" s="1" t="str">
        <f t="shared" si="103"/>
        <v/>
      </c>
      <c r="J1153" s="1" t="str">
        <f t="shared" si="104"/>
        <v/>
      </c>
      <c r="K1153" s="1" t="str">
        <f t="shared" si="105"/>
        <v xml:space="preserve">AND ZDEPOSIT='962304880402100' </v>
      </c>
      <c r="L1153" s="1" t="str">
        <f t="shared" si="106"/>
        <v>WHEN CEMPRESA='31' AND ZDEPOSIT='962304880402100' THEN 1</v>
      </c>
      <c r="M1153" s="1" t="str">
        <f t="shared" si="107"/>
        <v>WHEN CEMPRESA='31' AND ZDEPOSIT='962304880402100' THEN 'A.1.3.'</v>
      </c>
    </row>
    <row r="1154" spans="2:13" x14ac:dyDescent="0.25">
      <c r="B1154" s="1" t="s">
        <v>45</v>
      </c>
      <c r="C1154" s="1" t="s">
        <v>1403</v>
      </c>
      <c r="D1154" s="1" t="s">
        <v>1396</v>
      </c>
      <c r="E1154" s="1" t="s">
        <v>1471</v>
      </c>
      <c r="F1154" s="1">
        <v>1</v>
      </c>
      <c r="G1154" s="1" t="s">
        <v>53</v>
      </c>
      <c r="H1154" s="1" t="str">
        <f t="shared" si="102"/>
        <v xml:space="preserve">CEMPRESA='31' </v>
      </c>
      <c r="I1154" s="1" t="str">
        <f t="shared" si="103"/>
        <v/>
      </c>
      <c r="J1154" s="1" t="str">
        <f t="shared" si="104"/>
        <v/>
      </c>
      <c r="K1154" s="1" t="str">
        <f t="shared" si="105"/>
        <v xml:space="preserve">AND ZDEPOSIT='962304820399500' </v>
      </c>
      <c r="L1154" s="1" t="str">
        <f t="shared" si="106"/>
        <v>WHEN CEMPRESA='31' AND ZDEPOSIT='962304820399500' THEN 1</v>
      </c>
      <c r="M1154" s="1" t="str">
        <f t="shared" si="107"/>
        <v>WHEN CEMPRESA='31' AND ZDEPOSIT='962304820399500' THEN 'A.1.1.'</v>
      </c>
    </row>
    <row r="1155" spans="2:13" x14ac:dyDescent="0.25">
      <c r="B1155" s="1" t="s">
        <v>45</v>
      </c>
      <c r="C1155" s="1" t="s">
        <v>1403</v>
      </c>
      <c r="D1155" s="1" t="s">
        <v>1396</v>
      </c>
      <c r="E1155" s="1" t="s">
        <v>1472</v>
      </c>
      <c r="F1155" s="1">
        <v>1</v>
      </c>
      <c r="G1155" s="1" t="s">
        <v>190</v>
      </c>
      <c r="H1155" s="1" t="str">
        <f t="shared" si="102"/>
        <v xml:space="preserve">CEMPRESA='31' </v>
      </c>
      <c r="I1155" s="1" t="str">
        <f t="shared" si="103"/>
        <v/>
      </c>
      <c r="J1155" s="1" t="str">
        <f t="shared" si="104"/>
        <v/>
      </c>
      <c r="K1155" s="1" t="str">
        <f t="shared" si="105"/>
        <v xml:space="preserve">AND ZDEPOSIT='962304880457370' </v>
      </c>
      <c r="L1155" s="1" t="str">
        <f t="shared" si="106"/>
        <v>WHEN CEMPRESA='31' AND ZDEPOSIT='962304880457370' THEN 1</v>
      </c>
      <c r="M1155" s="1" t="str">
        <f t="shared" si="107"/>
        <v>WHEN CEMPRESA='31' AND ZDEPOSIT='962304880457370' THEN 'Pure Green counterparty - Default'</v>
      </c>
    </row>
    <row r="1156" spans="2:13" x14ac:dyDescent="0.25">
      <c r="B1156" s="1" t="s">
        <v>45</v>
      </c>
      <c r="C1156" s="1" t="s">
        <v>1403</v>
      </c>
      <c r="D1156" s="1" t="s">
        <v>1396</v>
      </c>
      <c r="E1156" s="1" t="s">
        <v>1473</v>
      </c>
      <c r="F1156" s="1">
        <v>1</v>
      </c>
      <c r="G1156" s="1" t="s">
        <v>53</v>
      </c>
      <c r="H1156" s="1" t="str">
        <f t="shared" ref="H1156:H1170" si="108">+IF(LEN(TRIM(B1156))&gt;0,UPPER($B$2)&amp;"='"&amp;TRIM(B1156)&amp;"' ","")</f>
        <v xml:space="preserve">CEMPRESA='31' </v>
      </c>
      <c r="I1156" s="1" t="str">
        <f t="shared" ref="I1156:I1170" si="109">+IF(LEN(TRIM(C1156))&gt;0,UPPER($C$2)&amp;"='"&amp;TRIM(C1156)&amp;"' ","")</f>
        <v/>
      </c>
      <c r="J1156" s="1" t="str">
        <f t="shared" ref="J1156:J1170" si="110">+IF(LEN(TRIM(D1156))&gt;0,UPPER($D$2)&amp;"='"&amp;TRIM(D1156)&amp;"' ","")</f>
        <v/>
      </c>
      <c r="K1156" s="1" t="str">
        <f t="shared" ref="K1156:K1170" si="111">+IF(LEN(TRIM(E1156))&gt;0,UPPER($E$2)&amp;"='"&amp;TRIM(E1156)&amp;"' ","")</f>
        <v xml:space="preserve">AND ZDEPOSIT='962304880444350' </v>
      </c>
      <c r="L1156" s="1" t="str">
        <f t="shared" ref="L1156:L1170" si="112">+"WHEN "&amp;H1156&amp;I1156&amp;J1156&amp;K1156&amp;"THEN "&amp;F1156</f>
        <v>WHEN CEMPRESA='31' AND ZDEPOSIT='962304880444350' THEN 1</v>
      </c>
      <c r="M1156" s="1" t="str">
        <f t="shared" ref="M1156:M1170" si="113">+"WHEN "&amp;H1156&amp;I1156&amp;J1156&amp;K1156&amp;"THEN "&amp;G1156</f>
        <v>WHEN CEMPRESA='31' AND ZDEPOSIT='962304880444350' THEN 'A.1.1.'</v>
      </c>
    </row>
    <row r="1157" spans="2:13" x14ac:dyDescent="0.25">
      <c r="B1157" s="1" t="s">
        <v>45</v>
      </c>
      <c r="C1157" s="1" t="s">
        <v>1403</v>
      </c>
      <c r="D1157" s="1" t="s">
        <v>1396</v>
      </c>
      <c r="E1157" s="1" t="s">
        <v>1474</v>
      </c>
      <c r="F1157" s="1">
        <v>1</v>
      </c>
      <c r="G1157" s="1" t="s">
        <v>1195</v>
      </c>
      <c r="H1157" s="1" t="str">
        <f t="shared" si="108"/>
        <v xml:space="preserve">CEMPRESA='31' </v>
      </c>
      <c r="I1157" s="1" t="str">
        <f t="shared" si="109"/>
        <v/>
      </c>
      <c r="J1157" s="1" t="str">
        <f t="shared" si="110"/>
        <v/>
      </c>
      <c r="K1157" s="1" t="str">
        <f t="shared" si="111"/>
        <v xml:space="preserve">AND ZDEPOSIT='962304880427990' </v>
      </c>
      <c r="L1157" s="1" t="str">
        <f t="shared" si="112"/>
        <v>WHEN CEMPRESA='31' AND ZDEPOSIT='962304880427990' THEN 1</v>
      </c>
      <c r="M1157" s="1" t="str">
        <f t="shared" si="113"/>
        <v>WHEN CEMPRESA='31' AND ZDEPOSIT='962304880427990' THEN 'A.2.2.'</v>
      </c>
    </row>
    <row r="1158" spans="2:13" x14ac:dyDescent="0.25">
      <c r="B1158" s="1" t="s">
        <v>45</v>
      </c>
      <c r="C1158" s="1" t="s">
        <v>1403</v>
      </c>
      <c r="D1158" s="1" t="s">
        <v>1396</v>
      </c>
      <c r="E1158" s="1" t="s">
        <v>1475</v>
      </c>
      <c r="F1158" s="1">
        <v>1</v>
      </c>
      <c r="G1158" s="1" t="s">
        <v>1405</v>
      </c>
      <c r="H1158" s="1" t="str">
        <f t="shared" si="108"/>
        <v xml:space="preserve">CEMPRESA='31' </v>
      </c>
      <c r="I1158" s="1" t="str">
        <f t="shared" si="109"/>
        <v/>
      </c>
      <c r="J1158" s="1" t="str">
        <f t="shared" si="110"/>
        <v/>
      </c>
      <c r="K1158" s="1" t="str">
        <f t="shared" si="111"/>
        <v xml:space="preserve">AND ZDEPOSIT='962304880423170' </v>
      </c>
      <c r="L1158" s="1" t="str">
        <f t="shared" si="112"/>
        <v>WHEN CEMPRESA='31' AND ZDEPOSIT='962304880423170' THEN 1</v>
      </c>
      <c r="M1158" s="1" t="str">
        <f t="shared" si="113"/>
        <v>WHEN CEMPRESA='31' AND ZDEPOSIT='962304880423170' THEN 'A.2.1.'</v>
      </c>
    </row>
    <row r="1159" spans="2:13" x14ac:dyDescent="0.25">
      <c r="B1159" s="1" t="s">
        <v>45</v>
      </c>
      <c r="C1159" s="1" t="s">
        <v>1403</v>
      </c>
      <c r="D1159" s="1" t="s">
        <v>1396</v>
      </c>
      <c r="E1159" s="1" t="s">
        <v>1476</v>
      </c>
      <c r="F1159" s="1">
        <v>1</v>
      </c>
      <c r="G1159" s="1" t="s">
        <v>53</v>
      </c>
      <c r="H1159" s="1" t="str">
        <f t="shared" si="108"/>
        <v xml:space="preserve">CEMPRESA='31' </v>
      </c>
      <c r="I1159" s="1" t="str">
        <f t="shared" si="109"/>
        <v/>
      </c>
      <c r="J1159" s="1" t="str">
        <f t="shared" si="110"/>
        <v/>
      </c>
      <c r="K1159" s="1" t="str">
        <f t="shared" si="111"/>
        <v xml:space="preserve">AND ZDEPOSIT='962304880398950' </v>
      </c>
      <c r="L1159" s="1" t="str">
        <f t="shared" si="112"/>
        <v>WHEN CEMPRESA='31' AND ZDEPOSIT='962304880398950' THEN 1</v>
      </c>
      <c r="M1159" s="1" t="str">
        <f t="shared" si="113"/>
        <v>WHEN CEMPRESA='31' AND ZDEPOSIT='962304880398950' THEN 'A.1.1.'</v>
      </c>
    </row>
    <row r="1160" spans="2:13" x14ac:dyDescent="0.25">
      <c r="B1160" s="1" t="s">
        <v>45</v>
      </c>
      <c r="C1160" s="1" t="s">
        <v>1403</v>
      </c>
      <c r="D1160" s="1" t="s">
        <v>1396</v>
      </c>
      <c r="E1160" s="1" t="s">
        <v>1477</v>
      </c>
      <c r="F1160" s="1">
        <v>1</v>
      </c>
      <c r="G1160" s="1" t="s">
        <v>1405</v>
      </c>
      <c r="H1160" s="1" t="str">
        <f t="shared" si="108"/>
        <v xml:space="preserve">CEMPRESA='31' </v>
      </c>
      <c r="I1160" s="1" t="str">
        <f t="shared" si="109"/>
        <v/>
      </c>
      <c r="J1160" s="1" t="str">
        <f t="shared" si="110"/>
        <v/>
      </c>
      <c r="K1160" s="1" t="str">
        <f t="shared" si="111"/>
        <v xml:space="preserve">AND ZDEPOSIT='962304880423220' </v>
      </c>
      <c r="L1160" s="1" t="str">
        <f t="shared" si="112"/>
        <v>WHEN CEMPRESA='31' AND ZDEPOSIT='962304880423220' THEN 1</v>
      </c>
      <c r="M1160" s="1" t="str">
        <f t="shared" si="113"/>
        <v>WHEN CEMPRESA='31' AND ZDEPOSIT='962304880423220' THEN 'A.2.1.'</v>
      </c>
    </row>
    <row r="1161" spans="2:13" x14ac:dyDescent="0.25">
      <c r="B1161" s="1" t="s">
        <v>45</v>
      </c>
      <c r="C1161" s="1" t="s">
        <v>1403</v>
      </c>
      <c r="D1161" s="1" t="s">
        <v>1396</v>
      </c>
      <c r="E1161" s="1" t="s">
        <v>1478</v>
      </c>
      <c r="F1161" s="1">
        <v>1</v>
      </c>
      <c r="G1161" s="1" t="s">
        <v>1408</v>
      </c>
      <c r="H1161" s="1" t="str">
        <f t="shared" si="108"/>
        <v xml:space="preserve">CEMPRESA='31' </v>
      </c>
      <c r="I1161" s="1" t="str">
        <f t="shared" si="109"/>
        <v/>
      </c>
      <c r="J1161" s="1" t="str">
        <f t="shared" si="110"/>
        <v/>
      </c>
      <c r="K1161" s="1" t="str">
        <f t="shared" si="111"/>
        <v xml:space="preserve">AND ZDEPOSIT='962304880366120' </v>
      </c>
      <c r="L1161" s="1" t="str">
        <f t="shared" si="112"/>
        <v>WHEN CEMPRESA='31' AND ZDEPOSIT='962304880366120' THEN 1</v>
      </c>
      <c r="M1161" s="1" t="str">
        <f t="shared" si="113"/>
        <v>WHEN CEMPRESA='31' AND ZDEPOSIT='962304880366120' THEN 'A.2.14.'</v>
      </c>
    </row>
    <row r="1162" spans="2:13" x14ac:dyDescent="0.25">
      <c r="B1162" s="1" t="s">
        <v>45</v>
      </c>
      <c r="C1162" s="1" t="s">
        <v>1403</v>
      </c>
      <c r="D1162" s="1" t="s">
        <v>1396</v>
      </c>
      <c r="E1162" s="1" t="s">
        <v>1479</v>
      </c>
      <c r="F1162" s="1">
        <v>1</v>
      </c>
      <c r="G1162" s="1" t="s">
        <v>53</v>
      </c>
      <c r="H1162" s="1" t="str">
        <f t="shared" si="108"/>
        <v xml:space="preserve">CEMPRESA='31' </v>
      </c>
      <c r="I1162" s="1" t="str">
        <f t="shared" si="109"/>
        <v/>
      </c>
      <c r="J1162" s="1" t="str">
        <f t="shared" si="110"/>
        <v/>
      </c>
      <c r="K1162" s="1" t="str">
        <f t="shared" si="111"/>
        <v xml:space="preserve">AND ZDEPOSIT='962304880418860' </v>
      </c>
      <c r="L1162" s="1" t="str">
        <f t="shared" si="112"/>
        <v>WHEN CEMPRESA='31' AND ZDEPOSIT='962304880418860' THEN 1</v>
      </c>
      <c r="M1162" s="1" t="str">
        <f t="shared" si="113"/>
        <v>WHEN CEMPRESA='31' AND ZDEPOSIT='962304880418860' THEN 'A.1.1.'</v>
      </c>
    </row>
    <row r="1163" spans="2:13" x14ac:dyDescent="0.25">
      <c r="B1163" s="1" t="s">
        <v>45</v>
      </c>
      <c r="C1163" s="1" t="s">
        <v>1403</v>
      </c>
      <c r="D1163" s="1" t="s">
        <v>1396</v>
      </c>
      <c r="E1163" s="1" t="s">
        <v>1480</v>
      </c>
      <c r="F1163" s="1">
        <v>1</v>
      </c>
      <c r="G1163" s="1" t="s">
        <v>209</v>
      </c>
      <c r="H1163" s="1" t="str">
        <f t="shared" si="108"/>
        <v xml:space="preserve">CEMPRESA='31' </v>
      </c>
      <c r="I1163" s="1" t="str">
        <f t="shared" si="109"/>
        <v/>
      </c>
      <c r="J1163" s="1" t="str">
        <f t="shared" si="110"/>
        <v/>
      </c>
      <c r="K1163" s="1" t="str">
        <f t="shared" si="111"/>
        <v xml:space="preserve">AND ZDEPOSIT='962304880438140' </v>
      </c>
      <c r="L1163" s="1" t="str">
        <f t="shared" si="112"/>
        <v>WHEN CEMPRESA='31' AND ZDEPOSIT='962304880438140' THEN 1</v>
      </c>
      <c r="M1163" s="1" t="str">
        <f t="shared" si="113"/>
        <v>WHEN CEMPRESA='31' AND ZDEPOSIT='962304880438140' THEN 'A.3.1.'</v>
      </c>
    </row>
    <row r="1164" spans="2:13" x14ac:dyDescent="0.25">
      <c r="B1164" s="1" t="s">
        <v>45</v>
      </c>
      <c r="C1164" s="1" t="s">
        <v>1403</v>
      </c>
      <c r="D1164" s="1" t="s">
        <v>1396</v>
      </c>
      <c r="E1164" s="1" t="s">
        <v>1481</v>
      </c>
      <c r="F1164" s="1">
        <v>1</v>
      </c>
      <c r="G1164" s="1" t="s">
        <v>1405</v>
      </c>
      <c r="H1164" s="1" t="str">
        <f t="shared" si="108"/>
        <v xml:space="preserve">CEMPRESA='31' </v>
      </c>
      <c r="I1164" s="1" t="str">
        <f t="shared" si="109"/>
        <v/>
      </c>
      <c r="J1164" s="1" t="str">
        <f t="shared" si="110"/>
        <v/>
      </c>
      <c r="K1164" s="1" t="str">
        <f t="shared" si="111"/>
        <v xml:space="preserve">AND ZDEPOSIT='962304880423330' </v>
      </c>
      <c r="L1164" s="1" t="str">
        <f t="shared" si="112"/>
        <v>WHEN CEMPRESA='31' AND ZDEPOSIT='962304880423330' THEN 1</v>
      </c>
      <c r="M1164" s="1" t="str">
        <f t="shared" si="113"/>
        <v>WHEN CEMPRESA='31' AND ZDEPOSIT='962304880423330' THEN 'A.2.1.'</v>
      </c>
    </row>
    <row r="1165" spans="2:13" x14ac:dyDescent="0.25">
      <c r="B1165" s="1" t="s">
        <v>45</v>
      </c>
      <c r="C1165" s="1" t="s">
        <v>1403</v>
      </c>
      <c r="D1165" s="1" t="s">
        <v>1396</v>
      </c>
      <c r="E1165" s="1" t="s">
        <v>1482</v>
      </c>
      <c r="F1165" s="1">
        <v>1</v>
      </c>
      <c r="G1165" s="1" t="s">
        <v>1405</v>
      </c>
      <c r="H1165" s="1" t="str">
        <f t="shared" si="108"/>
        <v xml:space="preserve">CEMPRESA='31' </v>
      </c>
      <c r="I1165" s="1" t="str">
        <f t="shared" si="109"/>
        <v/>
      </c>
      <c r="J1165" s="1" t="str">
        <f t="shared" si="110"/>
        <v/>
      </c>
      <c r="K1165" s="1" t="str">
        <f t="shared" si="111"/>
        <v xml:space="preserve">AND ZDEPOSIT='962304880444100' </v>
      </c>
      <c r="L1165" s="1" t="str">
        <f t="shared" si="112"/>
        <v>WHEN CEMPRESA='31' AND ZDEPOSIT='962304880444100' THEN 1</v>
      </c>
      <c r="M1165" s="1" t="str">
        <f t="shared" si="113"/>
        <v>WHEN CEMPRESA='31' AND ZDEPOSIT='962304880444100' THEN 'A.2.1.'</v>
      </c>
    </row>
    <row r="1166" spans="2:13" x14ac:dyDescent="0.25">
      <c r="B1166" s="1" t="s">
        <v>45</v>
      </c>
      <c r="C1166" s="1" t="s">
        <v>1403</v>
      </c>
      <c r="D1166" s="1" t="s">
        <v>1396</v>
      </c>
      <c r="E1166" s="1" t="s">
        <v>1483</v>
      </c>
      <c r="F1166" s="1">
        <v>1</v>
      </c>
      <c r="G1166" s="1" t="s">
        <v>53</v>
      </c>
      <c r="H1166" s="1" t="str">
        <f t="shared" si="108"/>
        <v xml:space="preserve">CEMPRESA='31' </v>
      </c>
      <c r="I1166" s="1" t="str">
        <f t="shared" si="109"/>
        <v/>
      </c>
      <c r="J1166" s="1" t="str">
        <f t="shared" si="110"/>
        <v/>
      </c>
      <c r="K1166" s="1" t="str">
        <f t="shared" si="111"/>
        <v xml:space="preserve">AND ZDEPOSIT='962304880436280' </v>
      </c>
      <c r="L1166" s="1" t="str">
        <f t="shared" si="112"/>
        <v>WHEN CEMPRESA='31' AND ZDEPOSIT='962304880436280' THEN 1</v>
      </c>
      <c r="M1166" s="1" t="str">
        <f t="shared" si="113"/>
        <v>WHEN CEMPRESA='31' AND ZDEPOSIT='962304880436280' THEN 'A.1.1.'</v>
      </c>
    </row>
    <row r="1167" spans="2:13" x14ac:dyDescent="0.25">
      <c r="B1167" s="1" t="s">
        <v>45</v>
      </c>
      <c r="C1167" s="1" t="s">
        <v>1403</v>
      </c>
      <c r="D1167" s="1" t="s">
        <v>1396</v>
      </c>
      <c r="E1167" s="1" t="s">
        <v>1484</v>
      </c>
      <c r="F1167" s="1">
        <v>1</v>
      </c>
      <c r="G1167" s="1" t="s">
        <v>53</v>
      </c>
      <c r="H1167" s="1" t="str">
        <f t="shared" si="108"/>
        <v xml:space="preserve">CEMPRESA='31' </v>
      </c>
      <c r="I1167" s="1" t="str">
        <f t="shared" si="109"/>
        <v/>
      </c>
      <c r="J1167" s="1" t="str">
        <f t="shared" si="110"/>
        <v/>
      </c>
      <c r="K1167" s="1" t="str">
        <f t="shared" si="111"/>
        <v xml:space="preserve">AND ZDEPOSIT='962304880430130' </v>
      </c>
      <c r="L1167" s="1" t="str">
        <f t="shared" si="112"/>
        <v>WHEN CEMPRESA='31' AND ZDEPOSIT='962304880430130' THEN 1</v>
      </c>
      <c r="M1167" s="1" t="str">
        <f t="shared" si="113"/>
        <v>WHEN CEMPRESA='31' AND ZDEPOSIT='962304880430130' THEN 'A.1.1.'</v>
      </c>
    </row>
    <row r="1168" spans="2:13" x14ac:dyDescent="0.25">
      <c r="B1168" s="1" t="s">
        <v>45</v>
      </c>
      <c r="C1168" s="1" t="s">
        <v>1403</v>
      </c>
      <c r="D1168" s="1" t="s">
        <v>1396</v>
      </c>
      <c r="E1168" s="1" t="s">
        <v>1485</v>
      </c>
      <c r="F1168" s="1">
        <v>1</v>
      </c>
      <c r="G1168" s="1" t="s">
        <v>1195</v>
      </c>
      <c r="H1168" s="1" t="str">
        <f t="shared" si="108"/>
        <v xml:space="preserve">CEMPRESA='31' </v>
      </c>
      <c r="I1168" s="1" t="str">
        <f t="shared" si="109"/>
        <v/>
      </c>
      <c r="J1168" s="1" t="str">
        <f t="shared" si="110"/>
        <v/>
      </c>
      <c r="K1168" s="1" t="str">
        <f t="shared" si="111"/>
        <v xml:space="preserve">AND ZDEPOSIT='962304880419020' </v>
      </c>
      <c r="L1168" s="1" t="str">
        <f t="shared" si="112"/>
        <v>WHEN CEMPRESA='31' AND ZDEPOSIT='962304880419020' THEN 1</v>
      </c>
      <c r="M1168" s="1" t="str">
        <f t="shared" si="113"/>
        <v>WHEN CEMPRESA='31' AND ZDEPOSIT='962304880419020' THEN 'A.2.2.'</v>
      </c>
    </row>
    <row r="1169" spans="2:13" x14ac:dyDescent="0.25">
      <c r="B1169" s="1" t="s">
        <v>45</v>
      </c>
      <c r="C1169" s="1" t="s">
        <v>1403</v>
      </c>
      <c r="D1169" s="1" t="s">
        <v>1396</v>
      </c>
      <c r="E1169" s="1" t="s">
        <v>1486</v>
      </c>
      <c r="F1169" s="1">
        <v>1</v>
      </c>
      <c r="G1169" s="1" t="s">
        <v>1215</v>
      </c>
      <c r="H1169" s="1" t="str">
        <f t="shared" si="108"/>
        <v xml:space="preserve">CEMPRESA='31' </v>
      </c>
      <c r="I1169" s="1" t="str">
        <f t="shared" si="109"/>
        <v/>
      </c>
      <c r="J1169" s="1" t="str">
        <f t="shared" si="110"/>
        <v/>
      </c>
      <c r="K1169" s="1" t="str">
        <f t="shared" si="111"/>
        <v xml:space="preserve">AND ZDEPOSIT='962304880447060' </v>
      </c>
      <c r="L1169" s="1" t="str">
        <f t="shared" si="112"/>
        <v>WHEN CEMPRESA='31' AND ZDEPOSIT='962304880447060' THEN 1</v>
      </c>
      <c r="M1169" s="1" t="str">
        <f t="shared" si="113"/>
        <v>WHEN CEMPRESA='31' AND ZDEPOSIT='962304880447060' THEN 'A.1.3.'</v>
      </c>
    </row>
    <row r="1170" spans="2:13" x14ac:dyDescent="0.25">
      <c r="B1170" s="1" t="s">
        <v>45</v>
      </c>
      <c r="C1170" s="1" t="s">
        <v>1403</v>
      </c>
      <c r="D1170" s="1" t="s">
        <v>1396</v>
      </c>
      <c r="E1170" s="1" t="s">
        <v>1487</v>
      </c>
      <c r="F1170" s="1">
        <v>1</v>
      </c>
      <c r="G1170" s="1" t="s">
        <v>209</v>
      </c>
      <c r="H1170" s="1" t="str">
        <f t="shared" si="108"/>
        <v xml:space="preserve">CEMPRESA='31' </v>
      </c>
      <c r="I1170" s="1" t="str">
        <f t="shared" si="109"/>
        <v/>
      </c>
      <c r="J1170" s="1" t="str">
        <f t="shared" si="110"/>
        <v/>
      </c>
      <c r="K1170" s="1" t="str">
        <f t="shared" si="111"/>
        <v xml:space="preserve">AND ZDEPOSIT='962304880447600' </v>
      </c>
      <c r="L1170" s="1" t="str">
        <f t="shared" si="112"/>
        <v>WHEN CEMPRESA='31' AND ZDEPOSIT='962304880447600' THEN 1</v>
      </c>
      <c r="M1170" s="1" t="str">
        <f t="shared" si="113"/>
        <v>WHEN CEMPRESA='31' AND ZDEPOSIT='962304880447600' THEN 'A.3.1.'</v>
      </c>
    </row>
    <row r="1171" spans="2:13" x14ac:dyDescent="0.25"/>
  </sheetData>
  <autoFilter ref="B2:M1170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7.28515625" bestFit="1" customWidth="1"/>
    <col min="3" max="3" width="9.7109375" bestFit="1" customWidth="1"/>
    <col min="4" max="4" width="6.85546875" bestFit="1" customWidth="1"/>
    <col min="5" max="5" width="77.28515625" bestFit="1" customWidth="1"/>
    <col min="6" max="6" width="17.7109375" bestFit="1" customWidth="1"/>
    <col min="7" max="7" width="10.5703125" bestFit="1" customWidth="1"/>
    <col min="8" max="8" width="11.140625" bestFit="1" customWidth="1"/>
    <col min="9" max="9" width="10.42578125" bestFit="1" customWidth="1"/>
    <col min="10" max="10" width="11" bestFit="1" customWidth="1"/>
    <col min="11" max="12" width="9.140625" customWidth="1"/>
    <col min="13" max="13" width="3.7109375" customWidth="1"/>
    <col min="14" max="16384" width="9.140625" hidden="1"/>
  </cols>
  <sheetData>
    <row r="1" spans="2:13" x14ac:dyDescent="0.25"/>
    <row r="2" spans="2:13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2" t="s">
        <v>1659</v>
      </c>
      <c r="L2" s="2" t="s">
        <v>1660</v>
      </c>
    </row>
    <row r="3" spans="2:13" x14ac:dyDescent="0.25">
      <c r="B3" s="1" t="s">
        <v>43</v>
      </c>
      <c r="C3" s="1">
        <v>1169</v>
      </c>
      <c r="D3" s="1" t="s">
        <v>1488</v>
      </c>
      <c r="E3" s="1" t="s">
        <v>1489</v>
      </c>
      <c r="F3" s="1" t="s">
        <v>1490</v>
      </c>
      <c r="G3" s="1" t="s">
        <v>1491</v>
      </c>
      <c r="H3" s="1" t="s">
        <v>1492</v>
      </c>
      <c r="I3" s="1" t="s">
        <v>1493</v>
      </c>
      <c r="J3" s="1" t="s">
        <v>1494</v>
      </c>
      <c r="K3" s="1" t="str">
        <f>+"'"&amp;TRIM(J3)&amp;"',"</f>
        <v>'2661006572',</v>
      </c>
      <c r="L3" s="1" t="str">
        <f>+K3</f>
        <v>'2661006572',</v>
      </c>
      <c r="M3" s="5" t="s">
        <v>1670</v>
      </c>
    </row>
    <row r="4" spans="2:13" x14ac:dyDescent="0.25">
      <c r="B4" s="1" t="s">
        <v>43</v>
      </c>
      <c r="C4" s="1">
        <v>1170</v>
      </c>
      <c r="D4" s="1" t="s">
        <v>1488</v>
      </c>
      <c r="E4" s="1" t="s">
        <v>1495</v>
      </c>
      <c r="F4" s="1" t="s">
        <v>1490</v>
      </c>
      <c r="G4" s="1" t="s">
        <v>1496</v>
      </c>
      <c r="H4" s="1" t="s">
        <v>1497</v>
      </c>
      <c r="I4" s="1" t="s">
        <v>1493</v>
      </c>
      <c r="J4" s="1" t="s">
        <v>1498</v>
      </c>
      <c r="K4" s="1" t="str">
        <f t="shared" ref="K4:K20" si="0">+"'"&amp;TRIM(J4)&amp;"',"</f>
        <v>'5100413732',</v>
      </c>
      <c r="L4" s="1" t="str">
        <f>+L3&amp;K4</f>
        <v>'2661006572','5100413732',</v>
      </c>
      <c r="M4" s="5" t="s">
        <v>1670</v>
      </c>
    </row>
    <row r="5" spans="2:13" x14ac:dyDescent="0.25">
      <c r="B5" s="1" t="s">
        <v>43</v>
      </c>
      <c r="C5" s="1">
        <v>1171</v>
      </c>
      <c r="D5" s="1" t="s">
        <v>1488</v>
      </c>
      <c r="E5" s="1" t="s">
        <v>1499</v>
      </c>
      <c r="F5" s="1" t="s">
        <v>1490</v>
      </c>
      <c r="G5" s="1" t="s">
        <v>1491</v>
      </c>
      <c r="H5" s="1" t="s">
        <v>1492</v>
      </c>
      <c r="I5" s="1" t="s">
        <v>1493</v>
      </c>
      <c r="J5" s="1" t="s">
        <v>1500</v>
      </c>
      <c r="K5" s="1" t="str">
        <f t="shared" si="0"/>
        <v>'7400325981',</v>
      </c>
      <c r="L5" s="1" t="str">
        <f t="shared" ref="L5:L20" si="1">+L4&amp;K5</f>
        <v>'2661006572','5100413732','7400325981',</v>
      </c>
      <c r="M5" s="5" t="s">
        <v>1670</v>
      </c>
    </row>
    <row r="6" spans="2:13" x14ac:dyDescent="0.25">
      <c r="B6" s="1" t="s">
        <v>43</v>
      </c>
      <c r="C6" s="1">
        <v>1172</v>
      </c>
      <c r="D6" s="1" t="s">
        <v>1488</v>
      </c>
      <c r="E6" s="1" t="s">
        <v>1501</v>
      </c>
      <c r="F6" s="1" t="s">
        <v>1490</v>
      </c>
      <c r="G6" s="1" t="s">
        <v>1502</v>
      </c>
      <c r="H6" s="1" t="s">
        <v>1497</v>
      </c>
      <c r="I6" s="1" t="s">
        <v>1493</v>
      </c>
      <c r="J6" s="1" t="s">
        <v>1503</v>
      </c>
      <c r="K6" s="1" t="str">
        <f t="shared" si="0"/>
        <v>'7400387010',</v>
      </c>
      <c r="L6" s="1" t="str">
        <f t="shared" si="1"/>
        <v>'2661006572','5100413732','7400325981','7400387010',</v>
      </c>
      <c r="M6" s="5" t="s">
        <v>1670</v>
      </c>
    </row>
    <row r="7" spans="2:13" x14ac:dyDescent="0.25">
      <c r="B7" s="1" t="s">
        <v>43</v>
      </c>
      <c r="C7" s="1">
        <v>1173</v>
      </c>
      <c r="D7" s="1" t="s">
        <v>1488</v>
      </c>
      <c r="E7" s="1" t="s">
        <v>1504</v>
      </c>
      <c r="F7" s="1" t="s">
        <v>1490</v>
      </c>
      <c r="G7" s="1" t="s">
        <v>1505</v>
      </c>
      <c r="H7" s="1" t="s">
        <v>1497</v>
      </c>
      <c r="I7" s="1" t="s">
        <v>1493</v>
      </c>
      <c r="J7" s="1" t="s">
        <v>1506</v>
      </c>
      <c r="K7" s="1" t="str">
        <f t="shared" si="0"/>
        <v>'7400427931',</v>
      </c>
      <c r="L7" s="1" t="str">
        <f t="shared" si="1"/>
        <v>'2661006572','5100413732','7400325981','7400387010','7400427931',</v>
      </c>
      <c r="M7" s="5" t="s">
        <v>1670</v>
      </c>
    </row>
    <row r="8" spans="2:13" x14ac:dyDescent="0.25">
      <c r="B8" s="1" t="s">
        <v>43</v>
      </c>
      <c r="C8" s="1">
        <v>1174</v>
      </c>
      <c r="D8" s="1" t="s">
        <v>1488</v>
      </c>
      <c r="E8" s="1" t="s">
        <v>1507</v>
      </c>
      <c r="F8" s="1" t="s">
        <v>1490</v>
      </c>
      <c r="G8" s="1" t="s">
        <v>1502</v>
      </c>
      <c r="H8" s="1" t="s">
        <v>1497</v>
      </c>
      <c r="I8" s="1" t="s">
        <v>1493</v>
      </c>
      <c r="J8" s="1" t="s">
        <v>1508</v>
      </c>
      <c r="K8" s="1" t="str">
        <f t="shared" si="0"/>
        <v>'7400670912',</v>
      </c>
      <c r="L8" s="1" t="str">
        <f t="shared" si="1"/>
        <v>'2661006572','5100413732','7400325981','7400387010','7400427931','7400670912',</v>
      </c>
      <c r="M8" s="5" t="s">
        <v>1670</v>
      </c>
    </row>
    <row r="9" spans="2:13" x14ac:dyDescent="0.25">
      <c r="B9" s="1" t="s">
        <v>43</v>
      </c>
      <c r="C9" s="1">
        <v>1175</v>
      </c>
      <c r="D9" s="1" t="s">
        <v>1488</v>
      </c>
      <c r="E9" s="1" t="s">
        <v>1509</v>
      </c>
      <c r="F9" s="1" t="s">
        <v>1490</v>
      </c>
      <c r="G9" s="1" t="s">
        <v>1510</v>
      </c>
      <c r="H9" s="1" t="s">
        <v>1497</v>
      </c>
      <c r="I9" s="1" t="s">
        <v>1493</v>
      </c>
      <c r="J9" s="1" t="s">
        <v>1511</v>
      </c>
      <c r="K9" s="1" t="str">
        <f t="shared" si="0"/>
        <v>'7400826571',</v>
      </c>
      <c r="L9" s="1" t="str">
        <f t="shared" si="1"/>
        <v>'2661006572','5100413732','7400325981','7400387010','7400427931','7400670912','7400826571',</v>
      </c>
      <c r="M9" s="5" t="s">
        <v>1670</v>
      </c>
    </row>
    <row r="10" spans="2:13" x14ac:dyDescent="0.25">
      <c r="B10" s="1" t="s">
        <v>43</v>
      </c>
      <c r="C10" s="1">
        <v>1176</v>
      </c>
      <c r="D10" s="1" t="s">
        <v>1488</v>
      </c>
      <c r="E10" s="1" t="s">
        <v>1512</v>
      </c>
      <c r="F10" s="1" t="s">
        <v>1490</v>
      </c>
      <c r="G10" s="1" t="s">
        <v>1496</v>
      </c>
      <c r="H10" s="1" t="s">
        <v>1497</v>
      </c>
      <c r="I10" s="1" t="s">
        <v>1493</v>
      </c>
      <c r="J10" s="1" t="s">
        <v>1513</v>
      </c>
      <c r="K10" s="1" t="str">
        <f t="shared" si="0"/>
        <v>'7401178577',</v>
      </c>
      <c r="L10" s="1" t="str">
        <f t="shared" si="1"/>
        <v>'2661006572','5100413732','7400325981','7400387010','7400427931','7400670912','7400826571','7401178577',</v>
      </c>
      <c r="M10" s="5" t="s">
        <v>1670</v>
      </c>
    </row>
    <row r="11" spans="2:13" x14ac:dyDescent="0.25">
      <c r="B11" s="1" t="s">
        <v>43</v>
      </c>
      <c r="C11" s="1">
        <v>1177</v>
      </c>
      <c r="D11" s="1" t="s">
        <v>1488</v>
      </c>
      <c r="E11" s="1" t="s">
        <v>1514</v>
      </c>
      <c r="F11" s="1" t="s">
        <v>1490</v>
      </c>
      <c r="G11" s="1" t="s">
        <v>1515</v>
      </c>
      <c r="H11" s="1" t="s">
        <v>1497</v>
      </c>
      <c r="I11" s="1" t="s">
        <v>1493</v>
      </c>
      <c r="J11" s="1" t="s">
        <v>1516</v>
      </c>
      <c r="K11" s="1" t="str">
        <f t="shared" si="0"/>
        <v>'7401486525',</v>
      </c>
      <c r="L11" s="1" t="str">
        <f t="shared" si="1"/>
        <v>'2661006572','5100413732','7400325981','7400387010','7400427931','7400670912','7400826571','7401178577','7401486525',</v>
      </c>
      <c r="M11" s="5" t="s">
        <v>1670</v>
      </c>
    </row>
    <row r="12" spans="2:13" x14ac:dyDescent="0.25">
      <c r="B12" s="1" t="s">
        <v>43</v>
      </c>
      <c r="C12" s="1">
        <v>1178</v>
      </c>
      <c r="D12" s="1" t="s">
        <v>1488</v>
      </c>
      <c r="E12" s="1" t="s">
        <v>1517</v>
      </c>
      <c r="F12" s="1" t="s">
        <v>1490</v>
      </c>
      <c r="G12" s="1" t="s">
        <v>1505</v>
      </c>
      <c r="H12" s="1" t="s">
        <v>1497</v>
      </c>
      <c r="I12" s="1" t="s">
        <v>1493</v>
      </c>
      <c r="J12" s="1" t="s">
        <v>1518</v>
      </c>
      <c r="K12" s="1" t="str">
        <f t="shared" si="0"/>
        <v>'7401729935',</v>
      </c>
      <c r="L12" s="1" t="str">
        <f t="shared" si="1"/>
        <v>'2661006572','5100413732','7400325981','7400387010','7400427931','7400670912','7400826571','7401178577','7401486525','7401729935',</v>
      </c>
      <c r="M12" s="5" t="s">
        <v>1670</v>
      </c>
    </row>
    <row r="13" spans="2:13" x14ac:dyDescent="0.25">
      <c r="B13" s="1" t="s">
        <v>43</v>
      </c>
      <c r="C13" s="1">
        <v>1179</v>
      </c>
      <c r="D13" s="1" t="s">
        <v>1488</v>
      </c>
      <c r="E13" s="1" t="s">
        <v>1519</v>
      </c>
      <c r="F13" s="1" t="s">
        <v>1490</v>
      </c>
      <c r="G13" s="1" t="s">
        <v>1520</v>
      </c>
      <c r="H13" s="1" t="s">
        <v>1497</v>
      </c>
      <c r="I13" s="1" t="s">
        <v>1493</v>
      </c>
      <c r="J13" s="1" t="s">
        <v>1521</v>
      </c>
      <c r="K13" s="1" t="str">
        <f t="shared" si="0"/>
        <v>'7402249336',</v>
      </c>
      <c r="L13" s="1" t="str">
        <f t="shared" si="1"/>
        <v>'2661006572','5100413732','7400325981','7400387010','7400427931','7400670912','7400826571','7401178577','7401486525','7401729935','7402249336',</v>
      </c>
      <c r="M13" s="5" t="s">
        <v>1670</v>
      </c>
    </row>
    <row r="14" spans="2:13" x14ac:dyDescent="0.25">
      <c r="B14" s="1" t="s">
        <v>43</v>
      </c>
      <c r="C14" s="1">
        <v>1180</v>
      </c>
      <c r="D14" s="1" t="s">
        <v>1488</v>
      </c>
      <c r="E14" s="1" t="s">
        <v>1522</v>
      </c>
      <c r="F14" s="1" t="s">
        <v>1490</v>
      </c>
      <c r="G14" s="1" t="s">
        <v>1523</v>
      </c>
      <c r="H14" s="1" t="s">
        <v>1497</v>
      </c>
      <c r="I14" s="1" t="s">
        <v>1493</v>
      </c>
      <c r="J14" s="1" t="s">
        <v>1524</v>
      </c>
      <c r="K14" s="1" t="str">
        <f t="shared" si="0"/>
        <v>'8020601611',</v>
      </c>
      <c r="L14" s="1" t="str">
        <f t="shared" si="1"/>
        <v>'2661006572','5100413732','7400325981','7400387010','7400427931','7400670912','7400826571','7401178577','7401486525','7401729935','7402249336','8020601611',</v>
      </c>
      <c r="M14" s="5" t="s">
        <v>1670</v>
      </c>
    </row>
    <row r="15" spans="2:13" x14ac:dyDescent="0.25">
      <c r="B15" s="1" t="s">
        <v>43</v>
      </c>
      <c r="C15" s="1">
        <v>1181</v>
      </c>
      <c r="D15" s="1" t="s">
        <v>1488</v>
      </c>
      <c r="E15" s="1" t="s">
        <v>1525</v>
      </c>
      <c r="F15" s="1" t="s">
        <v>1490</v>
      </c>
      <c r="G15" s="1" t="s">
        <v>1526</v>
      </c>
      <c r="H15" s="1" t="s">
        <v>1497</v>
      </c>
      <c r="I15" s="1" t="s">
        <v>1493</v>
      </c>
      <c r="J15" s="1" t="s">
        <v>1527</v>
      </c>
      <c r="K15" s="1" t="str">
        <f t="shared" si="0"/>
        <v>'8045509488',</v>
      </c>
      <c r="L15" s="1" t="str">
        <f t="shared" si="1"/>
        <v>'2661006572','5100413732','7400325981','7400387010','7400427931','7400670912','7400826571','7401178577','7401486525','7401729935','7402249336','8020601611','8045509488',</v>
      </c>
      <c r="M15" s="5" t="s">
        <v>1670</v>
      </c>
    </row>
    <row r="16" spans="2:13" x14ac:dyDescent="0.25">
      <c r="B16" s="1" t="s">
        <v>43</v>
      </c>
      <c r="C16" s="1">
        <v>1182</v>
      </c>
      <c r="D16" s="1" t="s">
        <v>1488</v>
      </c>
      <c r="E16" s="1" t="s">
        <v>1528</v>
      </c>
      <c r="F16" s="1" t="s">
        <v>1490</v>
      </c>
      <c r="G16" s="1" t="s">
        <v>1529</v>
      </c>
      <c r="H16" s="1" t="s">
        <v>1492</v>
      </c>
      <c r="I16" s="1" t="s">
        <v>1493</v>
      </c>
      <c r="J16" s="1" t="s">
        <v>1530</v>
      </c>
      <c r="K16" s="1" t="str">
        <f t="shared" si="0"/>
        <v>'8046593364',</v>
      </c>
      <c r="L16" s="1" t="str">
        <f t="shared" si="1"/>
        <v>'2661006572','5100413732','7400325981','7400387010','7400427931','7400670912','7400826571','7401178577','7401486525','7401729935','7402249336','8020601611','8045509488','8046593364',</v>
      </c>
      <c r="M16" s="5" t="s">
        <v>1670</v>
      </c>
    </row>
    <row r="17" spans="2:13" x14ac:dyDescent="0.25">
      <c r="B17" s="1" t="s">
        <v>43</v>
      </c>
      <c r="C17" s="1">
        <v>1183</v>
      </c>
      <c r="D17" s="1" t="s">
        <v>1488</v>
      </c>
      <c r="E17" s="1" t="s">
        <v>1531</v>
      </c>
      <c r="F17" s="1" t="s">
        <v>1490</v>
      </c>
      <c r="G17" s="1" t="s">
        <v>1532</v>
      </c>
      <c r="H17" s="1" t="s">
        <v>1492</v>
      </c>
      <c r="I17" s="1" t="s">
        <v>1493</v>
      </c>
      <c r="J17" s="1" t="s">
        <v>1533</v>
      </c>
      <c r="K17" s="1" t="str">
        <f t="shared" si="0"/>
        <v>'7401009221',</v>
      </c>
      <c r="L17" s="1" t="str">
        <f t="shared" si="1"/>
        <v>'2661006572','5100413732','7400325981','7400387010','7400427931','7400670912','7400826571','7401178577','7401486525','7401729935','7402249336','8020601611','8045509488','8046593364','7401009221',</v>
      </c>
      <c r="M17" s="5" t="s">
        <v>1670</v>
      </c>
    </row>
    <row r="18" spans="2:13" x14ac:dyDescent="0.25">
      <c r="B18" s="1" t="s">
        <v>43</v>
      </c>
      <c r="C18" s="1">
        <v>1184</v>
      </c>
      <c r="D18" s="1" t="s">
        <v>1488</v>
      </c>
      <c r="E18" s="1" t="s">
        <v>1534</v>
      </c>
      <c r="F18" s="1" t="s">
        <v>1490</v>
      </c>
      <c r="G18" s="1" t="s">
        <v>1535</v>
      </c>
      <c r="H18" s="1" t="s">
        <v>1492</v>
      </c>
      <c r="I18" s="1" t="s">
        <v>1493</v>
      </c>
      <c r="J18" s="1" t="s">
        <v>1536</v>
      </c>
      <c r="K18" s="1" t="str">
        <f t="shared" si="0"/>
        <v>'7400988336',</v>
      </c>
      <c r="L18" s="1" t="str">
        <f t="shared" si="1"/>
        <v>'2661006572','5100413732','7400325981','7400387010','7400427931','7400670912','7400826571','7401178577','7401486525','7401729935','7402249336','8020601611','8045509488','8046593364','7401009221','7400988336',</v>
      </c>
      <c r="M18" s="5" t="s">
        <v>1670</v>
      </c>
    </row>
    <row r="19" spans="2:13" x14ac:dyDescent="0.25">
      <c r="B19" s="1" t="s">
        <v>43</v>
      </c>
      <c r="C19" s="1">
        <v>1185</v>
      </c>
      <c r="D19" s="1" t="s">
        <v>1488</v>
      </c>
      <c r="E19" s="1" t="s">
        <v>1537</v>
      </c>
      <c r="F19" s="1" t="s">
        <v>1490</v>
      </c>
      <c r="G19" s="1" t="s">
        <v>1538</v>
      </c>
      <c r="H19" s="1" t="s">
        <v>1492</v>
      </c>
      <c r="I19" s="1" t="s">
        <v>1539</v>
      </c>
      <c r="J19" s="1" t="s">
        <v>1540</v>
      </c>
      <c r="K19" s="1" t="str">
        <f t="shared" si="0"/>
        <v>'7400378968',</v>
      </c>
      <c r="L19" s="1" t="str">
        <f t="shared" si="1"/>
        <v>'2661006572','5100413732','7400325981','7400387010','7400427931','7400670912','7400826571','7401178577','7401486525','7401729935','7402249336','8020601611','8045509488','8046593364','7401009221','7400988336','7400378968',</v>
      </c>
      <c r="M19" s="5" t="s">
        <v>1670</v>
      </c>
    </row>
    <row r="20" spans="2:13" x14ac:dyDescent="0.25">
      <c r="B20" s="1" t="s">
        <v>43</v>
      </c>
      <c r="C20" s="1">
        <v>1186</v>
      </c>
      <c r="D20" s="1" t="s">
        <v>1488</v>
      </c>
      <c r="E20" s="1" t="s">
        <v>1541</v>
      </c>
      <c r="F20" s="1" t="s">
        <v>1490</v>
      </c>
      <c r="G20" s="1" t="s">
        <v>1542</v>
      </c>
      <c r="H20" s="1" t="s">
        <v>1492</v>
      </c>
      <c r="I20" s="1" t="s">
        <v>1539</v>
      </c>
      <c r="J20" s="1" t="s">
        <v>1543</v>
      </c>
      <c r="K20" s="1" t="str">
        <f t="shared" si="0"/>
        <v>'7400171147',</v>
      </c>
      <c r="L20" s="1" t="str">
        <f t="shared" si="1"/>
        <v>'2661006572','5100413732','7400325981','7400387010','7400427931','7400670912','7400826571','7401178577','7401486525','7401729935','7402249336','8020601611','8045509488','8046593364','7401009221','7400988336','7400378968','7400171147',</v>
      </c>
      <c r="M20" s="5" t="s">
        <v>1670</v>
      </c>
    </row>
    <row r="21" spans="2:13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4"/>
  <sheetViews>
    <sheetView showGridLines="0" workbookViewId="0">
      <selection activeCell="P8" sqref="P8"/>
    </sheetView>
  </sheetViews>
  <sheetFormatPr defaultRowHeight="15" x14ac:dyDescent="0.25"/>
  <cols>
    <col min="1" max="1" width="3.7109375" customWidth="1"/>
    <col min="2" max="2" width="12.7109375" customWidth="1"/>
    <col min="3" max="3" width="9.7109375" customWidth="1"/>
    <col min="4" max="16" width="12.28515625" customWidth="1"/>
  </cols>
  <sheetData>
    <row r="2" spans="2:17" x14ac:dyDescent="0.25">
      <c r="B2" s="6" t="s">
        <v>2369</v>
      </c>
    </row>
    <row r="4" spans="2:17" x14ac:dyDescent="0.25">
      <c r="B4" s="2" t="s">
        <v>0</v>
      </c>
      <c r="C4" s="2" t="s">
        <v>1</v>
      </c>
      <c r="D4" s="2" t="s">
        <v>5</v>
      </c>
      <c r="E4" s="2" t="s">
        <v>6</v>
      </c>
      <c r="F4" s="2" t="s">
        <v>7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20</v>
      </c>
      <c r="L4" s="2" t="s">
        <v>23</v>
      </c>
      <c r="M4" s="2" t="s">
        <v>24</v>
      </c>
      <c r="N4" s="2" t="s">
        <v>30</v>
      </c>
      <c r="O4" s="2" t="s">
        <v>35</v>
      </c>
      <c r="P4" s="2" t="s">
        <v>36</v>
      </c>
      <c r="Q4" s="7"/>
    </row>
    <row r="5" spans="2:17" x14ac:dyDescent="0.25">
      <c r="B5" s="1" t="s">
        <v>43</v>
      </c>
      <c r="C5" s="1">
        <v>1187</v>
      </c>
      <c r="D5" s="1" t="s">
        <v>1545</v>
      </c>
      <c r="E5" s="1" t="s">
        <v>1546</v>
      </c>
      <c r="F5" s="1" t="s">
        <v>1539</v>
      </c>
      <c r="G5" s="1" t="s">
        <v>1547</v>
      </c>
      <c r="H5" s="1"/>
      <c r="I5" s="1"/>
      <c r="J5" s="1"/>
      <c r="K5" s="1"/>
      <c r="L5" s="1"/>
      <c r="M5" s="1"/>
      <c r="N5" s="1" t="s">
        <v>1548</v>
      </c>
      <c r="O5" s="1">
        <v>1</v>
      </c>
      <c r="P5" s="1" t="s">
        <v>53</v>
      </c>
      <c r="Q5" t="str">
        <f>+IF(LEN(TRIM(G5))&gt;0,UPPER($G$4)&amp;"='"&amp;TRIM(G5)&amp;"' ","")</f>
        <v xml:space="preserve">CKMETAMIS='in ('AL01')' </v>
      </c>
    </row>
    <row r="6" spans="2:17" x14ac:dyDescent="0.25">
      <c r="B6" s="1" t="s">
        <v>43</v>
      </c>
      <c r="C6" s="1">
        <v>1188</v>
      </c>
      <c r="D6" s="1" t="s">
        <v>1545</v>
      </c>
      <c r="E6" s="1" t="s">
        <v>1546</v>
      </c>
      <c r="F6" s="1" t="s">
        <v>1493</v>
      </c>
      <c r="G6" s="1"/>
      <c r="H6" s="1" t="s">
        <v>1550</v>
      </c>
      <c r="I6" s="1"/>
      <c r="J6" s="1"/>
      <c r="K6" s="1"/>
      <c r="L6" s="1"/>
      <c r="M6" s="1"/>
      <c r="N6" s="1"/>
      <c r="O6" s="1">
        <v>1</v>
      </c>
      <c r="P6" s="1" t="s">
        <v>53</v>
      </c>
    </row>
    <row r="7" spans="2:17" x14ac:dyDescent="0.25">
      <c r="B7" s="1" t="s">
        <v>43</v>
      </c>
      <c r="C7" s="1">
        <v>1189</v>
      </c>
      <c r="D7" s="1" t="s">
        <v>1545</v>
      </c>
      <c r="E7" s="1" t="s">
        <v>1546</v>
      </c>
      <c r="F7" s="1" t="s">
        <v>1539</v>
      </c>
      <c r="G7" s="1" t="s">
        <v>1658</v>
      </c>
      <c r="H7" s="1"/>
      <c r="I7" s="1"/>
      <c r="J7" s="1"/>
      <c r="K7" s="1"/>
      <c r="L7" s="1" t="s">
        <v>1552</v>
      </c>
      <c r="M7" s="1"/>
      <c r="N7" s="1"/>
      <c r="O7" s="1">
        <v>1</v>
      </c>
      <c r="P7" s="1" t="s">
        <v>49</v>
      </c>
    </row>
    <row r="8" spans="2:17" x14ac:dyDescent="0.25">
      <c r="B8" s="1" t="s">
        <v>43</v>
      </c>
      <c r="C8" s="1">
        <v>1190</v>
      </c>
      <c r="D8" s="1" t="s">
        <v>1545</v>
      </c>
      <c r="E8" s="1" t="s">
        <v>1546</v>
      </c>
      <c r="F8" s="1" t="s">
        <v>1539</v>
      </c>
      <c r="G8" s="1" t="s">
        <v>1658</v>
      </c>
      <c r="H8" s="1"/>
      <c r="I8" s="1"/>
      <c r="J8" s="1"/>
      <c r="K8" s="1"/>
      <c r="L8" s="1"/>
      <c r="M8" s="1" t="s">
        <v>1554</v>
      </c>
      <c r="N8" s="1"/>
      <c r="O8" s="1">
        <v>1</v>
      </c>
      <c r="P8" s="1" t="s">
        <v>49</v>
      </c>
    </row>
    <row r="9" spans="2:17" x14ac:dyDescent="0.25">
      <c r="B9" s="1" t="s">
        <v>43</v>
      </c>
      <c r="C9" s="1">
        <v>1191</v>
      </c>
      <c r="D9" s="1" t="s">
        <v>1545</v>
      </c>
      <c r="E9" s="1" t="s">
        <v>1546</v>
      </c>
      <c r="F9" s="1" t="s">
        <v>1539</v>
      </c>
      <c r="G9" s="1" t="s">
        <v>1556</v>
      </c>
      <c r="H9" s="1"/>
      <c r="I9" s="1"/>
      <c r="J9" s="1" t="s">
        <v>1557</v>
      </c>
      <c r="K9" s="1"/>
      <c r="L9" s="1"/>
      <c r="M9" s="1"/>
      <c r="N9" s="1"/>
      <c r="O9" s="1">
        <v>1</v>
      </c>
      <c r="P9" s="1" t="s">
        <v>209</v>
      </c>
    </row>
    <row r="10" spans="2:17" x14ac:dyDescent="0.25">
      <c r="B10" s="1" t="s">
        <v>43</v>
      </c>
      <c r="C10" s="1">
        <v>1192</v>
      </c>
      <c r="D10" s="1" t="s">
        <v>1545</v>
      </c>
      <c r="E10" s="1" t="s">
        <v>1546</v>
      </c>
      <c r="F10" s="1" t="s">
        <v>1539</v>
      </c>
      <c r="G10" s="1" t="s">
        <v>1559</v>
      </c>
      <c r="H10" s="1"/>
      <c r="I10" s="1"/>
      <c r="J10" s="1" t="s">
        <v>1557</v>
      </c>
      <c r="K10" s="1" t="s">
        <v>1560</v>
      </c>
      <c r="L10" s="1"/>
      <c r="M10" s="1"/>
      <c r="N10" s="1"/>
      <c r="O10" s="1">
        <v>1</v>
      </c>
      <c r="P10" s="8" t="s">
        <v>209</v>
      </c>
    </row>
    <row r="11" spans="2:17" x14ac:dyDescent="0.25">
      <c r="B11" s="1" t="s">
        <v>43</v>
      </c>
      <c r="C11" s="1">
        <v>1193</v>
      </c>
      <c r="D11" s="1" t="s">
        <v>1545</v>
      </c>
      <c r="E11" s="1" t="s">
        <v>1546</v>
      </c>
      <c r="F11" s="1" t="s">
        <v>1539</v>
      </c>
      <c r="G11" s="1" t="s">
        <v>1559</v>
      </c>
      <c r="H11" s="1"/>
      <c r="I11" s="1"/>
      <c r="J11" s="1" t="s">
        <v>1557</v>
      </c>
      <c r="K11" s="1" t="s">
        <v>1562</v>
      </c>
      <c r="L11" s="1"/>
      <c r="M11" s="1"/>
      <c r="N11" s="1"/>
      <c r="O11" s="1">
        <v>1</v>
      </c>
      <c r="P11" s="8" t="s">
        <v>60</v>
      </c>
    </row>
    <row r="12" spans="2:17" x14ac:dyDescent="0.25">
      <c r="B12" s="1" t="s">
        <v>43</v>
      </c>
      <c r="C12" s="1">
        <v>1194</v>
      </c>
      <c r="D12" s="1" t="s">
        <v>1545</v>
      </c>
      <c r="E12" s="1" t="s">
        <v>1546</v>
      </c>
      <c r="F12" s="1" t="s">
        <v>1539</v>
      </c>
      <c r="G12" s="1" t="s">
        <v>1564</v>
      </c>
      <c r="H12" s="1"/>
      <c r="I12" s="1"/>
      <c r="J12" s="1"/>
      <c r="K12" s="1"/>
      <c r="L12" s="1"/>
      <c r="M12" s="1"/>
      <c r="N12" s="1"/>
      <c r="O12" s="1">
        <v>1</v>
      </c>
      <c r="P12" s="1" t="s">
        <v>946</v>
      </c>
    </row>
    <row r="13" spans="2:17" x14ac:dyDescent="0.25">
      <c r="B13" s="1" t="s">
        <v>43</v>
      </c>
      <c r="C13" s="1">
        <v>1195</v>
      </c>
      <c r="D13" s="1" t="s">
        <v>1545</v>
      </c>
      <c r="E13" s="1" t="s">
        <v>1546</v>
      </c>
      <c r="F13" s="1" t="s">
        <v>1539</v>
      </c>
      <c r="G13" s="1" t="s">
        <v>1566</v>
      </c>
      <c r="H13" s="1"/>
      <c r="I13" s="1"/>
      <c r="J13" s="1" t="s">
        <v>1557</v>
      </c>
      <c r="K13" s="1"/>
      <c r="L13" s="1"/>
      <c r="M13" s="1"/>
      <c r="N13" s="1"/>
      <c r="O13" s="1">
        <v>1</v>
      </c>
      <c r="P13" s="1" t="s">
        <v>60</v>
      </c>
    </row>
    <row r="14" spans="2:17" x14ac:dyDescent="0.25">
      <c r="B14" s="1" t="s">
        <v>43</v>
      </c>
      <c r="C14" s="1">
        <v>1196</v>
      </c>
      <c r="D14" s="1" t="s">
        <v>1545</v>
      </c>
      <c r="E14" s="1" t="s">
        <v>1546</v>
      </c>
      <c r="F14" s="1" t="s">
        <v>1539</v>
      </c>
      <c r="G14" s="1"/>
      <c r="H14" s="1" t="s">
        <v>1568</v>
      </c>
      <c r="I14" s="1"/>
      <c r="J14" s="1"/>
      <c r="K14" s="1"/>
      <c r="L14" s="1"/>
      <c r="M14" s="1"/>
      <c r="N14" s="1"/>
      <c r="O14" s="1">
        <v>1</v>
      </c>
      <c r="P14" s="1" t="s">
        <v>1569</v>
      </c>
    </row>
    <row r="15" spans="2:17" x14ac:dyDescent="0.25">
      <c r="B15" s="1" t="s">
        <v>43</v>
      </c>
      <c r="C15" s="1">
        <v>1197</v>
      </c>
      <c r="D15" s="1" t="s">
        <v>1545</v>
      </c>
      <c r="E15" s="1" t="s">
        <v>1546</v>
      </c>
      <c r="F15" s="1" t="s">
        <v>1539</v>
      </c>
      <c r="G15" s="1" t="s">
        <v>1571</v>
      </c>
      <c r="H15" s="1"/>
      <c r="I15" s="1" t="s">
        <v>1572</v>
      </c>
      <c r="J15" s="1"/>
      <c r="K15" s="1"/>
      <c r="L15" s="1"/>
      <c r="M15" s="1"/>
      <c r="N15" s="1"/>
      <c r="O15" s="1">
        <v>1</v>
      </c>
      <c r="P15" s="1" t="s">
        <v>1573</v>
      </c>
    </row>
    <row r="17" spans="2:20" x14ac:dyDescent="0.25">
      <c r="B17" s="6" t="s">
        <v>2370</v>
      </c>
    </row>
    <row r="19" spans="2:20" x14ac:dyDescent="0.25">
      <c r="B19" s="6" t="s">
        <v>2285</v>
      </c>
      <c r="D19" s="6"/>
      <c r="E19" s="6" t="s">
        <v>1658</v>
      </c>
      <c r="H19" s="6" t="s">
        <v>1556</v>
      </c>
      <c r="K19" s="6" t="s">
        <v>1559</v>
      </c>
      <c r="L19" s="5" t="s">
        <v>1670</v>
      </c>
      <c r="M19" s="5" t="s">
        <v>1670</v>
      </c>
      <c r="N19" s="6" t="s">
        <v>1564</v>
      </c>
      <c r="Q19" s="6" t="s">
        <v>1566</v>
      </c>
      <c r="T19" s="6" t="s">
        <v>1571</v>
      </c>
    </row>
    <row r="20" spans="2:20" x14ac:dyDescent="0.25">
      <c r="B20" t="s">
        <v>2363</v>
      </c>
      <c r="C20" t="str">
        <f>+"'"&amp;TRIM(B20)&amp;"',"</f>
        <v>'AD0128',</v>
      </c>
      <c r="D20" t="str">
        <f>+C20</f>
        <v>'AD0128',</v>
      </c>
      <c r="E20" t="s">
        <v>2289</v>
      </c>
      <c r="F20" t="str">
        <f>+"'"&amp;TRIM(E20)&amp;"',"</f>
        <v>'AD0103',</v>
      </c>
      <c r="G20" t="str">
        <f>+F20</f>
        <v>'AD0103',</v>
      </c>
      <c r="H20" t="s">
        <v>2115</v>
      </c>
      <c r="I20" t="str">
        <f>+"'"&amp;TRIM(H20)&amp;"',"</f>
        <v>'AI0241',</v>
      </c>
      <c r="J20" t="str">
        <f>+I20</f>
        <v>'AI0241',</v>
      </c>
      <c r="K20" t="s">
        <v>2108</v>
      </c>
      <c r="L20" t="str">
        <f>+"'"&amp;TRIM(K20)&amp;"',"</f>
        <v>'AI0341',</v>
      </c>
      <c r="M20" t="str">
        <f>+L20</f>
        <v>'AI0341',</v>
      </c>
      <c r="N20" t="s">
        <v>2112</v>
      </c>
      <c r="O20" t="str">
        <f>+"'"&amp;TRIM(N20)&amp;"',"</f>
        <v>'AI0202',</v>
      </c>
      <c r="P20" t="str">
        <f>+O20</f>
        <v>'AI0202',</v>
      </c>
      <c r="Q20" t="s">
        <v>2127</v>
      </c>
      <c r="R20" t="str">
        <f>+"'"&amp;TRIM(Q20)&amp;"',"</f>
        <v>'AC01',</v>
      </c>
      <c r="S20" t="str">
        <f>+R20</f>
        <v>'AC01',</v>
      </c>
      <c r="T20" t="s">
        <v>2368</v>
      </c>
    </row>
    <row r="21" spans="2:20" x14ac:dyDescent="0.25">
      <c r="B21" t="s">
        <v>2361</v>
      </c>
      <c r="C21" t="str">
        <f t="shared" ref="C21:C27" si="0">+"'"&amp;TRIM(B21)&amp;"',"</f>
        <v>'AD0145',</v>
      </c>
      <c r="D21" t="str">
        <f>+D20&amp;C21</f>
        <v>'AD0128','AD0145',</v>
      </c>
      <c r="E21" t="s">
        <v>2340</v>
      </c>
      <c r="F21" t="str">
        <f t="shared" ref="F21:F27" si="1">+"'"&amp;TRIM(E21)&amp;"',"</f>
        <v>'AD0144',</v>
      </c>
      <c r="G21" t="str">
        <f>+G20&amp;F21</f>
        <v>'AD0103','AD0144',</v>
      </c>
      <c r="H21" t="s">
        <v>1767</v>
      </c>
      <c r="I21" t="str">
        <f t="shared" ref="I21:I23" si="2">+"'"&amp;TRIM(H21)&amp;"',"</f>
        <v>'AH0201',</v>
      </c>
      <c r="J21" t="str">
        <f>+J20&amp;I21</f>
        <v>'AI0241','AH0201',</v>
      </c>
      <c r="K21" t="s">
        <v>2098</v>
      </c>
      <c r="L21" t="str">
        <f t="shared" ref="L21:L64" si="3">+"'"&amp;TRIM(K21)&amp;"',"</f>
        <v>'AI0329',</v>
      </c>
      <c r="M21" t="str">
        <f>+M20&amp;L21</f>
        <v>'AI0341','AI0329',</v>
      </c>
      <c r="N21" t="s">
        <v>2110</v>
      </c>
      <c r="O21" t="str">
        <f t="shared" ref="O21:O27" si="4">+"'"&amp;TRIM(N21)&amp;"',"</f>
        <v>'AI0222',</v>
      </c>
      <c r="P21" t="str">
        <f>+P20&amp;O21</f>
        <v>'AI0202','AI0222',</v>
      </c>
      <c r="Q21" t="s">
        <v>2346</v>
      </c>
      <c r="R21" t="str">
        <f t="shared" ref="R21:R28" si="5">+"'"&amp;TRIM(Q21)&amp;"',"</f>
        <v>'AD0106',</v>
      </c>
      <c r="S21" t="str">
        <f>+S20&amp;R21</f>
        <v>'AC01','AD0106',</v>
      </c>
    </row>
    <row r="22" spans="2:20" x14ac:dyDescent="0.25">
      <c r="B22" t="s">
        <v>2362</v>
      </c>
      <c r="C22" t="str">
        <f t="shared" si="0"/>
        <v>'AD0108',</v>
      </c>
      <c r="D22" t="str">
        <f t="shared" ref="D22:D27" si="6">+D21&amp;C22</f>
        <v>'AD0128','AD0145','AD0108',</v>
      </c>
      <c r="E22" t="s">
        <v>2128</v>
      </c>
      <c r="F22" t="str">
        <f t="shared" si="1"/>
        <v>'AR0103',</v>
      </c>
      <c r="G22" t="str">
        <f t="shared" ref="G22:G27" si="7">+G21&amp;F22</f>
        <v>'AD0103','AD0144','AR0103',</v>
      </c>
      <c r="H22" t="s">
        <v>2113</v>
      </c>
      <c r="I22" t="str">
        <f t="shared" si="2"/>
        <v>'AI0221',</v>
      </c>
      <c r="J22" t="str">
        <f t="shared" ref="J22:J23" si="8">+J21&amp;I22</f>
        <v>'AI0241','AH0201','AI0221',</v>
      </c>
      <c r="K22" t="s">
        <v>1746</v>
      </c>
      <c r="L22" t="str">
        <f t="shared" si="3"/>
        <v>'AH0301',</v>
      </c>
      <c r="M22" t="str">
        <f t="shared" ref="M22:M64" si="9">+M21&amp;L22</f>
        <v>'AI0341','AI0329','AH0301',</v>
      </c>
      <c r="N22" t="s">
        <v>1766</v>
      </c>
      <c r="O22" t="str">
        <f t="shared" si="4"/>
        <v>'AH0202',</v>
      </c>
      <c r="P22" t="str">
        <f t="shared" ref="P22:P26" si="10">+P21&amp;O22</f>
        <v>'AI0202','AI0222','AH0202',</v>
      </c>
      <c r="Q22" t="s">
        <v>2293</v>
      </c>
      <c r="R22" t="str">
        <f t="shared" si="5"/>
        <v>'AR0106',</v>
      </c>
      <c r="S22" t="str">
        <f t="shared" ref="S22:S28" si="11">+S21&amp;R22</f>
        <v>'AC01','AD0106','AR0106',</v>
      </c>
    </row>
    <row r="23" spans="2:20" x14ac:dyDescent="0.25">
      <c r="B23" t="s">
        <v>2335</v>
      </c>
      <c r="C23" t="str">
        <f t="shared" si="0"/>
        <v>'AR0108',</v>
      </c>
      <c r="D23" t="str">
        <f t="shared" si="6"/>
        <v>'AD0128','AD0145','AD0108','AR0108',</v>
      </c>
      <c r="E23" t="s">
        <v>2288</v>
      </c>
      <c r="F23" t="str">
        <f t="shared" si="1"/>
        <v>'AD0123',</v>
      </c>
      <c r="G23" t="str">
        <f t="shared" si="7"/>
        <v>'AD0103','AD0144','AR0103','AD0123',</v>
      </c>
      <c r="H23" t="s">
        <v>2114</v>
      </c>
      <c r="I23" t="str">
        <f t="shared" si="2"/>
        <v>'AI0201',</v>
      </c>
      <c r="J23" t="str">
        <f t="shared" si="8"/>
        <v>'AI0241','AH0201','AI0221','AI0201',</v>
      </c>
      <c r="K23" t="s">
        <v>2076</v>
      </c>
      <c r="L23" t="str">
        <f t="shared" si="3"/>
        <v>'AI0306',</v>
      </c>
      <c r="M23" t="str">
        <f t="shared" si="9"/>
        <v>'AI0341','AI0329','AH0301','AI0306',</v>
      </c>
      <c r="N23" t="s">
        <v>2111</v>
      </c>
      <c r="O23" t="str">
        <f t="shared" si="4"/>
        <v>'AI0242',</v>
      </c>
      <c r="P23" t="str">
        <f t="shared" si="10"/>
        <v>'AI0202','AI0222','AH0202','AI0242',</v>
      </c>
      <c r="Q23" t="s">
        <v>2291</v>
      </c>
      <c r="R23" t="str">
        <f t="shared" si="5"/>
        <v>'AR0109',</v>
      </c>
      <c r="S23" t="str">
        <f t="shared" si="11"/>
        <v>'AC01','AD0106','AR0106','AR0109',</v>
      </c>
    </row>
    <row r="24" spans="2:20" x14ac:dyDescent="0.25">
      <c r="B24" t="s">
        <v>2359</v>
      </c>
      <c r="C24" t="str">
        <f t="shared" si="0"/>
        <v>'AD0125',</v>
      </c>
      <c r="D24" t="str">
        <f t="shared" si="6"/>
        <v>'AD0128','AD0145','AD0108','AR0108','AD0125',</v>
      </c>
      <c r="E24" t="s">
        <v>2341</v>
      </c>
      <c r="F24" t="str">
        <f t="shared" si="1"/>
        <v>'AD0124',</v>
      </c>
      <c r="G24" t="str">
        <f t="shared" si="7"/>
        <v>'AD0103','AD0144','AR0103','AD0123','AD0124',</v>
      </c>
      <c r="K24" t="s">
        <v>2091</v>
      </c>
      <c r="L24" t="str">
        <f t="shared" si="3"/>
        <v>'AI0350',</v>
      </c>
      <c r="M24" t="str">
        <f t="shared" si="9"/>
        <v>'AI0341','AI0329','AH0301','AI0306','AI0350',</v>
      </c>
      <c r="N24" t="s">
        <v>2096</v>
      </c>
      <c r="O24" t="str">
        <f t="shared" si="4"/>
        <v>'AI0313',</v>
      </c>
      <c r="P24" t="str">
        <f t="shared" si="10"/>
        <v>'AI0202','AI0222','AH0202','AI0242','AI0313',</v>
      </c>
      <c r="Q24" t="s">
        <v>2344</v>
      </c>
      <c r="R24" t="str">
        <f t="shared" si="5"/>
        <v>'AD0126',</v>
      </c>
      <c r="S24" t="str">
        <f t="shared" si="11"/>
        <v>'AC01','AD0106','AR0106','AR0109','AD0126',</v>
      </c>
    </row>
    <row r="25" spans="2:20" x14ac:dyDescent="0.25">
      <c r="B25" t="s">
        <v>2285</v>
      </c>
      <c r="C25" t="str">
        <f t="shared" si="0"/>
        <v>'AL01',</v>
      </c>
      <c r="D25" t="str">
        <f t="shared" si="6"/>
        <v>'AD0128','AD0145','AD0108','AR0108','AD0125','AL01',</v>
      </c>
      <c r="E25" t="s">
        <v>2339</v>
      </c>
      <c r="F25" t="str">
        <f t="shared" si="1"/>
        <v>'AD0104',</v>
      </c>
      <c r="G25" t="str">
        <f t="shared" si="7"/>
        <v>'AD0103','AD0144','AR0103','AD0123','AD0124','AD0104',</v>
      </c>
      <c r="K25" t="s">
        <v>2105</v>
      </c>
      <c r="L25" t="str">
        <f t="shared" si="3"/>
        <v>'AI0344',</v>
      </c>
      <c r="M25" t="str">
        <f t="shared" si="9"/>
        <v>'AI0341','AI0329','AH0301','AI0306','AI0350','AI0344',</v>
      </c>
      <c r="N25" t="s">
        <v>2094</v>
      </c>
      <c r="O25" t="str">
        <f t="shared" si="4"/>
        <v>'AI0333',</v>
      </c>
      <c r="P25" t="str">
        <f t="shared" si="10"/>
        <v>'AI0202','AI0222','AH0202','AI0242','AI0313','AI0333',</v>
      </c>
      <c r="Q25" t="s">
        <v>2342</v>
      </c>
      <c r="R25" t="str">
        <f t="shared" si="5"/>
        <v>'AD0109',</v>
      </c>
      <c r="S25" t="str">
        <f t="shared" si="11"/>
        <v>'AC01','AD0106','AR0106','AR0109','AD0126','AD0109',</v>
      </c>
    </row>
    <row r="26" spans="2:20" x14ac:dyDescent="0.25">
      <c r="B26" t="s">
        <v>2336</v>
      </c>
      <c r="C26" t="str">
        <f t="shared" si="0"/>
        <v>'AR0105',</v>
      </c>
      <c r="D26" t="str">
        <f t="shared" si="6"/>
        <v>'AD0128','AD0145','AD0108','AR0108','AD0125','AL01','AR0105',</v>
      </c>
      <c r="E26" t="s">
        <v>2290</v>
      </c>
      <c r="F26" t="str">
        <f t="shared" si="1"/>
        <v>'AD0143',</v>
      </c>
      <c r="G26" t="str">
        <f t="shared" si="7"/>
        <v>'AD0103','AD0144','AR0103','AD0123','AD0124','AD0104','AD0143',</v>
      </c>
      <c r="K26" t="s">
        <v>2092</v>
      </c>
      <c r="L26" t="str">
        <f t="shared" si="3"/>
        <v>'AI0303',</v>
      </c>
      <c r="M26" t="str">
        <f t="shared" si="9"/>
        <v>'AI0341','AI0329','AH0301','AI0306','AI0350','AI0344','AI0303',</v>
      </c>
      <c r="N26" t="s">
        <v>1740</v>
      </c>
      <c r="O26" t="str">
        <f t="shared" si="4"/>
        <v>'AH0313',</v>
      </c>
      <c r="P26" t="str">
        <f t="shared" si="10"/>
        <v>'AI0202','AI0222','AH0202','AI0242','AI0313','AI0333','AH0313',</v>
      </c>
      <c r="Q26" t="s">
        <v>2345</v>
      </c>
      <c r="R26" t="str">
        <f t="shared" si="5"/>
        <v>'AD0146',</v>
      </c>
      <c r="S26" t="str">
        <f t="shared" si="11"/>
        <v>'AC01','AD0106','AR0106','AR0109','AD0126','AD0109','AD0146',</v>
      </c>
    </row>
    <row r="27" spans="2:20" x14ac:dyDescent="0.25">
      <c r="B27" t="s">
        <v>2360</v>
      </c>
      <c r="C27" t="str">
        <f t="shared" si="0"/>
        <v>'AD0105',</v>
      </c>
      <c r="D27" t="str">
        <f t="shared" si="6"/>
        <v>'AD0128','AD0145','AD0108','AR0108','AD0125','AL01','AR0105','AD0105',</v>
      </c>
      <c r="E27" t="s">
        <v>2287</v>
      </c>
      <c r="F27" t="str">
        <f t="shared" si="1"/>
        <v>'AR0104',</v>
      </c>
      <c r="G27" t="str">
        <f t="shared" si="7"/>
        <v>'AD0103','AD0144','AR0103','AD0123','AD0124','AD0104','AD0143','AR0104',</v>
      </c>
      <c r="K27" t="s">
        <v>1754</v>
      </c>
      <c r="L27" t="str">
        <f t="shared" si="3"/>
        <v>'AH0310',</v>
      </c>
      <c r="M27" t="str">
        <f t="shared" si="9"/>
        <v>'AI0341','AI0329','AH0301','AI0306','AI0350','AI0344','AI0303','AH0310',</v>
      </c>
      <c r="N27" t="s">
        <v>2095</v>
      </c>
      <c r="O27" t="str">
        <f t="shared" si="4"/>
        <v>'AI0353',</v>
      </c>
      <c r="P27" t="str">
        <f t="shared" ref="P27" si="12">+P26&amp;O27</f>
        <v>'AI0202','AI0222','AH0202','AI0242','AI0313','AI0333','AH0313','AI0353',</v>
      </c>
      <c r="Q27" t="s">
        <v>2343</v>
      </c>
      <c r="R27" t="str">
        <f t="shared" si="5"/>
        <v>'AD0110',</v>
      </c>
      <c r="S27" t="str">
        <f t="shared" si="11"/>
        <v>'AC01','AD0106','AR0106','AR0109','AD0126','AD0109','AD0146','AD0110',</v>
      </c>
    </row>
    <row r="28" spans="2:20" x14ac:dyDescent="0.25">
      <c r="K28" t="s">
        <v>1741</v>
      </c>
      <c r="L28" t="str">
        <f t="shared" si="3"/>
        <v>'AH0304',</v>
      </c>
      <c r="M28" t="str">
        <f t="shared" si="9"/>
        <v>'AI0341','AI0329','AH0301','AI0306','AI0350','AI0344','AI0303','AH0310','AH0304',</v>
      </c>
      <c r="N28" s="5" t="s">
        <v>1670</v>
      </c>
      <c r="Q28" t="s">
        <v>2292</v>
      </c>
      <c r="R28" t="str">
        <f t="shared" si="5"/>
        <v>'AR0110',</v>
      </c>
      <c r="S28" t="str">
        <f t="shared" si="11"/>
        <v>'AC01','AD0106','AR0106','AR0109','AD0126','AD0109','AD0146','AD0110','AR0110',</v>
      </c>
    </row>
    <row r="29" spans="2:20" x14ac:dyDescent="0.25">
      <c r="K29" t="s">
        <v>2074</v>
      </c>
      <c r="L29" t="str">
        <f t="shared" si="3"/>
        <v>'AI0326',</v>
      </c>
      <c r="M29" t="str">
        <f t="shared" si="9"/>
        <v>'AI0341','AI0329','AH0301','AI0306','AI0350','AI0344','AI0303','AH0310','AH0304','AI0326',</v>
      </c>
      <c r="N29" s="5" t="s">
        <v>1670</v>
      </c>
    </row>
    <row r="30" spans="2:20" x14ac:dyDescent="0.25">
      <c r="K30" t="s">
        <v>2097</v>
      </c>
      <c r="L30" t="str">
        <f t="shared" si="3"/>
        <v>'AI0309',</v>
      </c>
      <c r="M30" t="str">
        <f t="shared" si="9"/>
        <v>'AI0341','AI0329','AH0301','AI0306','AI0350','AI0344','AI0303','AH0310','AH0304','AI0326','AI0309',</v>
      </c>
      <c r="N30" s="5" t="s">
        <v>1670</v>
      </c>
    </row>
    <row r="31" spans="2:20" x14ac:dyDescent="0.25">
      <c r="K31" t="s">
        <v>2089</v>
      </c>
      <c r="L31" t="str">
        <f t="shared" si="3"/>
        <v>'AI0330',</v>
      </c>
      <c r="M31" t="str">
        <f t="shared" si="9"/>
        <v>'AI0341','AI0329','AH0301','AI0306','AI0350','AI0344','AI0303','AH0310','AH0304','AI0326','AI0309','AI0330',</v>
      </c>
      <c r="N31" s="5" t="s">
        <v>1670</v>
      </c>
    </row>
    <row r="32" spans="2:20" x14ac:dyDescent="0.25">
      <c r="K32" t="s">
        <v>2107</v>
      </c>
      <c r="L32" t="str">
        <f t="shared" si="3"/>
        <v>'AI0321',</v>
      </c>
      <c r="M32" t="str">
        <f t="shared" si="9"/>
        <v>'AI0341','AI0329','AH0301','AI0306','AI0350','AI0344','AI0303','AH0310','AH0304','AI0326','AI0309','AI0330','AI0321',</v>
      </c>
      <c r="N32" s="5" t="s">
        <v>1670</v>
      </c>
    </row>
    <row r="33" spans="11:14" x14ac:dyDescent="0.25">
      <c r="K33" t="s">
        <v>1744</v>
      </c>
      <c r="L33" t="str">
        <f t="shared" si="3"/>
        <v>'AH0309',</v>
      </c>
      <c r="M33" t="str">
        <f t="shared" si="9"/>
        <v>'AI0341','AI0329','AH0301','AI0306','AI0350','AI0344','AI0303','AH0310','AH0304','AI0326','AI0309','AI0330','AI0321','AH0309',</v>
      </c>
      <c r="N33" s="5" t="s">
        <v>1670</v>
      </c>
    </row>
    <row r="34" spans="11:14" x14ac:dyDescent="0.25">
      <c r="K34" t="s">
        <v>2099</v>
      </c>
      <c r="L34" t="str">
        <f t="shared" si="3"/>
        <v>'AI0349',</v>
      </c>
      <c r="M34" t="str">
        <f t="shared" si="9"/>
        <v>'AI0341','AI0329','AH0301','AI0306','AI0350','AI0344','AI0303','AH0310','AH0304','AI0326','AI0309','AI0330','AI0321','AH0309','AI0349',</v>
      </c>
      <c r="N34" s="5" t="s">
        <v>1670</v>
      </c>
    </row>
    <row r="35" spans="11:14" x14ac:dyDescent="0.25">
      <c r="K35" t="s">
        <v>2075</v>
      </c>
      <c r="L35" t="str">
        <f t="shared" si="3"/>
        <v>'AI0346',</v>
      </c>
      <c r="M35" t="str">
        <f t="shared" si="9"/>
        <v>'AI0341','AI0329','AH0301','AI0306','AI0350','AI0344','AI0303','AH0310','AH0304','AI0326','AI0309','AI0330','AI0321','AH0309','AI0349','AI0346',</v>
      </c>
      <c r="N35" s="5" t="s">
        <v>1670</v>
      </c>
    </row>
    <row r="36" spans="11:14" x14ac:dyDescent="0.25">
      <c r="K36" t="s">
        <v>2109</v>
      </c>
      <c r="L36" t="str">
        <f t="shared" si="3"/>
        <v>'AI0301',</v>
      </c>
      <c r="M36" t="str">
        <f t="shared" si="9"/>
        <v>'AI0341','AI0329','AH0301','AI0306','AI0350','AI0344','AI0303','AH0310','AH0304','AI0326','AI0309','AI0330','AI0321','AH0309','AI0349','AI0346','AI0301',</v>
      </c>
      <c r="N36" s="5" t="s">
        <v>1670</v>
      </c>
    </row>
    <row r="37" spans="11:14" x14ac:dyDescent="0.25">
      <c r="K37" t="s">
        <v>1747</v>
      </c>
      <c r="L37" t="str">
        <f t="shared" si="3"/>
        <v>'AH0306',</v>
      </c>
      <c r="M37" t="str">
        <f t="shared" si="9"/>
        <v>'AI0341','AI0329','AH0301','AI0306','AI0350','AI0344','AI0303','AH0310','AH0304','AI0326','AI0309','AI0330','AI0321','AH0309','AI0349','AI0346','AI0301','AH0306',</v>
      </c>
      <c r="N37" s="5" t="s">
        <v>1670</v>
      </c>
    </row>
    <row r="38" spans="11:14" x14ac:dyDescent="0.25">
      <c r="K38" t="s">
        <v>2093</v>
      </c>
      <c r="L38" t="str">
        <f t="shared" si="3"/>
        <v>'AI0343',</v>
      </c>
      <c r="M38" t="str">
        <f t="shared" si="9"/>
        <v>'AI0341','AI0329','AH0301','AI0306','AI0350','AI0344','AI0303','AH0310','AH0304','AI0326','AI0309','AI0330','AI0321','AH0309','AI0349','AI0346','AI0301','AH0306','AI0343',</v>
      </c>
      <c r="N38" s="5" t="s">
        <v>1670</v>
      </c>
    </row>
    <row r="39" spans="11:14" x14ac:dyDescent="0.25">
      <c r="K39" t="s">
        <v>1751</v>
      </c>
      <c r="L39" t="str">
        <f t="shared" si="3"/>
        <v>'AH0303',</v>
      </c>
      <c r="M39" t="str">
        <f t="shared" si="9"/>
        <v>'AI0341','AI0329','AH0301','AI0306','AI0350','AI0344','AI0303','AH0310','AH0304','AI0326','AI0309','AI0330','AI0321','AH0309','AI0349','AI0346','AI0301','AH0306','AI0343','AH0303',</v>
      </c>
      <c r="N39" s="5" t="s">
        <v>1670</v>
      </c>
    </row>
    <row r="40" spans="11:14" x14ac:dyDescent="0.25">
      <c r="K40" t="s">
        <v>2090</v>
      </c>
      <c r="L40" t="str">
        <f t="shared" si="3"/>
        <v>'AI0310',</v>
      </c>
      <c r="M40" t="str">
        <f t="shared" si="9"/>
        <v>'AI0341','AI0329','AH0301','AI0306','AI0350','AI0344','AI0303','AH0310','AH0304','AI0326','AI0309','AI0330','AI0321','AH0309','AI0349','AI0346','AI0301','AH0306','AI0343','AH0303','AI0310',</v>
      </c>
      <c r="N40" s="5" t="s">
        <v>1670</v>
      </c>
    </row>
    <row r="41" spans="11:14" x14ac:dyDescent="0.25">
      <c r="K41" t="s">
        <v>2106</v>
      </c>
      <c r="L41" t="str">
        <f t="shared" si="3"/>
        <v>'AI0304',</v>
      </c>
      <c r="M41" t="str">
        <f t="shared" si="9"/>
        <v>'AI0341','AI0329','AH0301','AI0306','AI0350','AI0344','AI0303','AH0310','AH0304','AI0326','AI0309','AI0330','AI0321','AH0309','AI0349','AI0346','AI0301','AH0306','AI0343','AH0303','AI0310','AI0304',</v>
      </c>
      <c r="N41" s="5" t="s">
        <v>1670</v>
      </c>
    </row>
    <row r="42" spans="11:14" x14ac:dyDescent="0.25">
      <c r="K42" t="s">
        <v>2104</v>
      </c>
      <c r="L42" t="str">
        <f t="shared" si="3"/>
        <v>'AI0328',</v>
      </c>
      <c r="M42" t="str">
        <f t="shared" si="9"/>
        <v>'AI0341','AI0329','AH0301','AI0306','AI0350','AI0344','AI0303','AH0310','AH0304','AI0326','AI0309','AI0330','AI0321','AH0309','AI0349','AI0346','AI0301','AH0306','AI0343','AH0303','AI0310','AI0304','AI0328',</v>
      </c>
      <c r="N42" s="5" t="s">
        <v>1670</v>
      </c>
    </row>
    <row r="43" spans="11:14" x14ac:dyDescent="0.25">
      <c r="K43" t="s">
        <v>2077</v>
      </c>
      <c r="L43" t="str">
        <f t="shared" si="3"/>
        <v>'AI0307',</v>
      </c>
      <c r="M43" t="str">
        <f t="shared" si="9"/>
        <v>'AI0341','AI0329','AH0301','AI0306','AI0350','AI0344','AI0303','AH0310','AH0304','AI0326','AI0309','AI0330','AI0321','AH0309','AI0349','AI0346','AI0301','AH0306','AI0343','AH0303','AI0310','AI0304','AI0328','AI0307',</v>
      </c>
      <c r="N43" s="5" t="s">
        <v>1670</v>
      </c>
    </row>
    <row r="44" spans="11:14" x14ac:dyDescent="0.25">
      <c r="K44" t="s">
        <v>2084</v>
      </c>
      <c r="L44" t="str">
        <f t="shared" si="3"/>
        <v>'AI0302',</v>
      </c>
      <c r="M44" t="str">
        <f t="shared" si="9"/>
        <v>'AI0341','AI0329','AH0301','AI0306','AI0350','AI0344','AI0303','AH0310','AH0304','AI0326','AI0309','AI0330','AI0321','AH0309','AI0349','AI0346','AI0301','AH0306','AI0343','AH0303','AI0310','AI0304','AI0328','AI0307','AI0302',</v>
      </c>
      <c r="N44" s="5" t="s">
        <v>1670</v>
      </c>
    </row>
    <row r="45" spans="11:14" x14ac:dyDescent="0.25">
      <c r="K45" t="s">
        <v>1742</v>
      </c>
      <c r="L45" t="str">
        <f t="shared" si="3"/>
        <v>'AH0305',</v>
      </c>
      <c r="M45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</v>
      </c>
      <c r="N45" s="5" t="s">
        <v>1670</v>
      </c>
    </row>
    <row r="46" spans="11:14" x14ac:dyDescent="0.25">
      <c r="K46" t="s">
        <v>1743</v>
      </c>
      <c r="L46" t="str">
        <f t="shared" si="3"/>
        <v>'AH0311',</v>
      </c>
      <c r="M46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</v>
      </c>
      <c r="N46" s="5" t="s">
        <v>1670</v>
      </c>
    </row>
    <row r="47" spans="11:14" x14ac:dyDescent="0.25">
      <c r="K47" t="s">
        <v>2088</v>
      </c>
      <c r="L47" t="str">
        <f t="shared" si="3"/>
        <v>'AI0345',</v>
      </c>
      <c r="M47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</v>
      </c>
      <c r="N47" s="5" t="s">
        <v>1670</v>
      </c>
    </row>
    <row r="48" spans="11:14" x14ac:dyDescent="0.25">
      <c r="K48" t="s">
        <v>2081</v>
      </c>
      <c r="L48" t="str">
        <f t="shared" si="3"/>
        <v>'AI0351',</v>
      </c>
      <c r="M48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</v>
      </c>
      <c r="N48" s="5" t="s">
        <v>1670</v>
      </c>
    </row>
    <row r="49" spans="11:14" x14ac:dyDescent="0.25">
      <c r="K49" t="s">
        <v>2085</v>
      </c>
      <c r="L49" t="str">
        <f t="shared" si="3"/>
        <v>'AI0322',</v>
      </c>
      <c r="M49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</v>
      </c>
      <c r="N49" s="5" t="s">
        <v>1670</v>
      </c>
    </row>
    <row r="50" spans="11:14" x14ac:dyDescent="0.25">
      <c r="K50" t="s">
        <v>2101</v>
      </c>
      <c r="L50" t="str">
        <f t="shared" si="3"/>
        <v>'AI0360',</v>
      </c>
      <c r="M50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</v>
      </c>
      <c r="N50" s="5" t="s">
        <v>1670</v>
      </c>
    </row>
    <row r="51" spans="11:14" x14ac:dyDescent="0.25">
      <c r="K51" t="s">
        <v>1745</v>
      </c>
      <c r="L51" t="str">
        <f t="shared" si="3"/>
        <v>'AH0320',</v>
      </c>
      <c r="M51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</v>
      </c>
      <c r="N51" s="5" t="s">
        <v>1670</v>
      </c>
    </row>
    <row r="52" spans="11:14" x14ac:dyDescent="0.25">
      <c r="K52" t="s">
        <v>2079</v>
      </c>
      <c r="L52" t="str">
        <f t="shared" si="3"/>
        <v>'AI0327',</v>
      </c>
      <c r="M52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</v>
      </c>
      <c r="N52" s="5" t="s">
        <v>1670</v>
      </c>
    </row>
    <row r="53" spans="11:14" x14ac:dyDescent="0.25">
      <c r="K53" t="s">
        <v>2102</v>
      </c>
      <c r="L53" t="str">
        <f t="shared" si="3"/>
        <v>'AI0308',</v>
      </c>
      <c r="M53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</v>
      </c>
      <c r="N53" s="5" t="s">
        <v>1670</v>
      </c>
    </row>
    <row r="54" spans="11:14" x14ac:dyDescent="0.25">
      <c r="K54" t="s">
        <v>2087</v>
      </c>
      <c r="L54" t="str">
        <f t="shared" si="3"/>
        <v>'AI0325',</v>
      </c>
      <c r="M54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</v>
      </c>
      <c r="N54" s="5" t="s">
        <v>1670</v>
      </c>
    </row>
    <row r="55" spans="11:14" x14ac:dyDescent="0.25">
      <c r="K55" t="s">
        <v>2082</v>
      </c>
      <c r="L55" t="str">
        <f t="shared" si="3"/>
        <v>'AI0331',</v>
      </c>
      <c r="M55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</v>
      </c>
      <c r="N55" s="5" t="s">
        <v>1670</v>
      </c>
    </row>
    <row r="56" spans="11:14" x14ac:dyDescent="0.25">
      <c r="K56" t="s">
        <v>2103</v>
      </c>
      <c r="L56" t="str">
        <f t="shared" si="3"/>
        <v>'AI0348',</v>
      </c>
      <c r="M56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</v>
      </c>
      <c r="N56" s="5" t="s">
        <v>1670</v>
      </c>
    </row>
    <row r="57" spans="11:14" x14ac:dyDescent="0.25">
      <c r="K57" t="s">
        <v>2100</v>
      </c>
      <c r="L57" t="str">
        <f t="shared" si="3"/>
        <v>'AI0320',</v>
      </c>
      <c r="M57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</v>
      </c>
      <c r="N57" s="5" t="s">
        <v>1670</v>
      </c>
    </row>
    <row r="58" spans="11:14" x14ac:dyDescent="0.25">
      <c r="K58" t="s">
        <v>1750</v>
      </c>
      <c r="L58" t="str">
        <f t="shared" si="3"/>
        <v>'AH0308',</v>
      </c>
      <c r="M58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</v>
      </c>
      <c r="N58" s="5" t="s">
        <v>1670</v>
      </c>
    </row>
    <row r="59" spans="11:14" x14ac:dyDescent="0.25">
      <c r="K59" t="s">
        <v>1753</v>
      </c>
      <c r="L59" t="str">
        <f t="shared" si="3"/>
        <v>'AH0307',</v>
      </c>
      <c r="M59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</v>
      </c>
      <c r="N59" s="5" t="s">
        <v>1670</v>
      </c>
    </row>
    <row r="60" spans="11:14" x14ac:dyDescent="0.25">
      <c r="K60" t="s">
        <v>2078</v>
      </c>
      <c r="L60" t="str">
        <f t="shared" si="3"/>
        <v>'AI0347',</v>
      </c>
      <c r="M60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</v>
      </c>
      <c r="N60" s="5" t="s">
        <v>1670</v>
      </c>
    </row>
    <row r="61" spans="11:14" x14ac:dyDescent="0.25">
      <c r="K61" t="s">
        <v>1748</v>
      </c>
      <c r="L61" t="str">
        <f t="shared" si="3"/>
        <v>'AH0302',</v>
      </c>
      <c r="M61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</v>
      </c>
      <c r="N61" s="5" t="s">
        <v>1670</v>
      </c>
    </row>
    <row r="62" spans="11:14" x14ac:dyDescent="0.25">
      <c r="K62" t="s">
        <v>2086</v>
      </c>
      <c r="L62" t="str">
        <f t="shared" si="3"/>
        <v>'AI0305',</v>
      </c>
      <c r="M62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</v>
      </c>
      <c r="N62" s="5" t="s">
        <v>1670</v>
      </c>
    </row>
    <row r="63" spans="11:14" x14ac:dyDescent="0.25">
      <c r="K63" t="s">
        <v>2080</v>
      </c>
      <c r="L63" t="str">
        <f t="shared" si="3"/>
        <v>'AI0311',</v>
      </c>
      <c r="M63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'AI0311',</v>
      </c>
      <c r="N63" s="5" t="s">
        <v>1670</v>
      </c>
    </row>
    <row r="64" spans="11:14" x14ac:dyDescent="0.25">
      <c r="K64" t="s">
        <v>2083</v>
      </c>
      <c r="L64" t="str">
        <f t="shared" si="3"/>
        <v>'AI0342',</v>
      </c>
      <c r="M64" t="str">
        <f t="shared" si="9"/>
        <v>'AI0341','AI0329','AH0301','AI0306','AI0350','AI0344','AI0303','AH0310','AH0304','AI0326','AI0309','AI0330','AI0321','AH0309','AI0349','AI0346','AI0301','AH0306','AI0343','AH0303','AI0310','AI0304','AI0328','AI0307','AI0302','AH0305','AH0311','AI0345','AI0351','AI0322','AI0360','AH0320','AI0327','AI0308','AI0325','AI0331','AI0348','AI0320','AH0308','AH0307','AI0347','AH0302','AI0305','AI0311','AI0342',</v>
      </c>
      <c r="N64" s="5" t="s">
        <v>1670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78"/>
  <sheetViews>
    <sheetView workbookViewId="0">
      <selection activeCell="M635" sqref="M635"/>
    </sheetView>
  </sheetViews>
  <sheetFormatPr defaultColWidth="11.42578125" defaultRowHeight="15" x14ac:dyDescent="0.25"/>
  <sheetData>
    <row r="1" spans="1:23" x14ac:dyDescent="0.25">
      <c r="A1" t="s">
        <v>1671</v>
      </c>
      <c r="B1" t="s">
        <v>1672</v>
      </c>
      <c r="C1" t="s">
        <v>1673</v>
      </c>
      <c r="D1" t="s">
        <v>1674</v>
      </c>
      <c r="E1" t="s">
        <v>1675</v>
      </c>
      <c r="F1" t="s">
        <v>1676</v>
      </c>
      <c r="G1" t="s">
        <v>1677</v>
      </c>
      <c r="H1" t="s">
        <v>1678</v>
      </c>
      <c r="I1" t="s">
        <v>1679</v>
      </c>
      <c r="J1" t="s">
        <v>1680</v>
      </c>
      <c r="K1" t="s">
        <v>1681</v>
      </c>
      <c r="L1" t="s">
        <v>1682</v>
      </c>
      <c r="M1" t="s">
        <v>1683</v>
      </c>
      <c r="N1" t="s">
        <v>1684</v>
      </c>
      <c r="O1" t="s">
        <v>1685</v>
      </c>
      <c r="P1" t="s">
        <v>1686</v>
      </c>
      <c r="Q1" t="s">
        <v>1687</v>
      </c>
      <c r="R1" t="s">
        <v>1688</v>
      </c>
      <c r="U1" t="s">
        <v>2130</v>
      </c>
      <c r="V1" t="s">
        <v>2276</v>
      </c>
      <c r="W1" t="s">
        <v>2330</v>
      </c>
    </row>
    <row r="2" spans="1:23" hidden="1" x14ac:dyDescent="0.25">
      <c r="A2" t="s">
        <v>1689</v>
      </c>
      <c r="B2" t="s">
        <v>1690</v>
      </c>
      <c r="C2" t="s">
        <v>1691</v>
      </c>
      <c r="D2" t="s">
        <v>1692</v>
      </c>
      <c r="E2" t="s">
        <v>1693</v>
      </c>
      <c r="F2" t="s">
        <v>1694</v>
      </c>
      <c r="G2" s="26" t="s">
        <v>1695</v>
      </c>
      <c r="H2" t="s">
        <v>1695</v>
      </c>
      <c r="I2" t="s">
        <v>1695</v>
      </c>
      <c r="J2" t="s">
        <v>1695</v>
      </c>
      <c r="K2" t="s">
        <v>1695</v>
      </c>
      <c r="L2" t="s">
        <v>1695</v>
      </c>
      <c r="M2" t="s">
        <v>1695</v>
      </c>
      <c r="N2" t="s">
        <v>1696</v>
      </c>
      <c r="O2" t="s">
        <v>1697</v>
      </c>
      <c r="P2" t="s">
        <v>1493</v>
      </c>
      <c r="Q2">
        <v>1</v>
      </c>
      <c r="R2">
        <v>1</v>
      </c>
      <c r="S2" t="b">
        <f>H2=M2</f>
        <v>1</v>
      </c>
    </row>
    <row r="3" spans="1:23" hidden="1" x14ac:dyDescent="0.25">
      <c r="A3" t="s">
        <v>1689</v>
      </c>
      <c r="B3" t="s">
        <v>1690</v>
      </c>
      <c r="C3" t="s">
        <v>1691</v>
      </c>
      <c r="D3" t="s">
        <v>1692</v>
      </c>
      <c r="E3" t="s">
        <v>1693</v>
      </c>
      <c r="F3" t="s">
        <v>1694</v>
      </c>
      <c r="G3" t="s">
        <v>1698</v>
      </c>
      <c r="H3" t="s">
        <v>1698</v>
      </c>
      <c r="I3" t="s">
        <v>1698</v>
      </c>
      <c r="J3" t="s">
        <v>1698</v>
      </c>
      <c r="K3" t="s">
        <v>1698</v>
      </c>
      <c r="L3" t="s">
        <v>1698</v>
      </c>
      <c r="M3" t="s">
        <v>1698</v>
      </c>
      <c r="N3" t="s">
        <v>1696</v>
      </c>
      <c r="O3" t="s">
        <v>1697</v>
      </c>
      <c r="P3" t="s">
        <v>1493</v>
      </c>
      <c r="Q3">
        <v>1</v>
      </c>
      <c r="R3">
        <v>1</v>
      </c>
      <c r="S3" t="b">
        <f t="shared" ref="S3:S66" si="0">H3=M3</f>
        <v>1</v>
      </c>
    </row>
    <row r="4" spans="1:23" hidden="1" x14ac:dyDescent="0.25">
      <c r="A4" t="s">
        <v>1689</v>
      </c>
      <c r="B4" t="s">
        <v>1690</v>
      </c>
      <c r="C4" t="s">
        <v>1691</v>
      </c>
      <c r="D4" t="s">
        <v>1692</v>
      </c>
      <c r="E4" t="s">
        <v>1693</v>
      </c>
      <c r="F4" t="s">
        <v>1694</v>
      </c>
      <c r="G4" t="s">
        <v>1699</v>
      </c>
      <c r="H4" t="s">
        <v>1699</v>
      </c>
      <c r="I4" t="s">
        <v>1699</v>
      </c>
      <c r="J4" t="s">
        <v>1699</v>
      </c>
      <c r="K4" t="s">
        <v>1699</v>
      </c>
      <c r="L4" t="s">
        <v>1699</v>
      </c>
      <c r="M4" t="s">
        <v>1699</v>
      </c>
      <c r="N4" t="s">
        <v>1696</v>
      </c>
      <c r="O4" t="s">
        <v>1697</v>
      </c>
      <c r="P4" t="s">
        <v>1493</v>
      </c>
      <c r="Q4">
        <v>1</v>
      </c>
      <c r="R4">
        <v>1</v>
      </c>
      <c r="S4" t="b">
        <f t="shared" si="0"/>
        <v>1</v>
      </c>
    </row>
    <row r="5" spans="1:23" hidden="1" x14ac:dyDescent="0.25">
      <c r="A5" t="s">
        <v>1689</v>
      </c>
      <c r="B5" t="s">
        <v>1700</v>
      </c>
      <c r="C5" t="s">
        <v>1701</v>
      </c>
      <c r="D5" t="s">
        <v>1702</v>
      </c>
      <c r="E5" t="s">
        <v>1703</v>
      </c>
      <c r="F5" t="s">
        <v>1703</v>
      </c>
      <c r="G5" t="s">
        <v>1703</v>
      </c>
      <c r="H5" t="s">
        <v>1703</v>
      </c>
      <c r="I5" t="s">
        <v>1703</v>
      </c>
      <c r="J5" t="s">
        <v>1703</v>
      </c>
      <c r="K5" t="s">
        <v>1703</v>
      </c>
      <c r="L5" t="s">
        <v>1703</v>
      </c>
      <c r="M5" t="s">
        <v>1703</v>
      </c>
      <c r="N5" t="s">
        <v>1696</v>
      </c>
      <c r="O5" t="s">
        <v>1697</v>
      </c>
      <c r="P5" t="s">
        <v>1493</v>
      </c>
      <c r="Q5">
        <v>1</v>
      </c>
      <c r="R5">
        <v>1</v>
      </c>
      <c r="S5" t="b">
        <f t="shared" si="0"/>
        <v>1</v>
      </c>
    </row>
    <row r="6" spans="1:23" hidden="1" x14ac:dyDescent="0.25">
      <c r="A6" t="s">
        <v>1689</v>
      </c>
      <c r="B6" t="s">
        <v>1700</v>
      </c>
      <c r="C6" t="s">
        <v>1701</v>
      </c>
      <c r="D6" t="s">
        <v>1702</v>
      </c>
      <c r="E6" t="s">
        <v>1704</v>
      </c>
      <c r="F6" t="s">
        <v>1704</v>
      </c>
      <c r="G6" t="s">
        <v>1704</v>
      </c>
      <c r="H6" t="s">
        <v>1704</v>
      </c>
      <c r="I6" t="s">
        <v>1704</v>
      </c>
      <c r="J6" t="s">
        <v>1704</v>
      </c>
      <c r="K6" t="s">
        <v>1704</v>
      </c>
      <c r="L6" t="s">
        <v>1704</v>
      </c>
      <c r="M6" t="s">
        <v>1704</v>
      </c>
      <c r="N6" t="s">
        <v>1696</v>
      </c>
      <c r="O6" t="s">
        <v>1697</v>
      </c>
      <c r="P6" t="s">
        <v>1493</v>
      </c>
      <c r="Q6">
        <v>1</v>
      </c>
      <c r="R6">
        <v>1</v>
      </c>
      <c r="S6" t="b">
        <f t="shared" si="0"/>
        <v>1</v>
      </c>
    </row>
    <row r="7" spans="1:23" hidden="1" x14ac:dyDescent="0.25">
      <c r="A7" t="s">
        <v>1689</v>
      </c>
      <c r="B7" t="s">
        <v>1700</v>
      </c>
      <c r="C7" t="s">
        <v>1701</v>
      </c>
      <c r="D7" t="s">
        <v>1702</v>
      </c>
      <c r="E7" t="s">
        <v>1705</v>
      </c>
      <c r="F7" t="s">
        <v>1705</v>
      </c>
      <c r="G7" t="s">
        <v>1705</v>
      </c>
      <c r="H7" t="s">
        <v>1705</v>
      </c>
      <c r="I7" t="s">
        <v>1705</v>
      </c>
      <c r="J7" t="s">
        <v>1705</v>
      </c>
      <c r="K7" t="s">
        <v>1705</v>
      </c>
      <c r="L7" t="s">
        <v>1705</v>
      </c>
      <c r="M7" t="s">
        <v>1705</v>
      </c>
      <c r="N7" t="s">
        <v>1696</v>
      </c>
      <c r="O7" t="s">
        <v>1697</v>
      </c>
      <c r="P7" t="s">
        <v>1493</v>
      </c>
      <c r="Q7">
        <v>1</v>
      </c>
      <c r="R7">
        <v>1</v>
      </c>
      <c r="S7" t="b">
        <f t="shared" si="0"/>
        <v>1</v>
      </c>
    </row>
    <row r="8" spans="1:23" hidden="1" x14ac:dyDescent="0.25">
      <c r="A8" t="s">
        <v>1689</v>
      </c>
      <c r="B8" t="s">
        <v>1700</v>
      </c>
      <c r="C8" t="s">
        <v>1701</v>
      </c>
      <c r="D8" t="s">
        <v>1702</v>
      </c>
      <c r="E8" t="s">
        <v>1706</v>
      </c>
      <c r="F8" t="s">
        <v>1706</v>
      </c>
      <c r="G8" t="s">
        <v>1706</v>
      </c>
      <c r="H8" t="s">
        <v>1706</v>
      </c>
      <c r="I8" t="s">
        <v>1706</v>
      </c>
      <c r="J8" t="s">
        <v>1706</v>
      </c>
      <c r="K8" t="s">
        <v>1706</v>
      </c>
      <c r="L8" t="s">
        <v>1706</v>
      </c>
      <c r="M8" t="s">
        <v>1706</v>
      </c>
      <c r="N8" t="s">
        <v>1696</v>
      </c>
      <c r="O8" t="s">
        <v>1697</v>
      </c>
      <c r="P8" t="s">
        <v>1493</v>
      </c>
      <c r="Q8">
        <v>1</v>
      </c>
      <c r="R8">
        <v>1</v>
      </c>
      <c r="S8" t="b">
        <f t="shared" si="0"/>
        <v>1</v>
      </c>
    </row>
    <row r="9" spans="1:23" hidden="1" x14ac:dyDescent="0.25">
      <c r="A9" t="s">
        <v>1689</v>
      </c>
      <c r="B9" t="s">
        <v>1700</v>
      </c>
      <c r="C9" t="s">
        <v>1701</v>
      </c>
      <c r="D9" t="s">
        <v>1702</v>
      </c>
      <c r="E9" t="s">
        <v>1707</v>
      </c>
      <c r="F9" t="s">
        <v>1707</v>
      </c>
      <c r="G9" t="s">
        <v>1707</v>
      </c>
      <c r="H9" t="s">
        <v>1707</v>
      </c>
      <c r="I9" t="s">
        <v>1707</v>
      </c>
      <c r="J9" t="s">
        <v>1707</v>
      </c>
      <c r="K9" t="s">
        <v>1707</v>
      </c>
      <c r="L9" t="s">
        <v>1707</v>
      </c>
      <c r="M9" t="s">
        <v>1707</v>
      </c>
      <c r="N9" t="s">
        <v>1696</v>
      </c>
      <c r="O9" t="s">
        <v>1697</v>
      </c>
      <c r="P9" t="s">
        <v>1493</v>
      </c>
      <c r="Q9">
        <v>1</v>
      </c>
      <c r="R9">
        <v>1</v>
      </c>
      <c r="S9" t="b">
        <f t="shared" si="0"/>
        <v>1</v>
      </c>
    </row>
    <row r="10" spans="1:23" hidden="1" x14ac:dyDescent="0.25">
      <c r="A10" t="s">
        <v>1689</v>
      </c>
      <c r="B10" t="s">
        <v>1700</v>
      </c>
      <c r="C10" t="s">
        <v>1701</v>
      </c>
      <c r="D10" t="s">
        <v>1702</v>
      </c>
      <c r="E10" t="s">
        <v>1708</v>
      </c>
      <c r="F10" t="s">
        <v>1708</v>
      </c>
      <c r="G10" t="s">
        <v>1708</v>
      </c>
      <c r="H10" t="s">
        <v>1708</v>
      </c>
      <c r="I10" t="s">
        <v>1708</v>
      </c>
      <c r="J10" t="s">
        <v>1708</v>
      </c>
      <c r="K10" t="s">
        <v>1708</v>
      </c>
      <c r="L10" t="s">
        <v>1708</v>
      </c>
      <c r="M10" t="s">
        <v>1708</v>
      </c>
      <c r="N10" t="s">
        <v>1696</v>
      </c>
      <c r="O10" t="s">
        <v>1697</v>
      </c>
      <c r="P10" t="s">
        <v>1493</v>
      </c>
      <c r="Q10">
        <v>1</v>
      </c>
      <c r="R10">
        <v>1</v>
      </c>
      <c r="S10" t="b">
        <f t="shared" si="0"/>
        <v>1</v>
      </c>
    </row>
    <row r="11" spans="1:23" hidden="1" x14ac:dyDescent="0.25">
      <c r="A11" t="s">
        <v>1689</v>
      </c>
      <c r="B11" t="s">
        <v>1700</v>
      </c>
      <c r="C11" t="s">
        <v>1701</v>
      </c>
      <c r="D11" t="s">
        <v>1702</v>
      </c>
      <c r="E11" t="s">
        <v>1709</v>
      </c>
      <c r="F11" t="s">
        <v>1709</v>
      </c>
      <c r="G11" t="s">
        <v>1709</v>
      </c>
      <c r="H11" t="s">
        <v>1709</v>
      </c>
      <c r="I11" t="s">
        <v>1709</v>
      </c>
      <c r="J11" t="s">
        <v>1709</v>
      </c>
      <c r="K11" t="s">
        <v>1709</v>
      </c>
      <c r="L11" t="s">
        <v>1709</v>
      </c>
      <c r="M11" t="s">
        <v>1709</v>
      </c>
      <c r="N11" t="s">
        <v>1696</v>
      </c>
      <c r="O11" t="s">
        <v>1697</v>
      </c>
      <c r="P11" t="s">
        <v>1493</v>
      </c>
      <c r="Q11">
        <v>1</v>
      </c>
      <c r="R11">
        <v>1</v>
      </c>
      <c r="S11" t="b">
        <f t="shared" si="0"/>
        <v>1</v>
      </c>
    </row>
    <row r="12" spans="1:23" hidden="1" x14ac:dyDescent="0.25">
      <c r="A12" t="s">
        <v>1689</v>
      </c>
      <c r="B12" t="s">
        <v>1700</v>
      </c>
      <c r="C12" t="s">
        <v>1701</v>
      </c>
      <c r="D12" t="s">
        <v>1702</v>
      </c>
      <c r="E12" t="s">
        <v>1710</v>
      </c>
      <c r="F12" t="s">
        <v>1710</v>
      </c>
      <c r="G12" t="s">
        <v>1710</v>
      </c>
      <c r="H12" t="s">
        <v>1710</v>
      </c>
      <c r="I12" t="s">
        <v>1710</v>
      </c>
      <c r="J12" t="s">
        <v>1710</v>
      </c>
      <c r="K12" t="s">
        <v>1710</v>
      </c>
      <c r="L12" t="s">
        <v>1710</v>
      </c>
      <c r="M12" t="s">
        <v>1710</v>
      </c>
      <c r="N12" t="s">
        <v>1696</v>
      </c>
      <c r="O12" t="s">
        <v>1697</v>
      </c>
      <c r="P12" t="s">
        <v>1493</v>
      </c>
      <c r="Q12">
        <v>1</v>
      </c>
      <c r="R12">
        <v>1</v>
      </c>
      <c r="S12" t="b">
        <f t="shared" si="0"/>
        <v>1</v>
      </c>
    </row>
    <row r="13" spans="1:23" hidden="1" x14ac:dyDescent="0.25">
      <c r="A13" t="s">
        <v>1689</v>
      </c>
      <c r="B13" t="s">
        <v>1700</v>
      </c>
      <c r="C13" t="s">
        <v>1701</v>
      </c>
      <c r="D13" t="s">
        <v>1702</v>
      </c>
      <c r="E13" t="s">
        <v>1711</v>
      </c>
      <c r="F13" t="s">
        <v>1711</v>
      </c>
      <c r="G13" t="s">
        <v>1711</v>
      </c>
      <c r="H13" t="s">
        <v>1711</v>
      </c>
      <c r="I13" t="s">
        <v>1711</v>
      </c>
      <c r="J13" t="s">
        <v>1711</v>
      </c>
      <c r="K13" t="s">
        <v>1711</v>
      </c>
      <c r="L13" t="s">
        <v>1711</v>
      </c>
      <c r="M13" t="s">
        <v>1711</v>
      </c>
      <c r="N13" t="s">
        <v>1696</v>
      </c>
      <c r="O13" t="s">
        <v>1697</v>
      </c>
      <c r="P13" t="s">
        <v>1493</v>
      </c>
      <c r="Q13">
        <v>1</v>
      </c>
      <c r="R13">
        <v>1</v>
      </c>
      <c r="S13" t="b">
        <f t="shared" si="0"/>
        <v>1</v>
      </c>
    </row>
    <row r="14" spans="1:23" hidden="1" x14ac:dyDescent="0.25">
      <c r="A14" t="s">
        <v>1689</v>
      </c>
      <c r="B14" t="s">
        <v>1700</v>
      </c>
      <c r="C14" t="s">
        <v>1701</v>
      </c>
      <c r="D14" t="s">
        <v>1702</v>
      </c>
      <c r="E14" t="s">
        <v>1712</v>
      </c>
      <c r="F14" t="s">
        <v>1712</v>
      </c>
      <c r="G14" t="s">
        <v>1712</v>
      </c>
      <c r="H14" t="s">
        <v>1712</v>
      </c>
      <c r="I14" t="s">
        <v>1712</v>
      </c>
      <c r="J14" t="s">
        <v>1712</v>
      </c>
      <c r="K14" t="s">
        <v>1712</v>
      </c>
      <c r="L14" t="s">
        <v>1712</v>
      </c>
      <c r="M14" t="s">
        <v>1712</v>
      </c>
      <c r="N14" t="s">
        <v>1696</v>
      </c>
      <c r="O14" t="s">
        <v>1697</v>
      </c>
      <c r="P14" t="s">
        <v>1493</v>
      </c>
      <c r="Q14">
        <v>1</v>
      </c>
      <c r="R14">
        <v>1</v>
      </c>
      <c r="S14" t="b">
        <f t="shared" si="0"/>
        <v>1</v>
      </c>
    </row>
    <row r="15" spans="1:23" hidden="1" x14ac:dyDescent="0.25">
      <c r="A15" t="s">
        <v>1689</v>
      </c>
      <c r="B15" t="s">
        <v>1700</v>
      </c>
      <c r="C15" t="s">
        <v>1701</v>
      </c>
      <c r="D15" t="s">
        <v>1702</v>
      </c>
      <c r="E15" t="s">
        <v>1713</v>
      </c>
      <c r="F15" t="s">
        <v>1713</v>
      </c>
      <c r="G15" t="s">
        <v>1713</v>
      </c>
      <c r="H15" t="s">
        <v>1713</v>
      </c>
      <c r="I15" t="s">
        <v>1713</v>
      </c>
      <c r="J15" t="s">
        <v>1713</v>
      </c>
      <c r="K15" t="s">
        <v>1713</v>
      </c>
      <c r="L15" t="s">
        <v>1713</v>
      </c>
      <c r="M15" t="s">
        <v>1713</v>
      </c>
      <c r="N15" t="s">
        <v>1696</v>
      </c>
      <c r="O15" t="s">
        <v>1697</v>
      </c>
      <c r="P15" t="s">
        <v>1493</v>
      </c>
      <c r="Q15">
        <v>1</v>
      </c>
      <c r="R15">
        <v>1</v>
      </c>
      <c r="S15" t="b">
        <f t="shared" si="0"/>
        <v>1</v>
      </c>
    </row>
    <row r="16" spans="1:23" hidden="1" x14ac:dyDescent="0.25">
      <c r="A16" t="s">
        <v>1689</v>
      </c>
      <c r="B16" t="s">
        <v>1700</v>
      </c>
      <c r="C16" t="s">
        <v>1701</v>
      </c>
      <c r="D16" t="s">
        <v>1702</v>
      </c>
      <c r="E16" t="s">
        <v>1714</v>
      </c>
      <c r="F16" t="s">
        <v>1714</v>
      </c>
      <c r="G16" t="s">
        <v>1714</v>
      </c>
      <c r="H16" t="s">
        <v>1714</v>
      </c>
      <c r="I16" t="s">
        <v>1714</v>
      </c>
      <c r="J16" t="s">
        <v>1714</v>
      </c>
      <c r="K16" t="s">
        <v>1714</v>
      </c>
      <c r="L16" t="s">
        <v>1714</v>
      </c>
      <c r="M16" t="s">
        <v>1714</v>
      </c>
      <c r="N16" t="s">
        <v>1696</v>
      </c>
      <c r="O16" t="s">
        <v>1697</v>
      </c>
      <c r="P16" t="s">
        <v>1493</v>
      </c>
      <c r="Q16">
        <v>1</v>
      </c>
      <c r="R16">
        <v>1</v>
      </c>
      <c r="S16" t="b">
        <f t="shared" si="0"/>
        <v>1</v>
      </c>
    </row>
    <row r="17" spans="1:19" hidden="1" x14ac:dyDescent="0.25">
      <c r="A17" t="s">
        <v>1689</v>
      </c>
      <c r="B17" t="s">
        <v>1700</v>
      </c>
      <c r="C17" t="s">
        <v>1701</v>
      </c>
      <c r="D17" t="s">
        <v>1702</v>
      </c>
      <c r="E17" t="s">
        <v>1715</v>
      </c>
      <c r="F17" t="s">
        <v>1715</v>
      </c>
      <c r="G17" t="s">
        <v>1715</v>
      </c>
      <c r="H17" t="s">
        <v>1715</v>
      </c>
      <c r="I17" t="s">
        <v>1715</v>
      </c>
      <c r="J17" t="s">
        <v>1715</v>
      </c>
      <c r="K17" t="s">
        <v>1715</v>
      </c>
      <c r="L17" t="s">
        <v>1715</v>
      </c>
      <c r="M17" t="s">
        <v>1715</v>
      </c>
      <c r="N17" t="s">
        <v>1696</v>
      </c>
      <c r="O17" t="s">
        <v>1697</v>
      </c>
      <c r="P17" t="s">
        <v>1493</v>
      </c>
      <c r="Q17">
        <v>1</v>
      </c>
      <c r="R17">
        <v>1</v>
      </c>
      <c r="S17" t="b">
        <f t="shared" si="0"/>
        <v>1</v>
      </c>
    </row>
    <row r="18" spans="1:19" hidden="1" x14ac:dyDescent="0.25">
      <c r="A18" t="s">
        <v>1689</v>
      </c>
      <c r="B18" t="s">
        <v>1700</v>
      </c>
      <c r="C18" t="s">
        <v>1701</v>
      </c>
      <c r="D18" t="s">
        <v>1702</v>
      </c>
      <c r="E18" t="s">
        <v>1716</v>
      </c>
      <c r="F18" t="s">
        <v>1716</v>
      </c>
      <c r="G18" t="s">
        <v>1716</v>
      </c>
      <c r="H18" t="s">
        <v>1716</v>
      </c>
      <c r="I18" t="s">
        <v>1716</v>
      </c>
      <c r="J18" t="s">
        <v>1716</v>
      </c>
      <c r="K18" t="s">
        <v>1716</v>
      </c>
      <c r="L18" t="s">
        <v>1716</v>
      </c>
      <c r="M18" t="s">
        <v>1716</v>
      </c>
      <c r="N18" t="s">
        <v>1696</v>
      </c>
      <c r="O18" t="s">
        <v>1697</v>
      </c>
      <c r="P18" t="s">
        <v>1493</v>
      </c>
      <c r="Q18">
        <v>1</v>
      </c>
      <c r="R18">
        <v>1</v>
      </c>
      <c r="S18" t="b">
        <f t="shared" si="0"/>
        <v>1</v>
      </c>
    </row>
    <row r="19" spans="1:19" hidden="1" x14ac:dyDescent="0.25">
      <c r="A19" t="s">
        <v>1689</v>
      </c>
      <c r="B19" t="s">
        <v>1700</v>
      </c>
      <c r="C19" t="s">
        <v>1701</v>
      </c>
      <c r="D19" t="s">
        <v>1702</v>
      </c>
      <c r="E19" t="s">
        <v>1717</v>
      </c>
      <c r="F19" t="s">
        <v>1717</v>
      </c>
      <c r="G19" t="s">
        <v>1717</v>
      </c>
      <c r="H19" t="s">
        <v>1717</v>
      </c>
      <c r="I19" t="s">
        <v>1717</v>
      </c>
      <c r="J19" t="s">
        <v>1717</v>
      </c>
      <c r="K19" t="s">
        <v>1717</v>
      </c>
      <c r="L19" t="s">
        <v>1717</v>
      </c>
      <c r="M19" t="s">
        <v>1717</v>
      </c>
      <c r="N19" t="s">
        <v>1696</v>
      </c>
      <c r="O19" t="s">
        <v>1697</v>
      </c>
      <c r="P19" t="s">
        <v>1493</v>
      </c>
      <c r="Q19">
        <v>1</v>
      </c>
      <c r="R19">
        <v>1</v>
      </c>
      <c r="S19" t="b">
        <f t="shared" si="0"/>
        <v>1</v>
      </c>
    </row>
    <row r="20" spans="1:19" hidden="1" x14ac:dyDescent="0.25">
      <c r="A20" t="s">
        <v>1689</v>
      </c>
      <c r="B20" t="s">
        <v>1700</v>
      </c>
      <c r="C20" t="s">
        <v>1701</v>
      </c>
      <c r="D20" t="s">
        <v>1702</v>
      </c>
      <c r="E20" t="s">
        <v>1718</v>
      </c>
      <c r="F20" t="s">
        <v>1718</v>
      </c>
      <c r="G20" t="s">
        <v>1718</v>
      </c>
      <c r="H20" t="s">
        <v>1718</v>
      </c>
      <c r="I20" t="s">
        <v>1718</v>
      </c>
      <c r="J20" t="s">
        <v>1718</v>
      </c>
      <c r="K20" t="s">
        <v>1718</v>
      </c>
      <c r="L20" t="s">
        <v>1718</v>
      </c>
      <c r="M20" t="s">
        <v>1718</v>
      </c>
      <c r="N20" t="s">
        <v>1696</v>
      </c>
      <c r="O20" t="s">
        <v>1697</v>
      </c>
      <c r="P20" t="s">
        <v>1493</v>
      </c>
      <c r="Q20">
        <v>1</v>
      </c>
      <c r="R20">
        <v>1</v>
      </c>
      <c r="S20" t="b">
        <f t="shared" si="0"/>
        <v>1</v>
      </c>
    </row>
    <row r="21" spans="1:19" hidden="1" x14ac:dyDescent="0.25">
      <c r="A21" t="s">
        <v>1689</v>
      </c>
      <c r="B21" t="s">
        <v>1700</v>
      </c>
      <c r="C21" t="s">
        <v>1701</v>
      </c>
      <c r="D21" t="s">
        <v>1719</v>
      </c>
      <c r="E21" t="s">
        <v>1720</v>
      </c>
      <c r="F21" t="s">
        <v>1720</v>
      </c>
      <c r="G21" t="s">
        <v>1720</v>
      </c>
      <c r="H21" t="s">
        <v>1720</v>
      </c>
      <c r="I21" t="s">
        <v>1720</v>
      </c>
      <c r="J21" t="s">
        <v>1720</v>
      </c>
      <c r="K21" t="s">
        <v>1720</v>
      </c>
      <c r="L21" t="s">
        <v>1720</v>
      </c>
      <c r="M21" t="s">
        <v>1720</v>
      </c>
      <c r="N21" t="s">
        <v>1696</v>
      </c>
      <c r="O21" t="s">
        <v>1697</v>
      </c>
      <c r="P21" t="s">
        <v>1493</v>
      </c>
      <c r="Q21">
        <v>1</v>
      </c>
      <c r="R21">
        <v>1</v>
      </c>
      <c r="S21" t="b">
        <f t="shared" si="0"/>
        <v>1</v>
      </c>
    </row>
    <row r="22" spans="1:19" hidden="1" x14ac:dyDescent="0.25">
      <c r="A22" t="s">
        <v>1689</v>
      </c>
      <c r="B22" t="s">
        <v>1700</v>
      </c>
      <c r="C22" t="s">
        <v>1701</v>
      </c>
      <c r="D22" t="s">
        <v>1719</v>
      </c>
      <c r="E22" t="s">
        <v>1721</v>
      </c>
      <c r="F22" t="s">
        <v>1721</v>
      </c>
      <c r="G22" t="s">
        <v>1721</v>
      </c>
      <c r="H22" t="s">
        <v>1721</v>
      </c>
      <c r="I22" t="s">
        <v>1721</v>
      </c>
      <c r="J22" t="s">
        <v>1721</v>
      </c>
      <c r="K22" t="s">
        <v>1721</v>
      </c>
      <c r="L22" t="s">
        <v>1721</v>
      </c>
      <c r="M22" t="s">
        <v>1721</v>
      </c>
      <c r="N22" t="s">
        <v>1696</v>
      </c>
      <c r="O22" t="s">
        <v>1697</v>
      </c>
      <c r="P22" t="s">
        <v>1493</v>
      </c>
      <c r="Q22">
        <v>1</v>
      </c>
      <c r="R22">
        <v>1</v>
      </c>
      <c r="S22" t="b">
        <f t="shared" si="0"/>
        <v>1</v>
      </c>
    </row>
    <row r="23" spans="1:19" hidden="1" x14ac:dyDescent="0.25">
      <c r="A23" t="s">
        <v>1689</v>
      </c>
      <c r="B23" t="s">
        <v>1700</v>
      </c>
      <c r="C23" t="s">
        <v>1701</v>
      </c>
      <c r="D23" t="s">
        <v>1719</v>
      </c>
      <c r="E23" t="s">
        <v>1722</v>
      </c>
      <c r="F23" t="s">
        <v>1722</v>
      </c>
      <c r="G23" t="s">
        <v>1722</v>
      </c>
      <c r="H23" t="s">
        <v>1722</v>
      </c>
      <c r="I23" t="s">
        <v>1722</v>
      </c>
      <c r="J23" t="s">
        <v>1722</v>
      </c>
      <c r="K23" t="s">
        <v>1722</v>
      </c>
      <c r="L23" t="s">
        <v>1722</v>
      </c>
      <c r="M23" t="s">
        <v>1722</v>
      </c>
      <c r="N23" t="s">
        <v>1696</v>
      </c>
      <c r="O23" t="s">
        <v>1697</v>
      </c>
      <c r="P23" t="s">
        <v>1493</v>
      </c>
      <c r="Q23">
        <v>1</v>
      </c>
      <c r="R23">
        <v>1</v>
      </c>
      <c r="S23" t="b">
        <f t="shared" si="0"/>
        <v>1</v>
      </c>
    </row>
    <row r="24" spans="1:19" hidden="1" x14ac:dyDescent="0.25">
      <c r="A24" t="s">
        <v>1689</v>
      </c>
      <c r="B24" t="s">
        <v>1700</v>
      </c>
      <c r="C24" t="s">
        <v>1701</v>
      </c>
      <c r="D24" t="s">
        <v>1719</v>
      </c>
      <c r="E24" t="s">
        <v>1723</v>
      </c>
      <c r="F24" t="s">
        <v>1723</v>
      </c>
      <c r="G24" t="s">
        <v>1723</v>
      </c>
      <c r="H24" t="s">
        <v>1723</v>
      </c>
      <c r="I24" t="s">
        <v>1723</v>
      </c>
      <c r="J24" t="s">
        <v>1723</v>
      </c>
      <c r="K24" t="s">
        <v>1723</v>
      </c>
      <c r="L24" t="s">
        <v>1723</v>
      </c>
      <c r="M24" t="s">
        <v>1723</v>
      </c>
      <c r="N24" t="s">
        <v>1696</v>
      </c>
      <c r="O24" t="s">
        <v>1697</v>
      </c>
      <c r="P24" t="s">
        <v>1493</v>
      </c>
      <c r="Q24">
        <v>1</v>
      </c>
      <c r="R24">
        <v>1</v>
      </c>
      <c r="S24" t="b">
        <f t="shared" si="0"/>
        <v>1</v>
      </c>
    </row>
    <row r="25" spans="1:19" hidden="1" x14ac:dyDescent="0.25">
      <c r="A25" t="s">
        <v>1689</v>
      </c>
      <c r="B25" t="s">
        <v>1700</v>
      </c>
      <c r="C25" t="s">
        <v>1701</v>
      </c>
      <c r="D25" t="s">
        <v>1719</v>
      </c>
      <c r="E25" t="s">
        <v>1724</v>
      </c>
      <c r="F25" t="s">
        <v>1724</v>
      </c>
      <c r="G25" t="s">
        <v>1724</v>
      </c>
      <c r="H25" t="s">
        <v>1724</v>
      </c>
      <c r="I25" t="s">
        <v>1724</v>
      </c>
      <c r="J25" t="s">
        <v>1724</v>
      </c>
      <c r="K25" t="s">
        <v>1724</v>
      </c>
      <c r="L25" t="s">
        <v>1724</v>
      </c>
      <c r="M25" t="s">
        <v>1724</v>
      </c>
      <c r="N25" t="s">
        <v>1696</v>
      </c>
      <c r="O25" t="s">
        <v>1697</v>
      </c>
      <c r="P25" t="s">
        <v>1493</v>
      </c>
      <c r="Q25">
        <v>1</v>
      </c>
      <c r="R25">
        <v>1</v>
      </c>
      <c r="S25" t="b">
        <f t="shared" si="0"/>
        <v>1</v>
      </c>
    </row>
    <row r="26" spans="1:19" hidden="1" x14ac:dyDescent="0.25">
      <c r="A26" t="s">
        <v>1689</v>
      </c>
      <c r="B26" t="s">
        <v>1700</v>
      </c>
      <c r="C26" t="s">
        <v>1701</v>
      </c>
      <c r="D26" t="s">
        <v>1719</v>
      </c>
      <c r="E26" t="s">
        <v>1725</v>
      </c>
      <c r="F26" t="s">
        <v>1725</v>
      </c>
      <c r="G26" t="s">
        <v>1725</v>
      </c>
      <c r="H26" t="s">
        <v>1725</v>
      </c>
      <c r="I26" t="s">
        <v>1725</v>
      </c>
      <c r="J26" t="s">
        <v>1725</v>
      </c>
      <c r="K26" t="s">
        <v>1725</v>
      </c>
      <c r="L26" t="s">
        <v>1725</v>
      </c>
      <c r="M26" t="s">
        <v>1725</v>
      </c>
      <c r="N26" t="s">
        <v>1696</v>
      </c>
      <c r="O26" t="s">
        <v>1697</v>
      </c>
      <c r="P26" t="s">
        <v>1493</v>
      </c>
      <c r="Q26">
        <v>1</v>
      </c>
      <c r="R26">
        <v>1</v>
      </c>
      <c r="S26" t="b">
        <f t="shared" si="0"/>
        <v>1</v>
      </c>
    </row>
    <row r="27" spans="1:19" hidden="1" x14ac:dyDescent="0.25">
      <c r="A27" t="s">
        <v>1689</v>
      </c>
      <c r="B27" t="s">
        <v>1700</v>
      </c>
      <c r="C27" t="s">
        <v>1701</v>
      </c>
      <c r="D27" t="s">
        <v>1719</v>
      </c>
      <c r="E27" t="s">
        <v>1726</v>
      </c>
      <c r="F27" t="s">
        <v>1726</v>
      </c>
      <c r="G27" t="s">
        <v>1726</v>
      </c>
      <c r="H27" t="s">
        <v>1726</v>
      </c>
      <c r="I27" t="s">
        <v>1726</v>
      </c>
      <c r="J27" t="s">
        <v>1726</v>
      </c>
      <c r="K27" t="s">
        <v>1726</v>
      </c>
      <c r="L27" t="s">
        <v>1726</v>
      </c>
      <c r="M27" t="s">
        <v>1726</v>
      </c>
      <c r="N27" t="s">
        <v>1696</v>
      </c>
      <c r="O27" t="s">
        <v>1697</v>
      </c>
      <c r="P27" t="s">
        <v>1493</v>
      </c>
      <c r="Q27">
        <v>1</v>
      </c>
      <c r="R27">
        <v>1</v>
      </c>
      <c r="S27" t="b">
        <f t="shared" si="0"/>
        <v>1</v>
      </c>
    </row>
    <row r="28" spans="1:19" hidden="1" x14ac:dyDescent="0.25">
      <c r="A28" t="s">
        <v>1689</v>
      </c>
      <c r="B28" t="s">
        <v>1700</v>
      </c>
      <c r="C28" t="s">
        <v>1701</v>
      </c>
      <c r="D28" t="s">
        <v>1719</v>
      </c>
      <c r="E28" t="s">
        <v>1727</v>
      </c>
      <c r="F28" t="s">
        <v>1727</v>
      </c>
      <c r="G28" t="s">
        <v>1727</v>
      </c>
      <c r="H28" t="s">
        <v>1727</v>
      </c>
      <c r="I28" t="s">
        <v>1727</v>
      </c>
      <c r="J28" t="s">
        <v>1727</v>
      </c>
      <c r="K28" t="s">
        <v>1727</v>
      </c>
      <c r="L28" t="s">
        <v>1727</v>
      </c>
      <c r="M28" t="s">
        <v>1727</v>
      </c>
      <c r="N28" t="s">
        <v>1696</v>
      </c>
      <c r="O28" t="s">
        <v>1697</v>
      </c>
      <c r="P28" t="s">
        <v>1493</v>
      </c>
      <c r="Q28">
        <v>1</v>
      </c>
      <c r="R28">
        <v>1</v>
      </c>
      <c r="S28" t="b">
        <f t="shared" si="0"/>
        <v>1</v>
      </c>
    </row>
    <row r="29" spans="1:19" hidden="1" x14ac:dyDescent="0.25">
      <c r="A29" t="s">
        <v>1689</v>
      </c>
      <c r="B29" t="s">
        <v>1700</v>
      </c>
      <c r="C29" t="s">
        <v>1701</v>
      </c>
      <c r="D29" t="s">
        <v>1719</v>
      </c>
      <c r="E29" t="s">
        <v>1728</v>
      </c>
      <c r="F29" t="s">
        <v>1728</v>
      </c>
      <c r="G29" t="s">
        <v>1728</v>
      </c>
      <c r="H29" t="s">
        <v>1728</v>
      </c>
      <c r="I29" t="s">
        <v>1728</v>
      </c>
      <c r="J29" t="s">
        <v>1728</v>
      </c>
      <c r="K29" t="s">
        <v>1728</v>
      </c>
      <c r="L29" t="s">
        <v>1728</v>
      </c>
      <c r="M29" t="s">
        <v>1728</v>
      </c>
      <c r="N29" t="s">
        <v>1696</v>
      </c>
      <c r="O29" t="s">
        <v>1697</v>
      </c>
      <c r="P29" t="s">
        <v>1493</v>
      </c>
      <c r="Q29">
        <v>1</v>
      </c>
      <c r="R29">
        <v>1</v>
      </c>
      <c r="S29" t="b">
        <f t="shared" si="0"/>
        <v>1</v>
      </c>
    </row>
    <row r="30" spans="1:19" hidden="1" x14ac:dyDescent="0.25">
      <c r="A30" t="s">
        <v>1689</v>
      </c>
      <c r="B30" t="s">
        <v>1700</v>
      </c>
      <c r="C30" t="s">
        <v>1701</v>
      </c>
      <c r="D30" t="s">
        <v>1719</v>
      </c>
      <c r="E30" t="s">
        <v>1729</v>
      </c>
      <c r="F30" t="s">
        <v>1729</v>
      </c>
      <c r="G30" t="s">
        <v>1729</v>
      </c>
      <c r="H30" t="s">
        <v>1729</v>
      </c>
      <c r="I30" t="s">
        <v>1729</v>
      </c>
      <c r="J30" t="s">
        <v>1729</v>
      </c>
      <c r="K30" t="s">
        <v>1729</v>
      </c>
      <c r="L30" t="s">
        <v>1729</v>
      </c>
      <c r="M30" t="s">
        <v>1729</v>
      </c>
      <c r="N30" t="s">
        <v>1696</v>
      </c>
      <c r="O30" t="s">
        <v>1697</v>
      </c>
      <c r="P30" t="s">
        <v>1493</v>
      </c>
      <c r="Q30">
        <v>1</v>
      </c>
      <c r="R30">
        <v>1</v>
      </c>
      <c r="S30" t="b">
        <f t="shared" si="0"/>
        <v>1</v>
      </c>
    </row>
    <row r="31" spans="1:19" hidden="1" x14ac:dyDescent="0.25">
      <c r="A31" t="s">
        <v>1689</v>
      </c>
      <c r="B31" t="s">
        <v>1700</v>
      </c>
      <c r="C31" t="s">
        <v>1701</v>
      </c>
      <c r="D31" t="s">
        <v>1719</v>
      </c>
      <c r="E31" t="s">
        <v>1730</v>
      </c>
      <c r="F31" t="s">
        <v>1730</v>
      </c>
      <c r="G31" t="s">
        <v>1730</v>
      </c>
      <c r="H31" t="s">
        <v>1730</v>
      </c>
      <c r="I31" t="s">
        <v>1730</v>
      </c>
      <c r="J31" t="s">
        <v>1730</v>
      </c>
      <c r="K31" t="s">
        <v>1730</v>
      </c>
      <c r="L31" t="s">
        <v>1730</v>
      </c>
      <c r="M31" t="s">
        <v>1730</v>
      </c>
      <c r="N31" t="s">
        <v>1696</v>
      </c>
      <c r="O31" t="s">
        <v>1697</v>
      </c>
      <c r="P31" t="s">
        <v>1493</v>
      </c>
      <c r="Q31">
        <v>1</v>
      </c>
      <c r="R31">
        <v>1</v>
      </c>
      <c r="S31" t="b">
        <f t="shared" si="0"/>
        <v>1</v>
      </c>
    </row>
    <row r="32" spans="1:19" hidden="1" x14ac:dyDescent="0.25">
      <c r="A32" t="s">
        <v>1689</v>
      </c>
      <c r="B32" t="s">
        <v>1700</v>
      </c>
      <c r="C32" t="s">
        <v>1701</v>
      </c>
      <c r="D32" t="s">
        <v>1719</v>
      </c>
      <c r="E32" t="s">
        <v>1731</v>
      </c>
      <c r="F32" t="s">
        <v>1731</v>
      </c>
      <c r="G32" t="s">
        <v>1731</v>
      </c>
      <c r="H32" t="s">
        <v>1731</v>
      </c>
      <c r="I32" t="s">
        <v>1731</v>
      </c>
      <c r="J32" t="s">
        <v>1731</v>
      </c>
      <c r="K32" t="s">
        <v>1731</v>
      </c>
      <c r="L32" t="s">
        <v>1731</v>
      </c>
      <c r="M32" t="s">
        <v>1731</v>
      </c>
      <c r="N32" t="s">
        <v>1696</v>
      </c>
      <c r="O32" t="s">
        <v>1697</v>
      </c>
      <c r="P32" t="s">
        <v>1493</v>
      </c>
      <c r="Q32">
        <v>1</v>
      </c>
      <c r="R32">
        <v>1</v>
      </c>
      <c r="S32" t="b">
        <f t="shared" si="0"/>
        <v>1</v>
      </c>
    </row>
    <row r="33" spans="1:19" hidden="1" x14ac:dyDescent="0.25">
      <c r="A33" t="s">
        <v>1689</v>
      </c>
      <c r="B33" t="s">
        <v>1700</v>
      </c>
      <c r="C33" t="s">
        <v>1701</v>
      </c>
      <c r="D33" t="s">
        <v>1719</v>
      </c>
      <c r="E33" t="s">
        <v>1732</v>
      </c>
      <c r="F33" t="s">
        <v>1732</v>
      </c>
      <c r="G33" t="s">
        <v>1732</v>
      </c>
      <c r="H33" t="s">
        <v>1732</v>
      </c>
      <c r="I33" t="s">
        <v>1732</v>
      </c>
      <c r="J33" t="s">
        <v>1732</v>
      </c>
      <c r="K33" t="s">
        <v>1732</v>
      </c>
      <c r="L33" t="s">
        <v>1732</v>
      </c>
      <c r="M33" t="s">
        <v>1732</v>
      </c>
      <c r="N33" t="s">
        <v>1696</v>
      </c>
      <c r="O33" t="s">
        <v>1697</v>
      </c>
      <c r="P33" t="s">
        <v>1493</v>
      </c>
      <c r="Q33">
        <v>1</v>
      </c>
      <c r="R33">
        <v>1</v>
      </c>
      <c r="S33" t="b">
        <f t="shared" si="0"/>
        <v>1</v>
      </c>
    </row>
    <row r="34" spans="1:19" hidden="1" x14ac:dyDescent="0.25">
      <c r="A34" t="s">
        <v>1689</v>
      </c>
      <c r="B34" t="s">
        <v>1700</v>
      </c>
      <c r="C34" t="s">
        <v>1701</v>
      </c>
      <c r="D34" t="s">
        <v>1733</v>
      </c>
      <c r="E34" t="s">
        <v>1734</v>
      </c>
      <c r="F34" t="s">
        <v>1734</v>
      </c>
      <c r="G34" t="s">
        <v>1734</v>
      </c>
      <c r="H34" t="s">
        <v>1734</v>
      </c>
      <c r="I34" t="s">
        <v>1734</v>
      </c>
      <c r="J34" t="s">
        <v>1734</v>
      </c>
      <c r="K34" t="s">
        <v>1734</v>
      </c>
      <c r="L34" t="s">
        <v>1734</v>
      </c>
      <c r="M34" t="s">
        <v>1734</v>
      </c>
      <c r="N34" t="s">
        <v>1696</v>
      </c>
      <c r="O34" t="s">
        <v>1697</v>
      </c>
      <c r="P34" t="s">
        <v>1493</v>
      </c>
      <c r="Q34">
        <v>1</v>
      </c>
      <c r="R34">
        <v>1</v>
      </c>
      <c r="S34" t="b">
        <f t="shared" si="0"/>
        <v>1</v>
      </c>
    </row>
    <row r="35" spans="1:19" hidden="1" x14ac:dyDescent="0.25">
      <c r="A35" t="s">
        <v>1689</v>
      </c>
      <c r="B35" t="s">
        <v>1700</v>
      </c>
      <c r="C35" t="s">
        <v>1701</v>
      </c>
      <c r="D35" t="s">
        <v>1733</v>
      </c>
      <c r="E35" t="s">
        <v>1735</v>
      </c>
      <c r="F35" t="s">
        <v>1735</v>
      </c>
      <c r="G35" t="s">
        <v>1735</v>
      </c>
      <c r="H35" t="s">
        <v>1735</v>
      </c>
      <c r="I35" t="s">
        <v>1735</v>
      </c>
      <c r="J35" t="s">
        <v>1735</v>
      </c>
      <c r="K35" t="s">
        <v>1735</v>
      </c>
      <c r="L35" t="s">
        <v>1735</v>
      </c>
      <c r="M35" t="s">
        <v>1735</v>
      </c>
      <c r="N35" t="s">
        <v>1696</v>
      </c>
      <c r="O35" t="s">
        <v>1697</v>
      </c>
      <c r="P35" t="s">
        <v>1493</v>
      </c>
      <c r="Q35">
        <v>1</v>
      </c>
      <c r="R35">
        <v>1</v>
      </c>
      <c r="S35" t="b">
        <f t="shared" si="0"/>
        <v>1</v>
      </c>
    </row>
    <row r="36" spans="1:19" hidden="1" x14ac:dyDescent="0.25">
      <c r="A36" t="s">
        <v>1689</v>
      </c>
      <c r="B36" t="s">
        <v>1700</v>
      </c>
      <c r="C36" t="s">
        <v>1701</v>
      </c>
      <c r="D36" t="s">
        <v>1736</v>
      </c>
      <c r="E36" t="s">
        <v>1737</v>
      </c>
      <c r="F36" t="s">
        <v>1737</v>
      </c>
      <c r="G36" t="s">
        <v>1737</v>
      </c>
      <c r="H36" t="s">
        <v>1737</v>
      </c>
      <c r="I36" t="s">
        <v>1737</v>
      </c>
      <c r="J36" t="s">
        <v>1737</v>
      </c>
      <c r="K36" t="s">
        <v>1737</v>
      </c>
      <c r="L36" t="s">
        <v>1737</v>
      </c>
      <c r="M36" t="s">
        <v>1737</v>
      </c>
      <c r="N36" t="s">
        <v>1696</v>
      </c>
      <c r="O36" t="s">
        <v>1697</v>
      </c>
      <c r="P36" t="s">
        <v>1493</v>
      </c>
      <c r="Q36">
        <v>1</v>
      </c>
      <c r="R36">
        <v>1</v>
      </c>
      <c r="S36" t="b">
        <f t="shared" si="0"/>
        <v>1</v>
      </c>
    </row>
    <row r="37" spans="1:19" hidden="1" x14ac:dyDescent="0.25">
      <c r="A37" t="s">
        <v>1689</v>
      </c>
      <c r="B37" t="s">
        <v>1700</v>
      </c>
      <c r="C37" t="s">
        <v>1701</v>
      </c>
      <c r="D37" t="s">
        <v>1736</v>
      </c>
      <c r="E37" t="s">
        <v>1738</v>
      </c>
      <c r="F37" t="s">
        <v>1738</v>
      </c>
      <c r="G37" t="s">
        <v>1738</v>
      </c>
      <c r="H37" t="s">
        <v>1738</v>
      </c>
      <c r="I37" t="s">
        <v>1738</v>
      </c>
      <c r="J37" t="s">
        <v>1738</v>
      </c>
      <c r="K37" t="s">
        <v>1738</v>
      </c>
      <c r="L37" t="s">
        <v>1738</v>
      </c>
      <c r="M37" t="s">
        <v>1738</v>
      </c>
      <c r="N37" t="s">
        <v>1696</v>
      </c>
      <c r="O37" t="s">
        <v>1697</v>
      </c>
      <c r="P37" t="s">
        <v>1493</v>
      </c>
      <c r="Q37">
        <v>1</v>
      </c>
      <c r="R37">
        <v>1</v>
      </c>
      <c r="S37" t="b">
        <f t="shared" si="0"/>
        <v>1</v>
      </c>
    </row>
    <row r="38" spans="1:19" hidden="1" x14ac:dyDescent="0.25">
      <c r="A38" t="s">
        <v>1689</v>
      </c>
      <c r="B38" t="s">
        <v>1700</v>
      </c>
      <c r="C38" t="s">
        <v>1701</v>
      </c>
      <c r="D38" t="s">
        <v>1739</v>
      </c>
      <c r="E38" t="s">
        <v>1740</v>
      </c>
      <c r="F38" t="s">
        <v>1740</v>
      </c>
      <c r="G38" t="s">
        <v>1740</v>
      </c>
      <c r="H38" t="s">
        <v>1740</v>
      </c>
      <c r="I38" t="s">
        <v>1740</v>
      </c>
      <c r="J38" t="s">
        <v>1740</v>
      </c>
      <c r="K38" t="s">
        <v>1740</v>
      </c>
      <c r="L38" t="s">
        <v>1740</v>
      </c>
      <c r="M38" t="s">
        <v>1740</v>
      </c>
      <c r="N38" t="s">
        <v>1696</v>
      </c>
      <c r="O38" t="s">
        <v>1697</v>
      </c>
      <c r="P38" t="s">
        <v>1493</v>
      </c>
      <c r="Q38">
        <v>1</v>
      </c>
      <c r="R38">
        <v>1</v>
      </c>
      <c r="S38" t="b">
        <f t="shared" si="0"/>
        <v>1</v>
      </c>
    </row>
    <row r="39" spans="1:19" hidden="1" x14ac:dyDescent="0.25">
      <c r="A39" t="s">
        <v>1689</v>
      </c>
      <c r="B39" t="s">
        <v>1700</v>
      </c>
      <c r="C39" t="s">
        <v>1701</v>
      </c>
      <c r="D39" t="s">
        <v>1739</v>
      </c>
      <c r="E39" t="s">
        <v>1741</v>
      </c>
      <c r="F39" t="s">
        <v>1741</v>
      </c>
      <c r="G39" t="s">
        <v>1741</v>
      </c>
      <c r="H39" t="s">
        <v>1741</v>
      </c>
      <c r="I39" t="s">
        <v>1741</v>
      </c>
      <c r="J39" t="s">
        <v>1741</v>
      </c>
      <c r="K39" t="s">
        <v>1741</v>
      </c>
      <c r="L39" t="s">
        <v>1741</v>
      </c>
      <c r="M39" t="s">
        <v>1741</v>
      </c>
      <c r="N39" t="s">
        <v>1696</v>
      </c>
      <c r="O39" t="s">
        <v>1697</v>
      </c>
      <c r="P39" t="s">
        <v>1493</v>
      </c>
      <c r="Q39">
        <v>1</v>
      </c>
      <c r="R39">
        <v>1</v>
      </c>
      <c r="S39" t="b">
        <f t="shared" si="0"/>
        <v>1</v>
      </c>
    </row>
    <row r="40" spans="1:19" hidden="1" x14ac:dyDescent="0.25">
      <c r="A40" t="s">
        <v>1689</v>
      </c>
      <c r="B40" t="s">
        <v>1700</v>
      </c>
      <c r="C40" t="s">
        <v>1701</v>
      </c>
      <c r="D40" t="s">
        <v>1739</v>
      </c>
      <c r="E40" t="s">
        <v>1742</v>
      </c>
      <c r="F40" t="s">
        <v>1742</v>
      </c>
      <c r="G40" t="s">
        <v>1742</v>
      </c>
      <c r="H40" t="s">
        <v>1742</v>
      </c>
      <c r="I40" t="s">
        <v>1742</v>
      </c>
      <c r="J40" t="s">
        <v>1742</v>
      </c>
      <c r="K40" t="s">
        <v>1742</v>
      </c>
      <c r="L40" t="s">
        <v>1742</v>
      </c>
      <c r="M40" t="s">
        <v>1742</v>
      </c>
      <c r="N40" t="s">
        <v>1696</v>
      </c>
      <c r="O40" t="s">
        <v>1697</v>
      </c>
      <c r="P40" t="s">
        <v>1493</v>
      </c>
      <c r="Q40">
        <v>1</v>
      </c>
      <c r="R40">
        <v>1</v>
      </c>
      <c r="S40" t="b">
        <f t="shared" si="0"/>
        <v>1</v>
      </c>
    </row>
    <row r="41" spans="1:19" hidden="1" x14ac:dyDescent="0.25">
      <c r="A41" t="s">
        <v>1689</v>
      </c>
      <c r="B41" t="s">
        <v>1700</v>
      </c>
      <c r="C41" t="s">
        <v>1701</v>
      </c>
      <c r="D41" t="s">
        <v>1739</v>
      </c>
      <c r="E41" t="s">
        <v>1743</v>
      </c>
      <c r="F41" t="s">
        <v>1743</v>
      </c>
      <c r="G41" t="s">
        <v>1743</v>
      </c>
      <c r="H41" t="s">
        <v>1743</v>
      </c>
      <c r="I41" t="s">
        <v>1743</v>
      </c>
      <c r="J41" t="s">
        <v>1743</v>
      </c>
      <c r="K41" t="s">
        <v>1743</v>
      </c>
      <c r="L41" t="s">
        <v>1743</v>
      </c>
      <c r="M41" t="s">
        <v>1743</v>
      </c>
      <c r="N41" t="s">
        <v>1696</v>
      </c>
      <c r="O41" t="s">
        <v>1697</v>
      </c>
      <c r="P41" t="s">
        <v>1493</v>
      </c>
      <c r="Q41">
        <v>1</v>
      </c>
      <c r="R41">
        <v>1</v>
      </c>
      <c r="S41" t="b">
        <f t="shared" si="0"/>
        <v>1</v>
      </c>
    </row>
    <row r="42" spans="1:19" hidden="1" x14ac:dyDescent="0.25">
      <c r="A42" t="s">
        <v>1689</v>
      </c>
      <c r="B42" t="s">
        <v>1700</v>
      </c>
      <c r="C42" t="s">
        <v>1701</v>
      </c>
      <c r="D42" t="s">
        <v>1739</v>
      </c>
      <c r="E42" t="s">
        <v>1744</v>
      </c>
      <c r="F42" t="s">
        <v>1744</v>
      </c>
      <c r="G42" t="s">
        <v>1744</v>
      </c>
      <c r="H42" t="s">
        <v>1744</v>
      </c>
      <c r="I42" t="s">
        <v>1744</v>
      </c>
      <c r="J42" t="s">
        <v>1744</v>
      </c>
      <c r="K42" t="s">
        <v>1744</v>
      </c>
      <c r="L42" t="s">
        <v>1744</v>
      </c>
      <c r="M42" t="s">
        <v>1744</v>
      </c>
      <c r="N42" t="s">
        <v>1696</v>
      </c>
      <c r="O42" t="s">
        <v>1697</v>
      </c>
      <c r="P42" t="s">
        <v>1493</v>
      </c>
      <c r="Q42">
        <v>1</v>
      </c>
      <c r="R42">
        <v>1</v>
      </c>
      <c r="S42" t="b">
        <f t="shared" si="0"/>
        <v>1</v>
      </c>
    </row>
    <row r="43" spans="1:19" hidden="1" x14ac:dyDescent="0.25">
      <c r="A43" t="s">
        <v>1689</v>
      </c>
      <c r="B43" t="s">
        <v>1700</v>
      </c>
      <c r="C43" t="s">
        <v>1701</v>
      </c>
      <c r="D43" t="s">
        <v>1739</v>
      </c>
      <c r="E43" t="s">
        <v>1745</v>
      </c>
      <c r="F43" t="s">
        <v>1745</v>
      </c>
      <c r="G43" t="s">
        <v>1745</v>
      </c>
      <c r="H43" t="s">
        <v>1745</v>
      </c>
      <c r="I43" t="s">
        <v>1745</v>
      </c>
      <c r="J43" t="s">
        <v>1745</v>
      </c>
      <c r="K43" t="s">
        <v>1745</v>
      </c>
      <c r="L43" t="s">
        <v>1745</v>
      </c>
      <c r="M43" t="s">
        <v>1745</v>
      </c>
      <c r="N43" t="s">
        <v>1696</v>
      </c>
      <c r="O43" t="s">
        <v>1697</v>
      </c>
      <c r="P43" t="s">
        <v>1493</v>
      </c>
      <c r="Q43">
        <v>1</v>
      </c>
      <c r="R43">
        <v>1</v>
      </c>
      <c r="S43" t="b">
        <f t="shared" si="0"/>
        <v>1</v>
      </c>
    </row>
    <row r="44" spans="1:19" hidden="1" x14ac:dyDescent="0.25">
      <c r="A44" t="s">
        <v>1689</v>
      </c>
      <c r="B44" t="s">
        <v>1700</v>
      </c>
      <c r="C44" t="s">
        <v>1701</v>
      </c>
      <c r="D44" t="s">
        <v>1739</v>
      </c>
      <c r="E44" t="s">
        <v>1746</v>
      </c>
      <c r="F44" t="s">
        <v>1746</v>
      </c>
      <c r="G44" t="s">
        <v>1746</v>
      </c>
      <c r="H44" t="s">
        <v>1746</v>
      </c>
      <c r="I44" t="s">
        <v>1746</v>
      </c>
      <c r="J44" t="s">
        <v>1746</v>
      </c>
      <c r="K44" t="s">
        <v>1746</v>
      </c>
      <c r="L44" t="s">
        <v>1746</v>
      </c>
      <c r="M44" t="s">
        <v>1746</v>
      </c>
      <c r="N44" t="s">
        <v>1696</v>
      </c>
      <c r="O44" t="s">
        <v>1697</v>
      </c>
      <c r="P44" t="s">
        <v>1493</v>
      </c>
      <c r="Q44">
        <v>1</v>
      </c>
      <c r="R44">
        <v>1</v>
      </c>
      <c r="S44" t="b">
        <f t="shared" si="0"/>
        <v>1</v>
      </c>
    </row>
    <row r="45" spans="1:19" hidden="1" x14ac:dyDescent="0.25">
      <c r="A45" t="s">
        <v>1689</v>
      </c>
      <c r="B45" t="s">
        <v>1700</v>
      </c>
      <c r="C45" t="s">
        <v>1701</v>
      </c>
      <c r="D45" t="s">
        <v>1739</v>
      </c>
      <c r="E45" t="s">
        <v>1747</v>
      </c>
      <c r="F45" t="s">
        <v>1747</v>
      </c>
      <c r="G45" t="s">
        <v>1747</v>
      </c>
      <c r="H45" t="s">
        <v>1747</v>
      </c>
      <c r="I45" t="s">
        <v>1747</v>
      </c>
      <c r="J45" t="s">
        <v>1747</v>
      </c>
      <c r="K45" t="s">
        <v>1747</v>
      </c>
      <c r="L45" t="s">
        <v>1747</v>
      </c>
      <c r="M45" t="s">
        <v>1747</v>
      </c>
      <c r="N45" t="s">
        <v>1696</v>
      </c>
      <c r="O45" t="s">
        <v>1697</v>
      </c>
      <c r="P45" t="s">
        <v>1493</v>
      </c>
      <c r="Q45">
        <v>1</v>
      </c>
      <c r="R45">
        <v>1</v>
      </c>
      <c r="S45" t="b">
        <f t="shared" si="0"/>
        <v>1</v>
      </c>
    </row>
    <row r="46" spans="1:19" hidden="1" x14ac:dyDescent="0.25">
      <c r="A46" t="s">
        <v>1689</v>
      </c>
      <c r="B46" t="s">
        <v>1700</v>
      </c>
      <c r="C46" t="s">
        <v>1701</v>
      </c>
      <c r="D46" t="s">
        <v>1739</v>
      </c>
      <c r="E46" t="s">
        <v>1748</v>
      </c>
      <c r="F46" t="s">
        <v>1748</v>
      </c>
      <c r="G46" t="s">
        <v>1748</v>
      </c>
      <c r="H46" t="s">
        <v>1748</v>
      </c>
      <c r="I46" t="s">
        <v>1748</v>
      </c>
      <c r="J46" t="s">
        <v>1748</v>
      </c>
      <c r="K46" t="s">
        <v>1748</v>
      </c>
      <c r="L46" t="s">
        <v>1748</v>
      </c>
      <c r="M46" t="s">
        <v>1748</v>
      </c>
      <c r="N46" t="s">
        <v>1696</v>
      </c>
      <c r="O46" t="s">
        <v>1697</v>
      </c>
      <c r="P46" t="s">
        <v>1493</v>
      </c>
      <c r="Q46">
        <v>1</v>
      </c>
      <c r="R46">
        <v>1</v>
      </c>
      <c r="S46" t="b">
        <f t="shared" si="0"/>
        <v>1</v>
      </c>
    </row>
    <row r="47" spans="1:19" hidden="1" x14ac:dyDescent="0.25">
      <c r="A47" t="s">
        <v>1689</v>
      </c>
      <c r="B47" t="s">
        <v>1700</v>
      </c>
      <c r="C47" t="s">
        <v>1701</v>
      </c>
      <c r="D47" t="s">
        <v>1739</v>
      </c>
      <c r="E47" t="s">
        <v>1749</v>
      </c>
      <c r="F47" t="s">
        <v>1749</v>
      </c>
      <c r="G47" t="s">
        <v>1749</v>
      </c>
      <c r="H47" t="s">
        <v>1749</v>
      </c>
      <c r="I47" t="s">
        <v>1749</v>
      </c>
      <c r="J47" t="s">
        <v>1749</v>
      </c>
      <c r="K47" t="s">
        <v>1749</v>
      </c>
      <c r="L47" t="s">
        <v>1749</v>
      </c>
      <c r="M47" t="s">
        <v>1749</v>
      </c>
      <c r="N47" t="s">
        <v>1696</v>
      </c>
      <c r="O47" t="s">
        <v>1697</v>
      </c>
      <c r="P47" t="s">
        <v>1493</v>
      </c>
      <c r="Q47">
        <v>1</v>
      </c>
      <c r="R47">
        <v>1</v>
      </c>
      <c r="S47" t="b">
        <f t="shared" si="0"/>
        <v>1</v>
      </c>
    </row>
    <row r="48" spans="1:19" hidden="1" x14ac:dyDescent="0.25">
      <c r="A48" t="s">
        <v>1689</v>
      </c>
      <c r="B48" t="s">
        <v>1700</v>
      </c>
      <c r="C48" t="s">
        <v>1701</v>
      </c>
      <c r="D48" t="s">
        <v>1739</v>
      </c>
      <c r="E48" t="s">
        <v>1750</v>
      </c>
      <c r="F48" t="s">
        <v>1750</v>
      </c>
      <c r="G48" t="s">
        <v>1750</v>
      </c>
      <c r="H48" t="s">
        <v>1750</v>
      </c>
      <c r="I48" t="s">
        <v>1750</v>
      </c>
      <c r="J48" t="s">
        <v>1750</v>
      </c>
      <c r="K48" t="s">
        <v>1750</v>
      </c>
      <c r="L48" t="s">
        <v>1750</v>
      </c>
      <c r="M48" t="s">
        <v>1750</v>
      </c>
      <c r="N48" t="s">
        <v>1696</v>
      </c>
      <c r="O48" t="s">
        <v>1697</v>
      </c>
      <c r="P48" t="s">
        <v>1493</v>
      </c>
      <c r="Q48">
        <v>1</v>
      </c>
      <c r="R48">
        <v>1</v>
      </c>
      <c r="S48" t="b">
        <f t="shared" si="0"/>
        <v>1</v>
      </c>
    </row>
    <row r="49" spans="1:19" hidden="1" x14ac:dyDescent="0.25">
      <c r="A49" t="s">
        <v>1689</v>
      </c>
      <c r="B49" t="s">
        <v>1700</v>
      </c>
      <c r="C49" t="s">
        <v>1701</v>
      </c>
      <c r="D49" t="s">
        <v>1739</v>
      </c>
      <c r="E49" t="s">
        <v>1751</v>
      </c>
      <c r="F49" t="s">
        <v>1751</v>
      </c>
      <c r="G49" t="s">
        <v>1751</v>
      </c>
      <c r="H49" t="s">
        <v>1751</v>
      </c>
      <c r="I49" t="s">
        <v>1751</v>
      </c>
      <c r="J49" t="s">
        <v>1751</v>
      </c>
      <c r="K49" t="s">
        <v>1751</v>
      </c>
      <c r="L49" t="s">
        <v>1751</v>
      </c>
      <c r="M49" t="s">
        <v>1751</v>
      </c>
      <c r="N49" t="s">
        <v>1696</v>
      </c>
      <c r="O49" t="s">
        <v>1697</v>
      </c>
      <c r="P49" t="s">
        <v>1493</v>
      </c>
      <c r="Q49">
        <v>1</v>
      </c>
      <c r="R49">
        <v>1</v>
      </c>
      <c r="S49" t="b">
        <f t="shared" si="0"/>
        <v>1</v>
      </c>
    </row>
    <row r="50" spans="1:19" hidden="1" x14ac:dyDescent="0.25">
      <c r="A50" t="s">
        <v>1689</v>
      </c>
      <c r="B50" t="s">
        <v>1700</v>
      </c>
      <c r="C50" t="s">
        <v>1701</v>
      </c>
      <c r="D50" t="s">
        <v>1739</v>
      </c>
      <c r="E50" t="s">
        <v>1752</v>
      </c>
      <c r="F50" t="s">
        <v>1752</v>
      </c>
      <c r="G50" t="s">
        <v>1752</v>
      </c>
      <c r="H50" t="s">
        <v>1752</v>
      </c>
      <c r="I50" t="s">
        <v>1752</v>
      </c>
      <c r="J50" t="s">
        <v>1752</v>
      </c>
      <c r="K50" t="s">
        <v>1752</v>
      </c>
      <c r="L50" t="s">
        <v>1752</v>
      </c>
      <c r="M50" t="s">
        <v>1752</v>
      </c>
      <c r="N50" t="s">
        <v>1696</v>
      </c>
      <c r="O50" t="s">
        <v>1697</v>
      </c>
      <c r="P50" t="s">
        <v>1493</v>
      </c>
      <c r="Q50">
        <v>1</v>
      </c>
      <c r="R50">
        <v>1</v>
      </c>
      <c r="S50" t="b">
        <f t="shared" si="0"/>
        <v>1</v>
      </c>
    </row>
    <row r="51" spans="1:19" hidden="1" x14ac:dyDescent="0.25">
      <c r="A51" t="s">
        <v>1689</v>
      </c>
      <c r="B51" t="s">
        <v>1700</v>
      </c>
      <c r="C51" t="s">
        <v>1701</v>
      </c>
      <c r="D51" t="s">
        <v>1739</v>
      </c>
      <c r="E51" t="s">
        <v>1753</v>
      </c>
      <c r="F51" t="s">
        <v>1753</v>
      </c>
      <c r="G51" t="s">
        <v>1753</v>
      </c>
      <c r="H51" t="s">
        <v>1753</v>
      </c>
      <c r="I51" t="s">
        <v>1753</v>
      </c>
      <c r="J51" t="s">
        <v>1753</v>
      </c>
      <c r="K51" t="s">
        <v>1753</v>
      </c>
      <c r="L51" t="s">
        <v>1753</v>
      </c>
      <c r="M51" t="s">
        <v>1753</v>
      </c>
      <c r="N51" t="s">
        <v>1696</v>
      </c>
      <c r="O51" t="s">
        <v>1697</v>
      </c>
      <c r="P51" t="s">
        <v>1493</v>
      </c>
      <c r="Q51">
        <v>1</v>
      </c>
      <c r="R51">
        <v>1</v>
      </c>
      <c r="S51" t="b">
        <f t="shared" si="0"/>
        <v>1</v>
      </c>
    </row>
    <row r="52" spans="1:19" hidden="1" x14ac:dyDescent="0.25">
      <c r="A52" t="s">
        <v>1689</v>
      </c>
      <c r="B52" t="s">
        <v>1700</v>
      </c>
      <c r="C52" t="s">
        <v>1701</v>
      </c>
      <c r="D52" t="s">
        <v>1739</v>
      </c>
      <c r="E52" t="s">
        <v>1754</v>
      </c>
      <c r="F52" t="s">
        <v>1754</v>
      </c>
      <c r="G52" t="s">
        <v>1754</v>
      </c>
      <c r="H52" t="s">
        <v>1754</v>
      </c>
      <c r="I52" t="s">
        <v>1754</v>
      </c>
      <c r="J52" t="s">
        <v>1754</v>
      </c>
      <c r="K52" t="s">
        <v>1754</v>
      </c>
      <c r="L52" t="s">
        <v>1754</v>
      </c>
      <c r="M52" t="s">
        <v>1754</v>
      </c>
      <c r="N52" t="s">
        <v>1696</v>
      </c>
      <c r="O52" t="s">
        <v>1697</v>
      </c>
      <c r="P52" t="s">
        <v>1493</v>
      </c>
      <c r="Q52">
        <v>1</v>
      </c>
      <c r="R52">
        <v>1</v>
      </c>
      <c r="S52" t="b">
        <f t="shared" si="0"/>
        <v>1</v>
      </c>
    </row>
    <row r="53" spans="1:19" hidden="1" x14ac:dyDescent="0.25">
      <c r="A53" t="s">
        <v>1689</v>
      </c>
      <c r="B53" t="s">
        <v>1700</v>
      </c>
      <c r="C53" t="s">
        <v>1701</v>
      </c>
      <c r="D53" t="s">
        <v>1755</v>
      </c>
      <c r="E53" t="s">
        <v>1756</v>
      </c>
      <c r="F53" t="s">
        <v>1756</v>
      </c>
      <c r="G53" t="s">
        <v>1756</v>
      </c>
      <c r="H53" t="s">
        <v>1756</v>
      </c>
      <c r="I53" t="s">
        <v>1756</v>
      </c>
      <c r="J53" t="s">
        <v>1756</v>
      </c>
      <c r="K53" t="s">
        <v>1756</v>
      </c>
      <c r="L53" t="s">
        <v>1756</v>
      </c>
      <c r="M53" t="s">
        <v>1756</v>
      </c>
      <c r="N53" t="s">
        <v>1696</v>
      </c>
      <c r="O53" t="s">
        <v>1697</v>
      </c>
      <c r="P53" t="s">
        <v>1493</v>
      </c>
      <c r="Q53">
        <v>1</v>
      </c>
      <c r="R53">
        <v>1</v>
      </c>
      <c r="S53" t="b">
        <f t="shared" si="0"/>
        <v>1</v>
      </c>
    </row>
    <row r="54" spans="1:19" hidden="1" x14ac:dyDescent="0.25">
      <c r="A54" t="s">
        <v>1689</v>
      </c>
      <c r="B54" t="s">
        <v>1700</v>
      </c>
      <c r="C54" t="s">
        <v>1701</v>
      </c>
      <c r="D54" t="s">
        <v>1755</v>
      </c>
      <c r="E54" t="s">
        <v>1757</v>
      </c>
      <c r="F54" t="s">
        <v>1757</v>
      </c>
      <c r="G54" t="s">
        <v>1757</v>
      </c>
      <c r="H54" t="s">
        <v>1757</v>
      </c>
      <c r="I54" t="s">
        <v>1757</v>
      </c>
      <c r="J54" t="s">
        <v>1757</v>
      </c>
      <c r="K54" t="s">
        <v>1757</v>
      </c>
      <c r="L54" t="s">
        <v>1757</v>
      </c>
      <c r="M54" t="s">
        <v>1757</v>
      </c>
      <c r="N54" t="s">
        <v>1696</v>
      </c>
      <c r="O54" t="s">
        <v>1697</v>
      </c>
      <c r="P54" t="s">
        <v>1493</v>
      </c>
      <c r="Q54">
        <v>1</v>
      </c>
      <c r="R54">
        <v>1</v>
      </c>
      <c r="S54" t="b">
        <f t="shared" si="0"/>
        <v>1</v>
      </c>
    </row>
    <row r="55" spans="1:19" hidden="1" x14ac:dyDescent="0.25">
      <c r="A55" t="s">
        <v>1689</v>
      </c>
      <c r="B55" t="s">
        <v>1700</v>
      </c>
      <c r="C55" t="s">
        <v>1701</v>
      </c>
      <c r="D55" t="s">
        <v>1755</v>
      </c>
      <c r="E55" t="s">
        <v>1758</v>
      </c>
      <c r="F55" t="s">
        <v>1758</v>
      </c>
      <c r="G55" t="s">
        <v>1758</v>
      </c>
      <c r="H55" t="s">
        <v>1758</v>
      </c>
      <c r="I55" t="s">
        <v>1758</v>
      </c>
      <c r="J55" t="s">
        <v>1758</v>
      </c>
      <c r="K55" t="s">
        <v>1758</v>
      </c>
      <c r="L55" t="s">
        <v>1758</v>
      </c>
      <c r="M55" t="s">
        <v>1758</v>
      </c>
      <c r="N55" t="s">
        <v>1696</v>
      </c>
      <c r="O55" t="s">
        <v>1697</v>
      </c>
      <c r="P55" t="s">
        <v>1493</v>
      </c>
      <c r="Q55">
        <v>1</v>
      </c>
      <c r="R55">
        <v>1</v>
      </c>
      <c r="S55" t="b">
        <f t="shared" si="0"/>
        <v>1</v>
      </c>
    </row>
    <row r="56" spans="1:19" hidden="1" x14ac:dyDescent="0.25">
      <c r="A56" t="s">
        <v>1689</v>
      </c>
      <c r="B56" t="s">
        <v>1700</v>
      </c>
      <c r="C56" t="s">
        <v>1701</v>
      </c>
      <c r="D56" t="s">
        <v>1759</v>
      </c>
      <c r="E56" t="s">
        <v>1760</v>
      </c>
      <c r="F56" t="s">
        <v>1760</v>
      </c>
      <c r="G56" t="s">
        <v>1760</v>
      </c>
      <c r="H56" t="s">
        <v>1760</v>
      </c>
      <c r="I56" t="s">
        <v>1760</v>
      </c>
      <c r="J56" t="s">
        <v>1760</v>
      </c>
      <c r="K56" t="s">
        <v>1760</v>
      </c>
      <c r="L56" t="s">
        <v>1760</v>
      </c>
      <c r="M56" t="s">
        <v>1760</v>
      </c>
      <c r="N56" t="s">
        <v>1696</v>
      </c>
      <c r="O56" t="s">
        <v>1697</v>
      </c>
      <c r="P56" t="s">
        <v>1493</v>
      </c>
      <c r="Q56">
        <v>1</v>
      </c>
      <c r="R56">
        <v>1</v>
      </c>
      <c r="S56" t="b">
        <f t="shared" si="0"/>
        <v>1</v>
      </c>
    </row>
    <row r="57" spans="1:19" hidden="1" x14ac:dyDescent="0.25">
      <c r="A57" t="s">
        <v>1689</v>
      </c>
      <c r="B57" t="s">
        <v>1700</v>
      </c>
      <c r="C57" t="s">
        <v>1701</v>
      </c>
      <c r="D57" t="s">
        <v>1759</v>
      </c>
      <c r="E57" t="s">
        <v>1761</v>
      </c>
      <c r="F57" t="s">
        <v>1761</v>
      </c>
      <c r="G57" t="s">
        <v>1761</v>
      </c>
      <c r="H57" t="s">
        <v>1761</v>
      </c>
      <c r="I57" t="s">
        <v>1761</v>
      </c>
      <c r="J57" t="s">
        <v>1761</v>
      </c>
      <c r="K57" t="s">
        <v>1761</v>
      </c>
      <c r="L57" t="s">
        <v>1761</v>
      </c>
      <c r="M57" t="s">
        <v>1761</v>
      </c>
      <c r="N57" t="s">
        <v>1696</v>
      </c>
      <c r="O57" t="s">
        <v>1697</v>
      </c>
      <c r="P57" t="s">
        <v>1493</v>
      </c>
      <c r="Q57">
        <v>1</v>
      </c>
      <c r="R57">
        <v>1</v>
      </c>
      <c r="S57" t="b">
        <f t="shared" si="0"/>
        <v>1</v>
      </c>
    </row>
    <row r="58" spans="1:19" hidden="1" x14ac:dyDescent="0.25">
      <c r="A58" t="s">
        <v>1689</v>
      </c>
      <c r="B58" t="s">
        <v>1700</v>
      </c>
      <c r="C58" t="s">
        <v>1701</v>
      </c>
      <c r="D58" t="s">
        <v>1759</v>
      </c>
      <c r="E58" t="s">
        <v>1762</v>
      </c>
      <c r="F58" t="s">
        <v>1762</v>
      </c>
      <c r="G58" t="s">
        <v>1762</v>
      </c>
      <c r="H58" t="s">
        <v>1762</v>
      </c>
      <c r="I58" t="s">
        <v>1762</v>
      </c>
      <c r="J58" t="s">
        <v>1762</v>
      </c>
      <c r="K58" t="s">
        <v>1762</v>
      </c>
      <c r="L58" t="s">
        <v>1762</v>
      </c>
      <c r="M58" t="s">
        <v>1762</v>
      </c>
      <c r="N58" t="s">
        <v>1696</v>
      </c>
      <c r="O58" t="s">
        <v>1697</v>
      </c>
      <c r="P58" t="s">
        <v>1493</v>
      </c>
      <c r="Q58">
        <v>1</v>
      </c>
      <c r="R58">
        <v>1</v>
      </c>
      <c r="S58" t="b">
        <f t="shared" si="0"/>
        <v>1</v>
      </c>
    </row>
    <row r="59" spans="1:19" hidden="1" x14ac:dyDescent="0.25">
      <c r="A59" t="s">
        <v>1689</v>
      </c>
      <c r="B59" t="s">
        <v>1700</v>
      </c>
      <c r="C59" t="s">
        <v>1701</v>
      </c>
      <c r="D59" t="s">
        <v>1759</v>
      </c>
      <c r="E59" t="s">
        <v>1763</v>
      </c>
      <c r="F59" t="s">
        <v>1763</v>
      </c>
      <c r="G59" t="s">
        <v>1763</v>
      </c>
      <c r="H59" t="s">
        <v>1763</v>
      </c>
      <c r="I59" t="s">
        <v>1763</v>
      </c>
      <c r="J59" t="s">
        <v>1763</v>
      </c>
      <c r="K59" t="s">
        <v>1763</v>
      </c>
      <c r="L59" t="s">
        <v>1763</v>
      </c>
      <c r="M59" t="s">
        <v>1763</v>
      </c>
      <c r="N59" t="s">
        <v>1696</v>
      </c>
      <c r="O59" t="s">
        <v>1697</v>
      </c>
      <c r="P59" t="s">
        <v>1493</v>
      </c>
      <c r="Q59">
        <v>1</v>
      </c>
      <c r="R59">
        <v>1</v>
      </c>
      <c r="S59" t="b">
        <f t="shared" si="0"/>
        <v>1</v>
      </c>
    </row>
    <row r="60" spans="1:19" hidden="1" x14ac:dyDescent="0.25">
      <c r="A60" t="s">
        <v>1689</v>
      </c>
      <c r="B60" t="s">
        <v>1700</v>
      </c>
      <c r="C60" t="s">
        <v>1701</v>
      </c>
      <c r="D60" t="s">
        <v>1764</v>
      </c>
      <c r="E60" t="s">
        <v>1765</v>
      </c>
      <c r="F60" t="s">
        <v>1765</v>
      </c>
      <c r="G60" t="s">
        <v>1765</v>
      </c>
      <c r="H60" t="s">
        <v>1765</v>
      </c>
      <c r="I60" t="s">
        <v>1765</v>
      </c>
      <c r="J60" t="s">
        <v>1765</v>
      </c>
      <c r="K60" t="s">
        <v>1765</v>
      </c>
      <c r="L60" t="s">
        <v>1765</v>
      </c>
      <c r="M60" t="s">
        <v>1765</v>
      </c>
      <c r="N60" t="s">
        <v>1696</v>
      </c>
      <c r="O60" t="s">
        <v>1697</v>
      </c>
      <c r="P60" t="s">
        <v>1493</v>
      </c>
      <c r="Q60">
        <v>1</v>
      </c>
      <c r="R60">
        <v>1</v>
      </c>
      <c r="S60" t="b">
        <f t="shared" si="0"/>
        <v>1</v>
      </c>
    </row>
    <row r="61" spans="1:19" hidden="1" x14ac:dyDescent="0.25">
      <c r="A61" t="s">
        <v>1689</v>
      </c>
      <c r="B61" t="s">
        <v>1700</v>
      </c>
      <c r="C61" t="s">
        <v>1701</v>
      </c>
      <c r="D61" t="s">
        <v>1764</v>
      </c>
      <c r="E61" t="s">
        <v>1766</v>
      </c>
      <c r="F61" t="s">
        <v>1766</v>
      </c>
      <c r="G61" t="s">
        <v>1766</v>
      </c>
      <c r="H61" t="s">
        <v>1766</v>
      </c>
      <c r="I61" t="s">
        <v>1766</v>
      </c>
      <c r="J61" t="s">
        <v>1766</v>
      </c>
      <c r="K61" t="s">
        <v>1766</v>
      </c>
      <c r="L61" t="s">
        <v>1766</v>
      </c>
      <c r="M61" t="s">
        <v>1766</v>
      </c>
      <c r="N61" t="s">
        <v>1696</v>
      </c>
      <c r="O61" t="s">
        <v>1697</v>
      </c>
      <c r="P61" t="s">
        <v>1493</v>
      </c>
      <c r="Q61">
        <v>1</v>
      </c>
      <c r="R61">
        <v>1</v>
      </c>
      <c r="S61" t="b">
        <f t="shared" si="0"/>
        <v>1</v>
      </c>
    </row>
    <row r="62" spans="1:19" hidden="1" x14ac:dyDescent="0.25">
      <c r="A62" t="s">
        <v>1689</v>
      </c>
      <c r="B62" t="s">
        <v>1700</v>
      </c>
      <c r="C62" t="s">
        <v>1701</v>
      </c>
      <c r="D62" t="s">
        <v>1764</v>
      </c>
      <c r="E62" t="s">
        <v>1767</v>
      </c>
      <c r="F62" t="s">
        <v>1767</v>
      </c>
      <c r="G62" t="s">
        <v>1767</v>
      </c>
      <c r="H62" t="s">
        <v>1767</v>
      </c>
      <c r="I62" t="s">
        <v>1767</v>
      </c>
      <c r="J62" t="s">
        <v>1767</v>
      </c>
      <c r="K62" t="s">
        <v>1767</v>
      </c>
      <c r="L62" t="s">
        <v>1767</v>
      </c>
      <c r="M62" t="s">
        <v>1767</v>
      </c>
      <c r="N62" t="s">
        <v>1696</v>
      </c>
      <c r="O62" t="s">
        <v>1697</v>
      </c>
      <c r="P62" t="s">
        <v>1493</v>
      </c>
      <c r="Q62">
        <v>1</v>
      </c>
      <c r="R62">
        <v>1</v>
      </c>
      <c r="S62" t="b">
        <f t="shared" si="0"/>
        <v>1</v>
      </c>
    </row>
    <row r="63" spans="1:19" hidden="1" x14ac:dyDescent="0.25">
      <c r="A63" t="s">
        <v>1689</v>
      </c>
      <c r="B63" t="s">
        <v>1700</v>
      </c>
      <c r="C63" t="s">
        <v>1701</v>
      </c>
      <c r="D63" t="s">
        <v>1768</v>
      </c>
      <c r="E63" t="s">
        <v>1769</v>
      </c>
      <c r="F63" t="s">
        <v>1769</v>
      </c>
      <c r="G63" t="s">
        <v>1769</v>
      </c>
      <c r="H63" t="s">
        <v>1769</v>
      </c>
      <c r="I63" t="s">
        <v>1769</v>
      </c>
      <c r="J63" t="s">
        <v>1769</v>
      </c>
      <c r="K63" t="s">
        <v>1769</v>
      </c>
      <c r="L63" t="s">
        <v>1769</v>
      </c>
      <c r="M63" t="s">
        <v>1769</v>
      </c>
      <c r="N63" t="s">
        <v>1696</v>
      </c>
      <c r="O63" t="s">
        <v>1697</v>
      </c>
      <c r="P63" t="s">
        <v>1493</v>
      </c>
      <c r="Q63">
        <v>1</v>
      </c>
      <c r="R63">
        <v>1</v>
      </c>
      <c r="S63" t="b">
        <f t="shared" si="0"/>
        <v>1</v>
      </c>
    </row>
    <row r="64" spans="1:19" hidden="1" x14ac:dyDescent="0.25">
      <c r="A64" t="s">
        <v>1689</v>
      </c>
      <c r="B64" t="s">
        <v>1700</v>
      </c>
      <c r="C64" t="s">
        <v>1701</v>
      </c>
      <c r="D64" t="s">
        <v>1768</v>
      </c>
      <c r="E64" t="s">
        <v>1770</v>
      </c>
      <c r="F64" t="s">
        <v>1770</v>
      </c>
      <c r="G64" t="s">
        <v>1770</v>
      </c>
      <c r="H64" t="s">
        <v>1770</v>
      </c>
      <c r="I64" t="s">
        <v>1770</v>
      </c>
      <c r="J64" t="s">
        <v>1770</v>
      </c>
      <c r="K64" t="s">
        <v>1770</v>
      </c>
      <c r="L64" t="s">
        <v>1770</v>
      </c>
      <c r="M64" t="s">
        <v>1770</v>
      </c>
      <c r="N64" t="s">
        <v>1696</v>
      </c>
      <c r="O64" t="s">
        <v>1697</v>
      </c>
      <c r="P64" t="s">
        <v>1493</v>
      </c>
      <c r="Q64">
        <v>1</v>
      </c>
      <c r="R64">
        <v>1</v>
      </c>
      <c r="S64" t="b">
        <f t="shared" si="0"/>
        <v>1</v>
      </c>
    </row>
    <row r="65" spans="1:19" hidden="1" x14ac:dyDescent="0.25">
      <c r="A65" t="s">
        <v>1689</v>
      </c>
      <c r="B65" t="s">
        <v>1700</v>
      </c>
      <c r="C65" t="s">
        <v>1701</v>
      </c>
      <c r="D65" t="s">
        <v>1768</v>
      </c>
      <c r="E65" t="s">
        <v>1771</v>
      </c>
      <c r="F65" t="s">
        <v>1771</v>
      </c>
      <c r="G65" t="s">
        <v>1771</v>
      </c>
      <c r="H65" t="s">
        <v>1771</v>
      </c>
      <c r="I65" t="s">
        <v>1771</v>
      </c>
      <c r="J65" t="s">
        <v>1771</v>
      </c>
      <c r="K65" t="s">
        <v>1771</v>
      </c>
      <c r="L65" t="s">
        <v>1771</v>
      </c>
      <c r="M65" t="s">
        <v>1771</v>
      </c>
      <c r="N65" t="s">
        <v>1696</v>
      </c>
      <c r="O65" t="s">
        <v>1697</v>
      </c>
      <c r="P65" t="s">
        <v>1493</v>
      </c>
      <c r="Q65">
        <v>1</v>
      </c>
      <c r="R65">
        <v>1</v>
      </c>
      <c r="S65" t="b">
        <f t="shared" si="0"/>
        <v>1</v>
      </c>
    </row>
    <row r="66" spans="1:19" hidden="1" x14ac:dyDescent="0.25">
      <c r="A66" t="s">
        <v>1689</v>
      </c>
      <c r="B66" t="s">
        <v>1700</v>
      </c>
      <c r="C66" t="s">
        <v>1701</v>
      </c>
      <c r="D66" t="s">
        <v>1768</v>
      </c>
      <c r="E66" t="s">
        <v>1772</v>
      </c>
      <c r="F66" t="s">
        <v>1772</v>
      </c>
      <c r="G66" t="s">
        <v>1772</v>
      </c>
      <c r="H66" t="s">
        <v>1772</v>
      </c>
      <c r="I66" t="s">
        <v>1772</v>
      </c>
      <c r="J66" t="s">
        <v>1772</v>
      </c>
      <c r="K66" t="s">
        <v>1772</v>
      </c>
      <c r="L66" t="s">
        <v>1772</v>
      </c>
      <c r="M66" t="s">
        <v>1772</v>
      </c>
      <c r="N66" t="s">
        <v>1696</v>
      </c>
      <c r="O66" t="s">
        <v>1697</v>
      </c>
      <c r="P66" t="s">
        <v>1493</v>
      </c>
      <c r="Q66">
        <v>1</v>
      </c>
      <c r="R66">
        <v>1</v>
      </c>
      <c r="S66" t="b">
        <f t="shared" si="0"/>
        <v>1</v>
      </c>
    </row>
    <row r="67" spans="1:19" hidden="1" x14ac:dyDescent="0.25">
      <c r="A67" t="s">
        <v>1689</v>
      </c>
      <c r="B67" t="s">
        <v>1700</v>
      </c>
      <c r="C67" t="s">
        <v>1701</v>
      </c>
      <c r="D67" t="s">
        <v>1768</v>
      </c>
      <c r="E67" t="s">
        <v>1773</v>
      </c>
      <c r="F67" t="s">
        <v>1773</v>
      </c>
      <c r="G67" t="s">
        <v>1773</v>
      </c>
      <c r="H67" t="s">
        <v>1773</v>
      </c>
      <c r="I67" t="s">
        <v>1773</v>
      </c>
      <c r="J67" t="s">
        <v>1773</v>
      </c>
      <c r="K67" t="s">
        <v>1773</v>
      </c>
      <c r="L67" t="s">
        <v>1773</v>
      </c>
      <c r="M67" t="s">
        <v>1773</v>
      </c>
      <c r="N67" t="s">
        <v>1696</v>
      </c>
      <c r="O67" t="s">
        <v>1697</v>
      </c>
      <c r="P67" t="s">
        <v>1493</v>
      </c>
      <c r="Q67">
        <v>1</v>
      </c>
      <c r="R67">
        <v>1</v>
      </c>
      <c r="S67" t="b">
        <f t="shared" ref="S67:S130" si="1">H67=M67</f>
        <v>1</v>
      </c>
    </row>
    <row r="68" spans="1:19" hidden="1" x14ac:dyDescent="0.25">
      <c r="A68" t="s">
        <v>1689</v>
      </c>
      <c r="B68" t="s">
        <v>1700</v>
      </c>
      <c r="C68" t="s">
        <v>1701</v>
      </c>
      <c r="D68" t="s">
        <v>1774</v>
      </c>
      <c r="E68" t="s">
        <v>1775</v>
      </c>
      <c r="F68" t="s">
        <v>1775</v>
      </c>
      <c r="G68" t="s">
        <v>1775</v>
      </c>
      <c r="H68" t="s">
        <v>1775</v>
      </c>
      <c r="I68" t="s">
        <v>1775</v>
      </c>
      <c r="J68" t="s">
        <v>1775</v>
      </c>
      <c r="K68" t="s">
        <v>1775</v>
      </c>
      <c r="L68" t="s">
        <v>1775</v>
      </c>
      <c r="M68" t="s">
        <v>1775</v>
      </c>
      <c r="N68" t="s">
        <v>1696</v>
      </c>
      <c r="O68" t="s">
        <v>1697</v>
      </c>
      <c r="P68" t="s">
        <v>1493</v>
      </c>
      <c r="Q68">
        <v>1</v>
      </c>
      <c r="R68">
        <v>1</v>
      </c>
      <c r="S68" t="b">
        <f t="shared" si="1"/>
        <v>1</v>
      </c>
    </row>
    <row r="69" spans="1:19" hidden="1" x14ac:dyDescent="0.25">
      <c r="A69" t="s">
        <v>1689</v>
      </c>
      <c r="B69" t="s">
        <v>1700</v>
      </c>
      <c r="C69" t="s">
        <v>1701</v>
      </c>
      <c r="D69" t="s">
        <v>1774</v>
      </c>
      <c r="E69" t="s">
        <v>1776</v>
      </c>
      <c r="F69" t="s">
        <v>1776</v>
      </c>
      <c r="G69" t="s">
        <v>1776</v>
      </c>
      <c r="H69" t="s">
        <v>1776</v>
      </c>
      <c r="I69" t="s">
        <v>1776</v>
      </c>
      <c r="J69" t="s">
        <v>1776</v>
      </c>
      <c r="K69" t="s">
        <v>1776</v>
      </c>
      <c r="L69" t="s">
        <v>1776</v>
      </c>
      <c r="M69" t="s">
        <v>1776</v>
      </c>
      <c r="N69" t="s">
        <v>1696</v>
      </c>
      <c r="O69" t="s">
        <v>1697</v>
      </c>
      <c r="P69" t="s">
        <v>1493</v>
      </c>
      <c r="Q69">
        <v>1</v>
      </c>
      <c r="R69">
        <v>1</v>
      </c>
      <c r="S69" t="b">
        <f t="shared" si="1"/>
        <v>1</v>
      </c>
    </row>
    <row r="70" spans="1:19" hidden="1" x14ac:dyDescent="0.25">
      <c r="A70" t="s">
        <v>1689</v>
      </c>
      <c r="B70" t="s">
        <v>1700</v>
      </c>
      <c r="C70" t="s">
        <v>1701</v>
      </c>
      <c r="D70" t="s">
        <v>1774</v>
      </c>
      <c r="E70" t="s">
        <v>1777</v>
      </c>
      <c r="F70" t="s">
        <v>1777</v>
      </c>
      <c r="G70" t="s">
        <v>1777</v>
      </c>
      <c r="H70" t="s">
        <v>1777</v>
      </c>
      <c r="I70" t="s">
        <v>1777</v>
      </c>
      <c r="J70" t="s">
        <v>1777</v>
      </c>
      <c r="K70" t="s">
        <v>1777</v>
      </c>
      <c r="L70" t="s">
        <v>1777</v>
      </c>
      <c r="M70" t="s">
        <v>1777</v>
      </c>
      <c r="N70" t="s">
        <v>1696</v>
      </c>
      <c r="O70" t="s">
        <v>1697</v>
      </c>
      <c r="P70" t="s">
        <v>1493</v>
      </c>
      <c r="Q70">
        <v>1</v>
      </c>
      <c r="R70">
        <v>1</v>
      </c>
      <c r="S70" t="b">
        <f t="shared" si="1"/>
        <v>1</v>
      </c>
    </row>
    <row r="71" spans="1:19" hidden="1" x14ac:dyDescent="0.25">
      <c r="A71" t="s">
        <v>1689</v>
      </c>
      <c r="B71" t="s">
        <v>1700</v>
      </c>
      <c r="C71" t="s">
        <v>1701</v>
      </c>
      <c r="D71" t="s">
        <v>1774</v>
      </c>
      <c r="E71" t="s">
        <v>1778</v>
      </c>
      <c r="F71" t="s">
        <v>1778</v>
      </c>
      <c r="G71" t="s">
        <v>1778</v>
      </c>
      <c r="H71" t="s">
        <v>1778</v>
      </c>
      <c r="I71" t="s">
        <v>1778</v>
      </c>
      <c r="J71" t="s">
        <v>1778</v>
      </c>
      <c r="K71" t="s">
        <v>1778</v>
      </c>
      <c r="L71" t="s">
        <v>1778</v>
      </c>
      <c r="M71" t="s">
        <v>1778</v>
      </c>
      <c r="N71" t="s">
        <v>1696</v>
      </c>
      <c r="O71" t="s">
        <v>1697</v>
      </c>
      <c r="P71" t="s">
        <v>1493</v>
      </c>
      <c r="Q71">
        <v>1</v>
      </c>
      <c r="R71">
        <v>1</v>
      </c>
      <c r="S71" t="b">
        <f t="shared" si="1"/>
        <v>1</v>
      </c>
    </row>
    <row r="72" spans="1:19" hidden="1" x14ac:dyDescent="0.25">
      <c r="A72" t="s">
        <v>1689</v>
      </c>
      <c r="B72" t="s">
        <v>1700</v>
      </c>
      <c r="C72" t="s">
        <v>1701</v>
      </c>
      <c r="D72" t="s">
        <v>1774</v>
      </c>
      <c r="E72" t="s">
        <v>1779</v>
      </c>
      <c r="F72" t="s">
        <v>1779</v>
      </c>
      <c r="G72" t="s">
        <v>1779</v>
      </c>
      <c r="H72" t="s">
        <v>1779</v>
      </c>
      <c r="I72" t="s">
        <v>1779</v>
      </c>
      <c r="J72" t="s">
        <v>1779</v>
      </c>
      <c r="K72" t="s">
        <v>1779</v>
      </c>
      <c r="L72" t="s">
        <v>1779</v>
      </c>
      <c r="M72" t="s">
        <v>1779</v>
      </c>
      <c r="N72" t="s">
        <v>1696</v>
      </c>
      <c r="O72" t="s">
        <v>1697</v>
      </c>
      <c r="P72" t="s">
        <v>1493</v>
      </c>
      <c r="Q72">
        <v>1</v>
      </c>
      <c r="R72">
        <v>1</v>
      </c>
      <c r="S72" t="b">
        <f t="shared" si="1"/>
        <v>1</v>
      </c>
    </row>
    <row r="73" spans="1:19" hidden="1" x14ac:dyDescent="0.25">
      <c r="A73" t="s">
        <v>1689</v>
      </c>
      <c r="B73" t="s">
        <v>1700</v>
      </c>
      <c r="C73" t="s">
        <v>1701</v>
      </c>
      <c r="D73" t="s">
        <v>1780</v>
      </c>
      <c r="E73" t="s">
        <v>1781</v>
      </c>
      <c r="F73" t="s">
        <v>1781</v>
      </c>
      <c r="G73" t="s">
        <v>1781</v>
      </c>
      <c r="H73" t="s">
        <v>1781</v>
      </c>
      <c r="I73" t="s">
        <v>1781</v>
      </c>
      <c r="J73" t="s">
        <v>1781</v>
      </c>
      <c r="K73" t="s">
        <v>1781</v>
      </c>
      <c r="L73" t="s">
        <v>1781</v>
      </c>
      <c r="M73" t="s">
        <v>1781</v>
      </c>
      <c r="N73" t="s">
        <v>1696</v>
      </c>
      <c r="O73" t="s">
        <v>1697</v>
      </c>
      <c r="P73" t="s">
        <v>1493</v>
      </c>
      <c r="Q73">
        <v>1</v>
      </c>
      <c r="R73">
        <v>1</v>
      </c>
      <c r="S73" t="b">
        <f t="shared" si="1"/>
        <v>1</v>
      </c>
    </row>
    <row r="74" spans="1:19" hidden="1" x14ac:dyDescent="0.25">
      <c r="A74" t="s">
        <v>1689</v>
      </c>
      <c r="B74" t="s">
        <v>1700</v>
      </c>
      <c r="C74" t="s">
        <v>1701</v>
      </c>
      <c r="D74" t="s">
        <v>1780</v>
      </c>
      <c r="E74" t="s">
        <v>1782</v>
      </c>
      <c r="F74" t="s">
        <v>1782</v>
      </c>
      <c r="G74" t="s">
        <v>1782</v>
      </c>
      <c r="H74" t="s">
        <v>1782</v>
      </c>
      <c r="I74" t="s">
        <v>1782</v>
      </c>
      <c r="J74" t="s">
        <v>1782</v>
      </c>
      <c r="K74" t="s">
        <v>1782</v>
      </c>
      <c r="L74" t="s">
        <v>1782</v>
      </c>
      <c r="M74" t="s">
        <v>1782</v>
      </c>
      <c r="N74" t="s">
        <v>1696</v>
      </c>
      <c r="O74" t="s">
        <v>1697</v>
      </c>
      <c r="P74" t="s">
        <v>1493</v>
      </c>
      <c r="Q74">
        <v>1</v>
      </c>
      <c r="R74">
        <v>1</v>
      </c>
      <c r="S74" t="b">
        <f t="shared" si="1"/>
        <v>1</v>
      </c>
    </row>
    <row r="75" spans="1:19" hidden="1" x14ac:dyDescent="0.25">
      <c r="A75" t="s">
        <v>1689</v>
      </c>
      <c r="B75" t="s">
        <v>1700</v>
      </c>
      <c r="C75" t="s">
        <v>1701</v>
      </c>
      <c r="D75" t="s">
        <v>1780</v>
      </c>
      <c r="E75" t="s">
        <v>1783</v>
      </c>
      <c r="F75" t="s">
        <v>1783</v>
      </c>
      <c r="G75" t="s">
        <v>1783</v>
      </c>
      <c r="H75" t="s">
        <v>1783</v>
      </c>
      <c r="I75" t="s">
        <v>1783</v>
      </c>
      <c r="J75" t="s">
        <v>1783</v>
      </c>
      <c r="K75" t="s">
        <v>1783</v>
      </c>
      <c r="L75" t="s">
        <v>1783</v>
      </c>
      <c r="M75" t="s">
        <v>1783</v>
      </c>
      <c r="N75" t="s">
        <v>1696</v>
      </c>
      <c r="O75" t="s">
        <v>1697</v>
      </c>
      <c r="P75" t="s">
        <v>1493</v>
      </c>
      <c r="Q75">
        <v>1</v>
      </c>
      <c r="R75">
        <v>1</v>
      </c>
      <c r="S75" t="b">
        <f t="shared" si="1"/>
        <v>1</v>
      </c>
    </row>
    <row r="76" spans="1:19" hidden="1" x14ac:dyDescent="0.25">
      <c r="A76" t="s">
        <v>1689</v>
      </c>
      <c r="B76" t="s">
        <v>1700</v>
      </c>
      <c r="C76" t="s">
        <v>1701</v>
      </c>
      <c r="D76" t="s">
        <v>1780</v>
      </c>
      <c r="E76" t="s">
        <v>1784</v>
      </c>
      <c r="F76" t="s">
        <v>1784</v>
      </c>
      <c r="G76" t="s">
        <v>1784</v>
      </c>
      <c r="H76" t="s">
        <v>1784</v>
      </c>
      <c r="I76" t="s">
        <v>1784</v>
      </c>
      <c r="J76" t="s">
        <v>1784</v>
      </c>
      <c r="K76" t="s">
        <v>1784</v>
      </c>
      <c r="L76" t="s">
        <v>1784</v>
      </c>
      <c r="M76" t="s">
        <v>1784</v>
      </c>
      <c r="N76" t="s">
        <v>1696</v>
      </c>
      <c r="O76" t="s">
        <v>1697</v>
      </c>
      <c r="P76" t="s">
        <v>1493</v>
      </c>
      <c r="Q76">
        <v>1</v>
      </c>
      <c r="R76">
        <v>1</v>
      </c>
      <c r="S76" t="b">
        <f t="shared" si="1"/>
        <v>1</v>
      </c>
    </row>
    <row r="77" spans="1:19" hidden="1" x14ac:dyDescent="0.25">
      <c r="A77" t="s">
        <v>1689</v>
      </c>
      <c r="B77" t="s">
        <v>1700</v>
      </c>
      <c r="C77" t="s">
        <v>1701</v>
      </c>
      <c r="D77" t="s">
        <v>1780</v>
      </c>
      <c r="E77" t="s">
        <v>1785</v>
      </c>
      <c r="F77" t="s">
        <v>1785</v>
      </c>
      <c r="G77" t="s">
        <v>1785</v>
      </c>
      <c r="H77" t="s">
        <v>1785</v>
      </c>
      <c r="I77" t="s">
        <v>1785</v>
      </c>
      <c r="J77" t="s">
        <v>1785</v>
      </c>
      <c r="K77" t="s">
        <v>1785</v>
      </c>
      <c r="L77" t="s">
        <v>1785</v>
      </c>
      <c r="M77" t="s">
        <v>1785</v>
      </c>
      <c r="N77" t="s">
        <v>1696</v>
      </c>
      <c r="O77" t="s">
        <v>1697</v>
      </c>
      <c r="P77" t="s">
        <v>1493</v>
      </c>
      <c r="Q77">
        <v>1</v>
      </c>
      <c r="R77">
        <v>1</v>
      </c>
      <c r="S77" t="b">
        <f t="shared" si="1"/>
        <v>1</v>
      </c>
    </row>
    <row r="78" spans="1:19" hidden="1" x14ac:dyDescent="0.25">
      <c r="A78" t="s">
        <v>1689</v>
      </c>
      <c r="B78" t="s">
        <v>1700</v>
      </c>
      <c r="C78" t="s">
        <v>1701</v>
      </c>
      <c r="D78" t="s">
        <v>1780</v>
      </c>
      <c r="E78" t="s">
        <v>1786</v>
      </c>
      <c r="F78" t="s">
        <v>1786</v>
      </c>
      <c r="G78" t="s">
        <v>1786</v>
      </c>
      <c r="H78" t="s">
        <v>1786</v>
      </c>
      <c r="I78" t="s">
        <v>1786</v>
      </c>
      <c r="J78" t="s">
        <v>1786</v>
      </c>
      <c r="K78" t="s">
        <v>1786</v>
      </c>
      <c r="L78" t="s">
        <v>1786</v>
      </c>
      <c r="M78" t="s">
        <v>1786</v>
      </c>
      <c r="N78" t="s">
        <v>1696</v>
      </c>
      <c r="O78" t="s">
        <v>1697</v>
      </c>
      <c r="P78" t="s">
        <v>1493</v>
      </c>
      <c r="Q78">
        <v>1</v>
      </c>
      <c r="R78">
        <v>1</v>
      </c>
      <c r="S78" t="b">
        <f t="shared" si="1"/>
        <v>1</v>
      </c>
    </row>
    <row r="79" spans="1:19" hidden="1" x14ac:dyDescent="0.25">
      <c r="A79" t="s">
        <v>1689</v>
      </c>
      <c r="B79" t="s">
        <v>1700</v>
      </c>
      <c r="C79" t="s">
        <v>1701</v>
      </c>
      <c r="D79" t="s">
        <v>1780</v>
      </c>
      <c r="E79" t="s">
        <v>1787</v>
      </c>
      <c r="F79" t="s">
        <v>1787</v>
      </c>
      <c r="G79" t="s">
        <v>1787</v>
      </c>
      <c r="H79" t="s">
        <v>1787</v>
      </c>
      <c r="I79" t="s">
        <v>1787</v>
      </c>
      <c r="J79" t="s">
        <v>1787</v>
      </c>
      <c r="K79" t="s">
        <v>1787</v>
      </c>
      <c r="L79" t="s">
        <v>1787</v>
      </c>
      <c r="M79" t="s">
        <v>1787</v>
      </c>
      <c r="N79" t="s">
        <v>1696</v>
      </c>
      <c r="O79" t="s">
        <v>1697</v>
      </c>
      <c r="P79" t="s">
        <v>1493</v>
      </c>
      <c r="Q79">
        <v>1</v>
      </c>
      <c r="R79">
        <v>1</v>
      </c>
      <c r="S79" t="b">
        <f t="shared" si="1"/>
        <v>1</v>
      </c>
    </row>
    <row r="80" spans="1:19" hidden="1" x14ac:dyDescent="0.25">
      <c r="A80" t="s">
        <v>1689</v>
      </c>
      <c r="B80" t="s">
        <v>1700</v>
      </c>
      <c r="C80" t="s">
        <v>1701</v>
      </c>
      <c r="D80" t="s">
        <v>1780</v>
      </c>
      <c r="E80" t="s">
        <v>1788</v>
      </c>
      <c r="F80" t="s">
        <v>1788</v>
      </c>
      <c r="G80" t="s">
        <v>1788</v>
      </c>
      <c r="H80" t="s">
        <v>1788</v>
      </c>
      <c r="I80" t="s">
        <v>1788</v>
      </c>
      <c r="J80" t="s">
        <v>1788</v>
      </c>
      <c r="K80" t="s">
        <v>1788</v>
      </c>
      <c r="L80" t="s">
        <v>1788</v>
      </c>
      <c r="M80" t="s">
        <v>1788</v>
      </c>
      <c r="N80" t="s">
        <v>1696</v>
      </c>
      <c r="O80" t="s">
        <v>1697</v>
      </c>
      <c r="P80" t="s">
        <v>1493</v>
      </c>
      <c r="Q80">
        <v>1</v>
      </c>
      <c r="R80">
        <v>1</v>
      </c>
      <c r="S80" t="b">
        <f t="shared" si="1"/>
        <v>1</v>
      </c>
    </row>
    <row r="81" spans="1:19" hidden="1" x14ac:dyDescent="0.25">
      <c r="A81" t="s">
        <v>1689</v>
      </c>
      <c r="B81" t="s">
        <v>1700</v>
      </c>
      <c r="C81" t="s">
        <v>1701</v>
      </c>
      <c r="D81" t="s">
        <v>1789</v>
      </c>
      <c r="E81" t="s">
        <v>1790</v>
      </c>
      <c r="F81" t="s">
        <v>1790</v>
      </c>
      <c r="G81" t="s">
        <v>1790</v>
      </c>
      <c r="H81" t="s">
        <v>1790</v>
      </c>
      <c r="I81" t="s">
        <v>1790</v>
      </c>
      <c r="J81" t="s">
        <v>1790</v>
      </c>
      <c r="K81" t="s">
        <v>1790</v>
      </c>
      <c r="L81" t="s">
        <v>1790</v>
      </c>
      <c r="M81" t="s">
        <v>1790</v>
      </c>
      <c r="N81" t="s">
        <v>1696</v>
      </c>
      <c r="O81" t="s">
        <v>1697</v>
      </c>
      <c r="P81" t="s">
        <v>1493</v>
      </c>
      <c r="Q81">
        <v>1</v>
      </c>
      <c r="R81">
        <v>1</v>
      </c>
      <c r="S81" t="b">
        <f t="shared" si="1"/>
        <v>1</v>
      </c>
    </row>
    <row r="82" spans="1:19" hidden="1" x14ac:dyDescent="0.25">
      <c r="A82" t="s">
        <v>1689</v>
      </c>
      <c r="B82" t="s">
        <v>1700</v>
      </c>
      <c r="C82" t="s">
        <v>1701</v>
      </c>
      <c r="D82" t="s">
        <v>1789</v>
      </c>
      <c r="E82" t="s">
        <v>1791</v>
      </c>
      <c r="F82" t="s">
        <v>1791</v>
      </c>
      <c r="G82" t="s">
        <v>1791</v>
      </c>
      <c r="H82" t="s">
        <v>1791</v>
      </c>
      <c r="I82" t="s">
        <v>1791</v>
      </c>
      <c r="J82" t="s">
        <v>1791</v>
      </c>
      <c r="K82" t="s">
        <v>1791</v>
      </c>
      <c r="L82" t="s">
        <v>1791</v>
      </c>
      <c r="M82" t="s">
        <v>1791</v>
      </c>
      <c r="N82" t="s">
        <v>1696</v>
      </c>
      <c r="O82" t="s">
        <v>1697</v>
      </c>
      <c r="P82" t="s">
        <v>1493</v>
      </c>
      <c r="Q82">
        <v>1</v>
      </c>
      <c r="R82">
        <v>1</v>
      </c>
      <c r="S82" t="b">
        <f t="shared" si="1"/>
        <v>1</v>
      </c>
    </row>
    <row r="83" spans="1:19" hidden="1" x14ac:dyDescent="0.25">
      <c r="A83" t="s">
        <v>1689</v>
      </c>
      <c r="B83" t="s">
        <v>1700</v>
      </c>
      <c r="C83" t="s">
        <v>1701</v>
      </c>
      <c r="D83" t="s">
        <v>1789</v>
      </c>
      <c r="E83" t="s">
        <v>1792</v>
      </c>
      <c r="F83" t="s">
        <v>1792</v>
      </c>
      <c r="G83" t="s">
        <v>1792</v>
      </c>
      <c r="H83" t="s">
        <v>1792</v>
      </c>
      <c r="I83" t="s">
        <v>1792</v>
      </c>
      <c r="J83" t="s">
        <v>1792</v>
      </c>
      <c r="K83" t="s">
        <v>1792</v>
      </c>
      <c r="L83" t="s">
        <v>1792</v>
      </c>
      <c r="M83" t="s">
        <v>1792</v>
      </c>
      <c r="N83" t="s">
        <v>1696</v>
      </c>
      <c r="O83" t="s">
        <v>1697</v>
      </c>
      <c r="P83" t="s">
        <v>1493</v>
      </c>
      <c r="Q83">
        <v>1</v>
      </c>
      <c r="R83">
        <v>1</v>
      </c>
      <c r="S83" t="b">
        <f t="shared" si="1"/>
        <v>1</v>
      </c>
    </row>
    <row r="84" spans="1:19" hidden="1" x14ac:dyDescent="0.25">
      <c r="A84" t="s">
        <v>1689</v>
      </c>
      <c r="B84" t="s">
        <v>1700</v>
      </c>
      <c r="C84" t="s">
        <v>1701</v>
      </c>
      <c r="D84" t="s">
        <v>1789</v>
      </c>
      <c r="E84" t="s">
        <v>1793</v>
      </c>
      <c r="F84" t="s">
        <v>1793</v>
      </c>
      <c r="G84" t="s">
        <v>1793</v>
      </c>
      <c r="H84" t="s">
        <v>1793</v>
      </c>
      <c r="I84" t="s">
        <v>1793</v>
      </c>
      <c r="J84" t="s">
        <v>1793</v>
      </c>
      <c r="K84" t="s">
        <v>1793</v>
      </c>
      <c r="L84" t="s">
        <v>1793</v>
      </c>
      <c r="M84" t="s">
        <v>1793</v>
      </c>
      <c r="N84" t="s">
        <v>1696</v>
      </c>
      <c r="O84" t="s">
        <v>1697</v>
      </c>
      <c r="P84" t="s">
        <v>1493</v>
      </c>
      <c r="Q84">
        <v>1</v>
      </c>
      <c r="R84">
        <v>1</v>
      </c>
      <c r="S84" t="b">
        <f t="shared" si="1"/>
        <v>1</v>
      </c>
    </row>
    <row r="85" spans="1:19" hidden="1" x14ac:dyDescent="0.25">
      <c r="A85" t="s">
        <v>1689</v>
      </c>
      <c r="B85" t="s">
        <v>1700</v>
      </c>
      <c r="C85" t="s">
        <v>1701</v>
      </c>
      <c r="D85" t="s">
        <v>1789</v>
      </c>
      <c r="E85" t="s">
        <v>1794</v>
      </c>
      <c r="F85" t="s">
        <v>1794</v>
      </c>
      <c r="G85" t="s">
        <v>1794</v>
      </c>
      <c r="H85" t="s">
        <v>1794</v>
      </c>
      <c r="I85" t="s">
        <v>1794</v>
      </c>
      <c r="J85" t="s">
        <v>1794</v>
      </c>
      <c r="K85" t="s">
        <v>1794</v>
      </c>
      <c r="L85" t="s">
        <v>1794</v>
      </c>
      <c r="M85" t="s">
        <v>1794</v>
      </c>
      <c r="N85" t="s">
        <v>1696</v>
      </c>
      <c r="O85" t="s">
        <v>1697</v>
      </c>
      <c r="P85" t="s">
        <v>1493</v>
      </c>
      <c r="Q85">
        <v>1</v>
      </c>
      <c r="R85">
        <v>1</v>
      </c>
      <c r="S85" t="b">
        <f t="shared" si="1"/>
        <v>1</v>
      </c>
    </row>
    <row r="86" spans="1:19" hidden="1" x14ac:dyDescent="0.25">
      <c r="A86" t="s">
        <v>1689</v>
      </c>
      <c r="B86" t="s">
        <v>1700</v>
      </c>
      <c r="C86" t="s">
        <v>1701</v>
      </c>
      <c r="D86" t="s">
        <v>1789</v>
      </c>
      <c r="E86" t="s">
        <v>1795</v>
      </c>
      <c r="F86" t="s">
        <v>1795</v>
      </c>
      <c r="G86" t="s">
        <v>1795</v>
      </c>
      <c r="H86" t="s">
        <v>1795</v>
      </c>
      <c r="I86" t="s">
        <v>1795</v>
      </c>
      <c r="J86" t="s">
        <v>1795</v>
      </c>
      <c r="K86" t="s">
        <v>1795</v>
      </c>
      <c r="L86" t="s">
        <v>1795</v>
      </c>
      <c r="M86" t="s">
        <v>1795</v>
      </c>
      <c r="N86" t="s">
        <v>1696</v>
      </c>
      <c r="O86" t="s">
        <v>1697</v>
      </c>
      <c r="P86" t="s">
        <v>1493</v>
      </c>
      <c r="Q86">
        <v>1</v>
      </c>
      <c r="R86">
        <v>1</v>
      </c>
      <c r="S86" t="b">
        <f t="shared" si="1"/>
        <v>1</v>
      </c>
    </row>
    <row r="87" spans="1:19" hidden="1" x14ac:dyDescent="0.25">
      <c r="A87" t="s">
        <v>1689</v>
      </c>
      <c r="B87" t="s">
        <v>1700</v>
      </c>
      <c r="C87" t="s">
        <v>1701</v>
      </c>
      <c r="D87" t="s">
        <v>1789</v>
      </c>
      <c r="E87" t="s">
        <v>1796</v>
      </c>
      <c r="F87" t="s">
        <v>1796</v>
      </c>
      <c r="G87" t="s">
        <v>1796</v>
      </c>
      <c r="H87" t="s">
        <v>1796</v>
      </c>
      <c r="I87" t="s">
        <v>1796</v>
      </c>
      <c r="J87" t="s">
        <v>1796</v>
      </c>
      <c r="K87" t="s">
        <v>1796</v>
      </c>
      <c r="L87" t="s">
        <v>1796</v>
      </c>
      <c r="M87" t="s">
        <v>1796</v>
      </c>
      <c r="N87" t="s">
        <v>1696</v>
      </c>
      <c r="O87" t="s">
        <v>1697</v>
      </c>
      <c r="P87" t="s">
        <v>1493</v>
      </c>
      <c r="Q87">
        <v>1</v>
      </c>
      <c r="R87">
        <v>1</v>
      </c>
      <c r="S87" t="b">
        <f t="shared" si="1"/>
        <v>1</v>
      </c>
    </row>
    <row r="88" spans="1:19" hidden="1" x14ac:dyDescent="0.25">
      <c r="A88" t="s">
        <v>1689</v>
      </c>
      <c r="B88" t="s">
        <v>1700</v>
      </c>
      <c r="C88" t="s">
        <v>1701</v>
      </c>
      <c r="D88" t="s">
        <v>1789</v>
      </c>
      <c r="E88" t="s">
        <v>1797</v>
      </c>
      <c r="F88" t="s">
        <v>1797</v>
      </c>
      <c r="G88" t="s">
        <v>1797</v>
      </c>
      <c r="H88" t="s">
        <v>1797</v>
      </c>
      <c r="I88" t="s">
        <v>1797</v>
      </c>
      <c r="J88" t="s">
        <v>1797</v>
      </c>
      <c r="K88" t="s">
        <v>1797</v>
      </c>
      <c r="L88" t="s">
        <v>1797</v>
      </c>
      <c r="M88" t="s">
        <v>1797</v>
      </c>
      <c r="N88" t="s">
        <v>1696</v>
      </c>
      <c r="O88" t="s">
        <v>1697</v>
      </c>
      <c r="P88" t="s">
        <v>1493</v>
      </c>
      <c r="Q88">
        <v>1</v>
      </c>
      <c r="R88">
        <v>1</v>
      </c>
      <c r="S88" t="b">
        <f t="shared" si="1"/>
        <v>1</v>
      </c>
    </row>
    <row r="89" spans="1:19" hidden="1" x14ac:dyDescent="0.25">
      <c r="A89" t="s">
        <v>1689</v>
      </c>
      <c r="B89" t="s">
        <v>1700</v>
      </c>
      <c r="C89" t="s">
        <v>1798</v>
      </c>
      <c r="D89" t="s">
        <v>1799</v>
      </c>
      <c r="E89" t="s">
        <v>1800</v>
      </c>
      <c r="F89" t="s">
        <v>1800</v>
      </c>
      <c r="G89" t="s">
        <v>1800</v>
      </c>
      <c r="H89" t="s">
        <v>1800</v>
      </c>
      <c r="I89" t="s">
        <v>1800</v>
      </c>
      <c r="J89" t="s">
        <v>1800</v>
      </c>
      <c r="K89" t="s">
        <v>1800</v>
      </c>
      <c r="L89" t="s">
        <v>1800</v>
      </c>
      <c r="M89" t="s">
        <v>1800</v>
      </c>
      <c r="N89" t="s">
        <v>1696</v>
      </c>
      <c r="O89" t="s">
        <v>1697</v>
      </c>
      <c r="P89" t="s">
        <v>1493</v>
      </c>
      <c r="Q89">
        <v>1</v>
      </c>
      <c r="R89">
        <v>1</v>
      </c>
      <c r="S89" t="b">
        <f t="shared" si="1"/>
        <v>1</v>
      </c>
    </row>
    <row r="90" spans="1:19" hidden="1" x14ac:dyDescent="0.25">
      <c r="A90" t="s">
        <v>1689</v>
      </c>
      <c r="B90" t="s">
        <v>1700</v>
      </c>
      <c r="C90" t="s">
        <v>1798</v>
      </c>
      <c r="D90" t="s">
        <v>1799</v>
      </c>
      <c r="E90" t="s">
        <v>1801</v>
      </c>
      <c r="F90" t="s">
        <v>1801</v>
      </c>
      <c r="G90" t="s">
        <v>1801</v>
      </c>
      <c r="H90" t="s">
        <v>1801</v>
      </c>
      <c r="I90" t="s">
        <v>1801</v>
      </c>
      <c r="J90" t="s">
        <v>1801</v>
      </c>
      <c r="K90" t="s">
        <v>1801</v>
      </c>
      <c r="L90" t="s">
        <v>1801</v>
      </c>
      <c r="M90" t="s">
        <v>1801</v>
      </c>
      <c r="N90" t="s">
        <v>1696</v>
      </c>
      <c r="O90" t="s">
        <v>1697</v>
      </c>
      <c r="P90" t="s">
        <v>1493</v>
      </c>
      <c r="Q90">
        <v>1</v>
      </c>
      <c r="R90">
        <v>1</v>
      </c>
      <c r="S90" t="b">
        <f t="shared" si="1"/>
        <v>1</v>
      </c>
    </row>
    <row r="91" spans="1:19" hidden="1" x14ac:dyDescent="0.25">
      <c r="A91" t="s">
        <v>1689</v>
      </c>
      <c r="B91" t="s">
        <v>1700</v>
      </c>
      <c r="C91" t="s">
        <v>1798</v>
      </c>
      <c r="D91" t="s">
        <v>1799</v>
      </c>
      <c r="E91" t="s">
        <v>1802</v>
      </c>
      <c r="F91" t="s">
        <v>1802</v>
      </c>
      <c r="G91" t="s">
        <v>1802</v>
      </c>
      <c r="H91" t="s">
        <v>1802</v>
      </c>
      <c r="I91" t="s">
        <v>1802</v>
      </c>
      <c r="J91" t="s">
        <v>1802</v>
      </c>
      <c r="K91" t="s">
        <v>1802</v>
      </c>
      <c r="L91" t="s">
        <v>1802</v>
      </c>
      <c r="M91" t="s">
        <v>1802</v>
      </c>
      <c r="N91" t="s">
        <v>1696</v>
      </c>
      <c r="O91" t="s">
        <v>1697</v>
      </c>
      <c r="P91" t="s">
        <v>1493</v>
      </c>
      <c r="Q91">
        <v>1</v>
      </c>
      <c r="R91">
        <v>1</v>
      </c>
      <c r="S91" t="b">
        <f t="shared" si="1"/>
        <v>1</v>
      </c>
    </row>
    <row r="92" spans="1:19" hidden="1" x14ac:dyDescent="0.25">
      <c r="A92" t="s">
        <v>1689</v>
      </c>
      <c r="B92" t="s">
        <v>1700</v>
      </c>
      <c r="C92" t="s">
        <v>1798</v>
      </c>
      <c r="D92" t="s">
        <v>1799</v>
      </c>
      <c r="E92" t="s">
        <v>1803</v>
      </c>
      <c r="F92" t="s">
        <v>1803</v>
      </c>
      <c r="G92" t="s">
        <v>1803</v>
      </c>
      <c r="H92" t="s">
        <v>1803</v>
      </c>
      <c r="I92" t="s">
        <v>1803</v>
      </c>
      <c r="J92" t="s">
        <v>1803</v>
      </c>
      <c r="K92" t="s">
        <v>1803</v>
      </c>
      <c r="L92" t="s">
        <v>1803</v>
      </c>
      <c r="M92" t="s">
        <v>1803</v>
      </c>
      <c r="N92" t="s">
        <v>1696</v>
      </c>
      <c r="O92" t="s">
        <v>1697</v>
      </c>
      <c r="P92" t="s">
        <v>1493</v>
      </c>
      <c r="Q92">
        <v>1</v>
      </c>
      <c r="R92">
        <v>1</v>
      </c>
      <c r="S92" t="b">
        <f t="shared" si="1"/>
        <v>1</v>
      </c>
    </row>
    <row r="93" spans="1:19" hidden="1" x14ac:dyDescent="0.25">
      <c r="A93" t="s">
        <v>1689</v>
      </c>
      <c r="B93" t="s">
        <v>1700</v>
      </c>
      <c r="C93" t="s">
        <v>1798</v>
      </c>
      <c r="D93" t="s">
        <v>1799</v>
      </c>
      <c r="E93" t="s">
        <v>1804</v>
      </c>
      <c r="F93" t="s">
        <v>1804</v>
      </c>
      <c r="G93" t="s">
        <v>1804</v>
      </c>
      <c r="H93" t="s">
        <v>1804</v>
      </c>
      <c r="I93" t="s">
        <v>1804</v>
      </c>
      <c r="J93" t="s">
        <v>1804</v>
      </c>
      <c r="K93" t="s">
        <v>1804</v>
      </c>
      <c r="L93" t="s">
        <v>1804</v>
      </c>
      <c r="M93" t="s">
        <v>1804</v>
      </c>
      <c r="N93" t="s">
        <v>1696</v>
      </c>
      <c r="O93" t="s">
        <v>1697</v>
      </c>
      <c r="P93" t="s">
        <v>1493</v>
      </c>
      <c r="Q93">
        <v>1</v>
      </c>
      <c r="R93">
        <v>1</v>
      </c>
      <c r="S93" t="b">
        <f t="shared" si="1"/>
        <v>1</v>
      </c>
    </row>
    <row r="94" spans="1:19" hidden="1" x14ac:dyDescent="0.25">
      <c r="A94" t="s">
        <v>1689</v>
      </c>
      <c r="B94" t="s">
        <v>1700</v>
      </c>
      <c r="C94" t="s">
        <v>1798</v>
      </c>
      <c r="D94" t="s">
        <v>1799</v>
      </c>
      <c r="E94" t="s">
        <v>1805</v>
      </c>
      <c r="F94" t="s">
        <v>1805</v>
      </c>
      <c r="G94" t="s">
        <v>1805</v>
      </c>
      <c r="H94" t="s">
        <v>1805</v>
      </c>
      <c r="I94" t="s">
        <v>1805</v>
      </c>
      <c r="J94" t="s">
        <v>1805</v>
      </c>
      <c r="K94" t="s">
        <v>1805</v>
      </c>
      <c r="L94" t="s">
        <v>1805</v>
      </c>
      <c r="M94" t="s">
        <v>1805</v>
      </c>
      <c r="N94" t="s">
        <v>1696</v>
      </c>
      <c r="O94" t="s">
        <v>1697</v>
      </c>
      <c r="P94" t="s">
        <v>1493</v>
      </c>
      <c r="Q94">
        <v>1</v>
      </c>
      <c r="R94">
        <v>1</v>
      </c>
      <c r="S94" t="b">
        <f t="shared" si="1"/>
        <v>1</v>
      </c>
    </row>
    <row r="95" spans="1:19" hidden="1" x14ac:dyDescent="0.25">
      <c r="A95" t="s">
        <v>1689</v>
      </c>
      <c r="B95" t="s">
        <v>1700</v>
      </c>
      <c r="C95" t="s">
        <v>1798</v>
      </c>
      <c r="D95" t="s">
        <v>1799</v>
      </c>
      <c r="E95" t="s">
        <v>1806</v>
      </c>
      <c r="F95" t="s">
        <v>1806</v>
      </c>
      <c r="G95" t="s">
        <v>1806</v>
      </c>
      <c r="H95" t="s">
        <v>1806</v>
      </c>
      <c r="I95" t="s">
        <v>1806</v>
      </c>
      <c r="J95" t="s">
        <v>1806</v>
      </c>
      <c r="K95" t="s">
        <v>1806</v>
      </c>
      <c r="L95" t="s">
        <v>1806</v>
      </c>
      <c r="M95" t="s">
        <v>1806</v>
      </c>
      <c r="N95" t="s">
        <v>1696</v>
      </c>
      <c r="O95" t="s">
        <v>1697</v>
      </c>
      <c r="P95" t="s">
        <v>1493</v>
      </c>
      <c r="Q95">
        <v>1</v>
      </c>
      <c r="R95">
        <v>1</v>
      </c>
      <c r="S95" t="b">
        <f t="shared" si="1"/>
        <v>1</v>
      </c>
    </row>
    <row r="96" spans="1:19" hidden="1" x14ac:dyDescent="0.25">
      <c r="A96" t="s">
        <v>1689</v>
      </c>
      <c r="B96" t="s">
        <v>1700</v>
      </c>
      <c r="C96" t="s">
        <v>1798</v>
      </c>
      <c r="D96" t="s">
        <v>1799</v>
      </c>
      <c r="E96" t="s">
        <v>1807</v>
      </c>
      <c r="F96" t="s">
        <v>1807</v>
      </c>
      <c r="G96" t="s">
        <v>1807</v>
      </c>
      <c r="H96" t="s">
        <v>1807</v>
      </c>
      <c r="I96" t="s">
        <v>1807</v>
      </c>
      <c r="J96" t="s">
        <v>1807</v>
      </c>
      <c r="K96" t="s">
        <v>1807</v>
      </c>
      <c r="L96" t="s">
        <v>1807</v>
      </c>
      <c r="M96" t="s">
        <v>1807</v>
      </c>
      <c r="N96" t="s">
        <v>1696</v>
      </c>
      <c r="O96" t="s">
        <v>1697</v>
      </c>
      <c r="P96" t="s">
        <v>1493</v>
      </c>
      <c r="Q96">
        <v>1</v>
      </c>
      <c r="R96">
        <v>1</v>
      </c>
      <c r="S96" t="b">
        <f t="shared" si="1"/>
        <v>1</v>
      </c>
    </row>
    <row r="97" spans="1:19" hidden="1" x14ac:dyDescent="0.25">
      <c r="A97" t="s">
        <v>1689</v>
      </c>
      <c r="B97" t="s">
        <v>1700</v>
      </c>
      <c r="C97" t="s">
        <v>1798</v>
      </c>
      <c r="D97" t="s">
        <v>1799</v>
      </c>
      <c r="E97" t="s">
        <v>1808</v>
      </c>
      <c r="F97" t="s">
        <v>1808</v>
      </c>
      <c r="G97" t="s">
        <v>1808</v>
      </c>
      <c r="H97" t="s">
        <v>1808</v>
      </c>
      <c r="I97" t="s">
        <v>1808</v>
      </c>
      <c r="J97" t="s">
        <v>1808</v>
      </c>
      <c r="K97" t="s">
        <v>1808</v>
      </c>
      <c r="L97" t="s">
        <v>1808</v>
      </c>
      <c r="M97" t="s">
        <v>1808</v>
      </c>
      <c r="N97" t="s">
        <v>1696</v>
      </c>
      <c r="O97" t="s">
        <v>1697</v>
      </c>
      <c r="P97" t="s">
        <v>1493</v>
      </c>
      <c r="Q97">
        <v>1</v>
      </c>
      <c r="R97">
        <v>1</v>
      </c>
      <c r="S97" t="b">
        <f t="shared" si="1"/>
        <v>1</v>
      </c>
    </row>
    <row r="98" spans="1:19" hidden="1" x14ac:dyDescent="0.25">
      <c r="A98" t="s">
        <v>1689</v>
      </c>
      <c r="B98" t="s">
        <v>1700</v>
      </c>
      <c r="C98" t="s">
        <v>1798</v>
      </c>
      <c r="D98" t="s">
        <v>1799</v>
      </c>
      <c r="E98" t="s">
        <v>1809</v>
      </c>
      <c r="F98" t="s">
        <v>1809</v>
      </c>
      <c r="G98" t="s">
        <v>1809</v>
      </c>
      <c r="H98" t="s">
        <v>1809</v>
      </c>
      <c r="I98" t="s">
        <v>1809</v>
      </c>
      <c r="J98" t="s">
        <v>1809</v>
      </c>
      <c r="K98" t="s">
        <v>1809</v>
      </c>
      <c r="L98" t="s">
        <v>1809</v>
      </c>
      <c r="M98" t="s">
        <v>1809</v>
      </c>
      <c r="N98" t="s">
        <v>1696</v>
      </c>
      <c r="O98" t="s">
        <v>1697</v>
      </c>
      <c r="P98" t="s">
        <v>1493</v>
      </c>
      <c r="Q98">
        <v>1</v>
      </c>
      <c r="R98">
        <v>1</v>
      </c>
      <c r="S98" t="b">
        <f t="shared" si="1"/>
        <v>1</v>
      </c>
    </row>
    <row r="99" spans="1:19" hidden="1" x14ac:dyDescent="0.25">
      <c r="A99" t="s">
        <v>1689</v>
      </c>
      <c r="B99" t="s">
        <v>1700</v>
      </c>
      <c r="C99" t="s">
        <v>1798</v>
      </c>
      <c r="D99" t="s">
        <v>1799</v>
      </c>
      <c r="E99" t="s">
        <v>1810</v>
      </c>
      <c r="F99" t="s">
        <v>1810</v>
      </c>
      <c r="G99" t="s">
        <v>1810</v>
      </c>
      <c r="H99" t="s">
        <v>1810</v>
      </c>
      <c r="I99" t="s">
        <v>1810</v>
      </c>
      <c r="J99" t="s">
        <v>1810</v>
      </c>
      <c r="K99" t="s">
        <v>1810</v>
      </c>
      <c r="L99" t="s">
        <v>1810</v>
      </c>
      <c r="M99" t="s">
        <v>1810</v>
      </c>
      <c r="N99" t="s">
        <v>1696</v>
      </c>
      <c r="O99" t="s">
        <v>1697</v>
      </c>
      <c r="P99" t="s">
        <v>1493</v>
      </c>
      <c r="Q99">
        <v>1</v>
      </c>
      <c r="R99">
        <v>1</v>
      </c>
      <c r="S99" t="b">
        <f t="shared" si="1"/>
        <v>1</v>
      </c>
    </row>
    <row r="100" spans="1:19" hidden="1" x14ac:dyDescent="0.25">
      <c r="A100" t="s">
        <v>1689</v>
      </c>
      <c r="B100" t="s">
        <v>1700</v>
      </c>
      <c r="C100" t="s">
        <v>1798</v>
      </c>
      <c r="D100" t="s">
        <v>1811</v>
      </c>
      <c r="E100" t="s">
        <v>1812</v>
      </c>
      <c r="F100" t="s">
        <v>1812</v>
      </c>
      <c r="G100" t="s">
        <v>1812</v>
      </c>
      <c r="H100" t="s">
        <v>1812</v>
      </c>
      <c r="I100" t="s">
        <v>1812</v>
      </c>
      <c r="J100" t="s">
        <v>1812</v>
      </c>
      <c r="K100" t="s">
        <v>1812</v>
      </c>
      <c r="L100" t="s">
        <v>1812</v>
      </c>
      <c r="M100" t="s">
        <v>1812</v>
      </c>
      <c r="N100" t="s">
        <v>1696</v>
      </c>
      <c r="O100" t="s">
        <v>1697</v>
      </c>
      <c r="P100" t="s">
        <v>1493</v>
      </c>
      <c r="Q100">
        <v>1</v>
      </c>
      <c r="R100">
        <v>1</v>
      </c>
      <c r="S100" t="b">
        <f t="shared" si="1"/>
        <v>1</v>
      </c>
    </row>
    <row r="101" spans="1:19" hidden="1" x14ac:dyDescent="0.25">
      <c r="A101" t="s">
        <v>1689</v>
      </c>
      <c r="B101" t="s">
        <v>1700</v>
      </c>
      <c r="C101" t="s">
        <v>1798</v>
      </c>
      <c r="D101" t="s">
        <v>1811</v>
      </c>
      <c r="E101" t="s">
        <v>1813</v>
      </c>
      <c r="F101" t="s">
        <v>1813</v>
      </c>
      <c r="G101" t="s">
        <v>1813</v>
      </c>
      <c r="H101" t="s">
        <v>1813</v>
      </c>
      <c r="I101" t="s">
        <v>1813</v>
      </c>
      <c r="J101" t="s">
        <v>1813</v>
      </c>
      <c r="K101" t="s">
        <v>1813</v>
      </c>
      <c r="L101" t="s">
        <v>1813</v>
      </c>
      <c r="M101" t="s">
        <v>1813</v>
      </c>
      <c r="N101" t="s">
        <v>1696</v>
      </c>
      <c r="O101" t="s">
        <v>1697</v>
      </c>
      <c r="P101" t="s">
        <v>1493</v>
      </c>
      <c r="Q101">
        <v>1</v>
      </c>
      <c r="R101">
        <v>1</v>
      </c>
      <c r="S101" t="b">
        <f t="shared" si="1"/>
        <v>1</v>
      </c>
    </row>
    <row r="102" spans="1:19" hidden="1" x14ac:dyDescent="0.25">
      <c r="A102" t="s">
        <v>1689</v>
      </c>
      <c r="B102" t="s">
        <v>1700</v>
      </c>
      <c r="C102" t="s">
        <v>1798</v>
      </c>
      <c r="D102" t="s">
        <v>1811</v>
      </c>
      <c r="E102" t="s">
        <v>1814</v>
      </c>
      <c r="F102" t="s">
        <v>1814</v>
      </c>
      <c r="G102" t="s">
        <v>1814</v>
      </c>
      <c r="H102" t="s">
        <v>1814</v>
      </c>
      <c r="I102" t="s">
        <v>1814</v>
      </c>
      <c r="J102" t="s">
        <v>1814</v>
      </c>
      <c r="K102" t="s">
        <v>1814</v>
      </c>
      <c r="L102" t="s">
        <v>1814</v>
      </c>
      <c r="M102" t="s">
        <v>1814</v>
      </c>
      <c r="N102" t="s">
        <v>1696</v>
      </c>
      <c r="O102" t="s">
        <v>1697</v>
      </c>
      <c r="P102" t="s">
        <v>1493</v>
      </c>
      <c r="Q102">
        <v>1</v>
      </c>
      <c r="R102">
        <v>1</v>
      </c>
      <c r="S102" t="b">
        <f t="shared" si="1"/>
        <v>1</v>
      </c>
    </row>
    <row r="103" spans="1:19" hidden="1" x14ac:dyDescent="0.25">
      <c r="A103" t="s">
        <v>1689</v>
      </c>
      <c r="B103" t="s">
        <v>1700</v>
      </c>
      <c r="C103" t="s">
        <v>1798</v>
      </c>
      <c r="D103" t="s">
        <v>1811</v>
      </c>
      <c r="E103" t="s">
        <v>1815</v>
      </c>
      <c r="F103" t="s">
        <v>1815</v>
      </c>
      <c r="G103" t="s">
        <v>1815</v>
      </c>
      <c r="H103" t="s">
        <v>1815</v>
      </c>
      <c r="I103" t="s">
        <v>1815</v>
      </c>
      <c r="J103" t="s">
        <v>1815</v>
      </c>
      <c r="K103" t="s">
        <v>1815</v>
      </c>
      <c r="L103" t="s">
        <v>1815</v>
      </c>
      <c r="M103" t="s">
        <v>1815</v>
      </c>
      <c r="N103" t="s">
        <v>1696</v>
      </c>
      <c r="O103" t="s">
        <v>1697</v>
      </c>
      <c r="P103" t="s">
        <v>1493</v>
      </c>
      <c r="Q103">
        <v>1</v>
      </c>
      <c r="R103">
        <v>1</v>
      </c>
      <c r="S103" t="b">
        <f t="shared" si="1"/>
        <v>1</v>
      </c>
    </row>
    <row r="104" spans="1:19" hidden="1" x14ac:dyDescent="0.25">
      <c r="A104" t="s">
        <v>1689</v>
      </c>
      <c r="B104" t="s">
        <v>1700</v>
      </c>
      <c r="C104" t="s">
        <v>1798</v>
      </c>
      <c r="D104" t="s">
        <v>1816</v>
      </c>
      <c r="E104" t="s">
        <v>1817</v>
      </c>
      <c r="F104" t="s">
        <v>1817</v>
      </c>
      <c r="G104" t="s">
        <v>1817</v>
      </c>
      <c r="H104" t="s">
        <v>1817</v>
      </c>
      <c r="I104" t="s">
        <v>1817</v>
      </c>
      <c r="J104" t="s">
        <v>1817</v>
      </c>
      <c r="K104" t="s">
        <v>1817</v>
      </c>
      <c r="L104" t="s">
        <v>1817</v>
      </c>
      <c r="M104" t="s">
        <v>1817</v>
      </c>
      <c r="N104" t="s">
        <v>1696</v>
      </c>
      <c r="O104" t="s">
        <v>1697</v>
      </c>
      <c r="P104" t="s">
        <v>1493</v>
      </c>
      <c r="Q104">
        <v>1</v>
      </c>
      <c r="R104">
        <v>1</v>
      </c>
      <c r="S104" t="b">
        <f t="shared" si="1"/>
        <v>1</v>
      </c>
    </row>
    <row r="105" spans="1:19" hidden="1" x14ac:dyDescent="0.25">
      <c r="A105" t="s">
        <v>1689</v>
      </c>
      <c r="B105" t="s">
        <v>1700</v>
      </c>
      <c r="C105" t="s">
        <v>1798</v>
      </c>
      <c r="D105" t="s">
        <v>1818</v>
      </c>
      <c r="E105" t="s">
        <v>1819</v>
      </c>
      <c r="F105" t="s">
        <v>1819</v>
      </c>
      <c r="G105" t="s">
        <v>1819</v>
      </c>
      <c r="H105" t="s">
        <v>1819</v>
      </c>
      <c r="I105" t="s">
        <v>1819</v>
      </c>
      <c r="J105" t="s">
        <v>1819</v>
      </c>
      <c r="K105" t="s">
        <v>1819</v>
      </c>
      <c r="L105" t="s">
        <v>1819</v>
      </c>
      <c r="M105" t="s">
        <v>1819</v>
      </c>
      <c r="N105" t="s">
        <v>1696</v>
      </c>
      <c r="O105" t="s">
        <v>1697</v>
      </c>
      <c r="P105" t="s">
        <v>1493</v>
      </c>
      <c r="Q105">
        <v>1</v>
      </c>
      <c r="R105">
        <v>1</v>
      </c>
      <c r="S105" t="b">
        <f t="shared" si="1"/>
        <v>1</v>
      </c>
    </row>
    <row r="106" spans="1:19" hidden="1" x14ac:dyDescent="0.25">
      <c r="A106" t="s">
        <v>1689</v>
      </c>
      <c r="B106" t="s">
        <v>1700</v>
      </c>
      <c r="C106" t="s">
        <v>1798</v>
      </c>
      <c r="D106" t="s">
        <v>1818</v>
      </c>
      <c r="E106" t="s">
        <v>1820</v>
      </c>
      <c r="F106" t="s">
        <v>1820</v>
      </c>
      <c r="G106" t="s">
        <v>1820</v>
      </c>
      <c r="H106" t="s">
        <v>1820</v>
      </c>
      <c r="I106" t="s">
        <v>1820</v>
      </c>
      <c r="J106" t="s">
        <v>1820</v>
      </c>
      <c r="K106" t="s">
        <v>1820</v>
      </c>
      <c r="L106" t="s">
        <v>1820</v>
      </c>
      <c r="M106" t="s">
        <v>1820</v>
      </c>
      <c r="N106" t="s">
        <v>1696</v>
      </c>
      <c r="O106" t="s">
        <v>1697</v>
      </c>
      <c r="P106" t="s">
        <v>1493</v>
      </c>
      <c r="Q106">
        <v>1</v>
      </c>
      <c r="R106">
        <v>1</v>
      </c>
      <c r="S106" t="b">
        <f t="shared" si="1"/>
        <v>1</v>
      </c>
    </row>
    <row r="107" spans="1:19" hidden="1" x14ac:dyDescent="0.25">
      <c r="A107" t="s">
        <v>1689</v>
      </c>
      <c r="B107" t="s">
        <v>1700</v>
      </c>
      <c r="C107" t="s">
        <v>1798</v>
      </c>
      <c r="D107" t="s">
        <v>1818</v>
      </c>
      <c r="E107" t="s">
        <v>1821</v>
      </c>
      <c r="F107" t="s">
        <v>1821</v>
      </c>
      <c r="G107" t="s">
        <v>1821</v>
      </c>
      <c r="H107" t="s">
        <v>1821</v>
      </c>
      <c r="I107" t="s">
        <v>1821</v>
      </c>
      <c r="J107" t="s">
        <v>1821</v>
      </c>
      <c r="K107" t="s">
        <v>1821</v>
      </c>
      <c r="L107" t="s">
        <v>1821</v>
      </c>
      <c r="M107" t="s">
        <v>1821</v>
      </c>
      <c r="N107" t="s">
        <v>1696</v>
      </c>
      <c r="O107" t="s">
        <v>1697</v>
      </c>
      <c r="P107" t="s">
        <v>1493</v>
      </c>
      <c r="Q107">
        <v>1</v>
      </c>
      <c r="R107">
        <v>1</v>
      </c>
      <c r="S107" t="b">
        <f t="shared" si="1"/>
        <v>1</v>
      </c>
    </row>
    <row r="108" spans="1:19" hidden="1" x14ac:dyDescent="0.25">
      <c r="A108" t="s">
        <v>1689</v>
      </c>
      <c r="B108" t="s">
        <v>1700</v>
      </c>
      <c r="C108" t="s">
        <v>1798</v>
      </c>
      <c r="D108" t="s">
        <v>1818</v>
      </c>
      <c r="E108" t="s">
        <v>1822</v>
      </c>
      <c r="F108" t="s">
        <v>1822</v>
      </c>
      <c r="G108" t="s">
        <v>1822</v>
      </c>
      <c r="H108" t="s">
        <v>1822</v>
      </c>
      <c r="I108" t="s">
        <v>1822</v>
      </c>
      <c r="J108" t="s">
        <v>1822</v>
      </c>
      <c r="K108" t="s">
        <v>1822</v>
      </c>
      <c r="L108" t="s">
        <v>1822</v>
      </c>
      <c r="M108" t="s">
        <v>1822</v>
      </c>
      <c r="N108" t="s">
        <v>1696</v>
      </c>
      <c r="O108" t="s">
        <v>1697</v>
      </c>
      <c r="P108" t="s">
        <v>1493</v>
      </c>
      <c r="Q108">
        <v>1</v>
      </c>
      <c r="R108">
        <v>1</v>
      </c>
      <c r="S108" t="b">
        <f t="shared" si="1"/>
        <v>1</v>
      </c>
    </row>
    <row r="109" spans="1:19" hidden="1" x14ac:dyDescent="0.25">
      <c r="A109" t="s">
        <v>1689</v>
      </c>
      <c r="B109" t="s">
        <v>1700</v>
      </c>
      <c r="C109" t="s">
        <v>1798</v>
      </c>
      <c r="D109" t="s">
        <v>1818</v>
      </c>
      <c r="E109" t="s">
        <v>1823</v>
      </c>
      <c r="F109" t="s">
        <v>1823</v>
      </c>
      <c r="G109" t="s">
        <v>1823</v>
      </c>
      <c r="H109" t="s">
        <v>1823</v>
      </c>
      <c r="I109" t="s">
        <v>1823</v>
      </c>
      <c r="J109" t="s">
        <v>1823</v>
      </c>
      <c r="K109" t="s">
        <v>1823</v>
      </c>
      <c r="L109" t="s">
        <v>1823</v>
      </c>
      <c r="M109" t="s">
        <v>1823</v>
      </c>
      <c r="N109" t="s">
        <v>1696</v>
      </c>
      <c r="O109" t="s">
        <v>1697</v>
      </c>
      <c r="P109" t="s">
        <v>1493</v>
      </c>
      <c r="Q109">
        <v>1</v>
      </c>
      <c r="R109">
        <v>1</v>
      </c>
      <c r="S109" t="b">
        <f t="shared" si="1"/>
        <v>1</v>
      </c>
    </row>
    <row r="110" spans="1:19" hidden="1" x14ac:dyDescent="0.25">
      <c r="A110" t="s">
        <v>1689</v>
      </c>
      <c r="B110" t="s">
        <v>1700</v>
      </c>
      <c r="C110" t="s">
        <v>1798</v>
      </c>
      <c r="D110" t="s">
        <v>1818</v>
      </c>
      <c r="E110" t="s">
        <v>1824</v>
      </c>
      <c r="F110" t="s">
        <v>1824</v>
      </c>
      <c r="G110" t="s">
        <v>1824</v>
      </c>
      <c r="H110" t="s">
        <v>1824</v>
      </c>
      <c r="I110" t="s">
        <v>1824</v>
      </c>
      <c r="J110" t="s">
        <v>1824</v>
      </c>
      <c r="K110" t="s">
        <v>1824</v>
      </c>
      <c r="L110" t="s">
        <v>1824</v>
      </c>
      <c r="M110" t="s">
        <v>1824</v>
      </c>
      <c r="N110" t="s">
        <v>1696</v>
      </c>
      <c r="O110" t="s">
        <v>1697</v>
      </c>
      <c r="P110" t="s">
        <v>1493</v>
      </c>
      <c r="Q110">
        <v>1</v>
      </c>
      <c r="R110">
        <v>1</v>
      </c>
      <c r="S110" t="b">
        <f t="shared" si="1"/>
        <v>1</v>
      </c>
    </row>
    <row r="111" spans="1:19" hidden="1" x14ac:dyDescent="0.25">
      <c r="A111" t="s">
        <v>1689</v>
      </c>
      <c r="B111" t="s">
        <v>1700</v>
      </c>
      <c r="C111" t="s">
        <v>1798</v>
      </c>
      <c r="D111" t="s">
        <v>1818</v>
      </c>
      <c r="E111" t="s">
        <v>1825</v>
      </c>
      <c r="F111" t="s">
        <v>1825</v>
      </c>
      <c r="G111" t="s">
        <v>1825</v>
      </c>
      <c r="H111" t="s">
        <v>1825</v>
      </c>
      <c r="I111" t="s">
        <v>1825</v>
      </c>
      <c r="J111" t="s">
        <v>1825</v>
      </c>
      <c r="K111" t="s">
        <v>1825</v>
      </c>
      <c r="L111" t="s">
        <v>1825</v>
      </c>
      <c r="M111" t="s">
        <v>1825</v>
      </c>
      <c r="N111" t="s">
        <v>1696</v>
      </c>
      <c r="O111" t="s">
        <v>1697</v>
      </c>
      <c r="P111" t="s">
        <v>1493</v>
      </c>
      <c r="Q111">
        <v>1</v>
      </c>
      <c r="R111">
        <v>1</v>
      </c>
      <c r="S111" t="b">
        <f t="shared" si="1"/>
        <v>1</v>
      </c>
    </row>
    <row r="112" spans="1:19" hidden="1" x14ac:dyDescent="0.25">
      <c r="A112" t="s">
        <v>1689</v>
      </c>
      <c r="B112" t="s">
        <v>1700</v>
      </c>
      <c r="C112" t="s">
        <v>1798</v>
      </c>
      <c r="D112" t="s">
        <v>1818</v>
      </c>
      <c r="E112" t="s">
        <v>1826</v>
      </c>
      <c r="F112" t="s">
        <v>1826</v>
      </c>
      <c r="G112" t="s">
        <v>1826</v>
      </c>
      <c r="H112" t="s">
        <v>1826</v>
      </c>
      <c r="I112" t="s">
        <v>1826</v>
      </c>
      <c r="J112" t="s">
        <v>1826</v>
      </c>
      <c r="K112" t="s">
        <v>1826</v>
      </c>
      <c r="L112" t="s">
        <v>1826</v>
      </c>
      <c r="M112" t="s">
        <v>1826</v>
      </c>
      <c r="N112" t="s">
        <v>1696</v>
      </c>
      <c r="O112" t="s">
        <v>1697</v>
      </c>
      <c r="P112" t="s">
        <v>1493</v>
      </c>
      <c r="Q112">
        <v>1</v>
      </c>
      <c r="R112">
        <v>1</v>
      </c>
      <c r="S112" t="b">
        <f t="shared" si="1"/>
        <v>1</v>
      </c>
    </row>
    <row r="113" spans="1:19" hidden="1" x14ac:dyDescent="0.25">
      <c r="A113" t="s">
        <v>1689</v>
      </c>
      <c r="B113" t="s">
        <v>1700</v>
      </c>
      <c r="C113" t="s">
        <v>1798</v>
      </c>
      <c r="D113" t="s">
        <v>1818</v>
      </c>
      <c r="E113" t="s">
        <v>1827</v>
      </c>
      <c r="F113" t="s">
        <v>1827</v>
      </c>
      <c r="G113" t="s">
        <v>1827</v>
      </c>
      <c r="H113" t="s">
        <v>1827</v>
      </c>
      <c r="I113" t="s">
        <v>1827</v>
      </c>
      <c r="J113" t="s">
        <v>1827</v>
      </c>
      <c r="K113" t="s">
        <v>1827</v>
      </c>
      <c r="L113" t="s">
        <v>1827</v>
      </c>
      <c r="M113" t="s">
        <v>1827</v>
      </c>
      <c r="N113" t="s">
        <v>1696</v>
      </c>
      <c r="O113" t="s">
        <v>1697</v>
      </c>
      <c r="P113" t="s">
        <v>1493</v>
      </c>
      <c r="Q113">
        <v>1</v>
      </c>
      <c r="R113">
        <v>1</v>
      </c>
      <c r="S113" t="b">
        <f t="shared" si="1"/>
        <v>1</v>
      </c>
    </row>
    <row r="114" spans="1:19" hidden="1" x14ac:dyDescent="0.25">
      <c r="A114" t="s">
        <v>1689</v>
      </c>
      <c r="B114" t="s">
        <v>1700</v>
      </c>
      <c r="C114" t="s">
        <v>1798</v>
      </c>
      <c r="D114" t="s">
        <v>1818</v>
      </c>
      <c r="E114" t="s">
        <v>1828</v>
      </c>
      <c r="F114" t="s">
        <v>1828</v>
      </c>
      <c r="G114" t="s">
        <v>1828</v>
      </c>
      <c r="H114" t="s">
        <v>1828</v>
      </c>
      <c r="I114" t="s">
        <v>1828</v>
      </c>
      <c r="J114" t="s">
        <v>1828</v>
      </c>
      <c r="K114" t="s">
        <v>1828</v>
      </c>
      <c r="L114" t="s">
        <v>1828</v>
      </c>
      <c r="M114" t="s">
        <v>1828</v>
      </c>
      <c r="N114" t="s">
        <v>1696</v>
      </c>
      <c r="O114" t="s">
        <v>1697</v>
      </c>
      <c r="P114" t="s">
        <v>1493</v>
      </c>
      <c r="Q114">
        <v>1</v>
      </c>
      <c r="R114">
        <v>1</v>
      </c>
      <c r="S114" t="b">
        <f t="shared" si="1"/>
        <v>1</v>
      </c>
    </row>
    <row r="115" spans="1:19" hidden="1" x14ac:dyDescent="0.25">
      <c r="A115" t="s">
        <v>1689</v>
      </c>
      <c r="B115" t="s">
        <v>1700</v>
      </c>
      <c r="C115" t="s">
        <v>1798</v>
      </c>
      <c r="D115" t="s">
        <v>1818</v>
      </c>
      <c r="E115" t="s">
        <v>1829</v>
      </c>
      <c r="F115" t="s">
        <v>1829</v>
      </c>
      <c r="G115" t="s">
        <v>1829</v>
      </c>
      <c r="H115" t="s">
        <v>1829</v>
      </c>
      <c r="I115" t="s">
        <v>1829</v>
      </c>
      <c r="J115" t="s">
        <v>1829</v>
      </c>
      <c r="K115" t="s">
        <v>1829</v>
      </c>
      <c r="L115" t="s">
        <v>1829</v>
      </c>
      <c r="M115" t="s">
        <v>1829</v>
      </c>
      <c r="N115" t="s">
        <v>1696</v>
      </c>
      <c r="O115" t="s">
        <v>1697</v>
      </c>
      <c r="P115" t="s">
        <v>1493</v>
      </c>
      <c r="Q115">
        <v>1</v>
      </c>
      <c r="R115">
        <v>1</v>
      </c>
      <c r="S115" t="b">
        <f t="shared" si="1"/>
        <v>1</v>
      </c>
    </row>
    <row r="116" spans="1:19" hidden="1" x14ac:dyDescent="0.25">
      <c r="A116" t="s">
        <v>1689</v>
      </c>
      <c r="B116" t="s">
        <v>1700</v>
      </c>
      <c r="C116" t="s">
        <v>1798</v>
      </c>
      <c r="D116" t="s">
        <v>1818</v>
      </c>
      <c r="E116" t="s">
        <v>1830</v>
      </c>
      <c r="F116" t="s">
        <v>1830</v>
      </c>
      <c r="G116" t="s">
        <v>1830</v>
      </c>
      <c r="H116" t="s">
        <v>1830</v>
      </c>
      <c r="I116" t="s">
        <v>1830</v>
      </c>
      <c r="J116" t="s">
        <v>1830</v>
      </c>
      <c r="K116" t="s">
        <v>1830</v>
      </c>
      <c r="L116" t="s">
        <v>1830</v>
      </c>
      <c r="M116" t="s">
        <v>1830</v>
      </c>
      <c r="N116" t="s">
        <v>1696</v>
      </c>
      <c r="O116" t="s">
        <v>1697</v>
      </c>
      <c r="P116" t="s">
        <v>1493</v>
      </c>
      <c r="Q116">
        <v>1</v>
      </c>
      <c r="R116">
        <v>1</v>
      </c>
      <c r="S116" t="b">
        <f t="shared" si="1"/>
        <v>1</v>
      </c>
    </row>
    <row r="117" spans="1:19" hidden="1" x14ac:dyDescent="0.25">
      <c r="A117" t="s">
        <v>1689</v>
      </c>
      <c r="B117" t="s">
        <v>1700</v>
      </c>
      <c r="C117" t="s">
        <v>1798</v>
      </c>
      <c r="D117" t="s">
        <v>1818</v>
      </c>
      <c r="E117" t="s">
        <v>1831</v>
      </c>
      <c r="F117" t="s">
        <v>1831</v>
      </c>
      <c r="G117" t="s">
        <v>1831</v>
      </c>
      <c r="H117" t="s">
        <v>1831</v>
      </c>
      <c r="I117" t="s">
        <v>1831</v>
      </c>
      <c r="J117" t="s">
        <v>1831</v>
      </c>
      <c r="K117" t="s">
        <v>1831</v>
      </c>
      <c r="L117" t="s">
        <v>1831</v>
      </c>
      <c r="M117" t="s">
        <v>1831</v>
      </c>
      <c r="N117" t="s">
        <v>1696</v>
      </c>
      <c r="O117" t="s">
        <v>1697</v>
      </c>
      <c r="P117" t="s">
        <v>1493</v>
      </c>
      <c r="Q117">
        <v>1</v>
      </c>
      <c r="R117">
        <v>1</v>
      </c>
      <c r="S117" t="b">
        <f t="shared" si="1"/>
        <v>1</v>
      </c>
    </row>
    <row r="118" spans="1:19" hidden="1" x14ac:dyDescent="0.25">
      <c r="A118" t="s">
        <v>1689</v>
      </c>
      <c r="B118" t="s">
        <v>1700</v>
      </c>
      <c r="C118" t="s">
        <v>1798</v>
      </c>
      <c r="D118" t="s">
        <v>1818</v>
      </c>
      <c r="E118" t="s">
        <v>1832</v>
      </c>
      <c r="F118" t="s">
        <v>1832</v>
      </c>
      <c r="G118" t="s">
        <v>1832</v>
      </c>
      <c r="H118" t="s">
        <v>1832</v>
      </c>
      <c r="I118" t="s">
        <v>1832</v>
      </c>
      <c r="J118" t="s">
        <v>1832</v>
      </c>
      <c r="K118" t="s">
        <v>1832</v>
      </c>
      <c r="L118" t="s">
        <v>1832</v>
      </c>
      <c r="M118" t="s">
        <v>1832</v>
      </c>
      <c r="N118" t="s">
        <v>1696</v>
      </c>
      <c r="O118" t="s">
        <v>1697</v>
      </c>
      <c r="P118" t="s">
        <v>1493</v>
      </c>
      <c r="Q118">
        <v>1</v>
      </c>
      <c r="R118">
        <v>1</v>
      </c>
      <c r="S118" t="b">
        <f t="shared" si="1"/>
        <v>1</v>
      </c>
    </row>
    <row r="119" spans="1:19" hidden="1" x14ac:dyDescent="0.25">
      <c r="A119" t="s">
        <v>1689</v>
      </c>
      <c r="B119" t="s">
        <v>1700</v>
      </c>
      <c r="C119" t="s">
        <v>1798</v>
      </c>
      <c r="D119" t="s">
        <v>1818</v>
      </c>
      <c r="E119" t="s">
        <v>1833</v>
      </c>
      <c r="F119" t="s">
        <v>1833</v>
      </c>
      <c r="G119" t="s">
        <v>1833</v>
      </c>
      <c r="H119" t="s">
        <v>1833</v>
      </c>
      <c r="I119" t="s">
        <v>1833</v>
      </c>
      <c r="J119" t="s">
        <v>1833</v>
      </c>
      <c r="K119" t="s">
        <v>1833</v>
      </c>
      <c r="L119" t="s">
        <v>1833</v>
      </c>
      <c r="M119" t="s">
        <v>1833</v>
      </c>
      <c r="N119" t="s">
        <v>1696</v>
      </c>
      <c r="O119" t="s">
        <v>1697</v>
      </c>
      <c r="P119" t="s">
        <v>1493</v>
      </c>
      <c r="Q119">
        <v>1</v>
      </c>
      <c r="R119">
        <v>1</v>
      </c>
      <c r="S119" t="b">
        <f t="shared" si="1"/>
        <v>1</v>
      </c>
    </row>
    <row r="120" spans="1:19" hidden="1" x14ac:dyDescent="0.25">
      <c r="A120" t="s">
        <v>1689</v>
      </c>
      <c r="B120" t="s">
        <v>1700</v>
      </c>
      <c r="C120" t="s">
        <v>1798</v>
      </c>
      <c r="D120" t="s">
        <v>1818</v>
      </c>
      <c r="E120" t="s">
        <v>1834</v>
      </c>
      <c r="F120" t="s">
        <v>1834</v>
      </c>
      <c r="G120" t="s">
        <v>1834</v>
      </c>
      <c r="H120" t="s">
        <v>1834</v>
      </c>
      <c r="I120" t="s">
        <v>1834</v>
      </c>
      <c r="J120" t="s">
        <v>1834</v>
      </c>
      <c r="K120" t="s">
        <v>1834</v>
      </c>
      <c r="L120" t="s">
        <v>1834</v>
      </c>
      <c r="M120" t="s">
        <v>1834</v>
      </c>
      <c r="N120" t="s">
        <v>1696</v>
      </c>
      <c r="O120" t="s">
        <v>1697</v>
      </c>
      <c r="P120" t="s">
        <v>1493</v>
      </c>
      <c r="Q120">
        <v>1</v>
      </c>
      <c r="R120">
        <v>1</v>
      </c>
      <c r="S120" t="b">
        <f t="shared" si="1"/>
        <v>1</v>
      </c>
    </row>
    <row r="121" spans="1:19" hidden="1" x14ac:dyDescent="0.25">
      <c r="A121" t="s">
        <v>1689</v>
      </c>
      <c r="B121" t="s">
        <v>1700</v>
      </c>
      <c r="C121" t="s">
        <v>1798</v>
      </c>
      <c r="D121" t="s">
        <v>1818</v>
      </c>
      <c r="E121" t="s">
        <v>1835</v>
      </c>
      <c r="F121" t="s">
        <v>1835</v>
      </c>
      <c r="G121" t="s">
        <v>1835</v>
      </c>
      <c r="H121" t="s">
        <v>1835</v>
      </c>
      <c r="I121" t="s">
        <v>1835</v>
      </c>
      <c r="J121" t="s">
        <v>1835</v>
      </c>
      <c r="K121" t="s">
        <v>1835</v>
      </c>
      <c r="L121" t="s">
        <v>1835</v>
      </c>
      <c r="M121" t="s">
        <v>1835</v>
      </c>
      <c r="N121" t="s">
        <v>1696</v>
      </c>
      <c r="O121" t="s">
        <v>1697</v>
      </c>
      <c r="P121" t="s">
        <v>1493</v>
      </c>
      <c r="Q121">
        <v>1</v>
      </c>
      <c r="R121">
        <v>1</v>
      </c>
      <c r="S121" t="b">
        <f t="shared" si="1"/>
        <v>1</v>
      </c>
    </row>
    <row r="122" spans="1:19" hidden="1" x14ac:dyDescent="0.25">
      <c r="A122" t="s">
        <v>1689</v>
      </c>
      <c r="B122" t="s">
        <v>1700</v>
      </c>
      <c r="C122" t="s">
        <v>1798</v>
      </c>
      <c r="D122" t="s">
        <v>1818</v>
      </c>
      <c r="E122" t="s">
        <v>1836</v>
      </c>
      <c r="F122" t="s">
        <v>1836</v>
      </c>
      <c r="G122" t="s">
        <v>1836</v>
      </c>
      <c r="H122" t="s">
        <v>1836</v>
      </c>
      <c r="I122" t="s">
        <v>1836</v>
      </c>
      <c r="J122" t="s">
        <v>1836</v>
      </c>
      <c r="K122" t="s">
        <v>1836</v>
      </c>
      <c r="L122" t="s">
        <v>1836</v>
      </c>
      <c r="M122" t="s">
        <v>1836</v>
      </c>
      <c r="N122" t="s">
        <v>1696</v>
      </c>
      <c r="O122" t="s">
        <v>1697</v>
      </c>
      <c r="P122" t="s">
        <v>1493</v>
      </c>
      <c r="Q122">
        <v>1</v>
      </c>
      <c r="R122">
        <v>1</v>
      </c>
      <c r="S122" t="b">
        <f t="shared" si="1"/>
        <v>1</v>
      </c>
    </row>
    <row r="123" spans="1:19" hidden="1" x14ac:dyDescent="0.25">
      <c r="A123" t="s">
        <v>1689</v>
      </c>
      <c r="B123" t="s">
        <v>1700</v>
      </c>
      <c r="C123" t="s">
        <v>1798</v>
      </c>
      <c r="D123" t="s">
        <v>1818</v>
      </c>
      <c r="E123" t="s">
        <v>1837</v>
      </c>
      <c r="F123" t="s">
        <v>1837</v>
      </c>
      <c r="G123" t="s">
        <v>1837</v>
      </c>
      <c r="H123" t="s">
        <v>1837</v>
      </c>
      <c r="I123" t="s">
        <v>1837</v>
      </c>
      <c r="J123" t="s">
        <v>1837</v>
      </c>
      <c r="K123" t="s">
        <v>1837</v>
      </c>
      <c r="L123" t="s">
        <v>1837</v>
      </c>
      <c r="M123" t="s">
        <v>1837</v>
      </c>
      <c r="N123" t="s">
        <v>1696</v>
      </c>
      <c r="O123" t="s">
        <v>1697</v>
      </c>
      <c r="P123" t="s">
        <v>1493</v>
      </c>
      <c r="Q123">
        <v>1</v>
      </c>
      <c r="R123">
        <v>1</v>
      </c>
      <c r="S123" t="b">
        <f t="shared" si="1"/>
        <v>1</v>
      </c>
    </row>
    <row r="124" spans="1:19" hidden="1" x14ac:dyDescent="0.25">
      <c r="A124" t="s">
        <v>1689</v>
      </c>
      <c r="B124" t="s">
        <v>1700</v>
      </c>
      <c r="C124" t="s">
        <v>1798</v>
      </c>
      <c r="D124" t="s">
        <v>1838</v>
      </c>
      <c r="E124" t="s">
        <v>1839</v>
      </c>
      <c r="F124" t="s">
        <v>1839</v>
      </c>
      <c r="G124" t="s">
        <v>1839</v>
      </c>
      <c r="H124" t="s">
        <v>1839</v>
      </c>
      <c r="I124" t="s">
        <v>1839</v>
      </c>
      <c r="J124" t="s">
        <v>1839</v>
      </c>
      <c r="K124" t="s">
        <v>1839</v>
      </c>
      <c r="L124" t="s">
        <v>1839</v>
      </c>
      <c r="M124" t="s">
        <v>1839</v>
      </c>
      <c r="N124" t="s">
        <v>1696</v>
      </c>
      <c r="O124" t="s">
        <v>1697</v>
      </c>
      <c r="P124" t="s">
        <v>1493</v>
      </c>
      <c r="Q124">
        <v>1</v>
      </c>
      <c r="R124">
        <v>1</v>
      </c>
      <c r="S124" t="b">
        <f t="shared" si="1"/>
        <v>1</v>
      </c>
    </row>
    <row r="125" spans="1:19" hidden="1" x14ac:dyDescent="0.25">
      <c r="A125" t="s">
        <v>1689</v>
      </c>
      <c r="B125" t="s">
        <v>1700</v>
      </c>
      <c r="C125" t="s">
        <v>1798</v>
      </c>
      <c r="D125" t="s">
        <v>1838</v>
      </c>
      <c r="E125" t="s">
        <v>1840</v>
      </c>
      <c r="F125" t="s">
        <v>1840</v>
      </c>
      <c r="G125" t="s">
        <v>1840</v>
      </c>
      <c r="H125" t="s">
        <v>1840</v>
      </c>
      <c r="I125" t="s">
        <v>1840</v>
      </c>
      <c r="J125" t="s">
        <v>1840</v>
      </c>
      <c r="K125" t="s">
        <v>1840</v>
      </c>
      <c r="L125" t="s">
        <v>1840</v>
      </c>
      <c r="M125" t="s">
        <v>1840</v>
      </c>
      <c r="N125" t="s">
        <v>1696</v>
      </c>
      <c r="O125" t="s">
        <v>1697</v>
      </c>
      <c r="P125" t="s">
        <v>1493</v>
      </c>
      <c r="Q125">
        <v>1</v>
      </c>
      <c r="R125">
        <v>1</v>
      </c>
      <c r="S125" t="b">
        <f t="shared" si="1"/>
        <v>1</v>
      </c>
    </row>
    <row r="126" spans="1:19" hidden="1" x14ac:dyDescent="0.25">
      <c r="A126" t="s">
        <v>1689</v>
      </c>
      <c r="B126" t="s">
        <v>1700</v>
      </c>
      <c r="C126" t="s">
        <v>1798</v>
      </c>
      <c r="D126" t="s">
        <v>1838</v>
      </c>
      <c r="E126" t="s">
        <v>1841</v>
      </c>
      <c r="F126" t="s">
        <v>1841</v>
      </c>
      <c r="G126" t="s">
        <v>1841</v>
      </c>
      <c r="H126" t="s">
        <v>1841</v>
      </c>
      <c r="I126" t="s">
        <v>1841</v>
      </c>
      <c r="J126" t="s">
        <v>1841</v>
      </c>
      <c r="K126" t="s">
        <v>1841</v>
      </c>
      <c r="L126" t="s">
        <v>1841</v>
      </c>
      <c r="M126" t="s">
        <v>1841</v>
      </c>
      <c r="N126" t="s">
        <v>1696</v>
      </c>
      <c r="O126" t="s">
        <v>1697</v>
      </c>
      <c r="P126" t="s">
        <v>1493</v>
      </c>
      <c r="Q126">
        <v>1</v>
      </c>
      <c r="R126">
        <v>1</v>
      </c>
      <c r="S126" t="b">
        <f t="shared" si="1"/>
        <v>1</v>
      </c>
    </row>
    <row r="127" spans="1:19" hidden="1" x14ac:dyDescent="0.25">
      <c r="A127" t="s">
        <v>1689</v>
      </c>
      <c r="B127" t="s">
        <v>1700</v>
      </c>
      <c r="C127" t="s">
        <v>1798</v>
      </c>
      <c r="D127" t="s">
        <v>1842</v>
      </c>
      <c r="E127" t="s">
        <v>1843</v>
      </c>
      <c r="F127" t="s">
        <v>1843</v>
      </c>
      <c r="G127" t="s">
        <v>1843</v>
      </c>
      <c r="H127" t="s">
        <v>1843</v>
      </c>
      <c r="I127" t="s">
        <v>1843</v>
      </c>
      <c r="J127" t="s">
        <v>1843</v>
      </c>
      <c r="K127" t="s">
        <v>1843</v>
      </c>
      <c r="L127" t="s">
        <v>1843</v>
      </c>
      <c r="M127" t="s">
        <v>1843</v>
      </c>
      <c r="N127" t="s">
        <v>1696</v>
      </c>
      <c r="O127" t="s">
        <v>1697</v>
      </c>
      <c r="P127" t="s">
        <v>1493</v>
      </c>
      <c r="Q127">
        <v>1</v>
      </c>
      <c r="R127">
        <v>1</v>
      </c>
      <c r="S127" t="b">
        <f t="shared" si="1"/>
        <v>1</v>
      </c>
    </row>
    <row r="128" spans="1:19" hidden="1" x14ac:dyDescent="0.25">
      <c r="A128" t="s">
        <v>1689</v>
      </c>
      <c r="B128" t="s">
        <v>1700</v>
      </c>
      <c r="C128" t="s">
        <v>1798</v>
      </c>
      <c r="D128" t="s">
        <v>1842</v>
      </c>
      <c r="E128" t="s">
        <v>1844</v>
      </c>
      <c r="F128" t="s">
        <v>1844</v>
      </c>
      <c r="G128" t="s">
        <v>1844</v>
      </c>
      <c r="H128" t="s">
        <v>1844</v>
      </c>
      <c r="I128" t="s">
        <v>1844</v>
      </c>
      <c r="J128" t="s">
        <v>1844</v>
      </c>
      <c r="K128" t="s">
        <v>1844</v>
      </c>
      <c r="L128" t="s">
        <v>1844</v>
      </c>
      <c r="M128" t="s">
        <v>1844</v>
      </c>
      <c r="N128" t="s">
        <v>1696</v>
      </c>
      <c r="O128" t="s">
        <v>1697</v>
      </c>
      <c r="P128" t="s">
        <v>1493</v>
      </c>
      <c r="Q128">
        <v>1</v>
      </c>
      <c r="R128">
        <v>1</v>
      </c>
      <c r="S128" t="b">
        <f t="shared" si="1"/>
        <v>1</v>
      </c>
    </row>
    <row r="129" spans="1:19" hidden="1" x14ac:dyDescent="0.25">
      <c r="A129" t="s">
        <v>1689</v>
      </c>
      <c r="B129" t="s">
        <v>1700</v>
      </c>
      <c r="C129" t="s">
        <v>1798</v>
      </c>
      <c r="D129" t="s">
        <v>1842</v>
      </c>
      <c r="E129" t="s">
        <v>1845</v>
      </c>
      <c r="F129" t="s">
        <v>1845</v>
      </c>
      <c r="G129" t="s">
        <v>1845</v>
      </c>
      <c r="H129" t="s">
        <v>1845</v>
      </c>
      <c r="I129" t="s">
        <v>1845</v>
      </c>
      <c r="J129" t="s">
        <v>1845</v>
      </c>
      <c r="K129" t="s">
        <v>1845</v>
      </c>
      <c r="L129" t="s">
        <v>1845</v>
      </c>
      <c r="M129" t="s">
        <v>1845</v>
      </c>
      <c r="N129" t="s">
        <v>1696</v>
      </c>
      <c r="O129" t="s">
        <v>1697</v>
      </c>
      <c r="P129" t="s">
        <v>1493</v>
      </c>
      <c r="Q129">
        <v>1</v>
      </c>
      <c r="R129">
        <v>1</v>
      </c>
      <c r="S129" t="b">
        <f t="shared" si="1"/>
        <v>1</v>
      </c>
    </row>
    <row r="130" spans="1:19" hidden="1" x14ac:dyDescent="0.25">
      <c r="A130" t="s">
        <v>1689</v>
      </c>
      <c r="B130" t="s">
        <v>1700</v>
      </c>
      <c r="C130" t="s">
        <v>1798</v>
      </c>
      <c r="D130" t="s">
        <v>1842</v>
      </c>
      <c r="E130" t="s">
        <v>1846</v>
      </c>
      <c r="F130" t="s">
        <v>1846</v>
      </c>
      <c r="G130" t="s">
        <v>1846</v>
      </c>
      <c r="H130" t="s">
        <v>1846</v>
      </c>
      <c r="I130" t="s">
        <v>1846</v>
      </c>
      <c r="J130" t="s">
        <v>1846</v>
      </c>
      <c r="K130" t="s">
        <v>1846</v>
      </c>
      <c r="L130" t="s">
        <v>1846</v>
      </c>
      <c r="M130" t="s">
        <v>1846</v>
      </c>
      <c r="N130" t="s">
        <v>1696</v>
      </c>
      <c r="O130" t="s">
        <v>1697</v>
      </c>
      <c r="P130" t="s">
        <v>1493</v>
      </c>
      <c r="Q130">
        <v>1</v>
      </c>
      <c r="R130">
        <v>1</v>
      </c>
      <c r="S130" t="b">
        <f t="shared" si="1"/>
        <v>1</v>
      </c>
    </row>
    <row r="131" spans="1:19" hidden="1" x14ac:dyDescent="0.25">
      <c r="A131" t="s">
        <v>1689</v>
      </c>
      <c r="B131" t="s">
        <v>1700</v>
      </c>
      <c r="C131" t="s">
        <v>1798</v>
      </c>
      <c r="D131" t="s">
        <v>1847</v>
      </c>
      <c r="E131" t="s">
        <v>1848</v>
      </c>
      <c r="F131" t="s">
        <v>1848</v>
      </c>
      <c r="G131" t="s">
        <v>1848</v>
      </c>
      <c r="H131" t="s">
        <v>1848</v>
      </c>
      <c r="I131" t="s">
        <v>1848</v>
      </c>
      <c r="J131" t="s">
        <v>1848</v>
      </c>
      <c r="K131" t="s">
        <v>1848</v>
      </c>
      <c r="L131" t="s">
        <v>1848</v>
      </c>
      <c r="M131" t="s">
        <v>1848</v>
      </c>
      <c r="N131" t="s">
        <v>1696</v>
      </c>
      <c r="O131" t="s">
        <v>1697</v>
      </c>
      <c r="P131" t="s">
        <v>1493</v>
      </c>
      <c r="Q131">
        <v>1</v>
      </c>
      <c r="R131">
        <v>1</v>
      </c>
      <c r="S131" t="b">
        <f t="shared" ref="S131:S194" si="2">H131=M131</f>
        <v>1</v>
      </c>
    </row>
    <row r="132" spans="1:19" hidden="1" x14ac:dyDescent="0.25">
      <c r="A132" t="s">
        <v>1689</v>
      </c>
      <c r="B132" t="s">
        <v>1700</v>
      </c>
      <c r="C132" t="s">
        <v>1798</v>
      </c>
      <c r="D132" t="s">
        <v>1847</v>
      </c>
      <c r="E132" t="s">
        <v>1849</v>
      </c>
      <c r="F132" t="s">
        <v>1849</v>
      </c>
      <c r="G132" t="s">
        <v>1849</v>
      </c>
      <c r="H132" t="s">
        <v>1849</v>
      </c>
      <c r="I132" t="s">
        <v>1849</v>
      </c>
      <c r="J132" t="s">
        <v>1849</v>
      </c>
      <c r="K132" t="s">
        <v>1849</v>
      </c>
      <c r="L132" t="s">
        <v>1849</v>
      </c>
      <c r="M132" t="s">
        <v>1849</v>
      </c>
      <c r="N132" t="s">
        <v>1696</v>
      </c>
      <c r="O132" t="s">
        <v>1697</v>
      </c>
      <c r="P132" t="s">
        <v>1493</v>
      </c>
      <c r="Q132">
        <v>1</v>
      </c>
      <c r="R132">
        <v>1</v>
      </c>
      <c r="S132" t="b">
        <f t="shared" si="2"/>
        <v>1</v>
      </c>
    </row>
    <row r="133" spans="1:19" hidden="1" x14ac:dyDescent="0.25">
      <c r="A133" t="s">
        <v>1689</v>
      </c>
      <c r="B133" t="s">
        <v>1700</v>
      </c>
      <c r="C133" t="s">
        <v>1798</v>
      </c>
      <c r="D133" t="s">
        <v>1847</v>
      </c>
      <c r="E133" t="s">
        <v>1850</v>
      </c>
      <c r="F133" t="s">
        <v>1850</v>
      </c>
      <c r="G133" t="s">
        <v>1850</v>
      </c>
      <c r="H133" t="s">
        <v>1850</v>
      </c>
      <c r="I133" t="s">
        <v>1850</v>
      </c>
      <c r="J133" t="s">
        <v>1850</v>
      </c>
      <c r="K133" t="s">
        <v>1850</v>
      </c>
      <c r="L133" t="s">
        <v>1850</v>
      </c>
      <c r="M133" t="s">
        <v>1850</v>
      </c>
      <c r="N133" t="s">
        <v>1696</v>
      </c>
      <c r="O133" t="s">
        <v>1697</v>
      </c>
      <c r="P133" t="s">
        <v>1493</v>
      </c>
      <c r="Q133">
        <v>1</v>
      </c>
      <c r="R133">
        <v>1</v>
      </c>
      <c r="S133" t="b">
        <f t="shared" si="2"/>
        <v>1</v>
      </c>
    </row>
    <row r="134" spans="1:19" hidden="1" x14ac:dyDescent="0.25">
      <c r="A134" t="s">
        <v>1689</v>
      </c>
      <c r="B134" t="s">
        <v>1700</v>
      </c>
      <c r="C134" t="s">
        <v>1798</v>
      </c>
      <c r="D134" t="s">
        <v>1847</v>
      </c>
      <c r="E134" t="s">
        <v>1851</v>
      </c>
      <c r="F134" t="s">
        <v>1851</v>
      </c>
      <c r="G134" t="s">
        <v>1851</v>
      </c>
      <c r="H134" t="s">
        <v>1851</v>
      </c>
      <c r="I134" t="s">
        <v>1851</v>
      </c>
      <c r="J134" t="s">
        <v>1851</v>
      </c>
      <c r="K134" t="s">
        <v>1851</v>
      </c>
      <c r="L134" t="s">
        <v>1851</v>
      </c>
      <c r="M134" t="s">
        <v>1851</v>
      </c>
      <c r="N134" t="s">
        <v>1696</v>
      </c>
      <c r="O134" t="s">
        <v>1697</v>
      </c>
      <c r="P134" t="s">
        <v>1493</v>
      </c>
      <c r="Q134">
        <v>1</v>
      </c>
      <c r="R134">
        <v>1</v>
      </c>
      <c r="S134" t="b">
        <f t="shared" si="2"/>
        <v>1</v>
      </c>
    </row>
    <row r="135" spans="1:19" hidden="1" x14ac:dyDescent="0.25">
      <c r="A135" t="s">
        <v>1689</v>
      </c>
      <c r="B135" t="s">
        <v>1700</v>
      </c>
      <c r="C135" t="s">
        <v>1798</v>
      </c>
      <c r="D135" t="s">
        <v>1847</v>
      </c>
      <c r="E135" t="s">
        <v>1852</v>
      </c>
      <c r="F135" t="s">
        <v>1852</v>
      </c>
      <c r="G135" t="s">
        <v>1852</v>
      </c>
      <c r="H135" t="s">
        <v>1852</v>
      </c>
      <c r="I135" t="s">
        <v>1852</v>
      </c>
      <c r="J135" t="s">
        <v>1852</v>
      </c>
      <c r="K135" t="s">
        <v>1852</v>
      </c>
      <c r="L135" t="s">
        <v>1852</v>
      </c>
      <c r="M135" t="s">
        <v>1852</v>
      </c>
      <c r="N135" t="s">
        <v>1696</v>
      </c>
      <c r="O135" t="s">
        <v>1697</v>
      </c>
      <c r="P135" t="s">
        <v>1493</v>
      </c>
      <c r="Q135">
        <v>1</v>
      </c>
      <c r="R135">
        <v>1</v>
      </c>
      <c r="S135" t="b">
        <f t="shared" si="2"/>
        <v>1</v>
      </c>
    </row>
    <row r="136" spans="1:19" hidden="1" x14ac:dyDescent="0.25">
      <c r="A136" t="s">
        <v>1689</v>
      </c>
      <c r="B136" t="s">
        <v>1700</v>
      </c>
      <c r="C136" t="s">
        <v>1798</v>
      </c>
      <c r="D136" t="s">
        <v>1853</v>
      </c>
      <c r="E136" t="s">
        <v>1854</v>
      </c>
      <c r="F136" t="s">
        <v>1854</v>
      </c>
      <c r="G136" t="s">
        <v>1854</v>
      </c>
      <c r="H136" t="s">
        <v>1854</v>
      </c>
      <c r="I136" t="s">
        <v>1854</v>
      </c>
      <c r="J136" t="s">
        <v>1854</v>
      </c>
      <c r="K136" t="s">
        <v>1854</v>
      </c>
      <c r="L136" t="s">
        <v>1854</v>
      </c>
      <c r="M136" t="s">
        <v>1854</v>
      </c>
      <c r="N136" t="s">
        <v>1696</v>
      </c>
      <c r="O136" t="s">
        <v>1697</v>
      </c>
      <c r="P136" t="s">
        <v>1493</v>
      </c>
      <c r="Q136">
        <v>1</v>
      </c>
      <c r="R136">
        <v>1</v>
      </c>
      <c r="S136" t="b">
        <f t="shared" si="2"/>
        <v>1</v>
      </c>
    </row>
    <row r="137" spans="1:19" hidden="1" x14ac:dyDescent="0.25">
      <c r="A137" t="s">
        <v>1689</v>
      </c>
      <c r="B137" t="s">
        <v>1700</v>
      </c>
      <c r="C137" t="s">
        <v>1798</v>
      </c>
      <c r="D137" t="s">
        <v>1853</v>
      </c>
      <c r="E137" t="s">
        <v>1855</v>
      </c>
      <c r="F137" t="s">
        <v>1855</v>
      </c>
      <c r="G137" t="s">
        <v>1855</v>
      </c>
      <c r="H137" t="s">
        <v>1855</v>
      </c>
      <c r="I137" t="s">
        <v>1855</v>
      </c>
      <c r="J137" t="s">
        <v>1855</v>
      </c>
      <c r="K137" t="s">
        <v>1855</v>
      </c>
      <c r="L137" t="s">
        <v>1855</v>
      </c>
      <c r="M137" t="s">
        <v>1855</v>
      </c>
      <c r="N137" t="s">
        <v>1696</v>
      </c>
      <c r="O137" t="s">
        <v>1697</v>
      </c>
      <c r="P137" t="s">
        <v>1493</v>
      </c>
      <c r="Q137">
        <v>1</v>
      </c>
      <c r="R137">
        <v>1</v>
      </c>
      <c r="S137" t="b">
        <f t="shared" si="2"/>
        <v>1</v>
      </c>
    </row>
    <row r="138" spans="1:19" hidden="1" x14ac:dyDescent="0.25">
      <c r="A138" t="s">
        <v>1689</v>
      </c>
      <c r="B138" t="s">
        <v>1690</v>
      </c>
      <c r="C138" t="s">
        <v>1856</v>
      </c>
      <c r="D138" t="s">
        <v>1857</v>
      </c>
      <c r="E138" t="s">
        <v>1858</v>
      </c>
      <c r="F138" t="s">
        <v>1858</v>
      </c>
      <c r="G138" t="s">
        <v>1858</v>
      </c>
      <c r="H138" t="s">
        <v>1858</v>
      </c>
      <c r="I138" t="s">
        <v>1858</v>
      </c>
      <c r="J138" t="s">
        <v>1858</v>
      </c>
      <c r="K138" t="s">
        <v>1858</v>
      </c>
      <c r="L138" t="s">
        <v>1858</v>
      </c>
      <c r="M138" t="s">
        <v>1858</v>
      </c>
      <c r="N138" t="s">
        <v>1696</v>
      </c>
      <c r="O138" t="s">
        <v>1697</v>
      </c>
      <c r="P138" t="s">
        <v>1493</v>
      </c>
      <c r="Q138">
        <v>1</v>
      </c>
      <c r="R138">
        <v>1</v>
      </c>
      <c r="S138" t="b">
        <f t="shared" si="2"/>
        <v>1</v>
      </c>
    </row>
    <row r="139" spans="1:19" hidden="1" x14ac:dyDescent="0.25">
      <c r="A139" t="s">
        <v>1689</v>
      </c>
      <c r="B139" t="s">
        <v>1690</v>
      </c>
      <c r="C139" t="s">
        <v>1856</v>
      </c>
      <c r="D139" t="s">
        <v>1857</v>
      </c>
      <c r="E139" t="s">
        <v>1859</v>
      </c>
      <c r="F139" t="s">
        <v>1859</v>
      </c>
      <c r="G139" t="s">
        <v>1859</v>
      </c>
      <c r="H139" t="s">
        <v>1859</v>
      </c>
      <c r="I139" t="s">
        <v>1859</v>
      </c>
      <c r="J139" t="s">
        <v>1859</v>
      </c>
      <c r="K139" t="s">
        <v>1859</v>
      </c>
      <c r="L139" t="s">
        <v>1859</v>
      </c>
      <c r="M139" t="s">
        <v>1859</v>
      </c>
      <c r="N139" t="s">
        <v>1696</v>
      </c>
      <c r="O139" t="s">
        <v>1697</v>
      </c>
      <c r="P139" t="s">
        <v>1493</v>
      </c>
      <c r="Q139">
        <v>1</v>
      </c>
      <c r="R139">
        <v>1</v>
      </c>
      <c r="S139" t="b">
        <f t="shared" si="2"/>
        <v>1</v>
      </c>
    </row>
    <row r="140" spans="1:19" hidden="1" x14ac:dyDescent="0.25">
      <c r="A140" t="s">
        <v>1689</v>
      </c>
      <c r="B140" t="s">
        <v>1690</v>
      </c>
      <c r="C140" t="s">
        <v>1860</v>
      </c>
      <c r="D140" t="s">
        <v>1861</v>
      </c>
      <c r="E140" t="s">
        <v>1862</v>
      </c>
      <c r="F140" t="s">
        <v>1862</v>
      </c>
      <c r="G140" t="s">
        <v>1862</v>
      </c>
      <c r="H140" t="s">
        <v>1862</v>
      </c>
      <c r="I140" t="s">
        <v>1862</v>
      </c>
      <c r="J140" t="s">
        <v>1862</v>
      </c>
      <c r="K140" t="s">
        <v>1862</v>
      </c>
      <c r="L140" t="s">
        <v>1862</v>
      </c>
      <c r="M140" t="s">
        <v>1862</v>
      </c>
      <c r="N140" t="s">
        <v>1696</v>
      </c>
      <c r="O140" t="s">
        <v>1697</v>
      </c>
      <c r="P140" t="s">
        <v>1493</v>
      </c>
      <c r="Q140">
        <v>1</v>
      </c>
      <c r="R140">
        <v>1</v>
      </c>
      <c r="S140" t="b">
        <f t="shared" si="2"/>
        <v>1</v>
      </c>
    </row>
    <row r="141" spans="1:19" hidden="1" x14ac:dyDescent="0.25">
      <c r="A141" t="s">
        <v>1689</v>
      </c>
      <c r="B141" t="s">
        <v>1690</v>
      </c>
      <c r="C141" t="s">
        <v>1860</v>
      </c>
      <c r="D141" t="s">
        <v>1861</v>
      </c>
      <c r="E141" t="s">
        <v>1863</v>
      </c>
      <c r="F141" t="s">
        <v>1863</v>
      </c>
      <c r="G141" t="s">
        <v>1863</v>
      </c>
      <c r="H141" t="s">
        <v>1863</v>
      </c>
      <c r="I141" t="s">
        <v>1863</v>
      </c>
      <c r="J141" t="s">
        <v>1863</v>
      </c>
      <c r="K141" t="s">
        <v>1863</v>
      </c>
      <c r="L141" t="s">
        <v>1863</v>
      </c>
      <c r="M141" t="s">
        <v>1863</v>
      </c>
      <c r="N141" t="s">
        <v>1696</v>
      </c>
      <c r="O141" t="s">
        <v>1697</v>
      </c>
      <c r="P141" t="s">
        <v>1493</v>
      </c>
      <c r="Q141">
        <v>1</v>
      </c>
      <c r="R141">
        <v>1</v>
      </c>
      <c r="S141" t="b">
        <f t="shared" si="2"/>
        <v>1</v>
      </c>
    </row>
    <row r="142" spans="1:19" hidden="1" x14ac:dyDescent="0.25">
      <c r="A142" t="s">
        <v>1689</v>
      </c>
      <c r="B142" t="s">
        <v>1690</v>
      </c>
      <c r="C142" t="s">
        <v>1860</v>
      </c>
      <c r="D142" t="s">
        <v>1861</v>
      </c>
      <c r="E142" t="s">
        <v>1864</v>
      </c>
      <c r="F142" t="s">
        <v>1864</v>
      </c>
      <c r="G142" t="s">
        <v>1864</v>
      </c>
      <c r="H142" t="s">
        <v>1864</v>
      </c>
      <c r="I142" t="s">
        <v>1864</v>
      </c>
      <c r="J142" t="s">
        <v>1864</v>
      </c>
      <c r="K142" t="s">
        <v>1864</v>
      </c>
      <c r="L142" t="s">
        <v>1864</v>
      </c>
      <c r="M142" t="s">
        <v>1864</v>
      </c>
      <c r="N142" t="s">
        <v>1696</v>
      </c>
      <c r="O142" t="s">
        <v>1697</v>
      </c>
      <c r="P142" t="s">
        <v>1493</v>
      </c>
      <c r="Q142">
        <v>1</v>
      </c>
      <c r="R142">
        <v>1</v>
      </c>
      <c r="S142" t="b">
        <f t="shared" si="2"/>
        <v>1</v>
      </c>
    </row>
    <row r="143" spans="1:19" hidden="1" x14ac:dyDescent="0.25">
      <c r="A143" t="s">
        <v>1689</v>
      </c>
      <c r="B143" t="s">
        <v>1690</v>
      </c>
      <c r="C143" t="s">
        <v>1860</v>
      </c>
      <c r="D143" t="s">
        <v>1865</v>
      </c>
      <c r="E143" t="s">
        <v>1866</v>
      </c>
      <c r="F143" t="s">
        <v>1866</v>
      </c>
      <c r="G143" t="s">
        <v>1866</v>
      </c>
      <c r="H143" t="s">
        <v>1866</v>
      </c>
      <c r="I143" t="s">
        <v>1866</v>
      </c>
      <c r="J143" t="s">
        <v>1866</v>
      </c>
      <c r="K143" t="s">
        <v>1866</v>
      </c>
      <c r="L143" t="s">
        <v>1866</v>
      </c>
      <c r="M143" t="s">
        <v>1866</v>
      </c>
      <c r="N143" t="s">
        <v>1696</v>
      </c>
      <c r="O143" t="s">
        <v>1697</v>
      </c>
      <c r="P143" t="s">
        <v>1493</v>
      </c>
      <c r="Q143">
        <v>1</v>
      </c>
      <c r="R143">
        <v>1</v>
      </c>
      <c r="S143" t="b">
        <f t="shared" si="2"/>
        <v>1</v>
      </c>
    </row>
    <row r="144" spans="1:19" hidden="1" x14ac:dyDescent="0.25">
      <c r="A144" t="s">
        <v>1689</v>
      </c>
      <c r="B144" t="s">
        <v>1690</v>
      </c>
      <c r="C144" t="s">
        <v>1860</v>
      </c>
      <c r="D144" t="s">
        <v>1865</v>
      </c>
      <c r="E144" t="s">
        <v>1867</v>
      </c>
      <c r="F144" t="s">
        <v>1867</v>
      </c>
      <c r="G144" t="s">
        <v>1867</v>
      </c>
      <c r="H144" t="s">
        <v>1867</v>
      </c>
      <c r="I144" t="s">
        <v>1867</v>
      </c>
      <c r="J144" t="s">
        <v>1867</v>
      </c>
      <c r="K144" t="s">
        <v>1867</v>
      </c>
      <c r="L144" t="s">
        <v>1867</v>
      </c>
      <c r="M144" t="s">
        <v>1867</v>
      </c>
      <c r="N144" t="s">
        <v>1696</v>
      </c>
      <c r="O144" t="s">
        <v>1697</v>
      </c>
      <c r="P144" t="s">
        <v>1493</v>
      </c>
      <c r="Q144">
        <v>1</v>
      </c>
      <c r="R144">
        <v>1</v>
      </c>
      <c r="S144" t="b">
        <f t="shared" si="2"/>
        <v>1</v>
      </c>
    </row>
    <row r="145" spans="1:19" hidden="1" x14ac:dyDescent="0.25">
      <c r="A145" t="s">
        <v>1689</v>
      </c>
      <c r="B145" t="s">
        <v>1690</v>
      </c>
      <c r="C145" t="s">
        <v>1860</v>
      </c>
      <c r="D145" t="s">
        <v>1865</v>
      </c>
      <c r="E145" t="s">
        <v>1868</v>
      </c>
      <c r="F145" t="s">
        <v>1868</v>
      </c>
      <c r="G145" t="s">
        <v>1868</v>
      </c>
      <c r="H145" t="s">
        <v>1868</v>
      </c>
      <c r="I145" t="s">
        <v>1868</v>
      </c>
      <c r="J145" t="s">
        <v>1868</v>
      </c>
      <c r="K145" t="s">
        <v>1868</v>
      </c>
      <c r="L145" t="s">
        <v>1868</v>
      </c>
      <c r="M145" t="s">
        <v>1868</v>
      </c>
      <c r="N145" t="s">
        <v>1696</v>
      </c>
      <c r="O145" t="s">
        <v>1697</v>
      </c>
      <c r="P145" t="s">
        <v>1493</v>
      </c>
      <c r="Q145">
        <v>1</v>
      </c>
      <c r="R145">
        <v>1</v>
      </c>
      <c r="S145" t="b">
        <f t="shared" si="2"/>
        <v>1</v>
      </c>
    </row>
    <row r="146" spans="1:19" hidden="1" x14ac:dyDescent="0.25">
      <c r="A146" t="s">
        <v>1689</v>
      </c>
      <c r="B146" t="s">
        <v>1690</v>
      </c>
      <c r="C146" t="s">
        <v>1869</v>
      </c>
      <c r="D146" t="s">
        <v>1870</v>
      </c>
      <c r="E146" t="s">
        <v>1871</v>
      </c>
      <c r="F146" t="s">
        <v>1871</v>
      </c>
      <c r="G146" t="s">
        <v>1871</v>
      </c>
      <c r="H146" t="s">
        <v>1871</v>
      </c>
      <c r="I146" t="s">
        <v>1871</v>
      </c>
      <c r="J146" t="s">
        <v>1871</v>
      </c>
      <c r="K146" t="s">
        <v>1871</v>
      </c>
      <c r="L146" t="s">
        <v>1871</v>
      </c>
      <c r="M146" t="s">
        <v>1871</v>
      </c>
      <c r="N146" t="s">
        <v>1696</v>
      </c>
      <c r="O146" t="s">
        <v>1697</v>
      </c>
      <c r="P146" t="s">
        <v>1493</v>
      </c>
      <c r="Q146">
        <v>1</v>
      </c>
      <c r="R146">
        <v>1</v>
      </c>
      <c r="S146" t="b">
        <f t="shared" si="2"/>
        <v>1</v>
      </c>
    </row>
    <row r="147" spans="1:19" hidden="1" x14ac:dyDescent="0.25">
      <c r="A147" t="s">
        <v>1689</v>
      </c>
      <c r="B147" t="s">
        <v>1690</v>
      </c>
      <c r="C147" t="s">
        <v>1869</v>
      </c>
      <c r="D147" t="s">
        <v>1870</v>
      </c>
      <c r="E147" t="s">
        <v>1872</v>
      </c>
      <c r="F147" t="s">
        <v>1872</v>
      </c>
      <c r="G147" t="s">
        <v>1872</v>
      </c>
      <c r="H147" t="s">
        <v>1872</v>
      </c>
      <c r="I147" t="s">
        <v>1872</v>
      </c>
      <c r="J147" t="s">
        <v>1872</v>
      </c>
      <c r="K147" t="s">
        <v>1872</v>
      </c>
      <c r="L147" t="s">
        <v>1872</v>
      </c>
      <c r="M147" t="s">
        <v>1872</v>
      </c>
      <c r="N147" t="s">
        <v>1696</v>
      </c>
      <c r="O147" t="s">
        <v>1697</v>
      </c>
      <c r="P147" t="s">
        <v>1493</v>
      </c>
      <c r="Q147">
        <v>1</v>
      </c>
      <c r="R147">
        <v>1</v>
      </c>
      <c r="S147" t="b">
        <f t="shared" si="2"/>
        <v>1</v>
      </c>
    </row>
    <row r="148" spans="1:19" hidden="1" x14ac:dyDescent="0.25">
      <c r="A148" t="s">
        <v>1689</v>
      </c>
      <c r="B148" t="s">
        <v>1690</v>
      </c>
      <c r="C148" t="s">
        <v>1869</v>
      </c>
      <c r="D148" t="s">
        <v>1873</v>
      </c>
      <c r="E148" t="s">
        <v>1874</v>
      </c>
      <c r="F148" t="s">
        <v>1874</v>
      </c>
      <c r="G148" t="s">
        <v>1874</v>
      </c>
      <c r="H148" t="s">
        <v>1874</v>
      </c>
      <c r="I148" t="s">
        <v>1874</v>
      </c>
      <c r="J148" t="s">
        <v>1874</v>
      </c>
      <c r="K148" t="s">
        <v>1874</v>
      </c>
      <c r="L148" t="s">
        <v>1874</v>
      </c>
      <c r="M148" t="s">
        <v>1874</v>
      </c>
      <c r="N148" t="s">
        <v>1696</v>
      </c>
      <c r="O148" t="s">
        <v>1697</v>
      </c>
      <c r="P148" t="s">
        <v>1493</v>
      </c>
      <c r="Q148">
        <v>1</v>
      </c>
      <c r="R148">
        <v>1</v>
      </c>
      <c r="S148" t="b">
        <f t="shared" si="2"/>
        <v>1</v>
      </c>
    </row>
    <row r="149" spans="1:19" hidden="1" x14ac:dyDescent="0.25">
      <c r="A149" t="s">
        <v>1689</v>
      </c>
      <c r="B149" t="s">
        <v>1690</v>
      </c>
      <c r="C149" t="s">
        <v>1869</v>
      </c>
      <c r="D149" t="s">
        <v>1873</v>
      </c>
      <c r="E149" t="s">
        <v>1875</v>
      </c>
      <c r="F149" t="s">
        <v>1875</v>
      </c>
      <c r="G149" t="s">
        <v>1875</v>
      </c>
      <c r="H149" t="s">
        <v>1875</v>
      </c>
      <c r="I149" t="s">
        <v>1875</v>
      </c>
      <c r="J149" t="s">
        <v>1875</v>
      </c>
      <c r="K149" t="s">
        <v>1875</v>
      </c>
      <c r="L149" t="s">
        <v>1875</v>
      </c>
      <c r="M149" t="s">
        <v>1875</v>
      </c>
      <c r="N149" t="s">
        <v>1696</v>
      </c>
      <c r="O149" t="s">
        <v>1697</v>
      </c>
      <c r="P149" t="s">
        <v>1493</v>
      </c>
      <c r="Q149">
        <v>1</v>
      </c>
      <c r="R149">
        <v>1</v>
      </c>
      <c r="S149" t="b">
        <f t="shared" si="2"/>
        <v>1</v>
      </c>
    </row>
    <row r="150" spans="1:19" hidden="1" x14ac:dyDescent="0.25">
      <c r="A150" t="s">
        <v>1689</v>
      </c>
      <c r="B150" t="s">
        <v>1690</v>
      </c>
      <c r="C150" t="s">
        <v>1869</v>
      </c>
      <c r="D150" t="s">
        <v>1876</v>
      </c>
      <c r="E150" t="s">
        <v>1877</v>
      </c>
      <c r="F150" t="s">
        <v>1877</v>
      </c>
      <c r="G150" t="s">
        <v>1877</v>
      </c>
      <c r="H150" t="s">
        <v>1877</v>
      </c>
      <c r="I150" t="s">
        <v>1877</v>
      </c>
      <c r="J150" t="s">
        <v>1877</v>
      </c>
      <c r="K150" t="s">
        <v>1877</v>
      </c>
      <c r="L150" t="s">
        <v>1877</v>
      </c>
      <c r="M150" t="s">
        <v>1877</v>
      </c>
      <c r="N150" t="s">
        <v>1696</v>
      </c>
      <c r="O150" t="s">
        <v>1697</v>
      </c>
      <c r="P150" t="s">
        <v>1493</v>
      </c>
      <c r="Q150">
        <v>1</v>
      </c>
      <c r="R150">
        <v>1</v>
      </c>
      <c r="S150" t="b">
        <f t="shared" si="2"/>
        <v>1</v>
      </c>
    </row>
    <row r="151" spans="1:19" hidden="1" x14ac:dyDescent="0.25">
      <c r="A151" t="s">
        <v>1689</v>
      </c>
      <c r="B151" t="s">
        <v>1690</v>
      </c>
      <c r="C151" t="s">
        <v>1869</v>
      </c>
      <c r="D151" t="s">
        <v>1876</v>
      </c>
      <c r="E151" t="s">
        <v>1878</v>
      </c>
      <c r="F151" t="s">
        <v>1878</v>
      </c>
      <c r="G151" t="s">
        <v>1878</v>
      </c>
      <c r="H151" t="s">
        <v>1878</v>
      </c>
      <c r="I151" t="s">
        <v>1878</v>
      </c>
      <c r="J151" t="s">
        <v>1878</v>
      </c>
      <c r="K151" t="s">
        <v>1878</v>
      </c>
      <c r="L151" t="s">
        <v>1878</v>
      </c>
      <c r="M151" t="s">
        <v>1878</v>
      </c>
      <c r="N151" t="s">
        <v>1696</v>
      </c>
      <c r="O151" t="s">
        <v>1697</v>
      </c>
      <c r="P151" t="s">
        <v>1493</v>
      </c>
      <c r="Q151">
        <v>1</v>
      </c>
      <c r="R151">
        <v>1</v>
      </c>
      <c r="S151" t="b">
        <f t="shared" si="2"/>
        <v>1</v>
      </c>
    </row>
    <row r="152" spans="1:19" hidden="1" x14ac:dyDescent="0.25">
      <c r="A152" t="s">
        <v>1689</v>
      </c>
      <c r="B152" t="s">
        <v>1690</v>
      </c>
      <c r="C152" t="s">
        <v>1869</v>
      </c>
      <c r="D152" t="s">
        <v>1879</v>
      </c>
      <c r="E152" t="s">
        <v>1880</v>
      </c>
      <c r="F152" t="s">
        <v>1880</v>
      </c>
      <c r="G152" t="s">
        <v>1880</v>
      </c>
      <c r="H152" t="s">
        <v>1880</v>
      </c>
      <c r="I152" t="s">
        <v>1880</v>
      </c>
      <c r="J152" t="s">
        <v>1880</v>
      </c>
      <c r="K152" t="s">
        <v>1880</v>
      </c>
      <c r="L152" t="s">
        <v>1880</v>
      </c>
      <c r="M152" t="s">
        <v>1880</v>
      </c>
      <c r="N152" t="s">
        <v>1696</v>
      </c>
      <c r="O152" t="s">
        <v>1697</v>
      </c>
      <c r="P152" t="s">
        <v>1493</v>
      </c>
      <c r="Q152">
        <v>1</v>
      </c>
      <c r="R152">
        <v>1</v>
      </c>
      <c r="S152" t="b">
        <f t="shared" si="2"/>
        <v>1</v>
      </c>
    </row>
    <row r="153" spans="1:19" hidden="1" x14ac:dyDescent="0.25">
      <c r="A153" t="s">
        <v>1689</v>
      </c>
      <c r="B153" t="s">
        <v>1690</v>
      </c>
      <c r="C153" t="s">
        <v>1869</v>
      </c>
      <c r="D153" t="s">
        <v>1879</v>
      </c>
      <c r="E153" t="s">
        <v>1881</v>
      </c>
      <c r="F153" t="s">
        <v>1881</v>
      </c>
      <c r="G153" t="s">
        <v>1881</v>
      </c>
      <c r="H153" t="s">
        <v>1881</v>
      </c>
      <c r="I153" t="s">
        <v>1881</v>
      </c>
      <c r="J153" t="s">
        <v>1881</v>
      </c>
      <c r="K153" t="s">
        <v>1881</v>
      </c>
      <c r="L153" t="s">
        <v>1881</v>
      </c>
      <c r="M153" t="s">
        <v>1881</v>
      </c>
      <c r="N153" t="s">
        <v>1696</v>
      </c>
      <c r="O153" t="s">
        <v>1697</v>
      </c>
      <c r="P153" t="s">
        <v>1493</v>
      </c>
      <c r="Q153">
        <v>1</v>
      </c>
      <c r="R153">
        <v>1</v>
      </c>
      <c r="S153" t="b">
        <f t="shared" si="2"/>
        <v>1</v>
      </c>
    </row>
    <row r="154" spans="1:19" hidden="1" x14ac:dyDescent="0.25">
      <c r="A154" t="s">
        <v>1689</v>
      </c>
      <c r="B154" t="s">
        <v>1690</v>
      </c>
      <c r="C154" t="s">
        <v>1869</v>
      </c>
      <c r="D154" t="s">
        <v>1879</v>
      </c>
      <c r="E154" t="s">
        <v>1882</v>
      </c>
      <c r="F154" t="s">
        <v>1882</v>
      </c>
      <c r="G154" t="s">
        <v>1882</v>
      </c>
      <c r="H154" t="s">
        <v>1882</v>
      </c>
      <c r="I154" t="s">
        <v>1882</v>
      </c>
      <c r="J154" t="s">
        <v>1882</v>
      </c>
      <c r="K154" t="s">
        <v>1882</v>
      </c>
      <c r="L154" t="s">
        <v>1882</v>
      </c>
      <c r="M154" t="s">
        <v>1882</v>
      </c>
      <c r="N154" t="s">
        <v>1696</v>
      </c>
      <c r="O154" t="s">
        <v>1697</v>
      </c>
      <c r="P154" t="s">
        <v>1493</v>
      </c>
      <c r="Q154">
        <v>1</v>
      </c>
      <c r="R154">
        <v>1</v>
      </c>
      <c r="S154" t="b">
        <f t="shared" si="2"/>
        <v>1</v>
      </c>
    </row>
    <row r="155" spans="1:19" hidden="1" x14ac:dyDescent="0.25">
      <c r="A155" t="s">
        <v>1689</v>
      </c>
      <c r="B155" t="s">
        <v>1690</v>
      </c>
      <c r="C155" t="s">
        <v>1869</v>
      </c>
      <c r="D155" t="s">
        <v>1879</v>
      </c>
      <c r="E155" t="s">
        <v>1883</v>
      </c>
      <c r="F155" t="s">
        <v>1883</v>
      </c>
      <c r="G155" t="s">
        <v>1883</v>
      </c>
      <c r="H155" t="s">
        <v>1883</v>
      </c>
      <c r="I155" t="s">
        <v>1883</v>
      </c>
      <c r="J155" t="s">
        <v>1883</v>
      </c>
      <c r="K155" t="s">
        <v>1883</v>
      </c>
      <c r="L155" t="s">
        <v>1883</v>
      </c>
      <c r="M155" t="s">
        <v>1883</v>
      </c>
      <c r="N155" t="s">
        <v>1696</v>
      </c>
      <c r="O155" t="s">
        <v>1697</v>
      </c>
      <c r="P155" t="s">
        <v>1493</v>
      </c>
      <c r="Q155">
        <v>1</v>
      </c>
      <c r="R155">
        <v>1</v>
      </c>
      <c r="S155" t="b">
        <f t="shared" si="2"/>
        <v>1</v>
      </c>
    </row>
    <row r="156" spans="1:19" hidden="1" x14ac:dyDescent="0.25">
      <c r="A156" t="s">
        <v>1689</v>
      </c>
      <c r="B156" t="s">
        <v>1690</v>
      </c>
      <c r="C156" t="s">
        <v>1869</v>
      </c>
      <c r="D156" t="s">
        <v>1879</v>
      </c>
      <c r="E156" t="s">
        <v>1884</v>
      </c>
      <c r="F156" t="s">
        <v>1884</v>
      </c>
      <c r="G156" t="s">
        <v>1884</v>
      </c>
      <c r="H156" t="s">
        <v>1884</v>
      </c>
      <c r="I156" t="s">
        <v>1884</v>
      </c>
      <c r="J156" t="s">
        <v>1884</v>
      </c>
      <c r="K156" t="s">
        <v>1884</v>
      </c>
      <c r="L156" t="s">
        <v>1884</v>
      </c>
      <c r="M156" t="s">
        <v>1884</v>
      </c>
      <c r="N156" t="s">
        <v>1696</v>
      </c>
      <c r="O156" t="s">
        <v>1697</v>
      </c>
      <c r="P156" t="s">
        <v>1493</v>
      </c>
      <c r="Q156">
        <v>1</v>
      </c>
      <c r="R156">
        <v>1</v>
      </c>
      <c r="S156" t="b">
        <f t="shared" si="2"/>
        <v>1</v>
      </c>
    </row>
    <row r="157" spans="1:19" hidden="1" x14ac:dyDescent="0.25">
      <c r="A157" t="s">
        <v>1689</v>
      </c>
      <c r="B157" t="s">
        <v>1690</v>
      </c>
      <c r="C157" t="s">
        <v>1869</v>
      </c>
      <c r="D157" t="s">
        <v>1879</v>
      </c>
      <c r="E157" t="s">
        <v>1885</v>
      </c>
      <c r="F157" t="s">
        <v>1885</v>
      </c>
      <c r="G157" t="s">
        <v>1885</v>
      </c>
      <c r="H157" t="s">
        <v>1885</v>
      </c>
      <c r="I157" t="s">
        <v>1885</v>
      </c>
      <c r="J157" t="s">
        <v>1885</v>
      </c>
      <c r="K157" t="s">
        <v>1885</v>
      </c>
      <c r="L157" t="s">
        <v>1885</v>
      </c>
      <c r="M157" t="s">
        <v>1885</v>
      </c>
      <c r="N157" t="s">
        <v>1696</v>
      </c>
      <c r="O157" t="s">
        <v>1697</v>
      </c>
      <c r="P157" t="s">
        <v>1493</v>
      </c>
      <c r="Q157">
        <v>1</v>
      </c>
      <c r="R157">
        <v>1</v>
      </c>
      <c r="S157" t="b">
        <f t="shared" si="2"/>
        <v>1</v>
      </c>
    </row>
    <row r="158" spans="1:19" hidden="1" x14ac:dyDescent="0.25">
      <c r="A158" t="s">
        <v>1689</v>
      </c>
      <c r="B158" t="s">
        <v>1690</v>
      </c>
      <c r="C158" t="s">
        <v>1869</v>
      </c>
      <c r="D158" t="s">
        <v>1879</v>
      </c>
      <c r="E158" t="s">
        <v>1886</v>
      </c>
      <c r="F158" t="s">
        <v>1886</v>
      </c>
      <c r="G158" t="s">
        <v>1886</v>
      </c>
      <c r="H158" t="s">
        <v>1886</v>
      </c>
      <c r="I158" t="s">
        <v>1886</v>
      </c>
      <c r="J158" t="s">
        <v>1886</v>
      </c>
      <c r="K158" t="s">
        <v>1886</v>
      </c>
      <c r="L158" t="s">
        <v>1886</v>
      </c>
      <c r="M158" t="s">
        <v>1886</v>
      </c>
      <c r="N158" t="s">
        <v>1696</v>
      </c>
      <c r="O158" t="s">
        <v>1697</v>
      </c>
      <c r="P158" t="s">
        <v>1493</v>
      </c>
      <c r="Q158">
        <v>1</v>
      </c>
      <c r="R158">
        <v>1</v>
      </c>
      <c r="S158" t="b">
        <f t="shared" si="2"/>
        <v>1</v>
      </c>
    </row>
    <row r="159" spans="1:19" hidden="1" x14ac:dyDescent="0.25">
      <c r="A159" t="s">
        <v>1689</v>
      </c>
      <c r="B159" t="s">
        <v>1690</v>
      </c>
      <c r="C159" t="s">
        <v>1869</v>
      </c>
      <c r="D159" t="s">
        <v>1887</v>
      </c>
      <c r="E159" t="s">
        <v>1888</v>
      </c>
      <c r="F159" t="s">
        <v>1888</v>
      </c>
      <c r="G159" t="s">
        <v>1888</v>
      </c>
      <c r="H159" t="s">
        <v>1888</v>
      </c>
      <c r="I159" t="s">
        <v>1888</v>
      </c>
      <c r="J159" t="s">
        <v>1888</v>
      </c>
      <c r="K159" t="s">
        <v>1888</v>
      </c>
      <c r="L159" t="s">
        <v>1888</v>
      </c>
      <c r="M159" t="s">
        <v>1888</v>
      </c>
      <c r="N159" t="s">
        <v>1696</v>
      </c>
      <c r="O159" t="s">
        <v>1697</v>
      </c>
      <c r="P159" t="s">
        <v>1493</v>
      </c>
      <c r="Q159">
        <v>1</v>
      </c>
      <c r="R159">
        <v>1</v>
      </c>
      <c r="S159" t="b">
        <f t="shared" si="2"/>
        <v>1</v>
      </c>
    </row>
    <row r="160" spans="1:19" hidden="1" x14ac:dyDescent="0.25">
      <c r="A160" t="s">
        <v>1689</v>
      </c>
      <c r="B160" t="s">
        <v>1690</v>
      </c>
      <c r="C160" t="s">
        <v>1869</v>
      </c>
      <c r="D160" t="s">
        <v>1887</v>
      </c>
      <c r="E160" t="s">
        <v>1889</v>
      </c>
      <c r="F160" t="s">
        <v>1889</v>
      </c>
      <c r="G160" t="s">
        <v>1889</v>
      </c>
      <c r="H160" t="s">
        <v>1889</v>
      </c>
      <c r="I160" t="s">
        <v>1889</v>
      </c>
      <c r="J160" t="s">
        <v>1889</v>
      </c>
      <c r="K160" t="s">
        <v>1889</v>
      </c>
      <c r="L160" t="s">
        <v>1889</v>
      </c>
      <c r="M160" t="s">
        <v>1889</v>
      </c>
      <c r="N160" t="s">
        <v>1696</v>
      </c>
      <c r="O160" t="s">
        <v>1697</v>
      </c>
      <c r="P160" t="s">
        <v>1493</v>
      </c>
      <c r="Q160">
        <v>1</v>
      </c>
      <c r="R160">
        <v>1</v>
      </c>
      <c r="S160" t="b">
        <f t="shared" si="2"/>
        <v>1</v>
      </c>
    </row>
    <row r="161" spans="1:19" hidden="1" x14ac:dyDescent="0.25">
      <c r="A161" t="s">
        <v>1689</v>
      </c>
      <c r="B161" t="s">
        <v>1690</v>
      </c>
      <c r="C161" t="s">
        <v>1890</v>
      </c>
      <c r="D161" t="s">
        <v>1891</v>
      </c>
      <c r="E161" t="s">
        <v>1892</v>
      </c>
      <c r="F161" t="s">
        <v>1892</v>
      </c>
      <c r="G161" t="s">
        <v>1892</v>
      </c>
      <c r="H161" t="s">
        <v>1892</v>
      </c>
      <c r="I161" t="s">
        <v>1892</v>
      </c>
      <c r="J161" t="s">
        <v>1892</v>
      </c>
      <c r="K161" t="s">
        <v>1892</v>
      </c>
      <c r="L161" t="s">
        <v>1892</v>
      </c>
      <c r="M161" t="s">
        <v>1892</v>
      </c>
      <c r="N161" t="s">
        <v>1696</v>
      </c>
      <c r="O161" t="s">
        <v>1697</v>
      </c>
      <c r="P161" t="s">
        <v>1493</v>
      </c>
      <c r="Q161">
        <v>1</v>
      </c>
      <c r="R161">
        <v>1</v>
      </c>
      <c r="S161" t="b">
        <f t="shared" si="2"/>
        <v>1</v>
      </c>
    </row>
    <row r="162" spans="1:19" hidden="1" x14ac:dyDescent="0.25">
      <c r="A162" t="s">
        <v>1689</v>
      </c>
      <c r="B162" t="s">
        <v>1690</v>
      </c>
      <c r="C162" t="s">
        <v>1890</v>
      </c>
      <c r="D162" t="s">
        <v>1891</v>
      </c>
      <c r="E162" t="s">
        <v>1893</v>
      </c>
      <c r="F162" t="s">
        <v>1893</v>
      </c>
      <c r="G162" t="s">
        <v>1893</v>
      </c>
      <c r="H162" t="s">
        <v>1893</v>
      </c>
      <c r="I162" t="s">
        <v>1893</v>
      </c>
      <c r="J162" t="s">
        <v>1893</v>
      </c>
      <c r="K162" t="s">
        <v>1893</v>
      </c>
      <c r="L162" t="s">
        <v>1893</v>
      </c>
      <c r="M162" t="s">
        <v>1893</v>
      </c>
      <c r="N162" t="s">
        <v>1696</v>
      </c>
      <c r="O162" t="s">
        <v>1697</v>
      </c>
      <c r="P162" t="s">
        <v>1493</v>
      </c>
      <c r="Q162">
        <v>1</v>
      </c>
      <c r="R162">
        <v>1</v>
      </c>
      <c r="S162" t="b">
        <f t="shared" si="2"/>
        <v>1</v>
      </c>
    </row>
    <row r="163" spans="1:19" hidden="1" x14ac:dyDescent="0.25">
      <c r="A163" t="s">
        <v>1689</v>
      </c>
      <c r="B163" t="s">
        <v>1690</v>
      </c>
      <c r="C163" t="s">
        <v>1890</v>
      </c>
      <c r="D163" t="s">
        <v>1894</v>
      </c>
      <c r="E163" t="s">
        <v>1895</v>
      </c>
      <c r="F163" t="s">
        <v>1895</v>
      </c>
      <c r="G163" t="s">
        <v>1895</v>
      </c>
      <c r="H163" t="s">
        <v>1895</v>
      </c>
      <c r="I163" t="s">
        <v>1895</v>
      </c>
      <c r="J163" t="s">
        <v>1895</v>
      </c>
      <c r="K163" t="s">
        <v>1895</v>
      </c>
      <c r="L163" t="s">
        <v>1895</v>
      </c>
      <c r="M163" t="s">
        <v>1895</v>
      </c>
      <c r="N163" t="s">
        <v>1696</v>
      </c>
      <c r="O163" t="s">
        <v>1697</v>
      </c>
      <c r="P163" t="s">
        <v>1493</v>
      </c>
      <c r="Q163">
        <v>1</v>
      </c>
      <c r="R163">
        <v>1</v>
      </c>
      <c r="S163" t="b">
        <f t="shared" si="2"/>
        <v>1</v>
      </c>
    </row>
    <row r="164" spans="1:19" hidden="1" x14ac:dyDescent="0.25">
      <c r="A164" t="s">
        <v>1689</v>
      </c>
      <c r="B164" t="s">
        <v>1690</v>
      </c>
      <c r="C164" t="s">
        <v>1890</v>
      </c>
      <c r="D164" t="s">
        <v>1894</v>
      </c>
      <c r="E164" t="s">
        <v>1896</v>
      </c>
      <c r="F164" t="s">
        <v>1896</v>
      </c>
      <c r="G164" t="s">
        <v>1896</v>
      </c>
      <c r="H164" t="s">
        <v>1896</v>
      </c>
      <c r="I164" t="s">
        <v>1896</v>
      </c>
      <c r="J164" t="s">
        <v>1896</v>
      </c>
      <c r="K164" t="s">
        <v>1896</v>
      </c>
      <c r="L164" t="s">
        <v>1896</v>
      </c>
      <c r="M164" t="s">
        <v>1896</v>
      </c>
      <c r="N164" t="s">
        <v>1696</v>
      </c>
      <c r="O164" t="s">
        <v>1697</v>
      </c>
      <c r="P164" t="s">
        <v>1493</v>
      </c>
      <c r="Q164">
        <v>1</v>
      </c>
      <c r="R164">
        <v>1</v>
      </c>
      <c r="S164" t="b">
        <f t="shared" si="2"/>
        <v>1</v>
      </c>
    </row>
    <row r="165" spans="1:19" hidden="1" x14ac:dyDescent="0.25">
      <c r="A165" t="s">
        <v>1689</v>
      </c>
      <c r="B165" t="s">
        <v>1690</v>
      </c>
      <c r="C165" t="s">
        <v>1890</v>
      </c>
      <c r="D165" t="s">
        <v>1894</v>
      </c>
      <c r="E165" t="s">
        <v>1897</v>
      </c>
      <c r="F165" t="s">
        <v>1897</v>
      </c>
      <c r="G165" t="s">
        <v>1897</v>
      </c>
      <c r="H165" t="s">
        <v>1897</v>
      </c>
      <c r="I165" t="s">
        <v>1897</v>
      </c>
      <c r="J165" t="s">
        <v>1897</v>
      </c>
      <c r="K165" t="s">
        <v>1897</v>
      </c>
      <c r="L165" t="s">
        <v>1897</v>
      </c>
      <c r="M165" t="s">
        <v>1897</v>
      </c>
      <c r="N165" t="s">
        <v>1696</v>
      </c>
      <c r="O165" t="s">
        <v>1697</v>
      </c>
      <c r="P165" t="s">
        <v>1493</v>
      </c>
      <c r="Q165">
        <v>1</v>
      </c>
      <c r="R165">
        <v>1</v>
      </c>
      <c r="S165" t="b">
        <f t="shared" si="2"/>
        <v>1</v>
      </c>
    </row>
    <row r="166" spans="1:19" hidden="1" x14ac:dyDescent="0.25">
      <c r="A166" t="s">
        <v>1689</v>
      </c>
      <c r="B166" t="s">
        <v>1690</v>
      </c>
      <c r="C166" t="s">
        <v>1890</v>
      </c>
      <c r="D166" t="s">
        <v>1894</v>
      </c>
      <c r="E166" t="s">
        <v>1898</v>
      </c>
      <c r="F166" t="s">
        <v>1898</v>
      </c>
      <c r="G166" t="s">
        <v>1898</v>
      </c>
      <c r="H166" t="s">
        <v>1898</v>
      </c>
      <c r="I166" t="s">
        <v>1898</v>
      </c>
      <c r="J166" t="s">
        <v>1898</v>
      </c>
      <c r="K166" t="s">
        <v>1898</v>
      </c>
      <c r="L166" t="s">
        <v>1898</v>
      </c>
      <c r="M166" t="s">
        <v>1898</v>
      </c>
      <c r="N166" t="s">
        <v>1696</v>
      </c>
      <c r="O166" t="s">
        <v>1697</v>
      </c>
      <c r="P166" t="s">
        <v>1493</v>
      </c>
      <c r="Q166">
        <v>1</v>
      </c>
      <c r="R166">
        <v>1</v>
      </c>
      <c r="S166" t="b">
        <f t="shared" si="2"/>
        <v>1</v>
      </c>
    </row>
    <row r="167" spans="1:19" hidden="1" x14ac:dyDescent="0.25">
      <c r="A167" t="s">
        <v>1689</v>
      </c>
      <c r="B167" t="s">
        <v>1690</v>
      </c>
      <c r="C167" t="s">
        <v>1890</v>
      </c>
      <c r="D167" t="s">
        <v>1894</v>
      </c>
      <c r="E167" t="s">
        <v>1899</v>
      </c>
      <c r="F167" t="s">
        <v>1899</v>
      </c>
      <c r="G167" t="s">
        <v>1899</v>
      </c>
      <c r="H167" t="s">
        <v>1899</v>
      </c>
      <c r="I167" t="s">
        <v>1899</v>
      </c>
      <c r="J167" t="s">
        <v>1899</v>
      </c>
      <c r="K167" t="s">
        <v>1899</v>
      </c>
      <c r="L167" t="s">
        <v>1899</v>
      </c>
      <c r="M167" t="s">
        <v>1899</v>
      </c>
      <c r="N167" t="s">
        <v>1696</v>
      </c>
      <c r="O167" t="s">
        <v>1697</v>
      </c>
      <c r="P167" t="s">
        <v>1493</v>
      </c>
      <c r="Q167">
        <v>1</v>
      </c>
      <c r="R167">
        <v>1</v>
      </c>
      <c r="S167" t="b">
        <f t="shared" si="2"/>
        <v>1</v>
      </c>
    </row>
    <row r="168" spans="1:19" hidden="1" x14ac:dyDescent="0.25">
      <c r="A168" t="s">
        <v>1689</v>
      </c>
      <c r="B168" t="s">
        <v>1690</v>
      </c>
      <c r="C168" t="s">
        <v>1890</v>
      </c>
      <c r="D168" t="s">
        <v>1894</v>
      </c>
      <c r="E168" t="s">
        <v>1900</v>
      </c>
      <c r="F168" t="s">
        <v>1900</v>
      </c>
      <c r="G168" t="s">
        <v>1900</v>
      </c>
      <c r="H168" t="s">
        <v>1900</v>
      </c>
      <c r="I168" t="s">
        <v>1900</v>
      </c>
      <c r="J168" t="s">
        <v>1900</v>
      </c>
      <c r="K168" t="s">
        <v>1900</v>
      </c>
      <c r="L168" t="s">
        <v>1900</v>
      </c>
      <c r="M168" t="s">
        <v>1900</v>
      </c>
      <c r="N168" t="s">
        <v>1696</v>
      </c>
      <c r="O168" t="s">
        <v>1697</v>
      </c>
      <c r="P168" t="s">
        <v>1493</v>
      </c>
      <c r="Q168">
        <v>1</v>
      </c>
      <c r="R168">
        <v>1</v>
      </c>
      <c r="S168" t="b">
        <f t="shared" si="2"/>
        <v>1</v>
      </c>
    </row>
    <row r="169" spans="1:19" hidden="1" x14ac:dyDescent="0.25">
      <c r="A169" t="s">
        <v>1689</v>
      </c>
      <c r="B169" t="s">
        <v>1690</v>
      </c>
      <c r="C169" t="s">
        <v>1890</v>
      </c>
      <c r="D169" t="s">
        <v>1894</v>
      </c>
      <c r="E169" t="s">
        <v>1901</v>
      </c>
      <c r="F169" t="s">
        <v>1901</v>
      </c>
      <c r="G169" t="s">
        <v>1901</v>
      </c>
      <c r="H169" t="s">
        <v>1901</v>
      </c>
      <c r="I169" t="s">
        <v>1901</v>
      </c>
      <c r="J169" t="s">
        <v>1901</v>
      </c>
      <c r="K169" t="s">
        <v>1901</v>
      </c>
      <c r="L169" t="s">
        <v>1901</v>
      </c>
      <c r="M169" t="s">
        <v>1901</v>
      </c>
      <c r="N169" t="s">
        <v>1696</v>
      </c>
      <c r="O169" t="s">
        <v>1697</v>
      </c>
      <c r="P169" t="s">
        <v>1493</v>
      </c>
      <c r="Q169">
        <v>1</v>
      </c>
      <c r="R169">
        <v>1</v>
      </c>
      <c r="S169" t="b">
        <f t="shared" si="2"/>
        <v>1</v>
      </c>
    </row>
    <row r="170" spans="1:19" hidden="1" x14ac:dyDescent="0.25">
      <c r="A170" t="s">
        <v>1689</v>
      </c>
      <c r="B170" t="s">
        <v>1690</v>
      </c>
      <c r="C170" t="s">
        <v>1902</v>
      </c>
      <c r="D170" t="s">
        <v>1903</v>
      </c>
      <c r="E170" t="s">
        <v>1904</v>
      </c>
      <c r="F170" t="s">
        <v>1904</v>
      </c>
      <c r="G170" t="s">
        <v>1904</v>
      </c>
      <c r="H170" t="s">
        <v>1904</v>
      </c>
      <c r="I170" t="s">
        <v>1904</v>
      </c>
      <c r="J170" t="s">
        <v>1904</v>
      </c>
      <c r="K170" t="s">
        <v>1904</v>
      </c>
      <c r="L170" t="s">
        <v>1904</v>
      </c>
      <c r="M170" t="s">
        <v>1904</v>
      </c>
      <c r="N170" t="s">
        <v>1696</v>
      </c>
      <c r="O170" t="s">
        <v>1697</v>
      </c>
      <c r="P170" t="s">
        <v>1493</v>
      </c>
      <c r="Q170">
        <v>1</v>
      </c>
      <c r="R170">
        <v>1</v>
      </c>
      <c r="S170" t="b">
        <f t="shared" si="2"/>
        <v>1</v>
      </c>
    </row>
    <row r="171" spans="1:19" hidden="1" x14ac:dyDescent="0.25">
      <c r="A171" t="s">
        <v>1689</v>
      </c>
      <c r="B171" t="s">
        <v>1690</v>
      </c>
      <c r="C171" t="s">
        <v>1902</v>
      </c>
      <c r="D171" t="s">
        <v>1903</v>
      </c>
      <c r="E171" t="s">
        <v>1905</v>
      </c>
      <c r="F171" t="s">
        <v>1905</v>
      </c>
      <c r="G171" t="s">
        <v>1905</v>
      </c>
      <c r="H171" t="s">
        <v>1905</v>
      </c>
      <c r="I171" t="s">
        <v>1905</v>
      </c>
      <c r="J171" t="s">
        <v>1905</v>
      </c>
      <c r="K171" t="s">
        <v>1905</v>
      </c>
      <c r="L171" t="s">
        <v>1905</v>
      </c>
      <c r="M171" t="s">
        <v>1905</v>
      </c>
      <c r="N171" t="s">
        <v>1696</v>
      </c>
      <c r="O171" t="s">
        <v>1697</v>
      </c>
      <c r="P171" t="s">
        <v>1493</v>
      </c>
      <c r="Q171">
        <v>1</v>
      </c>
      <c r="R171">
        <v>1</v>
      </c>
      <c r="S171" t="b">
        <f t="shared" si="2"/>
        <v>1</v>
      </c>
    </row>
    <row r="172" spans="1:19" hidden="1" x14ac:dyDescent="0.25">
      <c r="A172" t="s">
        <v>1689</v>
      </c>
      <c r="B172" t="s">
        <v>1690</v>
      </c>
      <c r="C172" t="s">
        <v>1902</v>
      </c>
      <c r="D172" t="s">
        <v>1903</v>
      </c>
      <c r="E172" t="s">
        <v>1906</v>
      </c>
      <c r="F172" t="s">
        <v>1906</v>
      </c>
      <c r="G172" t="s">
        <v>1906</v>
      </c>
      <c r="H172" t="s">
        <v>1906</v>
      </c>
      <c r="I172" t="s">
        <v>1906</v>
      </c>
      <c r="J172" t="s">
        <v>1906</v>
      </c>
      <c r="K172" t="s">
        <v>1906</v>
      </c>
      <c r="L172" t="s">
        <v>1906</v>
      </c>
      <c r="M172" t="s">
        <v>1906</v>
      </c>
      <c r="N172" t="s">
        <v>1696</v>
      </c>
      <c r="O172" t="s">
        <v>1697</v>
      </c>
      <c r="P172" t="s">
        <v>1493</v>
      </c>
      <c r="Q172">
        <v>1</v>
      </c>
      <c r="R172">
        <v>1</v>
      </c>
      <c r="S172" t="b">
        <f t="shared" si="2"/>
        <v>1</v>
      </c>
    </row>
    <row r="173" spans="1:19" hidden="1" x14ac:dyDescent="0.25">
      <c r="A173" t="s">
        <v>1689</v>
      </c>
      <c r="B173" t="s">
        <v>1690</v>
      </c>
      <c r="C173" t="s">
        <v>1902</v>
      </c>
      <c r="D173" t="s">
        <v>1907</v>
      </c>
      <c r="E173" t="s">
        <v>1908</v>
      </c>
      <c r="F173" t="s">
        <v>1908</v>
      </c>
      <c r="G173" t="s">
        <v>1908</v>
      </c>
      <c r="H173" t="s">
        <v>1908</v>
      </c>
      <c r="I173" t="s">
        <v>1908</v>
      </c>
      <c r="J173" t="s">
        <v>1908</v>
      </c>
      <c r="K173" t="s">
        <v>1908</v>
      </c>
      <c r="L173" t="s">
        <v>1908</v>
      </c>
      <c r="M173" t="s">
        <v>1908</v>
      </c>
      <c r="N173" t="s">
        <v>1696</v>
      </c>
      <c r="O173" t="s">
        <v>1697</v>
      </c>
      <c r="P173" t="s">
        <v>1493</v>
      </c>
      <c r="Q173">
        <v>1</v>
      </c>
      <c r="R173">
        <v>1</v>
      </c>
      <c r="S173" t="b">
        <f t="shared" si="2"/>
        <v>1</v>
      </c>
    </row>
    <row r="174" spans="1:19" hidden="1" x14ac:dyDescent="0.25">
      <c r="A174" t="s">
        <v>1689</v>
      </c>
      <c r="B174" t="s">
        <v>1690</v>
      </c>
      <c r="C174" t="s">
        <v>1902</v>
      </c>
      <c r="D174" t="s">
        <v>1907</v>
      </c>
      <c r="E174" t="s">
        <v>1909</v>
      </c>
      <c r="F174" t="s">
        <v>1909</v>
      </c>
      <c r="G174" t="s">
        <v>1909</v>
      </c>
      <c r="H174" t="s">
        <v>1909</v>
      </c>
      <c r="I174" t="s">
        <v>1909</v>
      </c>
      <c r="J174" t="s">
        <v>1909</v>
      </c>
      <c r="K174" t="s">
        <v>1909</v>
      </c>
      <c r="L174" t="s">
        <v>1909</v>
      </c>
      <c r="M174" t="s">
        <v>1909</v>
      </c>
      <c r="N174" t="s">
        <v>1696</v>
      </c>
      <c r="O174" t="s">
        <v>1697</v>
      </c>
      <c r="P174" t="s">
        <v>1493</v>
      </c>
      <c r="Q174">
        <v>1</v>
      </c>
      <c r="R174">
        <v>1</v>
      </c>
      <c r="S174" t="b">
        <f t="shared" si="2"/>
        <v>1</v>
      </c>
    </row>
    <row r="175" spans="1:19" hidden="1" x14ac:dyDescent="0.25">
      <c r="A175" t="s">
        <v>1689</v>
      </c>
      <c r="B175" t="s">
        <v>1690</v>
      </c>
      <c r="C175" t="s">
        <v>1902</v>
      </c>
      <c r="D175" t="s">
        <v>1910</v>
      </c>
      <c r="E175" t="s">
        <v>1911</v>
      </c>
      <c r="F175" t="s">
        <v>1911</v>
      </c>
      <c r="G175" t="s">
        <v>1911</v>
      </c>
      <c r="H175" t="s">
        <v>1911</v>
      </c>
      <c r="I175" t="s">
        <v>1911</v>
      </c>
      <c r="J175" t="s">
        <v>1911</v>
      </c>
      <c r="K175" t="s">
        <v>1911</v>
      </c>
      <c r="L175" t="s">
        <v>1911</v>
      </c>
      <c r="M175" t="s">
        <v>1911</v>
      </c>
      <c r="N175" t="s">
        <v>1696</v>
      </c>
      <c r="O175" t="s">
        <v>1697</v>
      </c>
      <c r="P175" t="s">
        <v>1493</v>
      </c>
      <c r="Q175">
        <v>1</v>
      </c>
      <c r="R175">
        <v>1</v>
      </c>
      <c r="S175" t="b">
        <f t="shared" si="2"/>
        <v>1</v>
      </c>
    </row>
    <row r="176" spans="1:19" hidden="1" x14ac:dyDescent="0.25">
      <c r="A176" t="s">
        <v>1689</v>
      </c>
      <c r="B176" t="s">
        <v>1690</v>
      </c>
      <c r="C176" t="s">
        <v>1902</v>
      </c>
      <c r="D176" t="s">
        <v>1910</v>
      </c>
      <c r="E176" t="s">
        <v>1912</v>
      </c>
      <c r="F176" t="s">
        <v>1912</v>
      </c>
      <c r="G176" t="s">
        <v>1912</v>
      </c>
      <c r="H176" t="s">
        <v>1912</v>
      </c>
      <c r="I176" t="s">
        <v>1912</v>
      </c>
      <c r="J176" t="s">
        <v>1912</v>
      </c>
      <c r="K176" t="s">
        <v>1912</v>
      </c>
      <c r="L176" t="s">
        <v>1912</v>
      </c>
      <c r="M176" t="s">
        <v>1912</v>
      </c>
      <c r="N176" t="s">
        <v>1696</v>
      </c>
      <c r="O176" t="s">
        <v>1697</v>
      </c>
      <c r="P176" t="s">
        <v>1493</v>
      </c>
      <c r="Q176">
        <v>1</v>
      </c>
      <c r="R176">
        <v>1</v>
      </c>
      <c r="S176" t="b">
        <f t="shared" si="2"/>
        <v>1</v>
      </c>
    </row>
    <row r="177" spans="1:19" hidden="1" x14ac:dyDescent="0.25">
      <c r="A177" t="s">
        <v>1689</v>
      </c>
      <c r="B177" t="s">
        <v>1690</v>
      </c>
      <c r="C177" t="s">
        <v>1902</v>
      </c>
      <c r="D177" t="s">
        <v>1910</v>
      </c>
      <c r="E177" t="s">
        <v>1913</v>
      </c>
      <c r="F177" t="s">
        <v>1913</v>
      </c>
      <c r="G177" t="s">
        <v>1913</v>
      </c>
      <c r="H177" t="s">
        <v>1913</v>
      </c>
      <c r="I177" t="s">
        <v>1913</v>
      </c>
      <c r="J177" t="s">
        <v>1913</v>
      </c>
      <c r="K177" t="s">
        <v>1913</v>
      </c>
      <c r="L177" t="s">
        <v>1913</v>
      </c>
      <c r="M177" t="s">
        <v>1913</v>
      </c>
      <c r="N177" t="s">
        <v>1696</v>
      </c>
      <c r="O177" t="s">
        <v>1697</v>
      </c>
      <c r="P177" t="s">
        <v>1493</v>
      </c>
      <c r="Q177">
        <v>1</v>
      </c>
      <c r="R177">
        <v>1</v>
      </c>
      <c r="S177" t="b">
        <f t="shared" si="2"/>
        <v>1</v>
      </c>
    </row>
    <row r="178" spans="1:19" hidden="1" x14ac:dyDescent="0.25">
      <c r="A178" t="s">
        <v>1689</v>
      </c>
      <c r="B178" t="s">
        <v>1690</v>
      </c>
      <c r="C178" t="s">
        <v>1914</v>
      </c>
      <c r="D178" t="s">
        <v>1915</v>
      </c>
      <c r="E178" t="s">
        <v>1916</v>
      </c>
      <c r="F178" t="s">
        <v>1916</v>
      </c>
      <c r="G178" t="s">
        <v>1916</v>
      </c>
      <c r="H178" t="s">
        <v>1916</v>
      </c>
      <c r="I178" t="s">
        <v>1916</v>
      </c>
      <c r="J178" t="s">
        <v>1916</v>
      </c>
      <c r="K178" t="s">
        <v>1916</v>
      </c>
      <c r="L178" t="s">
        <v>1916</v>
      </c>
      <c r="M178" t="s">
        <v>1916</v>
      </c>
      <c r="N178" t="s">
        <v>1696</v>
      </c>
      <c r="O178" t="s">
        <v>1697</v>
      </c>
      <c r="P178" t="s">
        <v>1493</v>
      </c>
      <c r="Q178">
        <v>1</v>
      </c>
      <c r="R178">
        <v>1</v>
      </c>
      <c r="S178" t="b">
        <f t="shared" si="2"/>
        <v>1</v>
      </c>
    </row>
    <row r="179" spans="1:19" hidden="1" x14ac:dyDescent="0.25">
      <c r="A179" t="s">
        <v>1689</v>
      </c>
      <c r="B179" t="s">
        <v>1690</v>
      </c>
      <c r="C179" t="s">
        <v>1914</v>
      </c>
      <c r="D179" t="s">
        <v>1915</v>
      </c>
      <c r="E179" t="s">
        <v>1917</v>
      </c>
      <c r="F179" t="s">
        <v>1917</v>
      </c>
      <c r="G179" t="s">
        <v>1917</v>
      </c>
      <c r="H179" t="s">
        <v>1917</v>
      </c>
      <c r="I179" t="s">
        <v>1917</v>
      </c>
      <c r="J179" t="s">
        <v>1917</v>
      </c>
      <c r="K179" t="s">
        <v>1917</v>
      </c>
      <c r="L179" t="s">
        <v>1917</v>
      </c>
      <c r="M179" t="s">
        <v>1917</v>
      </c>
      <c r="N179" t="s">
        <v>1696</v>
      </c>
      <c r="O179" t="s">
        <v>1697</v>
      </c>
      <c r="P179" t="s">
        <v>1493</v>
      </c>
      <c r="Q179">
        <v>1</v>
      </c>
      <c r="R179">
        <v>1</v>
      </c>
      <c r="S179" t="b">
        <f t="shared" si="2"/>
        <v>1</v>
      </c>
    </row>
    <row r="180" spans="1:19" hidden="1" x14ac:dyDescent="0.25">
      <c r="A180" t="s">
        <v>1689</v>
      </c>
      <c r="B180" t="s">
        <v>1690</v>
      </c>
      <c r="C180" t="s">
        <v>1914</v>
      </c>
      <c r="D180" t="s">
        <v>1915</v>
      </c>
      <c r="E180" t="s">
        <v>1918</v>
      </c>
      <c r="F180" t="s">
        <v>1918</v>
      </c>
      <c r="G180" t="s">
        <v>1918</v>
      </c>
      <c r="H180" t="s">
        <v>1918</v>
      </c>
      <c r="I180" t="s">
        <v>1918</v>
      </c>
      <c r="J180" t="s">
        <v>1918</v>
      </c>
      <c r="K180" t="s">
        <v>1918</v>
      </c>
      <c r="L180" t="s">
        <v>1918</v>
      </c>
      <c r="M180" t="s">
        <v>1918</v>
      </c>
      <c r="N180" t="s">
        <v>1696</v>
      </c>
      <c r="O180" t="s">
        <v>1697</v>
      </c>
      <c r="P180" t="s">
        <v>1493</v>
      </c>
      <c r="Q180">
        <v>1</v>
      </c>
      <c r="R180">
        <v>1</v>
      </c>
      <c r="S180" t="b">
        <f t="shared" si="2"/>
        <v>1</v>
      </c>
    </row>
    <row r="181" spans="1:19" hidden="1" x14ac:dyDescent="0.25">
      <c r="A181" t="s">
        <v>1689</v>
      </c>
      <c r="B181" t="s">
        <v>1690</v>
      </c>
      <c r="C181" t="s">
        <v>1914</v>
      </c>
      <c r="D181" t="s">
        <v>1915</v>
      </c>
      <c r="E181" t="s">
        <v>1919</v>
      </c>
      <c r="F181" t="s">
        <v>1919</v>
      </c>
      <c r="G181" t="s">
        <v>1919</v>
      </c>
      <c r="H181" t="s">
        <v>1919</v>
      </c>
      <c r="I181" t="s">
        <v>1919</v>
      </c>
      <c r="J181" t="s">
        <v>1919</v>
      </c>
      <c r="K181" t="s">
        <v>1919</v>
      </c>
      <c r="L181" t="s">
        <v>1919</v>
      </c>
      <c r="M181" t="s">
        <v>1919</v>
      </c>
      <c r="N181" t="s">
        <v>1696</v>
      </c>
      <c r="O181" t="s">
        <v>1697</v>
      </c>
      <c r="P181" t="s">
        <v>1493</v>
      </c>
      <c r="Q181">
        <v>1</v>
      </c>
      <c r="R181">
        <v>1</v>
      </c>
      <c r="S181" t="b">
        <f t="shared" si="2"/>
        <v>1</v>
      </c>
    </row>
    <row r="182" spans="1:19" hidden="1" x14ac:dyDescent="0.25">
      <c r="A182" t="s">
        <v>1689</v>
      </c>
      <c r="B182" t="s">
        <v>1690</v>
      </c>
      <c r="C182" t="s">
        <v>1914</v>
      </c>
      <c r="D182" t="s">
        <v>1915</v>
      </c>
      <c r="E182" t="s">
        <v>1920</v>
      </c>
      <c r="F182" t="s">
        <v>1920</v>
      </c>
      <c r="G182" t="s">
        <v>1920</v>
      </c>
      <c r="H182" t="s">
        <v>1920</v>
      </c>
      <c r="I182" t="s">
        <v>1920</v>
      </c>
      <c r="J182" t="s">
        <v>1920</v>
      </c>
      <c r="K182" t="s">
        <v>1920</v>
      </c>
      <c r="L182" t="s">
        <v>1920</v>
      </c>
      <c r="M182" t="s">
        <v>1920</v>
      </c>
      <c r="N182" t="s">
        <v>1696</v>
      </c>
      <c r="O182" t="s">
        <v>1697</v>
      </c>
      <c r="P182" t="s">
        <v>1493</v>
      </c>
      <c r="Q182">
        <v>1</v>
      </c>
      <c r="R182">
        <v>1</v>
      </c>
      <c r="S182" t="b">
        <f t="shared" si="2"/>
        <v>1</v>
      </c>
    </row>
    <row r="183" spans="1:19" hidden="1" x14ac:dyDescent="0.25">
      <c r="A183" t="s">
        <v>1689</v>
      </c>
      <c r="B183" t="s">
        <v>1690</v>
      </c>
      <c r="C183" t="s">
        <v>1914</v>
      </c>
      <c r="D183" t="s">
        <v>1915</v>
      </c>
      <c r="E183" t="s">
        <v>1921</v>
      </c>
      <c r="F183" t="s">
        <v>1921</v>
      </c>
      <c r="G183" t="s">
        <v>1921</v>
      </c>
      <c r="H183" t="s">
        <v>1921</v>
      </c>
      <c r="I183" t="s">
        <v>1921</v>
      </c>
      <c r="J183" t="s">
        <v>1921</v>
      </c>
      <c r="K183" t="s">
        <v>1921</v>
      </c>
      <c r="L183" t="s">
        <v>1921</v>
      </c>
      <c r="M183" t="s">
        <v>1921</v>
      </c>
      <c r="N183" t="s">
        <v>1696</v>
      </c>
      <c r="O183" t="s">
        <v>1697</v>
      </c>
      <c r="P183" t="s">
        <v>1493</v>
      </c>
      <c r="Q183">
        <v>1</v>
      </c>
      <c r="R183">
        <v>1</v>
      </c>
      <c r="S183" t="b">
        <f t="shared" si="2"/>
        <v>1</v>
      </c>
    </row>
    <row r="184" spans="1:19" hidden="1" x14ac:dyDescent="0.25">
      <c r="A184" t="s">
        <v>1689</v>
      </c>
      <c r="B184" t="s">
        <v>1690</v>
      </c>
      <c r="C184" t="s">
        <v>1914</v>
      </c>
      <c r="D184" t="s">
        <v>1922</v>
      </c>
      <c r="E184" t="s">
        <v>1923</v>
      </c>
      <c r="F184" t="s">
        <v>1923</v>
      </c>
      <c r="G184" t="s">
        <v>1923</v>
      </c>
      <c r="H184" t="s">
        <v>1923</v>
      </c>
      <c r="I184" t="s">
        <v>1923</v>
      </c>
      <c r="J184" t="s">
        <v>1923</v>
      </c>
      <c r="K184" t="s">
        <v>1923</v>
      </c>
      <c r="L184" t="s">
        <v>1923</v>
      </c>
      <c r="M184" t="s">
        <v>1923</v>
      </c>
      <c r="N184" t="s">
        <v>1696</v>
      </c>
      <c r="O184" t="s">
        <v>1697</v>
      </c>
      <c r="P184" t="s">
        <v>1493</v>
      </c>
      <c r="Q184">
        <v>1</v>
      </c>
      <c r="R184">
        <v>1</v>
      </c>
      <c r="S184" t="b">
        <f t="shared" si="2"/>
        <v>1</v>
      </c>
    </row>
    <row r="185" spans="1:19" hidden="1" x14ac:dyDescent="0.25">
      <c r="A185" t="s">
        <v>1689</v>
      </c>
      <c r="B185" t="s">
        <v>1690</v>
      </c>
      <c r="C185" t="s">
        <v>1914</v>
      </c>
      <c r="D185" t="s">
        <v>1924</v>
      </c>
      <c r="E185" t="s">
        <v>1925</v>
      </c>
      <c r="F185" t="s">
        <v>1925</v>
      </c>
      <c r="G185" t="s">
        <v>1925</v>
      </c>
      <c r="H185" t="s">
        <v>1925</v>
      </c>
      <c r="I185" t="s">
        <v>1925</v>
      </c>
      <c r="J185" t="s">
        <v>1925</v>
      </c>
      <c r="K185" t="s">
        <v>1925</v>
      </c>
      <c r="L185" t="s">
        <v>1925</v>
      </c>
      <c r="M185" t="s">
        <v>1925</v>
      </c>
      <c r="N185" t="s">
        <v>1696</v>
      </c>
      <c r="O185" t="s">
        <v>1697</v>
      </c>
      <c r="P185" t="s">
        <v>1493</v>
      </c>
      <c r="Q185">
        <v>1</v>
      </c>
      <c r="R185">
        <v>1</v>
      </c>
      <c r="S185" t="b">
        <f t="shared" si="2"/>
        <v>1</v>
      </c>
    </row>
    <row r="186" spans="1:19" hidden="1" x14ac:dyDescent="0.25">
      <c r="A186" t="s">
        <v>1689</v>
      </c>
      <c r="B186" t="s">
        <v>1690</v>
      </c>
      <c r="C186" t="s">
        <v>1914</v>
      </c>
      <c r="D186" t="s">
        <v>1924</v>
      </c>
      <c r="E186" t="s">
        <v>1926</v>
      </c>
      <c r="F186" t="s">
        <v>1926</v>
      </c>
      <c r="G186" t="s">
        <v>1926</v>
      </c>
      <c r="H186" t="s">
        <v>1926</v>
      </c>
      <c r="I186" t="s">
        <v>1926</v>
      </c>
      <c r="J186" t="s">
        <v>1926</v>
      </c>
      <c r="K186" t="s">
        <v>1926</v>
      </c>
      <c r="L186" t="s">
        <v>1926</v>
      </c>
      <c r="M186" t="s">
        <v>1926</v>
      </c>
      <c r="N186" t="s">
        <v>1696</v>
      </c>
      <c r="O186" t="s">
        <v>1697</v>
      </c>
      <c r="P186" t="s">
        <v>1493</v>
      </c>
      <c r="Q186">
        <v>1</v>
      </c>
      <c r="R186">
        <v>1</v>
      </c>
      <c r="S186" t="b">
        <f t="shared" si="2"/>
        <v>1</v>
      </c>
    </row>
    <row r="187" spans="1:19" hidden="1" x14ac:dyDescent="0.25">
      <c r="A187" t="s">
        <v>1689</v>
      </c>
      <c r="B187" t="s">
        <v>1690</v>
      </c>
      <c r="C187" t="s">
        <v>1914</v>
      </c>
      <c r="D187" t="s">
        <v>1924</v>
      </c>
      <c r="E187" t="s">
        <v>1927</v>
      </c>
      <c r="F187" t="s">
        <v>1927</v>
      </c>
      <c r="G187" t="s">
        <v>1927</v>
      </c>
      <c r="H187" t="s">
        <v>1927</v>
      </c>
      <c r="I187" t="s">
        <v>1927</v>
      </c>
      <c r="J187" t="s">
        <v>1927</v>
      </c>
      <c r="K187" t="s">
        <v>1927</v>
      </c>
      <c r="L187" t="s">
        <v>1927</v>
      </c>
      <c r="M187" t="s">
        <v>1927</v>
      </c>
      <c r="N187" t="s">
        <v>1696</v>
      </c>
      <c r="O187" t="s">
        <v>1697</v>
      </c>
      <c r="P187" t="s">
        <v>1493</v>
      </c>
      <c r="Q187">
        <v>1</v>
      </c>
      <c r="R187">
        <v>1</v>
      </c>
      <c r="S187" t="b">
        <f t="shared" si="2"/>
        <v>1</v>
      </c>
    </row>
    <row r="188" spans="1:19" hidden="1" x14ac:dyDescent="0.25">
      <c r="A188" t="s">
        <v>1689</v>
      </c>
      <c r="B188" t="s">
        <v>1690</v>
      </c>
      <c r="C188" t="s">
        <v>1914</v>
      </c>
      <c r="D188" t="s">
        <v>1924</v>
      </c>
      <c r="E188" t="s">
        <v>1928</v>
      </c>
      <c r="F188" t="s">
        <v>1928</v>
      </c>
      <c r="G188" t="s">
        <v>1928</v>
      </c>
      <c r="H188" t="s">
        <v>1928</v>
      </c>
      <c r="I188" t="s">
        <v>1928</v>
      </c>
      <c r="J188" t="s">
        <v>1928</v>
      </c>
      <c r="K188" t="s">
        <v>1928</v>
      </c>
      <c r="L188" t="s">
        <v>1928</v>
      </c>
      <c r="M188" t="s">
        <v>1928</v>
      </c>
      <c r="N188" t="s">
        <v>1696</v>
      </c>
      <c r="O188" t="s">
        <v>1697</v>
      </c>
      <c r="P188" t="s">
        <v>1493</v>
      </c>
      <c r="Q188">
        <v>1</v>
      </c>
      <c r="R188">
        <v>1</v>
      </c>
      <c r="S188" t="b">
        <f t="shared" si="2"/>
        <v>1</v>
      </c>
    </row>
    <row r="189" spans="1:19" hidden="1" x14ac:dyDescent="0.25">
      <c r="A189" t="s">
        <v>1689</v>
      </c>
      <c r="B189" t="s">
        <v>1690</v>
      </c>
      <c r="C189" t="s">
        <v>1914</v>
      </c>
      <c r="D189" t="s">
        <v>1929</v>
      </c>
      <c r="E189" t="s">
        <v>1930</v>
      </c>
      <c r="F189" t="s">
        <v>1930</v>
      </c>
      <c r="G189" t="s">
        <v>1930</v>
      </c>
      <c r="H189" t="s">
        <v>1930</v>
      </c>
      <c r="I189" t="s">
        <v>1930</v>
      </c>
      <c r="J189" t="s">
        <v>1930</v>
      </c>
      <c r="K189" t="s">
        <v>1930</v>
      </c>
      <c r="L189" t="s">
        <v>1930</v>
      </c>
      <c r="M189" t="s">
        <v>1930</v>
      </c>
      <c r="N189" t="s">
        <v>1696</v>
      </c>
      <c r="O189" t="s">
        <v>1697</v>
      </c>
      <c r="P189" t="s">
        <v>1493</v>
      </c>
      <c r="Q189">
        <v>1</v>
      </c>
      <c r="R189">
        <v>1</v>
      </c>
      <c r="S189" t="b">
        <f t="shared" si="2"/>
        <v>1</v>
      </c>
    </row>
    <row r="190" spans="1:19" hidden="1" x14ac:dyDescent="0.25">
      <c r="A190" t="s">
        <v>1689</v>
      </c>
      <c r="B190" t="s">
        <v>1690</v>
      </c>
      <c r="C190" t="s">
        <v>1914</v>
      </c>
      <c r="D190" t="s">
        <v>1929</v>
      </c>
      <c r="E190" t="s">
        <v>1931</v>
      </c>
      <c r="F190" t="s">
        <v>1931</v>
      </c>
      <c r="G190" t="s">
        <v>1931</v>
      </c>
      <c r="H190" t="s">
        <v>1931</v>
      </c>
      <c r="I190" t="s">
        <v>1931</v>
      </c>
      <c r="J190" t="s">
        <v>1931</v>
      </c>
      <c r="K190" t="s">
        <v>1931</v>
      </c>
      <c r="L190" t="s">
        <v>1931</v>
      </c>
      <c r="M190" t="s">
        <v>1931</v>
      </c>
      <c r="N190" t="s">
        <v>1696</v>
      </c>
      <c r="O190" t="s">
        <v>1697</v>
      </c>
      <c r="P190" t="s">
        <v>1493</v>
      </c>
      <c r="Q190">
        <v>1</v>
      </c>
      <c r="R190">
        <v>1</v>
      </c>
      <c r="S190" t="b">
        <f t="shared" si="2"/>
        <v>1</v>
      </c>
    </row>
    <row r="191" spans="1:19" hidden="1" x14ac:dyDescent="0.25">
      <c r="A191" t="s">
        <v>1689</v>
      </c>
      <c r="B191" t="s">
        <v>1690</v>
      </c>
      <c r="C191" t="s">
        <v>1914</v>
      </c>
      <c r="D191" t="s">
        <v>1929</v>
      </c>
      <c r="E191" t="s">
        <v>1932</v>
      </c>
      <c r="F191" t="s">
        <v>1932</v>
      </c>
      <c r="G191" t="s">
        <v>1932</v>
      </c>
      <c r="H191" t="s">
        <v>1932</v>
      </c>
      <c r="I191" t="s">
        <v>1932</v>
      </c>
      <c r="J191" t="s">
        <v>1932</v>
      </c>
      <c r="K191" t="s">
        <v>1932</v>
      </c>
      <c r="L191" t="s">
        <v>1932</v>
      </c>
      <c r="M191" t="s">
        <v>1932</v>
      </c>
      <c r="N191" t="s">
        <v>1696</v>
      </c>
      <c r="O191" t="s">
        <v>1697</v>
      </c>
      <c r="P191" t="s">
        <v>1493</v>
      </c>
      <c r="Q191">
        <v>1</v>
      </c>
      <c r="R191">
        <v>1</v>
      </c>
      <c r="S191" t="b">
        <f t="shared" si="2"/>
        <v>1</v>
      </c>
    </row>
    <row r="192" spans="1:19" hidden="1" x14ac:dyDescent="0.25">
      <c r="A192" t="s">
        <v>1689</v>
      </c>
      <c r="B192" t="s">
        <v>1690</v>
      </c>
      <c r="C192" t="s">
        <v>1914</v>
      </c>
      <c r="D192" t="s">
        <v>1929</v>
      </c>
      <c r="E192" t="s">
        <v>1933</v>
      </c>
      <c r="F192" t="s">
        <v>1933</v>
      </c>
      <c r="G192" t="s">
        <v>1933</v>
      </c>
      <c r="H192" t="s">
        <v>1933</v>
      </c>
      <c r="I192" t="s">
        <v>1933</v>
      </c>
      <c r="J192" t="s">
        <v>1933</v>
      </c>
      <c r="K192" t="s">
        <v>1933</v>
      </c>
      <c r="L192" t="s">
        <v>1933</v>
      </c>
      <c r="M192" t="s">
        <v>1933</v>
      </c>
      <c r="N192" t="s">
        <v>1696</v>
      </c>
      <c r="O192" t="s">
        <v>1697</v>
      </c>
      <c r="P192" t="s">
        <v>1493</v>
      </c>
      <c r="Q192">
        <v>1</v>
      </c>
      <c r="R192">
        <v>1</v>
      </c>
      <c r="S192" t="b">
        <f t="shared" si="2"/>
        <v>1</v>
      </c>
    </row>
    <row r="193" spans="1:19" hidden="1" x14ac:dyDescent="0.25">
      <c r="A193" t="s">
        <v>1689</v>
      </c>
      <c r="B193" t="s">
        <v>1690</v>
      </c>
      <c r="C193" t="s">
        <v>1914</v>
      </c>
      <c r="D193" t="s">
        <v>1934</v>
      </c>
      <c r="E193" t="s">
        <v>1935</v>
      </c>
      <c r="F193" t="s">
        <v>1935</v>
      </c>
      <c r="G193" t="s">
        <v>1935</v>
      </c>
      <c r="H193" t="s">
        <v>1935</v>
      </c>
      <c r="I193" t="s">
        <v>1935</v>
      </c>
      <c r="J193" t="s">
        <v>1935</v>
      </c>
      <c r="K193" t="s">
        <v>1935</v>
      </c>
      <c r="L193" t="s">
        <v>1935</v>
      </c>
      <c r="M193" t="s">
        <v>1935</v>
      </c>
      <c r="N193" t="s">
        <v>1696</v>
      </c>
      <c r="O193" t="s">
        <v>1697</v>
      </c>
      <c r="P193" t="s">
        <v>1493</v>
      </c>
      <c r="Q193">
        <v>1</v>
      </c>
      <c r="R193">
        <v>1</v>
      </c>
      <c r="S193" t="b">
        <f t="shared" si="2"/>
        <v>1</v>
      </c>
    </row>
    <row r="194" spans="1:19" hidden="1" x14ac:dyDescent="0.25">
      <c r="A194" t="s">
        <v>1689</v>
      </c>
      <c r="B194" t="s">
        <v>1690</v>
      </c>
      <c r="C194" t="s">
        <v>1914</v>
      </c>
      <c r="D194" t="s">
        <v>1934</v>
      </c>
      <c r="E194" t="s">
        <v>1936</v>
      </c>
      <c r="F194" t="s">
        <v>1936</v>
      </c>
      <c r="G194" t="s">
        <v>1936</v>
      </c>
      <c r="H194" t="s">
        <v>1936</v>
      </c>
      <c r="I194" t="s">
        <v>1936</v>
      </c>
      <c r="J194" t="s">
        <v>1936</v>
      </c>
      <c r="K194" t="s">
        <v>1936</v>
      </c>
      <c r="L194" t="s">
        <v>1936</v>
      </c>
      <c r="M194" t="s">
        <v>1936</v>
      </c>
      <c r="N194" t="s">
        <v>1696</v>
      </c>
      <c r="O194" t="s">
        <v>1697</v>
      </c>
      <c r="P194" t="s">
        <v>1493</v>
      </c>
      <c r="Q194">
        <v>1</v>
      </c>
      <c r="R194">
        <v>1</v>
      </c>
      <c r="S194" t="b">
        <f t="shared" si="2"/>
        <v>1</v>
      </c>
    </row>
    <row r="195" spans="1:19" hidden="1" x14ac:dyDescent="0.25">
      <c r="A195" t="s">
        <v>1689</v>
      </c>
      <c r="B195" t="s">
        <v>1690</v>
      </c>
      <c r="C195" t="s">
        <v>1914</v>
      </c>
      <c r="D195" t="s">
        <v>1934</v>
      </c>
      <c r="E195" t="s">
        <v>1937</v>
      </c>
      <c r="F195" t="s">
        <v>1937</v>
      </c>
      <c r="G195" t="s">
        <v>1937</v>
      </c>
      <c r="H195" t="s">
        <v>1937</v>
      </c>
      <c r="I195" t="s">
        <v>1937</v>
      </c>
      <c r="J195" t="s">
        <v>1937</v>
      </c>
      <c r="K195" t="s">
        <v>1937</v>
      </c>
      <c r="L195" t="s">
        <v>1937</v>
      </c>
      <c r="M195" t="s">
        <v>1937</v>
      </c>
      <c r="N195" t="s">
        <v>1696</v>
      </c>
      <c r="O195" t="s">
        <v>1697</v>
      </c>
      <c r="P195" t="s">
        <v>1493</v>
      </c>
      <c r="Q195">
        <v>1</v>
      </c>
      <c r="R195">
        <v>1</v>
      </c>
      <c r="S195" t="b">
        <f t="shared" ref="S195:S258" si="3">H195=M195</f>
        <v>1</v>
      </c>
    </row>
    <row r="196" spans="1:19" hidden="1" x14ac:dyDescent="0.25">
      <c r="A196" t="s">
        <v>1689</v>
      </c>
      <c r="B196" t="s">
        <v>1690</v>
      </c>
      <c r="C196" t="s">
        <v>1914</v>
      </c>
      <c r="D196" t="s">
        <v>1934</v>
      </c>
      <c r="E196" t="s">
        <v>1938</v>
      </c>
      <c r="F196" t="s">
        <v>1938</v>
      </c>
      <c r="G196" t="s">
        <v>1938</v>
      </c>
      <c r="H196" t="s">
        <v>1938</v>
      </c>
      <c r="I196" t="s">
        <v>1938</v>
      </c>
      <c r="J196" t="s">
        <v>1938</v>
      </c>
      <c r="K196" t="s">
        <v>1938</v>
      </c>
      <c r="L196" t="s">
        <v>1938</v>
      </c>
      <c r="M196" t="s">
        <v>1938</v>
      </c>
      <c r="N196" t="s">
        <v>1696</v>
      </c>
      <c r="O196" t="s">
        <v>1697</v>
      </c>
      <c r="P196" t="s">
        <v>1493</v>
      </c>
      <c r="Q196">
        <v>1</v>
      </c>
      <c r="R196">
        <v>1</v>
      </c>
      <c r="S196" t="b">
        <f t="shared" si="3"/>
        <v>1</v>
      </c>
    </row>
    <row r="197" spans="1:19" hidden="1" x14ac:dyDescent="0.25">
      <c r="A197" t="s">
        <v>1689</v>
      </c>
      <c r="B197" t="s">
        <v>1690</v>
      </c>
      <c r="C197" t="s">
        <v>1914</v>
      </c>
      <c r="D197" t="s">
        <v>1934</v>
      </c>
      <c r="E197" t="s">
        <v>1939</v>
      </c>
      <c r="F197" t="s">
        <v>1939</v>
      </c>
      <c r="G197" t="s">
        <v>1939</v>
      </c>
      <c r="H197" t="s">
        <v>1939</v>
      </c>
      <c r="I197" t="s">
        <v>1939</v>
      </c>
      <c r="J197" t="s">
        <v>1939</v>
      </c>
      <c r="K197" t="s">
        <v>1939</v>
      </c>
      <c r="L197" t="s">
        <v>1939</v>
      </c>
      <c r="M197" t="s">
        <v>1939</v>
      </c>
      <c r="N197" t="s">
        <v>1696</v>
      </c>
      <c r="O197" t="s">
        <v>1697</v>
      </c>
      <c r="P197" t="s">
        <v>1493</v>
      </c>
      <c r="Q197">
        <v>1</v>
      </c>
      <c r="R197">
        <v>1</v>
      </c>
      <c r="S197" t="b">
        <f t="shared" si="3"/>
        <v>1</v>
      </c>
    </row>
    <row r="198" spans="1:19" hidden="1" x14ac:dyDescent="0.25">
      <c r="A198" t="s">
        <v>1689</v>
      </c>
      <c r="B198" t="s">
        <v>1690</v>
      </c>
      <c r="C198" t="s">
        <v>1914</v>
      </c>
      <c r="D198" t="s">
        <v>1940</v>
      </c>
      <c r="E198" t="s">
        <v>1941</v>
      </c>
      <c r="F198" t="s">
        <v>1941</v>
      </c>
      <c r="G198" t="s">
        <v>1941</v>
      </c>
      <c r="H198" t="s">
        <v>1941</v>
      </c>
      <c r="I198" t="s">
        <v>1941</v>
      </c>
      <c r="J198" t="s">
        <v>1941</v>
      </c>
      <c r="K198" t="s">
        <v>1941</v>
      </c>
      <c r="L198" t="s">
        <v>1941</v>
      </c>
      <c r="M198" t="s">
        <v>1941</v>
      </c>
      <c r="N198" t="s">
        <v>1696</v>
      </c>
      <c r="O198" t="s">
        <v>1697</v>
      </c>
      <c r="P198" t="s">
        <v>1493</v>
      </c>
      <c r="Q198">
        <v>1</v>
      </c>
      <c r="R198">
        <v>1</v>
      </c>
      <c r="S198" t="b">
        <f t="shared" si="3"/>
        <v>1</v>
      </c>
    </row>
    <row r="199" spans="1:19" hidden="1" x14ac:dyDescent="0.25">
      <c r="A199" t="s">
        <v>1689</v>
      </c>
      <c r="B199" t="s">
        <v>1690</v>
      </c>
      <c r="C199" t="s">
        <v>1914</v>
      </c>
      <c r="D199" t="s">
        <v>1940</v>
      </c>
      <c r="E199" t="s">
        <v>1942</v>
      </c>
      <c r="F199" t="s">
        <v>1942</v>
      </c>
      <c r="G199" t="s">
        <v>1942</v>
      </c>
      <c r="H199" t="s">
        <v>1942</v>
      </c>
      <c r="I199" t="s">
        <v>1942</v>
      </c>
      <c r="J199" t="s">
        <v>1942</v>
      </c>
      <c r="K199" t="s">
        <v>1942</v>
      </c>
      <c r="L199" t="s">
        <v>1942</v>
      </c>
      <c r="M199" t="s">
        <v>1942</v>
      </c>
      <c r="N199" t="s">
        <v>1696</v>
      </c>
      <c r="O199" t="s">
        <v>1697</v>
      </c>
      <c r="P199" t="s">
        <v>1493</v>
      </c>
      <c r="Q199">
        <v>1</v>
      </c>
      <c r="R199">
        <v>1</v>
      </c>
      <c r="S199" t="b">
        <f t="shared" si="3"/>
        <v>1</v>
      </c>
    </row>
    <row r="200" spans="1:19" hidden="1" x14ac:dyDescent="0.25">
      <c r="A200" t="s">
        <v>1689</v>
      </c>
      <c r="B200" t="s">
        <v>1690</v>
      </c>
      <c r="C200" t="s">
        <v>1914</v>
      </c>
      <c r="D200" t="s">
        <v>1940</v>
      </c>
      <c r="E200" t="s">
        <v>1943</v>
      </c>
      <c r="F200" t="s">
        <v>1943</v>
      </c>
      <c r="G200" t="s">
        <v>1943</v>
      </c>
      <c r="H200" t="s">
        <v>1943</v>
      </c>
      <c r="I200" t="s">
        <v>1943</v>
      </c>
      <c r="J200" t="s">
        <v>1943</v>
      </c>
      <c r="K200" t="s">
        <v>1943</v>
      </c>
      <c r="L200" t="s">
        <v>1943</v>
      </c>
      <c r="M200" t="s">
        <v>1943</v>
      </c>
      <c r="N200" t="s">
        <v>1696</v>
      </c>
      <c r="O200" t="s">
        <v>1697</v>
      </c>
      <c r="P200" t="s">
        <v>1493</v>
      </c>
      <c r="Q200">
        <v>1</v>
      </c>
      <c r="R200">
        <v>1</v>
      </c>
      <c r="S200" t="b">
        <f t="shared" si="3"/>
        <v>1</v>
      </c>
    </row>
    <row r="201" spans="1:19" hidden="1" x14ac:dyDescent="0.25">
      <c r="A201" t="s">
        <v>1689</v>
      </c>
      <c r="B201" t="s">
        <v>1690</v>
      </c>
      <c r="C201" t="s">
        <v>1914</v>
      </c>
      <c r="D201" t="s">
        <v>1940</v>
      </c>
      <c r="E201" t="s">
        <v>1944</v>
      </c>
      <c r="F201" t="s">
        <v>1944</v>
      </c>
      <c r="G201" t="s">
        <v>1944</v>
      </c>
      <c r="H201" t="s">
        <v>1944</v>
      </c>
      <c r="I201" t="s">
        <v>1944</v>
      </c>
      <c r="J201" t="s">
        <v>1944</v>
      </c>
      <c r="K201" t="s">
        <v>1944</v>
      </c>
      <c r="L201" t="s">
        <v>1944</v>
      </c>
      <c r="M201" t="s">
        <v>1944</v>
      </c>
      <c r="N201" t="s">
        <v>1696</v>
      </c>
      <c r="O201" t="s">
        <v>1697</v>
      </c>
      <c r="P201" t="s">
        <v>1493</v>
      </c>
      <c r="Q201">
        <v>1</v>
      </c>
      <c r="R201">
        <v>1</v>
      </c>
      <c r="S201" t="b">
        <f t="shared" si="3"/>
        <v>1</v>
      </c>
    </row>
    <row r="202" spans="1:19" hidden="1" x14ac:dyDescent="0.25">
      <c r="A202" t="s">
        <v>1689</v>
      </c>
      <c r="B202" t="s">
        <v>1690</v>
      </c>
      <c r="C202" t="s">
        <v>1914</v>
      </c>
      <c r="D202" t="s">
        <v>1945</v>
      </c>
      <c r="E202" t="s">
        <v>1946</v>
      </c>
      <c r="F202" t="s">
        <v>1946</v>
      </c>
      <c r="G202" t="s">
        <v>1946</v>
      </c>
      <c r="H202" t="s">
        <v>1946</v>
      </c>
      <c r="I202" t="s">
        <v>1946</v>
      </c>
      <c r="J202" t="s">
        <v>1946</v>
      </c>
      <c r="K202" t="s">
        <v>1946</v>
      </c>
      <c r="L202" t="s">
        <v>1946</v>
      </c>
      <c r="M202" t="s">
        <v>1946</v>
      </c>
      <c r="N202" t="s">
        <v>1696</v>
      </c>
      <c r="O202" t="s">
        <v>1697</v>
      </c>
      <c r="P202" t="s">
        <v>1493</v>
      </c>
      <c r="Q202">
        <v>1</v>
      </c>
      <c r="R202">
        <v>1</v>
      </c>
      <c r="S202" t="b">
        <f t="shared" si="3"/>
        <v>1</v>
      </c>
    </row>
    <row r="203" spans="1:19" hidden="1" x14ac:dyDescent="0.25">
      <c r="A203" t="s">
        <v>1689</v>
      </c>
      <c r="B203" t="s">
        <v>1690</v>
      </c>
      <c r="C203" t="s">
        <v>1914</v>
      </c>
      <c r="D203" t="s">
        <v>1945</v>
      </c>
      <c r="E203" t="s">
        <v>1947</v>
      </c>
      <c r="F203" t="s">
        <v>1947</v>
      </c>
      <c r="G203" t="s">
        <v>1947</v>
      </c>
      <c r="H203" t="s">
        <v>1947</v>
      </c>
      <c r="I203" t="s">
        <v>1947</v>
      </c>
      <c r="J203" t="s">
        <v>1947</v>
      </c>
      <c r="K203" t="s">
        <v>1947</v>
      </c>
      <c r="L203" t="s">
        <v>1947</v>
      </c>
      <c r="M203" t="s">
        <v>1947</v>
      </c>
      <c r="N203" t="s">
        <v>1696</v>
      </c>
      <c r="O203" t="s">
        <v>1697</v>
      </c>
      <c r="P203" t="s">
        <v>1493</v>
      </c>
      <c r="Q203">
        <v>1</v>
      </c>
      <c r="R203">
        <v>1</v>
      </c>
      <c r="S203" t="b">
        <f t="shared" si="3"/>
        <v>1</v>
      </c>
    </row>
    <row r="204" spans="1:19" hidden="1" x14ac:dyDescent="0.25">
      <c r="A204" t="s">
        <v>1689</v>
      </c>
      <c r="B204" t="s">
        <v>1690</v>
      </c>
      <c r="C204" t="s">
        <v>1691</v>
      </c>
      <c r="D204" t="s">
        <v>1692</v>
      </c>
      <c r="E204" t="s">
        <v>1948</v>
      </c>
      <c r="F204" t="s">
        <v>1948</v>
      </c>
      <c r="G204" t="s">
        <v>1948</v>
      </c>
      <c r="H204" t="s">
        <v>1948</v>
      </c>
      <c r="I204" t="s">
        <v>1948</v>
      </c>
      <c r="J204" t="s">
        <v>1948</v>
      </c>
      <c r="K204" t="s">
        <v>1948</v>
      </c>
      <c r="L204" t="s">
        <v>1948</v>
      </c>
      <c r="M204" t="s">
        <v>1948</v>
      </c>
      <c r="N204" t="s">
        <v>1696</v>
      </c>
      <c r="O204" t="s">
        <v>1697</v>
      </c>
      <c r="P204" t="s">
        <v>1493</v>
      </c>
      <c r="Q204">
        <v>1</v>
      </c>
      <c r="R204">
        <v>1</v>
      </c>
      <c r="S204" t="b">
        <f t="shared" si="3"/>
        <v>1</v>
      </c>
    </row>
    <row r="205" spans="1:19" hidden="1" x14ac:dyDescent="0.25">
      <c r="A205" t="s">
        <v>1689</v>
      </c>
      <c r="B205" t="s">
        <v>1690</v>
      </c>
      <c r="C205" t="s">
        <v>1691</v>
      </c>
      <c r="D205" t="s">
        <v>1692</v>
      </c>
      <c r="E205" t="s">
        <v>1949</v>
      </c>
      <c r="F205" t="s">
        <v>1949</v>
      </c>
      <c r="G205" t="s">
        <v>1949</v>
      </c>
      <c r="H205" t="s">
        <v>1949</v>
      </c>
      <c r="I205" t="s">
        <v>1949</v>
      </c>
      <c r="J205" t="s">
        <v>1949</v>
      </c>
      <c r="K205" t="s">
        <v>1949</v>
      </c>
      <c r="L205" t="s">
        <v>1949</v>
      </c>
      <c r="M205" t="s">
        <v>1949</v>
      </c>
      <c r="N205" t="s">
        <v>1696</v>
      </c>
      <c r="O205" t="s">
        <v>1697</v>
      </c>
      <c r="P205" t="s">
        <v>1493</v>
      </c>
      <c r="Q205">
        <v>1</v>
      </c>
      <c r="R205">
        <v>1</v>
      </c>
      <c r="S205" t="b">
        <f t="shared" si="3"/>
        <v>1</v>
      </c>
    </row>
    <row r="206" spans="1:19" hidden="1" x14ac:dyDescent="0.25">
      <c r="A206" t="s">
        <v>1689</v>
      </c>
      <c r="B206" t="s">
        <v>1690</v>
      </c>
      <c r="C206" t="s">
        <v>1691</v>
      </c>
      <c r="D206" t="s">
        <v>1692</v>
      </c>
      <c r="E206" t="s">
        <v>1950</v>
      </c>
      <c r="F206" t="s">
        <v>1950</v>
      </c>
      <c r="G206" t="s">
        <v>1950</v>
      </c>
      <c r="H206" t="s">
        <v>1950</v>
      </c>
      <c r="I206" t="s">
        <v>1950</v>
      </c>
      <c r="J206" t="s">
        <v>1950</v>
      </c>
      <c r="K206" t="s">
        <v>1950</v>
      </c>
      <c r="L206" t="s">
        <v>1950</v>
      </c>
      <c r="M206" t="s">
        <v>1950</v>
      </c>
      <c r="N206" t="s">
        <v>1696</v>
      </c>
      <c r="O206" t="s">
        <v>1697</v>
      </c>
      <c r="P206" t="s">
        <v>1493</v>
      </c>
      <c r="Q206">
        <v>1</v>
      </c>
      <c r="R206">
        <v>1</v>
      </c>
      <c r="S206" t="b">
        <f t="shared" si="3"/>
        <v>1</v>
      </c>
    </row>
    <row r="207" spans="1:19" hidden="1" x14ac:dyDescent="0.25">
      <c r="A207" t="s">
        <v>1689</v>
      </c>
      <c r="B207" t="s">
        <v>1690</v>
      </c>
      <c r="C207" t="s">
        <v>1691</v>
      </c>
      <c r="D207" t="s">
        <v>1692</v>
      </c>
      <c r="E207" t="s">
        <v>1951</v>
      </c>
      <c r="F207" t="s">
        <v>1951</v>
      </c>
      <c r="G207" t="s">
        <v>1951</v>
      </c>
      <c r="H207" t="s">
        <v>1951</v>
      </c>
      <c r="I207" t="s">
        <v>1951</v>
      </c>
      <c r="J207" t="s">
        <v>1951</v>
      </c>
      <c r="K207" t="s">
        <v>1951</v>
      </c>
      <c r="L207" t="s">
        <v>1951</v>
      </c>
      <c r="M207" t="s">
        <v>1951</v>
      </c>
      <c r="N207" t="s">
        <v>1696</v>
      </c>
      <c r="O207" t="s">
        <v>1697</v>
      </c>
      <c r="P207" t="s">
        <v>1493</v>
      </c>
      <c r="Q207">
        <v>1</v>
      </c>
      <c r="R207">
        <v>1</v>
      </c>
      <c r="S207" t="b">
        <f t="shared" si="3"/>
        <v>1</v>
      </c>
    </row>
    <row r="208" spans="1:19" hidden="1" x14ac:dyDescent="0.25">
      <c r="A208" t="s">
        <v>1689</v>
      </c>
      <c r="B208" t="s">
        <v>1690</v>
      </c>
      <c r="C208" t="s">
        <v>1691</v>
      </c>
      <c r="D208" t="s">
        <v>1692</v>
      </c>
      <c r="E208" t="s">
        <v>1952</v>
      </c>
      <c r="F208" t="s">
        <v>1952</v>
      </c>
      <c r="G208" t="s">
        <v>1952</v>
      </c>
      <c r="H208" t="s">
        <v>1952</v>
      </c>
      <c r="I208" t="s">
        <v>1952</v>
      </c>
      <c r="J208" t="s">
        <v>1952</v>
      </c>
      <c r="K208" t="s">
        <v>1952</v>
      </c>
      <c r="L208" t="s">
        <v>1952</v>
      </c>
      <c r="M208" t="s">
        <v>1952</v>
      </c>
      <c r="N208" t="s">
        <v>1696</v>
      </c>
      <c r="O208" t="s">
        <v>1697</v>
      </c>
      <c r="P208" t="s">
        <v>1493</v>
      </c>
      <c r="Q208">
        <v>1</v>
      </c>
      <c r="R208">
        <v>1</v>
      </c>
      <c r="S208" t="b">
        <f t="shared" si="3"/>
        <v>1</v>
      </c>
    </row>
    <row r="209" spans="1:19" hidden="1" x14ac:dyDescent="0.25">
      <c r="A209" t="s">
        <v>1689</v>
      </c>
      <c r="B209" t="s">
        <v>1690</v>
      </c>
      <c r="C209" t="s">
        <v>1691</v>
      </c>
      <c r="D209" t="s">
        <v>1692</v>
      </c>
      <c r="E209" t="s">
        <v>1693</v>
      </c>
      <c r="F209" t="s">
        <v>1693</v>
      </c>
      <c r="G209" t="s">
        <v>1693</v>
      </c>
      <c r="H209" t="s">
        <v>1693</v>
      </c>
      <c r="I209" t="s">
        <v>1693</v>
      </c>
      <c r="J209" t="s">
        <v>1693</v>
      </c>
      <c r="K209" t="s">
        <v>1693</v>
      </c>
      <c r="L209" t="s">
        <v>1693</v>
      </c>
      <c r="M209" t="s">
        <v>1693</v>
      </c>
      <c r="N209" t="s">
        <v>1696</v>
      </c>
      <c r="O209" t="s">
        <v>1697</v>
      </c>
      <c r="P209" t="s">
        <v>1493</v>
      </c>
      <c r="Q209">
        <v>1</v>
      </c>
      <c r="R209">
        <v>1</v>
      </c>
      <c r="S209" t="b">
        <f t="shared" si="3"/>
        <v>1</v>
      </c>
    </row>
    <row r="210" spans="1:19" hidden="1" x14ac:dyDescent="0.25">
      <c r="A210" t="s">
        <v>1689</v>
      </c>
      <c r="B210" t="s">
        <v>1690</v>
      </c>
      <c r="C210" t="s">
        <v>1691</v>
      </c>
      <c r="D210" t="s">
        <v>1692</v>
      </c>
      <c r="E210" t="s">
        <v>1953</v>
      </c>
      <c r="F210" t="s">
        <v>1953</v>
      </c>
      <c r="G210" t="s">
        <v>1953</v>
      </c>
      <c r="H210" t="s">
        <v>1953</v>
      </c>
      <c r="I210" t="s">
        <v>1953</v>
      </c>
      <c r="J210" t="s">
        <v>1953</v>
      </c>
      <c r="K210" t="s">
        <v>1953</v>
      </c>
      <c r="L210" t="s">
        <v>1953</v>
      </c>
      <c r="M210" t="s">
        <v>1953</v>
      </c>
      <c r="N210" t="s">
        <v>1696</v>
      </c>
      <c r="O210" t="s">
        <v>1697</v>
      </c>
      <c r="P210" t="s">
        <v>1493</v>
      </c>
      <c r="Q210">
        <v>1</v>
      </c>
      <c r="R210">
        <v>1</v>
      </c>
      <c r="S210" t="b">
        <f t="shared" si="3"/>
        <v>1</v>
      </c>
    </row>
    <row r="211" spans="1:19" hidden="1" x14ac:dyDescent="0.25">
      <c r="A211" t="s">
        <v>1689</v>
      </c>
      <c r="B211" t="s">
        <v>1690</v>
      </c>
      <c r="C211" t="s">
        <v>1691</v>
      </c>
      <c r="D211" t="s">
        <v>1692</v>
      </c>
      <c r="E211" t="s">
        <v>1954</v>
      </c>
      <c r="F211" t="s">
        <v>1954</v>
      </c>
      <c r="G211" t="s">
        <v>1954</v>
      </c>
      <c r="H211" t="s">
        <v>1954</v>
      </c>
      <c r="I211" t="s">
        <v>1954</v>
      </c>
      <c r="J211" t="s">
        <v>1954</v>
      </c>
      <c r="K211" t="s">
        <v>1954</v>
      </c>
      <c r="L211" t="s">
        <v>1954</v>
      </c>
      <c r="M211" t="s">
        <v>1954</v>
      </c>
      <c r="N211" t="s">
        <v>1696</v>
      </c>
      <c r="O211" t="s">
        <v>1697</v>
      </c>
      <c r="P211" t="s">
        <v>1493</v>
      </c>
      <c r="Q211">
        <v>1</v>
      </c>
      <c r="R211">
        <v>1</v>
      </c>
      <c r="S211" t="b">
        <f t="shared" si="3"/>
        <v>1</v>
      </c>
    </row>
    <row r="212" spans="1:19" hidden="1" x14ac:dyDescent="0.25">
      <c r="A212" t="s">
        <v>1689</v>
      </c>
      <c r="B212" t="s">
        <v>1690</v>
      </c>
      <c r="C212" t="s">
        <v>1691</v>
      </c>
      <c r="D212" t="s">
        <v>1692</v>
      </c>
      <c r="E212" t="s">
        <v>1955</v>
      </c>
      <c r="F212" t="s">
        <v>1955</v>
      </c>
      <c r="G212" t="s">
        <v>1955</v>
      </c>
      <c r="H212" t="s">
        <v>1955</v>
      </c>
      <c r="I212" t="s">
        <v>1955</v>
      </c>
      <c r="J212" t="s">
        <v>1955</v>
      </c>
      <c r="K212" t="s">
        <v>1955</v>
      </c>
      <c r="L212" t="s">
        <v>1955</v>
      </c>
      <c r="M212" t="s">
        <v>1955</v>
      </c>
      <c r="N212" t="s">
        <v>1696</v>
      </c>
      <c r="O212" t="s">
        <v>1697</v>
      </c>
      <c r="P212" t="s">
        <v>1493</v>
      </c>
      <c r="Q212">
        <v>1</v>
      </c>
      <c r="R212">
        <v>1</v>
      </c>
      <c r="S212" t="b">
        <f t="shared" si="3"/>
        <v>1</v>
      </c>
    </row>
    <row r="213" spans="1:19" hidden="1" x14ac:dyDescent="0.25">
      <c r="A213" t="s">
        <v>1689</v>
      </c>
      <c r="B213" t="s">
        <v>1690</v>
      </c>
      <c r="C213" t="s">
        <v>1691</v>
      </c>
      <c r="D213" t="s">
        <v>1692</v>
      </c>
      <c r="E213" t="s">
        <v>1956</v>
      </c>
      <c r="F213" t="s">
        <v>1956</v>
      </c>
      <c r="G213" t="s">
        <v>1956</v>
      </c>
      <c r="H213" t="s">
        <v>1956</v>
      </c>
      <c r="I213" t="s">
        <v>1956</v>
      </c>
      <c r="J213" t="s">
        <v>1956</v>
      </c>
      <c r="K213" t="s">
        <v>1956</v>
      </c>
      <c r="L213" t="s">
        <v>1956</v>
      </c>
      <c r="M213" t="s">
        <v>1956</v>
      </c>
      <c r="N213" t="s">
        <v>1696</v>
      </c>
      <c r="O213" t="s">
        <v>1697</v>
      </c>
      <c r="P213" t="s">
        <v>1493</v>
      </c>
      <c r="Q213">
        <v>1</v>
      </c>
      <c r="R213">
        <v>1</v>
      </c>
      <c r="S213" t="b">
        <f t="shared" si="3"/>
        <v>1</v>
      </c>
    </row>
    <row r="214" spans="1:19" hidden="1" x14ac:dyDescent="0.25">
      <c r="A214" t="s">
        <v>1689</v>
      </c>
      <c r="B214" t="s">
        <v>1690</v>
      </c>
      <c r="C214" t="s">
        <v>1691</v>
      </c>
      <c r="D214" t="s">
        <v>1692</v>
      </c>
      <c r="E214" t="s">
        <v>1957</v>
      </c>
      <c r="F214" t="s">
        <v>1957</v>
      </c>
      <c r="G214" t="s">
        <v>1957</v>
      </c>
      <c r="H214" t="s">
        <v>1957</v>
      </c>
      <c r="I214" t="s">
        <v>1957</v>
      </c>
      <c r="J214" t="s">
        <v>1957</v>
      </c>
      <c r="K214" t="s">
        <v>1957</v>
      </c>
      <c r="L214" t="s">
        <v>1957</v>
      </c>
      <c r="M214" t="s">
        <v>1957</v>
      </c>
      <c r="N214" t="s">
        <v>1696</v>
      </c>
      <c r="O214" t="s">
        <v>1697</v>
      </c>
      <c r="P214" t="s">
        <v>1493</v>
      </c>
      <c r="Q214">
        <v>1</v>
      </c>
      <c r="R214">
        <v>1</v>
      </c>
      <c r="S214" t="b">
        <f t="shared" si="3"/>
        <v>1</v>
      </c>
    </row>
    <row r="215" spans="1:19" hidden="1" x14ac:dyDescent="0.25">
      <c r="A215" t="s">
        <v>1689</v>
      </c>
      <c r="B215" t="s">
        <v>1690</v>
      </c>
      <c r="C215" t="s">
        <v>1691</v>
      </c>
      <c r="D215" t="s">
        <v>1958</v>
      </c>
      <c r="E215" t="s">
        <v>1959</v>
      </c>
      <c r="F215" t="s">
        <v>1959</v>
      </c>
      <c r="G215" t="s">
        <v>1959</v>
      </c>
      <c r="H215" t="s">
        <v>1959</v>
      </c>
      <c r="I215" t="s">
        <v>1959</v>
      </c>
      <c r="J215" t="s">
        <v>1959</v>
      </c>
      <c r="K215" t="s">
        <v>1959</v>
      </c>
      <c r="L215" t="s">
        <v>1959</v>
      </c>
      <c r="M215" t="s">
        <v>1959</v>
      </c>
      <c r="N215" t="s">
        <v>1696</v>
      </c>
      <c r="O215" t="s">
        <v>1697</v>
      </c>
      <c r="P215" t="s">
        <v>1493</v>
      </c>
      <c r="Q215">
        <v>1</v>
      </c>
      <c r="R215">
        <v>1</v>
      </c>
      <c r="S215" t="b">
        <f t="shared" si="3"/>
        <v>1</v>
      </c>
    </row>
    <row r="216" spans="1:19" hidden="1" x14ac:dyDescent="0.25">
      <c r="A216" t="s">
        <v>1689</v>
      </c>
      <c r="B216" t="s">
        <v>1690</v>
      </c>
      <c r="C216" t="s">
        <v>1691</v>
      </c>
      <c r="D216" t="s">
        <v>1958</v>
      </c>
      <c r="E216" t="s">
        <v>1960</v>
      </c>
      <c r="F216" t="s">
        <v>1960</v>
      </c>
      <c r="G216" t="s">
        <v>1960</v>
      </c>
      <c r="H216" t="s">
        <v>1960</v>
      </c>
      <c r="I216" t="s">
        <v>1960</v>
      </c>
      <c r="J216" t="s">
        <v>1960</v>
      </c>
      <c r="K216" t="s">
        <v>1960</v>
      </c>
      <c r="L216" t="s">
        <v>1960</v>
      </c>
      <c r="M216" t="s">
        <v>1960</v>
      </c>
      <c r="N216" t="s">
        <v>1696</v>
      </c>
      <c r="O216" t="s">
        <v>1697</v>
      </c>
      <c r="P216" t="s">
        <v>1493</v>
      </c>
      <c r="Q216">
        <v>1</v>
      </c>
      <c r="R216">
        <v>1</v>
      </c>
      <c r="S216" t="b">
        <f t="shared" si="3"/>
        <v>1</v>
      </c>
    </row>
    <row r="217" spans="1:19" hidden="1" x14ac:dyDescent="0.25">
      <c r="A217" t="s">
        <v>1689</v>
      </c>
      <c r="B217" t="s">
        <v>1690</v>
      </c>
      <c r="C217" t="s">
        <v>1691</v>
      </c>
      <c r="D217" t="s">
        <v>1958</v>
      </c>
      <c r="E217" t="s">
        <v>1961</v>
      </c>
      <c r="F217" t="s">
        <v>1961</v>
      </c>
      <c r="G217" t="s">
        <v>1961</v>
      </c>
      <c r="H217" t="s">
        <v>1961</v>
      </c>
      <c r="I217" t="s">
        <v>1961</v>
      </c>
      <c r="J217" t="s">
        <v>1961</v>
      </c>
      <c r="K217" t="s">
        <v>1961</v>
      </c>
      <c r="L217" t="s">
        <v>1961</v>
      </c>
      <c r="M217" t="s">
        <v>1961</v>
      </c>
      <c r="N217" t="s">
        <v>1696</v>
      </c>
      <c r="O217" t="s">
        <v>1697</v>
      </c>
      <c r="P217" t="s">
        <v>1493</v>
      </c>
      <c r="Q217">
        <v>1</v>
      </c>
      <c r="R217">
        <v>1</v>
      </c>
      <c r="S217" t="b">
        <f t="shared" si="3"/>
        <v>1</v>
      </c>
    </row>
    <row r="218" spans="1:19" hidden="1" x14ac:dyDescent="0.25">
      <c r="A218" t="s">
        <v>1689</v>
      </c>
      <c r="B218" t="s">
        <v>1690</v>
      </c>
      <c r="C218" t="s">
        <v>1691</v>
      </c>
      <c r="D218" t="s">
        <v>1958</v>
      </c>
      <c r="E218" t="s">
        <v>1962</v>
      </c>
      <c r="F218" t="s">
        <v>1962</v>
      </c>
      <c r="G218" t="s">
        <v>1962</v>
      </c>
      <c r="H218" t="s">
        <v>1962</v>
      </c>
      <c r="I218" t="s">
        <v>1962</v>
      </c>
      <c r="J218" t="s">
        <v>1962</v>
      </c>
      <c r="K218" t="s">
        <v>1962</v>
      </c>
      <c r="L218" t="s">
        <v>1962</v>
      </c>
      <c r="M218" t="s">
        <v>1962</v>
      </c>
      <c r="N218" t="s">
        <v>1696</v>
      </c>
      <c r="O218" t="s">
        <v>1697</v>
      </c>
      <c r="P218" t="s">
        <v>1493</v>
      </c>
      <c r="Q218">
        <v>1</v>
      </c>
      <c r="R218">
        <v>1</v>
      </c>
      <c r="S218" t="b">
        <f t="shared" si="3"/>
        <v>1</v>
      </c>
    </row>
    <row r="219" spans="1:19" hidden="1" x14ac:dyDescent="0.25">
      <c r="A219" t="s">
        <v>1689</v>
      </c>
      <c r="B219" t="s">
        <v>1690</v>
      </c>
      <c r="C219" t="s">
        <v>1691</v>
      </c>
      <c r="D219" t="s">
        <v>1958</v>
      </c>
      <c r="E219" t="s">
        <v>1963</v>
      </c>
      <c r="F219" t="s">
        <v>1963</v>
      </c>
      <c r="G219" t="s">
        <v>1963</v>
      </c>
      <c r="H219" t="s">
        <v>1963</v>
      </c>
      <c r="I219" t="s">
        <v>1963</v>
      </c>
      <c r="J219" t="s">
        <v>1963</v>
      </c>
      <c r="K219" t="s">
        <v>1963</v>
      </c>
      <c r="L219" t="s">
        <v>1963</v>
      </c>
      <c r="M219" t="s">
        <v>1963</v>
      </c>
      <c r="N219" t="s">
        <v>1696</v>
      </c>
      <c r="O219" t="s">
        <v>1697</v>
      </c>
      <c r="P219" t="s">
        <v>1493</v>
      </c>
      <c r="Q219">
        <v>1</v>
      </c>
      <c r="R219">
        <v>1</v>
      </c>
      <c r="S219" t="b">
        <f t="shared" si="3"/>
        <v>1</v>
      </c>
    </row>
    <row r="220" spans="1:19" hidden="1" x14ac:dyDescent="0.25">
      <c r="A220" t="s">
        <v>1689</v>
      </c>
      <c r="B220" t="s">
        <v>1690</v>
      </c>
      <c r="C220" t="s">
        <v>1691</v>
      </c>
      <c r="D220" t="s">
        <v>1964</v>
      </c>
      <c r="E220" t="s">
        <v>1965</v>
      </c>
      <c r="F220" t="s">
        <v>1965</v>
      </c>
      <c r="G220" t="s">
        <v>1965</v>
      </c>
      <c r="H220" t="s">
        <v>1965</v>
      </c>
      <c r="I220" t="s">
        <v>1965</v>
      </c>
      <c r="J220" t="s">
        <v>1965</v>
      </c>
      <c r="K220" t="s">
        <v>1965</v>
      </c>
      <c r="L220" t="s">
        <v>1965</v>
      </c>
      <c r="M220" t="s">
        <v>1965</v>
      </c>
      <c r="N220" t="s">
        <v>1696</v>
      </c>
      <c r="O220" t="s">
        <v>1697</v>
      </c>
      <c r="P220" t="s">
        <v>1493</v>
      </c>
      <c r="Q220">
        <v>1</v>
      </c>
      <c r="R220">
        <v>1</v>
      </c>
      <c r="S220" t="b">
        <f t="shared" si="3"/>
        <v>1</v>
      </c>
    </row>
    <row r="221" spans="1:19" hidden="1" x14ac:dyDescent="0.25">
      <c r="A221" t="s">
        <v>1689</v>
      </c>
      <c r="B221" t="s">
        <v>1690</v>
      </c>
      <c r="C221" t="s">
        <v>1691</v>
      </c>
      <c r="D221" t="s">
        <v>1964</v>
      </c>
      <c r="E221" t="s">
        <v>1966</v>
      </c>
      <c r="F221" t="s">
        <v>1966</v>
      </c>
      <c r="G221" t="s">
        <v>1966</v>
      </c>
      <c r="H221" t="s">
        <v>1966</v>
      </c>
      <c r="I221" t="s">
        <v>1966</v>
      </c>
      <c r="J221" t="s">
        <v>1966</v>
      </c>
      <c r="K221" t="s">
        <v>1966</v>
      </c>
      <c r="L221" t="s">
        <v>1966</v>
      </c>
      <c r="M221" t="s">
        <v>1966</v>
      </c>
      <c r="N221" t="s">
        <v>1696</v>
      </c>
      <c r="O221" t="s">
        <v>1697</v>
      </c>
      <c r="P221" t="s">
        <v>1493</v>
      </c>
      <c r="Q221">
        <v>1</v>
      </c>
      <c r="R221">
        <v>1</v>
      </c>
      <c r="S221" t="b">
        <f t="shared" si="3"/>
        <v>1</v>
      </c>
    </row>
    <row r="222" spans="1:19" hidden="1" x14ac:dyDescent="0.25">
      <c r="A222" t="s">
        <v>1689</v>
      </c>
      <c r="B222" t="s">
        <v>1690</v>
      </c>
      <c r="C222" t="s">
        <v>1967</v>
      </c>
      <c r="D222" t="s">
        <v>1968</v>
      </c>
      <c r="E222" t="s">
        <v>1969</v>
      </c>
      <c r="F222" t="s">
        <v>1969</v>
      </c>
      <c r="G222" t="s">
        <v>1969</v>
      </c>
      <c r="H222" t="s">
        <v>1969</v>
      </c>
      <c r="I222" t="s">
        <v>1969</v>
      </c>
      <c r="J222" t="s">
        <v>1969</v>
      </c>
      <c r="K222" t="s">
        <v>1969</v>
      </c>
      <c r="L222" t="s">
        <v>1969</v>
      </c>
      <c r="M222" t="s">
        <v>1969</v>
      </c>
      <c r="N222" t="s">
        <v>1696</v>
      </c>
      <c r="O222" t="s">
        <v>1697</v>
      </c>
      <c r="P222" t="s">
        <v>1493</v>
      </c>
      <c r="Q222">
        <v>1</v>
      </c>
      <c r="R222">
        <v>1</v>
      </c>
      <c r="S222" t="b">
        <f t="shared" si="3"/>
        <v>1</v>
      </c>
    </row>
    <row r="223" spans="1:19" hidden="1" x14ac:dyDescent="0.25">
      <c r="A223" t="s">
        <v>1689</v>
      </c>
      <c r="B223" t="s">
        <v>1690</v>
      </c>
      <c r="C223" t="s">
        <v>1967</v>
      </c>
      <c r="D223" t="s">
        <v>1970</v>
      </c>
      <c r="E223" t="s">
        <v>1971</v>
      </c>
      <c r="F223" t="s">
        <v>1971</v>
      </c>
      <c r="G223" t="s">
        <v>1971</v>
      </c>
      <c r="H223" t="s">
        <v>1971</v>
      </c>
      <c r="I223" t="s">
        <v>1971</v>
      </c>
      <c r="J223" t="s">
        <v>1971</v>
      </c>
      <c r="K223" t="s">
        <v>1971</v>
      </c>
      <c r="L223" t="s">
        <v>1971</v>
      </c>
      <c r="M223" t="s">
        <v>1971</v>
      </c>
      <c r="N223" t="s">
        <v>1696</v>
      </c>
      <c r="O223" t="s">
        <v>1697</v>
      </c>
      <c r="P223" t="s">
        <v>1493</v>
      </c>
      <c r="Q223">
        <v>1</v>
      </c>
      <c r="R223">
        <v>1</v>
      </c>
      <c r="S223" t="b">
        <f t="shared" si="3"/>
        <v>1</v>
      </c>
    </row>
    <row r="224" spans="1:19" hidden="1" x14ac:dyDescent="0.25">
      <c r="A224" t="s">
        <v>1689</v>
      </c>
      <c r="B224" t="s">
        <v>1690</v>
      </c>
      <c r="C224" t="s">
        <v>1967</v>
      </c>
      <c r="D224" t="s">
        <v>1972</v>
      </c>
      <c r="E224" t="s">
        <v>1973</v>
      </c>
      <c r="F224" t="s">
        <v>1973</v>
      </c>
      <c r="G224" t="s">
        <v>1973</v>
      </c>
      <c r="H224" t="s">
        <v>1973</v>
      </c>
      <c r="I224" t="s">
        <v>1973</v>
      </c>
      <c r="J224" t="s">
        <v>1973</v>
      </c>
      <c r="K224" t="s">
        <v>1973</v>
      </c>
      <c r="L224" t="s">
        <v>1973</v>
      </c>
      <c r="M224" t="s">
        <v>1973</v>
      </c>
      <c r="N224" t="s">
        <v>1696</v>
      </c>
      <c r="O224" t="s">
        <v>1697</v>
      </c>
      <c r="P224" t="s">
        <v>1493</v>
      </c>
      <c r="Q224">
        <v>1</v>
      </c>
      <c r="R224">
        <v>1</v>
      </c>
      <c r="S224" t="b">
        <f t="shared" si="3"/>
        <v>1</v>
      </c>
    </row>
    <row r="225" spans="1:19" hidden="1" x14ac:dyDescent="0.25">
      <c r="A225" t="s">
        <v>1689</v>
      </c>
      <c r="B225" t="s">
        <v>1690</v>
      </c>
      <c r="C225" t="s">
        <v>1967</v>
      </c>
      <c r="D225" t="s">
        <v>1972</v>
      </c>
      <c r="E225" t="s">
        <v>1974</v>
      </c>
      <c r="F225" t="s">
        <v>1974</v>
      </c>
      <c r="G225" t="s">
        <v>1974</v>
      </c>
      <c r="H225" t="s">
        <v>1974</v>
      </c>
      <c r="I225" t="s">
        <v>1974</v>
      </c>
      <c r="J225" t="s">
        <v>1974</v>
      </c>
      <c r="K225" t="s">
        <v>1974</v>
      </c>
      <c r="L225" t="s">
        <v>1974</v>
      </c>
      <c r="M225" t="s">
        <v>1974</v>
      </c>
      <c r="N225" t="s">
        <v>1696</v>
      </c>
      <c r="O225" t="s">
        <v>1697</v>
      </c>
      <c r="P225" t="s">
        <v>1493</v>
      </c>
      <c r="Q225">
        <v>1</v>
      </c>
      <c r="R225">
        <v>1</v>
      </c>
      <c r="S225" t="b">
        <f t="shared" si="3"/>
        <v>1</v>
      </c>
    </row>
    <row r="226" spans="1:19" hidden="1" x14ac:dyDescent="0.25">
      <c r="A226" t="s">
        <v>1689</v>
      </c>
      <c r="B226" t="s">
        <v>1690</v>
      </c>
      <c r="C226" t="s">
        <v>1967</v>
      </c>
      <c r="D226" t="s">
        <v>1975</v>
      </c>
      <c r="E226" t="s">
        <v>1976</v>
      </c>
      <c r="F226" t="s">
        <v>1976</v>
      </c>
      <c r="G226" t="s">
        <v>1976</v>
      </c>
      <c r="H226" t="s">
        <v>1976</v>
      </c>
      <c r="I226" t="s">
        <v>1976</v>
      </c>
      <c r="J226" t="s">
        <v>1976</v>
      </c>
      <c r="K226" t="s">
        <v>1976</v>
      </c>
      <c r="L226" t="s">
        <v>1976</v>
      </c>
      <c r="M226" t="s">
        <v>1976</v>
      </c>
      <c r="N226" t="s">
        <v>1696</v>
      </c>
      <c r="O226" t="s">
        <v>1697</v>
      </c>
      <c r="P226" t="s">
        <v>1493</v>
      </c>
      <c r="Q226">
        <v>1</v>
      </c>
      <c r="R226">
        <v>1</v>
      </c>
      <c r="S226" t="b">
        <f t="shared" si="3"/>
        <v>1</v>
      </c>
    </row>
    <row r="227" spans="1:19" hidden="1" x14ac:dyDescent="0.25">
      <c r="A227" t="s">
        <v>1689</v>
      </c>
      <c r="B227" t="s">
        <v>1690</v>
      </c>
      <c r="C227" t="s">
        <v>1967</v>
      </c>
      <c r="D227" t="s">
        <v>1977</v>
      </c>
      <c r="E227" t="s">
        <v>1978</v>
      </c>
      <c r="F227" t="s">
        <v>1978</v>
      </c>
      <c r="G227" t="s">
        <v>1978</v>
      </c>
      <c r="H227" t="s">
        <v>1978</v>
      </c>
      <c r="I227" t="s">
        <v>1978</v>
      </c>
      <c r="J227" t="s">
        <v>1978</v>
      </c>
      <c r="K227" t="s">
        <v>1978</v>
      </c>
      <c r="L227" t="s">
        <v>1978</v>
      </c>
      <c r="M227" t="s">
        <v>1978</v>
      </c>
      <c r="N227" t="s">
        <v>1696</v>
      </c>
      <c r="O227" t="s">
        <v>1697</v>
      </c>
      <c r="P227" t="s">
        <v>1493</v>
      </c>
      <c r="Q227">
        <v>1</v>
      </c>
      <c r="R227">
        <v>1</v>
      </c>
      <c r="S227" t="b">
        <f t="shared" si="3"/>
        <v>1</v>
      </c>
    </row>
    <row r="228" spans="1:19" hidden="1" x14ac:dyDescent="0.25">
      <c r="A228" t="s">
        <v>1689</v>
      </c>
      <c r="B228" t="s">
        <v>1690</v>
      </c>
      <c r="C228" t="s">
        <v>1967</v>
      </c>
      <c r="D228" t="s">
        <v>1979</v>
      </c>
      <c r="E228" t="s">
        <v>1980</v>
      </c>
      <c r="F228" t="s">
        <v>1980</v>
      </c>
      <c r="G228" t="s">
        <v>1980</v>
      </c>
      <c r="H228" t="s">
        <v>1980</v>
      </c>
      <c r="I228" t="s">
        <v>1980</v>
      </c>
      <c r="J228" t="s">
        <v>1980</v>
      </c>
      <c r="K228" t="s">
        <v>1980</v>
      </c>
      <c r="L228" t="s">
        <v>1980</v>
      </c>
      <c r="M228" t="s">
        <v>1980</v>
      </c>
      <c r="N228" t="s">
        <v>1696</v>
      </c>
      <c r="O228" t="s">
        <v>1697</v>
      </c>
      <c r="P228" t="s">
        <v>1493</v>
      </c>
      <c r="Q228">
        <v>1</v>
      </c>
      <c r="R228">
        <v>1</v>
      </c>
      <c r="S228" t="b">
        <f t="shared" si="3"/>
        <v>1</v>
      </c>
    </row>
    <row r="229" spans="1:19" hidden="1" x14ac:dyDescent="0.25">
      <c r="A229" t="s">
        <v>1689</v>
      </c>
      <c r="B229" t="s">
        <v>1700</v>
      </c>
      <c r="C229" t="s">
        <v>1701</v>
      </c>
      <c r="D229" t="s">
        <v>1764</v>
      </c>
      <c r="E229" t="s">
        <v>1764</v>
      </c>
      <c r="F229" t="s">
        <v>1764</v>
      </c>
      <c r="G229" t="s">
        <v>1764</v>
      </c>
      <c r="H229" t="s">
        <v>1764</v>
      </c>
      <c r="I229" t="s">
        <v>1764</v>
      </c>
      <c r="J229" t="s">
        <v>1764</v>
      </c>
      <c r="K229" t="s">
        <v>1764</v>
      </c>
      <c r="L229" t="s">
        <v>1764</v>
      </c>
      <c r="M229" t="s">
        <v>1764</v>
      </c>
      <c r="N229" t="s">
        <v>1696</v>
      </c>
      <c r="O229" t="s">
        <v>1697</v>
      </c>
      <c r="P229" t="s">
        <v>1493</v>
      </c>
      <c r="Q229">
        <v>1</v>
      </c>
      <c r="R229">
        <v>1</v>
      </c>
      <c r="S229" t="b">
        <f t="shared" si="3"/>
        <v>1</v>
      </c>
    </row>
    <row r="230" spans="1:19" hidden="1" x14ac:dyDescent="0.25">
      <c r="A230" t="s">
        <v>1689</v>
      </c>
      <c r="B230" t="s">
        <v>1700</v>
      </c>
      <c r="C230" t="s">
        <v>1701</v>
      </c>
      <c r="D230" t="s">
        <v>1774</v>
      </c>
      <c r="E230" t="s">
        <v>1774</v>
      </c>
      <c r="F230" t="s">
        <v>1774</v>
      </c>
      <c r="G230" t="s">
        <v>1774</v>
      </c>
      <c r="H230" t="s">
        <v>1774</v>
      </c>
      <c r="I230" t="s">
        <v>1774</v>
      </c>
      <c r="J230" t="s">
        <v>1774</v>
      </c>
      <c r="K230" t="s">
        <v>1774</v>
      </c>
      <c r="L230" t="s">
        <v>1774</v>
      </c>
      <c r="M230" t="s">
        <v>1774</v>
      </c>
      <c r="N230" t="s">
        <v>1696</v>
      </c>
      <c r="O230" t="s">
        <v>1697</v>
      </c>
      <c r="P230" t="s">
        <v>1493</v>
      </c>
      <c r="Q230">
        <v>1</v>
      </c>
      <c r="R230">
        <v>1</v>
      </c>
      <c r="S230" t="b">
        <f t="shared" si="3"/>
        <v>1</v>
      </c>
    </row>
    <row r="231" spans="1:19" hidden="1" x14ac:dyDescent="0.25">
      <c r="A231" t="s">
        <v>1689</v>
      </c>
      <c r="B231" t="s">
        <v>1700</v>
      </c>
      <c r="C231" t="s">
        <v>1701</v>
      </c>
      <c r="D231" t="s">
        <v>1789</v>
      </c>
      <c r="E231" t="s">
        <v>1789</v>
      </c>
      <c r="F231" t="s">
        <v>1789</v>
      </c>
      <c r="G231" t="s">
        <v>1789</v>
      </c>
      <c r="H231" t="s">
        <v>1789</v>
      </c>
      <c r="I231" t="s">
        <v>1789</v>
      </c>
      <c r="J231" t="s">
        <v>1789</v>
      </c>
      <c r="K231" t="s">
        <v>1789</v>
      </c>
      <c r="L231" t="s">
        <v>1789</v>
      </c>
      <c r="M231" t="s">
        <v>1789</v>
      </c>
      <c r="N231" t="s">
        <v>1696</v>
      </c>
      <c r="O231" t="s">
        <v>1697</v>
      </c>
      <c r="P231" t="s">
        <v>1493</v>
      </c>
      <c r="Q231">
        <v>1</v>
      </c>
      <c r="R231">
        <v>1</v>
      </c>
      <c r="S231" t="b">
        <f t="shared" si="3"/>
        <v>1</v>
      </c>
    </row>
    <row r="232" spans="1:19" hidden="1" x14ac:dyDescent="0.25">
      <c r="A232" t="s">
        <v>1689</v>
      </c>
      <c r="B232" t="s">
        <v>1700</v>
      </c>
      <c r="C232" t="s">
        <v>1701</v>
      </c>
      <c r="D232" t="s">
        <v>1768</v>
      </c>
      <c r="E232" t="s">
        <v>1768</v>
      </c>
      <c r="F232" t="s">
        <v>1768</v>
      </c>
      <c r="G232" t="s">
        <v>1768</v>
      </c>
      <c r="H232" t="s">
        <v>1768</v>
      </c>
      <c r="I232" t="s">
        <v>1768</v>
      </c>
      <c r="J232" t="s">
        <v>1768</v>
      </c>
      <c r="K232" t="s">
        <v>1768</v>
      </c>
      <c r="L232" t="s">
        <v>1768</v>
      </c>
      <c r="M232" t="s">
        <v>1768</v>
      </c>
      <c r="N232" t="s">
        <v>1696</v>
      </c>
      <c r="O232" t="s">
        <v>1697</v>
      </c>
      <c r="P232" t="s">
        <v>1493</v>
      </c>
      <c r="Q232">
        <v>1</v>
      </c>
      <c r="R232">
        <v>1</v>
      </c>
      <c r="S232" t="b">
        <f t="shared" si="3"/>
        <v>1</v>
      </c>
    </row>
    <row r="233" spans="1:19" hidden="1" x14ac:dyDescent="0.25">
      <c r="A233" t="s">
        <v>1689</v>
      </c>
      <c r="B233" t="s">
        <v>1700</v>
      </c>
      <c r="C233" t="s">
        <v>1701</v>
      </c>
      <c r="D233" t="s">
        <v>1739</v>
      </c>
      <c r="E233" t="s">
        <v>1739</v>
      </c>
      <c r="F233" t="s">
        <v>1739</v>
      </c>
      <c r="G233" t="s">
        <v>1739</v>
      </c>
      <c r="H233" t="s">
        <v>1739</v>
      </c>
      <c r="I233" t="s">
        <v>1739</v>
      </c>
      <c r="J233" t="s">
        <v>1739</v>
      </c>
      <c r="K233" t="s">
        <v>1739</v>
      </c>
      <c r="L233" t="s">
        <v>1739</v>
      </c>
      <c r="M233" t="s">
        <v>1739</v>
      </c>
      <c r="N233" t="s">
        <v>1696</v>
      </c>
      <c r="O233" t="s">
        <v>1697</v>
      </c>
      <c r="P233" t="s">
        <v>1493</v>
      </c>
      <c r="Q233">
        <v>1</v>
      </c>
      <c r="R233">
        <v>1</v>
      </c>
      <c r="S233" t="b">
        <f t="shared" si="3"/>
        <v>1</v>
      </c>
    </row>
    <row r="234" spans="1:19" hidden="1" x14ac:dyDescent="0.25">
      <c r="A234" t="s">
        <v>1689</v>
      </c>
      <c r="B234" t="s">
        <v>1700</v>
      </c>
      <c r="C234" t="s">
        <v>1701</v>
      </c>
      <c r="D234" t="s">
        <v>1755</v>
      </c>
      <c r="E234" t="s">
        <v>1755</v>
      </c>
      <c r="F234" t="s">
        <v>1755</v>
      </c>
      <c r="G234" t="s">
        <v>1755</v>
      </c>
      <c r="H234" t="s">
        <v>1755</v>
      </c>
      <c r="I234" t="s">
        <v>1755</v>
      </c>
      <c r="J234" t="s">
        <v>1755</v>
      </c>
      <c r="K234" t="s">
        <v>1755</v>
      </c>
      <c r="L234" t="s">
        <v>1755</v>
      </c>
      <c r="M234" t="s">
        <v>1755</v>
      </c>
      <c r="N234" t="s">
        <v>1696</v>
      </c>
      <c r="O234" t="s">
        <v>1697</v>
      </c>
      <c r="P234" t="s">
        <v>1493</v>
      </c>
      <c r="Q234">
        <v>1</v>
      </c>
      <c r="R234">
        <v>1</v>
      </c>
      <c r="S234" t="b">
        <f t="shared" si="3"/>
        <v>1</v>
      </c>
    </row>
    <row r="235" spans="1:19" hidden="1" x14ac:dyDescent="0.25">
      <c r="A235" t="s">
        <v>1689</v>
      </c>
      <c r="B235" t="s">
        <v>1700</v>
      </c>
      <c r="C235" t="s">
        <v>1701</v>
      </c>
      <c r="D235" t="s">
        <v>1736</v>
      </c>
      <c r="E235" t="s">
        <v>1736</v>
      </c>
      <c r="F235" t="s">
        <v>1736</v>
      </c>
      <c r="G235" t="s">
        <v>1736</v>
      </c>
      <c r="H235" t="s">
        <v>1736</v>
      </c>
      <c r="I235" t="s">
        <v>1736</v>
      </c>
      <c r="J235" t="s">
        <v>1736</v>
      </c>
      <c r="K235" t="s">
        <v>1736</v>
      </c>
      <c r="L235" t="s">
        <v>1736</v>
      </c>
      <c r="M235" t="s">
        <v>1736</v>
      </c>
      <c r="N235" t="s">
        <v>1696</v>
      </c>
      <c r="O235" t="s">
        <v>1697</v>
      </c>
      <c r="P235" t="s">
        <v>1493</v>
      </c>
      <c r="Q235">
        <v>1</v>
      </c>
      <c r="R235">
        <v>1</v>
      </c>
      <c r="S235" t="b">
        <f t="shared" si="3"/>
        <v>1</v>
      </c>
    </row>
    <row r="236" spans="1:19" hidden="1" x14ac:dyDescent="0.25">
      <c r="A236" t="s">
        <v>1689</v>
      </c>
      <c r="B236" t="s">
        <v>1700</v>
      </c>
      <c r="C236" t="s">
        <v>1701</v>
      </c>
      <c r="D236" t="s">
        <v>1759</v>
      </c>
      <c r="E236" t="s">
        <v>1759</v>
      </c>
      <c r="F236" t="s">
        <v>1759</v>
      </c>
      <c r="G236" t="s">
        <v>1759</v>
      </c>
      <c r="H236" t="s">
        <v>1759</v>
      </c>
      <c r="I236" t="s">
        <v>1759</v>
      </c>
      <c r="J236" t="s">
        <v>1759</v>
      </c>
      <c r="K236" t="s">
        <v>1759</v>
      </c>
      <c r="L236" t="s">
        <v>1759</v>
      </c>
      <c r="M236" t="s">
        <v>1759</v>
      </c>
      <c r="N236" t="s">
        <v>1696</v>
      </c>
      <c r="O236" t="s">
        <v>1697</v>
      </c>
      <c r="P236" t="s">
        <v>1493</v>
      </c>
      <c r="Q236">
        <v>1</v>
      </c>
      <c r="R236">
        <v>1</v>
      </c>
      <c r="S236" t="b">
        <f t="shared" si="3"/>
        <v>1</v>
      </c>
    </row>
    <row r="237" spans="1:19" hidden="1" x14ac:dyDescent="0.25">
      <c r="A237" t="s">
        <v>1689</v>
      </c>
      <c r="B237" t="s">
        <v>1700</v>
      </c>
      <c r="C237" t="s">
        <v>1701</v>
      </c>
      <c r="D237" t="s">
        <v>1733</v>
      </c>
      <c r="E237" t="s">
        <v>1733</v>
      </c>
      <c r="F237" t="s">
        <v>1733</v>
      </c>
      <c r="G237" t="s">
        <v>1733</v>
      </c>
      <c r="H237" t="s">
        <v>1733</v>
      </c>
      <c r="I237" t="s">
        <v>1733</v>
      </c>
      <c r="J237" t="s">
        <v>1733</v>
      </c>
      <c r="K237" t="s">
        <v>1733</v>
      </c>
      <c r="L237" t="s">
        <v>1733</v>
      </c>
      <c r="M237" t="s">
        <v>1733</v>
      </c>
      <c r="N237" t="s">
        <v>1696</v>
      </c>
      <c r="O237" t="s">
        <v>1697</v>
      </c>
      <c r="P237" t="s">
        <v>1493</v>
      </c>
      <c r="Q237">
        <v>1</v>
      </c>
      <c r="R237">
        <v>1</v>
      </c>
      <c r="S237" t="b">
        <f t="shared" si="3"/>
        <v>1</v>
      </c>
    </row>
    <row r="238" spans="1:19" hidden="1" x14ac:dyDescent="0.25">
      <c r="A238" t="s">
        <v>1689</v>
      </c>
      <c r="B238" t="s">
        <v>1700</v>
      </c>
      <c r="C238" t="s">
        <v>1701</v>
      </c>
      <c r="D238" t="s">
        <v>1702</v>
      </c>
      <c r="E238" t="s">
        <v>1702</v>
      </c>
      <c r="F238" t="s">
        <v>1702</v>
      </c>
      <c r="G238" t="s">
        <v>1702</v>
      </c>
      <c r="H238" t="s">
        <v>1702</v>
      </c>
      <c r="I238" t="s">
        <v>1702</v>
      </c>
      <c r="J238" t="s">
        <v>1702</v>
      </c>
      <c r="K238" t="s">
        <v>1702</v>
      </c>
      <c r="L238" t="s">
        <v>1702</v>
      </c>
      <c r="M238" t="s">
        <v>1702</v>
      </c>
      <c r="N238" t="s">
        <v>1696</v>
      </c>
      <c r="O238" t="s">
        <v>1697</v>
      </c>
      <c r="P238" t="s">
        <v>1493</v>
      </c>
      <c r="Q238">
        <v>1</v>
      </c>
      <c r="R238">
        <v>1</v>
      </c>
      <c r="S238" t="b">
        <f t="shared" si="3"/>
        <v>1</v>
      </c>
    </row>
    <row r="239" spans="1:19" hidden="1" x14ac:dyDescent="0.25">
      <c r="A239" t="s">
        <v>1689</v>
      </c>
      <c r="B239" t="s">
        <v>1700</v>
      </c>
      <c r="C239" t="s">
        <v>1701</v>
      </c>
      <c r="D239" t="s">
        <v>1719</v>
      </c>
      <c r="E239" t="s">
        <v>1719</v>
      </c>
      <c r="F239" t="s">
        <v>1719</v>
      </c>
      <c r="G239" t="s">
        <v>1719</v>
      </c>
      <c r="H239" t="s">
        <v>1719</v>
      </c>
      <c r="I239" t="s">
        <v>1719</v>
      </c>
      <c r="J239" t="s">
        <v>1719</v>
      </c>
      <c r="K239" t="s">
        <v>1719</v>
      </c>
      <c r="L239" t="s">
        <v>1719</v>
      </c>
      <c r="M239" t="s">
        <v>1719</v>
      </c>
      <c r="N239" t="s">
        <v>1696</v>
      </c>
      <c r="O239" t="s">
        <v>1697</v>
      </c>
      <c r="P239" t="s">
        <v>1493</v>
      </c>
      <c r="Q239">
        <v>1</v>
      </c>
      <c r="R239">
        <v>1</v>
      </c>
      <c r="S239" t="b">
        <f t="shared" si="3"/>
        <v>1</v>
      </c>
    </row>
    <row r="240" spans="1:19" hidden="1" x14ac:dyDescent="0.25">
      <c r="A240" t="s">
        <v>1689</v>
      </c>
      <c r="B240" t="s">
        <v>1700</v>
      </c>
      <c r="C240" t="s">
        <v>1701</v>
      </c>
      <c r="D240" t="s">
        <v>1780</v>
      </c>
      <c r="E240" t="s">
        <v>1780</v>
      </c>
      <c r="F240" t="s">
        <v>1780</v>
      </c>
      <c r="G240" t="s">
        <v>1780</v>
      </c>
      <c r="H240" t="s">
        <v>1780</v>
      </c>
      <c r="I240" t="s">
        <v>1780</v>
      </c>
      <c r="J240" t="s">
        <v>1780</v>
      </c>
      <c r="K240" t="s">
        <v>1780</v>
      </c>
      <c r="L240" t="s">
        <v>1780</v>
      </c>
      <c r="M240" t="s">
        <v>1780</v>
      </c>
      <c r="N240" t="s">
        <v>1696</v>
      </c>
      <c r="O240" t="s">
        <v>1697</v>
      </c>
      <c r="P240" t="s">
        <v>1493</v>
      </c>
      <c r="Q240">
        <v>1</v>
      </c>
      <c r="R240">
        <v>1</v>
      </c>
      <c r="S240" t="b">
        <f t="shared" si="3"/>
        <v>1</v>
      </c>
    </row>
    <row r="241" spans="1:19" hidden="1" x14ac:dyDescent="0.25">
      <c r="A241" t="s">
        <v>1689</v>
      </c>
      <c r="B241" t="s">
        <v>1700</v>
      </c>
      <c r="C241" t="s">
        <v>1798</v>
      </c>
      <c r="D241" t="s">
        <v>1818</v>
      </c>
      <c r="E241" t="s">
        <v>1818</v>
      </c>
      <c r="F241" t="s">
        <v>1818</v>
      </c>
      <c r="G241" t="s">
        <v>1818</v>
      </c>
      <c r="H241" t="s">
        <v>1818</v>
      </c>
      <c r="I241" t="s">
        <v>1818</v>
      </c>
      <c r="J241" t="s">
        <v>1818</v>
      </c>
      <c r="K241" t="s">
        <v>1818</v>
      </c>
      <c r="L241" t="s">
        <v>1818</v>
      </c>
      <c r="M241" t="s">
        <v>1818</v>
      </c>
      <c r="N241" t="s">
        <v>1696</v>
      </c>
      <c r="O241" t="s">
        <v>1697</v>
      </c>
      <c r="P241" t="s">
        <v>1493</v>
      </c>
      <c r="Q241">
        <v>1</v>
      </c>
      <c r="R241">
        <v>1</v>
      </c>
      <c r="S241" t="b">
        <f t="shared" si="3"/>
        <v>1</v>
      </c>
    </row>
    <row r="242" spans="1:19" hidden="1" x14ac:dyDescent="0.25">
      <c r="A242" t="s">
        <v>1689</v>
      </c>
      <c r="B242" t="s">
        <v>1700</v>
      </c>
      <c r="C242" t="s">
        <v>1798</v>
      </c>
      <c r="D242" t="s">
        <v>1816</v>
      </c>
      <c r="E242" t="s">
        <v>1816</v>
      </c>
      <c r="F242" t="s">
        <v>1816</v>
      </c>
      <c r="G242" t="s">
        <v>1816</v>
      </c>
      <c r="H242" t="s">
        <v>1816</v>
      </c>
      <c r="I242" t="s">
        <v>1816</v>
      </c>
      <c r="J242" t="s">
        <v>1816</v>
      </c>
      <c r="K242" t="s">
        <v>1816</v>
      </c>
      <c r="L242" t="s">
        <v>1816</v>
      </c>
      <c r="M242" t="s">
        <v>1816</v>
      </c>
      <c r="N242" t="s">
        <v>1696</v>
      </c>
      <c r="O242" t="s">
        <v>1697</v>
      </c>
      <c r="P242" t="s">
        <v>1493</v>
      </c>
      <c r="Q242">
        <v>1</v>
      </c>
      <c r="R242">
        <v>1</v>
      </c>
      <c r="S242" t="b">
        <f t="shared" si="3"/>
        <v>1</v>
      </c>
    </row>
    <row r="243" spans="1:19" hidden="1" x14ac:dyDescent="0.25">
      <c r="A243" t="s">
        <v>1689</v>
      </c>
      <c r="B243" t="s">
        <v>1700</v>
      </c>
      <c r="C243" t="s">
        <v>1798</v>
      </c>
      <c r="D243" t="s">
        <v>1842</v>
      </c>
      <c r="E243" t="s">
        <v>1842</v>
      </c>
      <c r="F243" t="s">
        <v>1842</v>
      </c>
      <c r="G243" t="s">
        <v>1842</v>
      </c>
      <c r="H243" t="s">
        <v>1842</v>
      </c>
      <c r="I243" t="s">
        <v>1842</v>
      </c>
      <c r="J243" t="s">
        <v>1842</v>
      </c>
      <c r="K243" t="s">
        <v>1842</v>
      </c>
      <c r="L243" t="s">
        <v>1842</v>
      </c>
      <c r="M243" t="s">
        <v>1842</v>
      </c>
      <c r="N243" t="s">
        <v>1696</v>
      </c>
      <c r="O243" t="s">
        <v>1697</v>
      </c>
      <c r="P243" t="s">
        <v>1493</v>
      </c>
      <c r="Q243">
        <v>1</v>
      </c>
      <c r="R243">
        <v>1</v>
      </c>
      <c r="S243" t="b">
        <f t="shared" si="3"/>
        <v>1</v>
      </c>
    </row>
    <row r="244" spans="1:19" hidden="1" x14ac:dyDescent="0.25">
      <c r="A244" t="s">
        <v>1689</v>
      </c>
      <c r="B244" t="s">
        <v>1700</v>
      </c>
      <c r="C244" t="s">
        <v>1798</v>
      </c>
      <c r="D244" t="s">
        <v>1853</v>
      </c>
      <c r="E244" t="s">
        <v>1853</v>
      </c>
      <c r="F244" t="s">
        <v>1853</v>
      </c>
      <c r="G244" t="s">
        <v>1853</v>
      </c>
      <c r="H244" t="s">
        <v>1853</v>
      </c>
      <c r="I244" t="s">
        <v>1853</v>
      </c>
      <c r="J244" t="s">
        <v>1853</v>
      </c>
      <c r="K244" t="s">
        <v>1853</v>
      </c>
      <c r="L244" t="s">
        <v>1853</v>
      </c>
      <c r="M244" t="s">
        <v>1853</v>
      </c>
      <c r="N244" t="s">
        <v>1696</v>
      </c>
      <c r="O244" t="s">
        <v>1697</v>
      </c>
      <c r="P244" t="s">
        <v>1493</v>
      </c>
      <c r="Q244">
        <v>1</v>
      </c>
      <c r="R244">
        <v>1</v>
      </c>
      <c r="S244" t="b">
        <f t="shared" si="3"/>
        <v>1</v>
      </c>
    </row>
    <row r="245" spans="1:19" hidden="1" x14ac:dyDescent="0.25">
      <c r="A245" t="s">
        <v>1689</v>
      </c>
      <c r="B245" t="s">
        <v>1700</v>
      </c>
      <c r="C245" t="s">
        <v>1798</v>
      </c>
      <c r="D245" t="s">
        <v>1838</v>
      </c>
      <c r="E245" t="s">
        <v>1838</v>
      </c>
      <c r="F245" t="s">
        <v>1838</v>
      </c>
      <c r="G245" t="s">
        <v>1838</v>
      </c>
      <c r="H245" t="s">
        <v>1838</v>
      </c>
      <c r="I245" t="s">
        <v>1838</v>
      </c>
      <c r="J245" t="s">
        <v>1838</v>
      </c>
      <c r="K245" t="s">
        <v>1838</v>
      </c>
      <c r="L245" t="s">
        <v>1838</v>
      </c>
      <c r="M245" t="s">
        <v>1838</v>
      </c>
      <c r="N245" t="s">
        <v>1696</v>
      </c>
      <c r="O245" t="s">
        <v>1697</v>
      </c>
      <c r="P245" t="s">
        <v>1493</v>
      </c>
      <c r="Q245">
        <v>1</v>
      </c>
      <c r="R245">
        <v>1</v>
      </c>
      <c r="S245" t="b">
        <f t="shared" si="3"/>
        <v>1</v>
      </c>
    </row>
    <row r="246" spans="1:19" hidden="1" x14ac:dyDescent="0.25">
      <c r="A246" t="s">
        <v>1689</v>
      </c>
      <c r="B246" t="s">
        <v>1700</v>
      </c>
      <c r="C246" t="s">
        <v>1798</v>
      </c>
      <c r="D246" t="s">
        <v>1799</v>
      </c>
      <c r="E246" t="s">
        <v>1799</v>
      </c>
      <c r="F246" t="s">
        <v>1799</v>
      </c>
      <c r="G246" t="s">
        <v>1799</v>
      </c>
      <c r="H246" t="s">
        <v>1799</v>
      </c>
      <c r="I246" t="s">
        <v>1799</v>
      </c>
      <c r="J246" t="s">
        <v>1799</v>
      </c>
      <c r="K246" t="s">
        <v>1799</v>
      </c>
      <c r="L246" t="s">
        <v>1799</v>
      </c>
      <c r="M246" t="s">
        <v>1799</v>
      </c>
      <c r="N246" t="s">
        <v>1696</v>
      </c>
      <c r="O246" t="s">
        <v>1697</v>
      </c>
      <c r="P246" t="s">
        <v>1493</v>
      </c>
      <c r="Q246">
        <v>1</v>
      </c>
      <c r="R246">
        <v>1</v>
      </c>
      <c r="S246" t="b">
        <f t="shared" si="3"/>
        <v>1</v>
      </c>
    </row>
    <row r="247" spans="1:19" hidden="1" x14ac:dyDescent="0.25">
      <c r="A247" t="s">
        <v>1689</v>
      </c>
      <c r="B247" t="s">
        <v>1700</v>
      </c>
      <c r="C247" t="s">
        <v>1798</v>
      </c>
      <c r="D247" t="s">
        <v>1811</v>
      </c>
      <c r="E247" t="s">
        <v>1811</v>
      </c>
      <c r="F247" t="s">
        <v>1811</v>
      </c>
      <c r="G247" t="s">
        <v>1811</v>
      </c>
      <c r="H247" t="s">
        <v>1811</v>
      </c>
      <c r="I247" t="s">
        <v>1811</v>
      </c>
      <c r="J247" t="s">
        <v>1811</v>
      </c>
      <c r="K247" t="s">
        <v>1811</v>
      </c>
      <c r="L247" t="s">
        <v>1811</v>
      </c>
      <c r="M247" t="s">
        <v>1811</v>
      </c>
      <c r="N247" t="s">
        <v>1696</v>
      </c>
      <c r="O247" t="s">
        <v>1697</v>
      </c>
      <c r="P247" t="s">
        <v>1493</v>
      </c>
      <c r="Q247">
        <v>1</v>
      </c>
      <c r="R247">
        <v>1</v>
      </c>
      <c r="S247" t="b">
        <f t="shared" si="3"/>
        <v>1</v>
      </c>
    </row>
    <row r="248" spans="1:19" hidden="1" x14ac:dyDescent="0.25">
      <c r="A248" t="s">
        <v>1689</v>
      </c>
      <c r="B248" t="s">
        <v>1700</v>
      </c>
      <c r="C248" t="s">
        <v>1798</v>
      </c>
      <c r="D248" t="s">
        <v>1847</v>
      </c>
      <c r="E248" t="s">
        <v>1847</v>
      </c>
      <c r="F248" t="s">
        <v>1847</v>
      </c>
      <c r="G248" t="s">
        <v>1847</v>
      </c>
      <c r="H248" t="s">
        <v>1847</v>
      </c>
      <c r="I248" t="s">
        <v>1847</v>
      </c>
      <c r="J248" t="s">
        <v>1847</v>
      </c>
      <c r="K248" t="s">
        <v>1847</v>
      </c>
      <c r="L248" t="s">
        <v>1847</v>
      </c>
      <c r="M248" t="s">
        <v>1847</v>
      </c>
      <c r="N248" t="s">
        <v>1696</v>
      </c>
      <c r="O248" t="s">
        <v>1697</v>
      </c>
      <c r="P248" t="s">
        <v>1493</v>
      </c>
      <c r="Q248">
        <v>1</v>
      </c>
      <c r="R248">
        <v>1</v>
      </c>
      <c r="S248" t="b">
        <f t="shared" si="3"/>
        <v>1</v>
      </c>
    </row>
    <row r="249" spans="1:19" hidden="1" x14ac:dyDescent="0.25">
      <c r="A249" t="s">
        <v>1689</v>
      </c>
      <c r="B249" t="s">
        <v>1700</v>
      </c>
      <c r="C249" t="s">
        <v>1701</v>
      </c>
      <c r="D249" t="s">
        <v>1701</v>
      </c>
      <c r="E249" t="s">
        <v>1701</v>
      </c>
      <c r="F249" t="s">
        <v>1701</v>
      </c>
      <c r="G249" t="s">
        <v>1701</v>
      </c>
      <c r="H249" t="s">
        <v>1701</v>
      </c>
      <c r="I249" t="s">
        <v>1701</v>
      </c>
      <c r="J249" t="s">
        <v>1701</v>
      </c>
      <c r="K249" t="s">
        <v>1701</v>
      </c>
      <c r="L249" t="s">
        <v>1701</v>
      </c>
      <c r="M249" t="s">
        <v>1701</v>
      </c>
      <c r="N249" t="s">
        <v>1696</v>
      </c>
      <c r="O249" t="s">
        <v>1697</v>
      </c>
      <c r="P249" t="s">
        <v>1493</v>
      </c>
      <c r="Q249">
        <v>1</v>
      </c>
      <c r="R249">
        <v>1</v>
      </c>
      <c r="S249" t="b">
        <f t="shared" si="3"/>
        <v>1</v>
      </c>
    </row>
    <row r="250" spans="1:19" hidden="1" x14ac:dyDescent="0.25">
      <c r="A250" t="s">
        <v>1689</v>
      </c>
      <c r="B250" t="s">
        <v>1700</v>
      </c>
      <c r="C250" t="s">
        <v>1798</v>
      </c>
      <c r="D250" t="s">
        <v>1798</v>
      </c>
      <c r="E250" t="s">
        <v>1798</v>
      </c>
      <c r="F250" t="s">
        <v>1798</v>
      </c>
      <c r="G250" t="s">
        <v>1798</v>
      </c>
      <c r="H250" t="s">
        <v>1798</v>
      </c>
      <c r="I250" t="s">
        <v>1798</v>
      </c>
      <c r="J250" t="s">
        <v>1798</v>
      </c>
      <c r="K250" t="s">
        <v>1798</v>
      </c>
      <c r="L250" t="s">
        <v>1798</v>
      </c>
      <c r="M250" t="s">
        <v>1798</v>
      </c>
      <c r="N250" t="s">
        <v>1696</v>
      </c>
      <c r="O250" t="s">
        <v>1697</v>
      </c>
      <c r="P250" t="s">
        <v>1493</v>
      </c>
      <c r="Q250">
        <v>1</v>
      </c>
      <c r="R250">
        <v>1</v>
      </c>
      <c r="S250" t="b">
        <f t="shared" si="3"/>
        <v>1</v>
      </c>
    </row>
    <row r="251" spans="1:19" hidden="1" x14ac:dyDescent="0.25">
      <c r="A251" t="s">
        <v>1689</v>
      </c>
      <c r="B251" t="s">
        <v>1689</v>
      </c>
      <c r="C251" t="s">
        <v>1689</v>
      </c>
      <c r="D251" t="s">
        <v>1689</v>
      </c>
      <c r="E251" t="s">
        <v>1689</v>
      </c>
      <c r="F251" t="s">
        <v>1689</v>
      </c>
      <c r="G251" t="s">
        <v>1689</v>
      </c>
      <c r="H251" t="s">
        <v>1689</v>
      </c>
      <c r="I251" t="s">
        <v>1689</v>
      </c>
      <c r="J251" t="s">
        <v>1689</v>
      </c>
      <c r="K251" t="s">
        <v>1689</v>
      </c>
      <c r="L251" t="s">
        <v>1689</v>
      </c>
      <c r="M251" t="s">
        <v>1689</v>
      </c>
      <c r="N251" t="s">
        <v>1696</v>
      </c>
      <c r="O251" t="s">
        <v>1697</v>
      </c>
      <c r="P251" t="s">
        <v>1493</v>
      </c>
      <c r="Q251">
        <v>1</v>
      </c>
      <c r="R251">
        <v>1</v>
      </c>
      <c r="S251" t="b">
        <f t="shared" si="3"/>
        <v>1</v>
      </c>
    </row>
    <row r="252" spans="1:19" hidden="1" x14ac:dyDescent="0.25">
      <c r="A252" t="s">
        <v>1689</v>
      </c>
      <c r="B252" t="s">
        <v>1700</v>
      </c>
      <c r="C252" t="s">
        <v>1700</v>
      </c>
      <c r="D252" t="s">
        <v>1700</v>
      </c>
      <c r="E252" t="s">
        <v>1700</v>
      </c>
      <c r="F252" t="s">
        <v>1700</v>
      </c>
      <c r="G252" t="s">
        <v>1700</v>
      </c>
      <c r="H252" t="s">
        <v>1700</v>
      </c>
      <c r="I252" t="s">
        <v>1700</v>
      </c>
      <c r="J252" t="s">
        <v>1700</v>
      </c>
      <c r="K252" t="s">
        <v>1700</v>
      </c>
      <c r="L252" t="s">
        <v>1700</v>
      </c>
      <c r="M252" t="s">
        <v>1700</v>
      </c>
      <c r="N252" t="s">
        <v>1696</v>
      </c>
      <c r="O252" t="s">
        <v>1697</v>
      </c>
      <c r="P252" t="s">
        <v>1493</v>
      </c>
      <c r="Q252">
        <v>1</v>
      </c>
      <c r="R252">
        <v>1</v>
      </c>
      <c r="S252" t="b">
        <f t="shared" si="3"/>
        <v>1</v>
      </c>
    </row>
    <row r="253" spans="1:19" hidden="1" x14ac:dyDescent="0.25">
      <c r="A253" t="s">
        <v>1689</v>
      </c>
      <c r="B253" t="s">
        <v>1981</v>
      </c>
      <c r="C253" t="s">
        <v>1981</v>
      </c>
      <c r="D253" t="s">
        <v>1981</v>
      </c>
      <c r="E253" t="s">
        <v>1981</v>
      </c>
      <c r="F253" t="s">
        <v>1981</v>
      </c>
      <c r="G253" t="s">
        <v>1981</v>
      </c>
      <c r="H253" t="s">
        <v>1981</v>
      </c>
      <c r="I253" t="s">
        <v>1981</v>
      </c>
      <c r="J253" t="s">
        <v>1981</v>
      </c>
      <c r="K253" t="s">
        <v>1981</v>
      </c>
      <c r="L253" t="s">
        <v>1981</v>
      </c>
      <c r="M253" t="s">
        <v>1981</v>
      </c>
      <c r="N253" t="s">
        <v>1696</v>
      </c>
      <c r="O253" t="s">
        <v>1697</v>
      </c>
      <c r="P253" t="s">
        <v>1493</v>
      </c>
      <c r="Q253">
        <v>1</v>
      </c>
      <c r="R253">
        <v>1</v>
      </c>
      <c r="S253" t="b">
        <f t="shared" si="3"/>
        <v>1</v>
      </c>
    </row>
    <row r="254" spans="1:19" hidden="1" x14ac:dyDescent="0.25">
      <c r="A254" t="s">
        <v>1689</v>
      </c>
      <c r="B254" t="s">
        <v>1690</v>
      </c>
      <c r="C254" t="s">
        <v>1690</v>
      </c>
      <c r="D254" t="s">
        <v>1690</v>
      </c>
      <c r="E254" t="s">
        <v>1690</v>
      </c>
      <c r="F254" t="s">
        <v>1690</v>
      </c>
      <c r="G254" t="s">
        <v>1690</v>
      </c>
      <c r="H254" t="s">
        <v>1690</v>
      </c>
      <c r="I254" t="s">
        <v>1690</v>
      </c>
      <c r="J254" t="s">
        <v>1690</v>
      </c>
      <c r="K254" t="s">
        <v>1690</v>
      </c>
      <c r="L254" t="s">
        <v>1690</v>
      </c>
      <c r="M254" t="s">
        <v>1690</v>
      </c>
      <c r="N254" t="s">
        <v>1696</v>
      </c>
      <c r="O254" t="s">
        <v>1697</v>
      </c>
      <c r="P254" t="s">
        <v>1493</v>
      </c>
      <c r="Q254">
        <v>1</v>
      </c>
      <c r="R254">
        <v>1</v>
      </c>
      <c r="S254" t="b">
        <f t="shared" si="3"/>
        <v>1</v>
      </c>
    </row>
    <row r="255" spans="1:19" hidden="1" x14ac:dyDescent="0.25">
      <c r="A255" t="s">
        <v>1689</v>
      </c>
      <c r="B255" t="s">
        <v>1690</v>
      </c>
      <c r="C255" t="s">
        <v>1890</v>
      </c>
      <c r="D255" t="s">
        <v>1890</v>
      </c>
      <c r="E255" t="s">
        <v>1890</v>
      </c>
      <c r="F255" t="s">
        <v>1890</v>
      </c>
      <c r="G255" t="s">
        <v>1890</v>
      </c>
      <c r="H255" t="s">
        <v>1890</v>
      </c>
      <c r="I255" t="s">
        <v>1890</v>
      </c>
      <c r="J255" t="s">
        <v>1890</v>
      </c>
      <c r="K255" t="s">
        <v>1890</v>
      </c>
      <c r="L255" t="s">
        <v>1890</v>
      </c>
      <c r="M255" t="s">
        <v>1890</v>
      </c>
      <c r="N255" t="s">
        <v>1696</v>
      </c>
      <c r="O255" t="s">
        <v>1697</v>
      </c>
      <c r="P255" t="s">
        <v>1493</v>
      </c>
      <c r="Q255">
        <v>1</v>
      </c>
      <c r="R255">
        <v>1</v>
      </c>
      <c r="S255" t="b">
        <f t="shared" si="3"/>
        <v>1</v>
      </c>
    </row>
    <row r="256" spans="1:19" hidden="1" x14ac:dyDescent="0.25">
      <c r="A256" t="s">
        <v>1689</v>
      </c>
      <c r="B256" t="s">
        <v>1690</v>
      </c>
      <c r="C256" t="s">
        <v>1982</v>
      </c>
      <c r="D256" t="s">
        <v>1982</v>
      </c>
      <c r="E256" t="s">
        <v>1982</v>
      </c>
      <c r="F256" t="s">
        <v>1982</v>
      </c>
      <c r="G256" t="s">
        <v>1982</v>
      </c>
      <c r="H256" t="s">
        <v>1982</v>
      </c>
      <c r="I256" t="s">
        <v>1982</v>
      </c>
      <c r="J256" t="s">
        <v>1982</v>
      </c>
      <c r="K256" t="s">
        <v>1982</v>
      </c>
      <c r="L256" t="s">
        <v>1982</v>
      </c>
      <c r="M256" t="s">
        <v>1982</v>
      </c>
      <c r="N256" t="s">
        <v>1696</v>
      </c>
      <c r="O256" t="s">
        <v>1697</v>
      </c>
      <c r="P256" t="s">
        <v>1493</v>
      </c>
      <c r="Q256">
        <v>1</v>
      </c>
      <c r="R256">
        <v>1</v>
      </c>
      <c r="S256" t="b">
        <f t="shared" si="3"/>
        <v>1</v>
      </c>
    </row>
    <row r="257" spans="1:19" hidden="1" x14ac:dyDescent="0.25">
      <c r="A257" t="s">
        <v>1689</v>
      </c>
      <c r="B257" t="s">
        <v>1690</v>
      </c>
      <c r="C257" t="s">
        <v>1691</v>
      </c>
      <c r="D257" t="s">
        <v>1691</v>
      </c>
      <c r="E257" t="s">
        <v>1691</v>
      </c>
      <c r="F257" t="s">
        <v>1691</v>
      </c>
      <c r="G257" t="s">
        <v>1691</v>
      </c>
      <c r="H257" t="s">
        <v>1691</v>
      </c>
      <c r="I257" t="s">
        <v>1691</v>
      </c>
      <c r="J257" t="s">
        <v>1691</v>
      </c>
      <c r="K257" t="s">
        <v>1691</v>
      </c>
      <c r="L257" t="s">
        <v>1691</v>
      </c>
      <c r="M257" t="s">
        <v>1691</v>
      </c>
      <c r="N257" t="s">
        <v>1696</v>
      </c>
      <c r="O257" t="s">
        <v>1697</v>
      </c>
      <c r="P257" t="s">
        <v>1493</v>
      </c>
      <c r="Q257">
        <v>1</v>
      </c>
      <c r="R257">
        <v>1</v>
      </c>
      <c r="S257" t="b">
        <f t="shared" si="3"/>
        <v>1</v>
      </c>
    </row>
    <row r="258" spans="1:19" hidden="1" x14ac:dyDescent="0.25">
      <c r="A258" t="s">
        <v>1689</v>
      </c>
      <c r="B258" t="s">
        <v>1690</v>
      </c>
      <c r="C258" t="s">
        <v>1983</v>
      </c>
      <c r="D258" t="s">
        <v>1983</v>
      </c>
      <c r="E258" t="s">
        <v>1983</v>
      </c>
      <c r="F258" t="s">
        <v>1983</v>
      </c>
      <c r="G258" t="s">
        <v>1983</v>
      </c>
      <c r="H258" t="s">
        <v>1983</v>
      </c>
      <c r="I258" t="s">
        <v>1983</v>
      </c>
      <c r="J258" t="s">
        <v>1983</v>
      </c>
      <c r="K258" t="s">
        <v>1983</v>
      </c>
      <c r="L258" t="s">
        <v>1983</v>
      </c>
      <c r="M258" t="s">
        <v>1983</v>
      </c>
      <c r="N258" t="s">
        <v>1696</v>
      </c>
      <c r="O258" t="s">
        <v>1697</v>
      </c>
      <c r="P258" t="s">
        <v>1493</v>
      </c>
      <c r="Q258">
        <v>1</v>
      </c>
      <c r="R258">
        <v>1</v>
      </c>
      <c r="S258" t="b">
        <f t="shared" si="3"/>
        <v>1</v>
      </c>
    </row>
    <row r="259" spans="1:19" hidden="1" x14ac:dyDescent="0.25">
      <c r="A259" t="s">
        <v>1689</v>
      </c>
      <c r="B259" t="s">
        <v>1690</v>
      </c>
      <c r="C259" t="s">
        <v>1967</v>
      </c>
      <c r="D259" t="s">
        <v>1967</v>
      </c>
      <c r="E259" t="s">
        <v>1967</v>
      </c>
      <c r="F259" t="s">
        <v>1967</v>
      </c>
      <c r="G259" t="s">
        <v>1967</v>
      </c>
      <c r="H259" t="s">
        <v>1967</v>
      </c>
      <c r="I259" t="s">
        <v>1967</v>
      </c>
      <c r="J259" t="s">
        <v>1967</v>
      </c>
      <c r="K259" t="s">
        <v>1967</v>
      </c>
      <c r="L259" t="s">
        <v>1967</v>
      </c>
      <c r="M259" t="s">
        <v>1967</v>
      </c>
      <c r="N259" t="s">
        <v>1696</v>
      </c>
      <c r="O259" t="s">
        <v>1697</v>
      </c>
      <c r="P259" t="s">
        <v>1493</v>
      </c>
      <c r="Q259">
        <v>1</v>
      </c>
      <c r="R259">
        <v>1</v>
      </c>
      <c r="S259" t="b">
        <f t="shared" ref="S259:S322" si="4">H259=M259</f>
        <v>1</v>
      </c>
    </row>
    <row r="260" spans="1:19" hidden="1" x14ac:dyDescent="0.25">
      <c r="A260" t="s">
        <v>1689</v>
      </c>
      <c r="B260" t="s">
        <v>1690</v>
      </c>
      <c r="C260" t="s">
        <v>1869</v>
      </c>
      <c r="D260" t="s">
        <v>1869</v>
      </c>
      <c r="E260" t="s">
        <v>1869</v>
      </c>
      <c r="F260" t="s">
        <v>1869</v>
      </c>
      <c r="G260" t="s">
        <v>1869</v>
      </c>
      <c r="H260" t="s">
        <v>1869</v>
      </c>
      <c r="I260" t="s">
        <v>1869</v>
      </c>
      <c r="J260" t="s">
        <v>1869</v>
      </c>
      <c r="K260" t="s">
        <v>1869</v>
      </c>
      <c r="L260" t="s">
        <v>1869</v>
      </c>
      <c r="M260" t="s">
        <v>1869</v>
      </c>
      <c r="N260" t="s">
        <v>1696</v>
      </c>
      <c r="O260" t="s">
        <v>1697</v>
      </c>
      <c r="P260" t="s">
        <v>1493</v>
      </c>
      <c r="Q260">
        <v>1</v>
      </c>
      <c r="R260">
        <v>1</v>
      </c>
      <c r="S260" t="b">
        <f t="shared" si="4"/>
        <v>1</v>
      </c>
    </row>
    <row r="261" spans="1:19" hidden="1" x14ac:dyDescent="0.25">
      <c r="A261" t="s">
        <v>1689</v>
      </c>
      <c r="B261" t="s">
        <v>1690</v>
      </c>
      <c r="C261" t="s">
        <v>1902</v>
      </c>
      <c r="D261" t="s">
        <v>1902</v>
      </c>
      <c r="E261" t="s">
        <v>1902</v>
      </c>
      <c r="F261" t="s">
        <v>1902</v>
      </c>
      <c r="G261" t="s">
        <v>1902</v>
      </c>
      <c r="H261" t="s">
        <v>1902</v>
      </c>
      <c r="I261" t="s">
        <v>1902</v>
      </c>
      <c r="J261" t="s">
        <v>1902</v>
      </c>
      <c r="K261" t="s">
        <v>1902</v>
      </c>
      <c r="L261" t="s">
        <v>1902</v>
      </c>
      <c r="M261" t="s">
        <v>1902</v>
      </c>
      <c r="N261" t="s">
        <v>1696</v>
      </c>
      <c r="O261" t="s">
        <v>1697</v>
      </c>
      <c r="P261" t="s">
        <v>1493</v>
      </c>
      <c r="Q261">
        <v>1</v>
      </c>
      <c r="R261">
        <v>1</v>
      </c>
      <c r="S261" t="b">
        <f t="shared" si="4"/>
        <v>1</v>
      </c>
    </row>
    <row r="262" spans="1:19" hidden="1" x14ac:dyDescent="0.25">
      <c r="A262" t="s">
        <v>1689</v>
      </c>
      <c r="B262" t="s">
        <v>1690</v>
      </c>
      <c r="C262" t="s">
        <v>1914</v>
      </c>
      <c r="D262" t="s">
        <v>1914</v>
      </c>
      <c r="E262" t="s">
        <v>1914</v>
      </c>
      <c r="F262" t="s">
        <v>1914</v>
      </c>
      <c r="G262" t="s">
        <v>1914</v>
      </c>
      <c r="H262" t="s">
        <v>1914</v>
      </c>
      <c r="I262" t="s">
        <v>1914</v>
      </c>
      <c r="J262" t="s">
        <v>1914</v>
      </c>
      <c r="K262" t="s">
        <v>1914</v>
      </c>
      <c r="L262" t="s">
        <v>1914</v>
      </c>
      <c r="M262" t="s">
        <v>1914</v>
      </c>
      <c r="N262" t="s">
        <v>1696</v>
      </c>
      <c r="O262" t="s">
        <v>1697</v>
      </c>
      <c r="P262" t="s">
        <v>1493</v>
      </c>
      <c r="Q262">
        <v>1</v>
      </c>
      <c r="R262">
        <v>1</v>
      </c>
      <c r="S262" t="b">
        <f t="shared" si="4"/>
        <v>1</v>
      </c>
    </row>
    <row r="263" spans="1:19" hidden="1" x14ac:dyDescent="0.25">
      <c r="A263" t="s">
        <v>1689</v>
      </c>
      <c r="B263" t="s">
        <v>1690</v>
      </c>
      <c r="C263" t="s">
        <v>1984</v>
      </c>
      <c r="D263" t="s">
        <v>1984</v>
      </c>
      <c r="E263" t="s">
        <v>1984</v>
      </c>
      <c r="F263" t="s">
        <v>1984</v>
      </c>
      <c r="G263" t="s">
        <v>1984</v>
      </c>
      <c r="H263" t="s">
        <v>1984</v>
      </c>
      <c r="I263" t="s">
        <v>1984</v>
      </c>
      <c r="J263" t="s">
        <v>1984</v>
      </c>
      <c r="K263" t="s">
        <v>1984</v>
      </c>
      <c r="L263" t="s">
        <v>1984</v>
      </c>
      <c r="M263" t="s">
        <v>1984</v>
      </c>
      <c r="N263" t="s">
        <v>1696</v>
      </c>
      <c r="O263" t="s">
        <v>1697</v>
      </c>
      <c r="P263" t="s">
        <v>1493</v>
      </c>
      <c r="Q263">
        <v>1</v>
      </c>
      <c r="R263">
        <v>1</v>
      </c>
      <c r="S263" t="b">
        <f t="shared" si="4"/>
        <v>1</v>
      </c>
    </row>
    <row r="264" spans="1:19" hidden="1" x14ac:dyDescent="0.25">
      <c r="A264" t="s">
        <v>1689</v>
      </c>
      <c r="B264" t="s">
        <v>1690</v>
      </c>
      <c r="C264" t="s">
        <v>1985</v>
      </c>
      <c r="D264" t="s">
        <v>1985</v>
      </c>
      <c r="E264" t="s">
        <v>1985</v>
      </c>
      <c r="F264" t="s">
        <v>1985</v>
      </c>
      <c r="G264" t="s">
        <v>1985</v>
      </c>
      <c r="H264" t="s">
        <v>1985</v>
      </c>
      <c r="I264" t="s">
        <v>1985</v>
      </c>
      <c r="J264" t="s">
        <v>1985</v>
      </c>
      <c r="K264" t="s">
        <v>1985</v>
      </c>
      <c r="L264" t="s">
        <v>1985</v>
      </c>
      <c r="M264" t="s">
        <v>1985</v>
      </c>
      <c r="N264" t="s">
        <v>1696</v>
      </c>
      <c r="O264" t="s">
        <v>1697</v>
      </c>
      <c r="P264" t="s">
        <v>1493</v>
      </c>
      <c r="Q264">
        <v>1</v>
      </c>
      <c r="R264">
        <v>1</v>
      </c>
      <c r="S264" t="b">
        <f t="shared" si="4"/>
        <v>1</v>
      </c>
    </row>
    <row r="265" spans="1:19" hidden="1" x14ac:dyDescent="0.25">
      <c r="A265" t="s">
        <v>1689</v>
      </c>
      <c r="B265" t="s">
        <v>1690</v>
      </c>
      <c r="C265" t="s">
        <v>1986</v>
      </c>
      <c r="D265" t="s">
        <v>1986</v>
      </c>
      <c r="E265" t="s">
        <v>1986</v>
      </c>
      <c r="F265" t="s">
        <v>1986</v>
      </c>
      <c r="G265" t="s">
        <v>1986</v>
      </c>
      <c r="H265" t="s">
        <v>1986</v>
      </c>
      <c r="I265" t="s">
        <v>1986</v>
      </c>
      <c r="J265" t="s">
        <v>1986</v>
      </c>
      <c r="K265" t="s">
        <v>1986</v>
      </c>
      <c r="L265" t="s">
        <v>1986</v>
      </c>
      <c r="M265" t="s">
        <v>1986</v>
      </c>
      <c r="N265" t="s">
        <v>1696</v>
      </c>
      <c r="O265" t="s">
        <v>1697</v>
      </c>
      <c r="P265" t="s">
        <v>1493</v>
      </c>
      <c r="Q265">
        <v>1</v>
      </c>
      <c r="R265">
        <v>1</v>
      </c>
      <c r="S265" t="b">
        <f t="shared" si="4"/>
        <v>1</v>
      </c>
    </row>
    <row r="266" spans="1:19" hidden="1" x14ac:dyDescent="0.25">
      <c r="A266" t="s">
        <v>1689</v>
      </c>
      <c r="B266" t="s">
        <v>1690</v>
      </c>
      <c r="C266" t="s">
        <v>1987</v>
      </c>
      <c r="D266" t="s">
        <v>1987</v>
      </c>
      <c r="E266" t="s">
        <v>1987</v>
      </c>
      <c r="F266" t="s">
        <v>1987</v>
      </c>
      <c r="G266" t="s">
        <v>1987</v>
      </c>
      <c r="H266" t="s">
        <v>1987</v>
      </c>
      <c r="I266" t="s">
        <v>1987</v>
      </c>
      <c r="J266" t="s">
        <v>1987</v>
      </c>
      <c r="K266" t="s">
        <v>1987</v>
      </c>
      <c r="L266" t="s">
        <v>1987</v>
      </c>
      <c r="M266" t="s">
        <v>1987</v>
      </c>
      <c r="N266" t="s">
        <v>1696</v>
      </c>
      <c r="O266" t="s">
        <v>1697</v>
      </c>
      <c r="P266" t="s">
        <v>1493</v>
      </c>
      <c r="Q266">
        <v>1</v>
      </c>
      <c r="R266">
        <v>1</v>
      </c>
      <c r="S266" t="b">
        <f t="shared" si="4"/>
        <v>1</v>
      </c>
    </row>
    <row r="267" spans="1:19" hidden="1" x14ac:dyDescent="0.25">
      <c r="A267" t="s">
        <v>1689</v>
      </c>
      <c r="B267" t="s">
        <v>1690</v>
      </c>
      <c r="C267" t="s">
        <v>1988</v>
      </c>
      <c r="D267" t="s">
        <v>1988</v>
      </c>
      <c r="E267" t="s">
        <v>1988</v>
      </c>
      <c r="F267" t="s">
        <v>1988</v>
      </c>
      <c r="G267" t="s">
        <v>1988</v>
      </c>
      <c r="H267" t="s">
        <v>1988</v>
      </c>
      <c r="I267" t="s">
        <v>1988</v>
      </c>
      <c r="J267" t="s">
        <v>1988</v>
      </c>
      <c r="K267" t="s">
        <v>1988</v>
      </c>
      <c r="L267" t="s">
        <v>1988</v>
      </c>
      <c r="M267" t="s">
        <v>1988</v>
      </c>
      <c r="N267" t="s">
        <v>1696</v>
      </c>
      <c r="O267" t="s">
        <v>1697</v>
      </c>
      <c r="P267" t="s">
        <v>1493</v>
      </c>
      <c r="Q267">
        <v>1</v>
      </c>
      <c r="R267">
        <v>1</v>
      </c>
      <c r="S267" t="b">
        <f t="shared" si="4"/>
        <v>1</v>
      </c>
    </row>
    <row r="268" spans="1:19" hidden="1" x14ac:dyDescent="0.25">
      <c r="A268" t="s">
        <v>1689</v>
      </c>
      <c r="B268" t="s">
        <v>1690</v>
      </c>
      <c r="C268" t="s">
        <v>1860</v>
      </c>
      <c r="D268" t="s">
        <v>1860</v>
      </c>
      <c r="E268" t="s">
        <v>1860</v>
      </c>
      <c r="F268" t="s">
        <v>1860</v>
      </c>
      <c r="G268" t="s">
        <v>1860</v>
      </c>
      <c r="H268" t="s">
        <v>1860</v>
      </c>
      <c r="I268" t="s">
        <v>1860</v>
      </c>
      <c r="J268" t="s">
        <v>1860</v>
      </c>
      <c r="K268" t="s">
        <v>1860</v>
      </c>
      <c r="L268" t="s">
        <v>1860</v>
      </c>
      <c r="M268" t="s">
        <v>1860</v>
      </c>
      <c r="N268" t="s">
        <v>1696</v>
      </c>
      <c r="O268" t="s">
        <v>1697</v>
      </c>
      <c r="P268" t="s">
        <v>1493</v>
      </c>
      <c r="Q268">
        <v>1</v>
      </c>
      <c r="R268">
        <v>1</v>
      </c>
      <c r="S268" t="b">
        <f t="shared" si="4"/>
        <v>1</v>
      </c>
    </row>
    <row r="269" spans="1:19" hidden="1" x14ac:dyDescent="0.25">
      <c r="A269" t="s">
        <v>1689</v>
      </c>
      <c r="B269" t="s">
        <v>1690</v>
      </c>
      <c r="C269" t="s">
        <v>1989</v>
      </c>
      <c r="D269" t="s">
        <v>1989</v>
      </c>
      <c r="E269" t="s">
        <v>1989</v>
      </c>
      <c r="F269" t="s">
        <v>1989</v>
      </c>
      <c r="G269" t="s">
        <v>1989</v>
      </c>
      <c r="H269" t="s">
        <v>1989</v>
      </c>
      <c r="I269" t="s">
        <v>1989</v>
      </c>
      <c r="J269" t="s">
        <v>1989</v>
      </c>
      <c r="K269" t="s">
        <v>1989</v>
      </c>
      <c r="L269" t="s">
        <v>1989</v>
      </c>
      <c r="M269" t="s">
        <v>1989</v>
      </c>
      <c r="N269" t="s">
        <v>1696</v>
      </c>
      <c r="O269" t="s">
        <v>1697</v>
      </c>
      <c r="P269" t="s">
        <v>1493</v>
      </c>
      <c r="Q269">
        <v>1</v>
      </c>
      <c r="R269">
        <v>1</v>
      </c>
      <c r="S269" t="b">
        <f t="shared" si="4"/>
        <v>1</v>
      </c>
    </row>
    <row r="270" spans="1:19" hidden="1" x14ac:dyDescent="0.25">
      <c r="A270" t="s">
        <v>1689</v>
      </c>
      <c r="B270" t="s">
        <v>1690</v>
      </c>
      <c r="C270" t="s">
        <v>1990</v>
      </c>
      <c r="D270" t="s">
        <v>1990</v>
      </c>
      <c r="E270" t="s">
        <v>1990</v>
      </c>
      <c r="F270" t="s">
        <v>1990</v>
      </c>
      <c r="G270" t="s">
        <v>1990</v>
      </c>
      <c r="H270" t="s">
        <v>1990</v>
      </c>
      <c r="I270" t="s">
        <v>1990</v>
      </c>
      <c r="J270" t="s">
        <v>1990</v>
      </c>
      <c r="K270" t="s">
        <v>1990</v>
      </c>
      <c r="L270" t="s">
        <v>1990</v>
      </c>
      <c r="M270" t="s">
        <v>1990</v>
      </c>
      <c r="N270" t="s">
        <v>1696</v>
      </c>
      <c r="O270" t="s">
        <v>1697</v>
      </c>
      <c r="P270" t="s">
        <v>1493</v>
      </c>
      <c r="Q270">
        <v>1</v>
      </c>
      <c r="R270">
        <v>1</v>
      </c>
      <c r="S270" t="b">
        <f t="shared" si="4"/>
        <v>1</v>
      </c>
    </row>
    <row r="271" spans="1:19" hidden="1" x14ac:dyDescent="0.25">
      <c r="A271" t="s">
        <v>1689</v>
      </c>
      <c r="B271" t="s">
        <v>1690</v>
      </c>
      <c r="C271" t="s">
        <v>1856</v>
      </c>
      <c r="D271" t="s">
        <v>1856</v>
      </c>
      <c r="E271" t="s">
        <v>1856</v>
      </c>
      <c r="F271" t="s">
        <v>1856</v>
      </c>
      <c r="G271" t="s">
        <v>1856</v>
      </c>
      <c r="H271" t="s">
        <v>1856</v>
      </c>
      <c r="I271" t="s">
        <v>1856</v>
      </c>
      <c r="J271" t="s">
        <v>1856</v>
      </c>
      <c r="K271" t="s">
        <v>1856</v>
      </c>
      <c r="L271" t="s">
        <v>1856</v>
      </c>
      <c r="M271" t="s">
        <v>1856</v>
      </c>
      <c r="N271" t="s">
        <v>1696</v>
      </c>
      <c r="O271" t="s">
        <v>1697</v>
      </c>
      <c r="P271" t="s">
        <v>1493</v>
      </c>
      <c r="Q271">
        <v>1</v>
      </c>
      <c r="R271">
        <v>1</v>
      </c>
      <c r="S271" t="b">
        <f t="shared" si="4"/>
        <v>1</v>
      </c>
    </row>
    <row r="272" spans="1:19" hidden="1" x14ac:dyDescent="0.25">
      <c r="A272" t="s">
        <v>1689</v>
      </c>
      <c r="B272" t="s">
        <v>1981</v>
      </c>
      <c r="C272" t="s">
        <v>1991</v>
      </c>
      <c r="D272" t="s">
        <v>1991</v>
      </c>
      <c r="E272" t="s">
        <v>1991</v>
      </c>
      <c r="F272" t="s">
        <v>1991</v>
      </c>
      <c r="G272" t="s">
        <v>1991</v>
      </c>
      <c r="H272" t="s">
        <v>1991</v>
      </c>
      <c r="I272" t="s">
        <v>1991</v>
      </c>
      <c r="J272" t="s">
        <v>1991</v>
      </c>
      <c r="K272" t="s">
        <v>1991</v>
      </c>
      <c r="L272" t="s">
        <v>1991</v>
      </c>
      <c r="M272" t="s">
        <v>1991</v>
      </c>
      <c r="N272" t="s">
        <v>1696</v>
      </c>
      <c r="O272" t="s">
        <v>1697</v>
      </c>
      <c r="P272" t="s">
        <v>1493</v>
      </c>
      <c r="Q272">
        <v>1</v>
      </c>
      <c r="R272">
        <v>1</v>
      </c>
      <c r="S272" t="b">
        <f t="shared" si="4"/>
        <v>1</v>
      </c>
    </row>
    <row r="273" spans="1:19" hidden="1" x14ac:dyDescent="0.25">
      <c r="A273" t="s">
        <v>1689</v>
      </c>
      <c r="B273" t="s">
        <v>1981</v>
      </c>
      <c r="C273" t="s">
        <v>1992</v>
      </c>
      <c r="D273" t="s">
        <v>1992</v>
      </c>
      <c r="E273" t="s">
        <v>1992</v>
      </c>
      <c r="F273" t="s">
        <v>1992</v>
      </c>
      <c r="G273" t="s">
        <v>1992</v>
      </c>
      <c r="H273" t="s">
        <v>1992</v>
      </c>
      <c r="I273" t="s">
        <v>1992</v>
      </c>
      <c r="J273" t="s">
        <v>1992</v>
      </c>
      <c r="K273" t="s">
        <v>1992</v>
      </c>
      <c r="L273" t="s">
        <v>1992</v>
      </c>
      <c r="M273" t="s">
        <v>1992</v>
      </c>
      <c r="N273" t="s">
        <v>1696</v>
      </c>
      <c r="O273" t="s">
        <v>1697</v>
      </c>
      <c r="P273" t="s">
        <v>1493</v>
      </c>
      <c r="Q273">
        <v>1</v>
      </c>
      <c r="R273">
        <v>1</v>
      </c>
      <c r="S273" t="b">
        <f t="shared" si="4"/>
        <v>1</v>
      </c>
    </row>
    <row r="274" spans="1:19" hidden="1" x14ac:dyDescent="0.25">
      <c r="A274" t="s">
        <v>1689</v>
      </c>
      <c r="B274" t="s">
        <v>1981</v>
      </c>
      <c r="C274" t="s">
        <v>1993</v>
      </c>
      <c r="D274" t="s">
        <v>1993</v>
      </c>
      <c r="E274" t="s">
        <v>1993</v>
      </c>
      <c r="F274" t="s">
        <v>1993</v>
      </c>
      <c r="G274" t="s">
        <v>1993</v>
      </c>
      <c r="H274" t="s">
        <v>1993</v>
      </c>
      <c r="I274" t="s">
        <v>1993</v>
      </c>
      <c r="J274" t="s">
        <v>1993</v>
      </c>
      <c r="K274" t="s">
        <v>1993</v>
      </c>
      <c r="L274" t="s">
        <v>1993</v>
      </c>
      <c r="M274" t="s">
        <v>1993</v>
      </c>
      <c r="N274" t="s">
        <v>1696</v>
      </c>
      <c r="O274" t="s">
        <v>1697</v>
      </c>
      <c r="P274" t="s">
        <v>1493</v>
      </c>
      <c r="Q274">
        <v>1</v>
      </c>
      <c r="R274">
        <v>1</v>
      </c>
      <c r="S274" t="b">
        <f t="shared" si="4"/>
        <v>1</v>
      </c>
    </row>
    <row r="275" spans="1:19" hidden="1" x14ac:dyDescent="0.25">
      <c r="A275" t="s">
        <v>1689</v>
      </c>
      <c r="B275" t="s">
        <v>1981</v>
      </c>
      <c r="C275" t="s">
        <v>1994</v>
      </c>
      <c r="D275" t="s">
        <v>1994</v>
      </c>
      <c r="E275" t="s">
        <v>1994</v>
      </c>
      <c r="F275" t="s">
        <v>1994</v>
      </c>
      <c r="G275" t="s">
        <v>1994</v>
      </c>
      <c r="H275" t="s">
        <v>1994</v>
      </c>
      <c r="I275" t="s">
        <v>1994</v>
      </c>
      <c r="J275" t="s">
        <v>1994</v>
      </c>
      <c r="K275" t="s">
        <v>1994</v>
      </c>
      <c r="L275" t="s">
        <v>1994</v>
      </c>
      <c r="M275" t="s">
        <v>1994</v>
      </c>
      <c r="N275" t="s">
        <v>1696</v>
      </c>
      <c r="O275" t="s">
        <v>1697</v>
      </c>
      <c r="P275" t="s">
        <v>1493</v>
      </c>
      <c r="Q275">
        <v>1</v>
      </c>
      <c r="R275">
        <v>1</v>
      </c>
      <c r="S275" t="b">
        <f t="shared" si="4"/>
        <v>1</v>
      </c>
    </row>
    <row r="276" spans="1:19" hidden="1" x14ac:dyDescent="0.25">
      <c r="A276" t="s">
        <v>1689</v>
      </c>
      <c r="B276" t="s">
        <v>1981</v>
      </c>
      <c r="C276" t="s">
        <v>1995</v>
      </c>
      <c r="D276" t="s">
        <v>1995</v>
      </c>
      <c r="E276" t="s">
        <v>1995</v>
      </c>
      <c r="F276" t="s">
        <v>1995</v>
      </c>
      <c r="G276" t="s">
        <v>1995</v>
      </c>
      <c r="H276" t="s">
        <v>1995</v>
      </c>
      <c r="I276" t="s">
        <v>1995</v>
      </c>
      <c r="J276" t="s">
        <v>1995</v>
      </c>
      <c r="K276" t="s">
        <v>1995</v>
      </c>
      <c r="L276" t="s">
        <v>1995</v>
      </c>
      <c r="M276" t="s">
        <v>1995</v>
      </c>
      <c r="N276" t="s">
        <v>1696</v>
      </c>
      <c r="O276" t="s">
        <v>1697</v>
      </c>
      <c r="P276" t="s">
        <v>1493</v>
      </c>
      <c r="Q276">
        <v>1</v>
      </c>
      <c r="R276">
        <v>1</v>
      </c>
      <c r="S276" t="b">
        <f t="shared" si="4"/>
        <v>1</v>
      </c>
    </row>
    <row r="277" spans="1:19" hidden="1" x14ac:dyDescent="0.25">
      <c r="A277" t="s">
        <v>1689</v>
      </c>
      <c r="B277" t="s">
        <v>1981</v>
      </c>
      <c r="C277" t="s">
        <v>1996</v>
      </c>
      <c r="D277" t="s">
        <v>1996</v>
      </c>
      <c r="E277" t="s">
        <v>1996</v>
      </c>
      <c r="F277" t="s">
        <v>1996</v>
      </c>
      <c r="G277" t="s">
        <v>1996</v>
      </c>
      <c r="H277" t="s">
        <v>1996</v>
      </c>
      <c r="I277" t="s">
        <v>1996</v>
      </c>
      <c r="J277" t="s">
        <v>1996</v>
      </c>
      <c r="K277" t="s">
        <v>1996</v>
      </c>
      <c r="L277" t="s">
        <v>1996</v>
      </c>
      <c r="M277" t="s">
        <v>1996</v>
      </c>
      <c r="N277" t="s">
        <v>1696</v>
      </c>
      <c r="O277" t="s">
        <v>1697</v>
      </c>
      <c r="P277" t="s">
        <v>1493</v>
      </c>
      <c r="Q277">
        <v>1</v>
      </c>
      <c r="R277">
        <v>1</v>
      </c>
      <c r="S277" t="b">
        <f t="shared" si="4"/>
        <v>1</v>
      </c>
    </row>
    <row r="278" spans="1:19" hidden="1" x14ac:dyDescent="0.25">
      <c r="A278" t="s">
        <v>1689</v>
      </c>
      <c r="B278" t="s">
        <v>1981</v>
      </c>
      <c r="C278" t="s">
        <v>1997</v>
      </c>
      <c r="D278" t="s">
        <v>1997</v>
      </c>
      <c r="E278" t="s">
        <v>1997</v>
      </c>
      <c r="F278" t="s">
        <v>1997</v>
      </c>
      <c r="G278" t="s">
        <v>1997</v>
      </c>
      <c r="H278" t="s">
        <v>1997</v>
      </c>
      <c r="I278" t="s">
        <v>1997</v>
      </c>
      <c r="J278" t="s">
        <v>1997</v>
      </c>
      <c r="K278" t="s">
        <v>1997</v>
      </c>
      <c r="L278" t="s">
        <v>1997</v>
      </c>
      <c r="M278" t="s">
        <v>1997</v>
      </c>
      <c r="N278" t="s">
        <v>1696</v>
      </c>
      <c r="O278" t="s">
        <v>1697</v>
      </c>
      <c r="P278" t="s">
        <v>1493</v>
      </c>
      <c r="Q278">
        <v>1</v>
      </c>
      <c r="R278">
        <v>1</v>
      </c>
      <c r="S278" t="b">
        <f t="shared" si="4"/>
        <v>1</v>
      </c>
    </row>
    <row r="279" spans="1:19" hidden="1" x14ac:dyDescent="0.25">
      <c r="A279" t="s">
        <v>1689</v>
      </c>
      <c r="B279" t="s">
        <v>1981</v>
      </c>
      <c r="C279" t="s">
        <v>1998</v>
      </c>
      <c r="D279" t="s">
        <v>1998</v>
      </c>
      <c r="E279" t="s">
        <v>1998</v>
      </c>
      <c r="F279" t="s">
        <v>1998</v>
      </c>
      <c r="G279" t="s">
        <v>1998</v>
      </c>
      <c r="H279" t="s">
        <v>1998</v>
      </c>
      <c r="I279" t="s">
        <v>1998</v>
      </c>
      <c r="J279" t="s">
        <v>1998</v>
      </c>
      <c r="K279" t="s">
        <v>1998</v>
      </c>
      <c r="L279" t="s">
        <v>1998</v>
      </c>
      <c r="M279" t="s">
        <v>1998</v>
      </c>
      <c r="N279" t="s">
        <v>1696</v>
      </c>
      <c r="O279" t="s">
        <v>1697</v>
      </c>
      <c r="P279" t="s">
        <v>1493</v>
      </c>
      <c r="Q279">
        <v>1</v>
      </c>
      <c r="R279">
        <v>1</v>
      </c>
      <c r="S279" t="b">
        <f t="shared" si="4"/>
        <v>1</v>
      </c>
    </row>
    <row r="280" spans="1:19" hidden="1" x14ac:dyDescent="0.25">
      <c r="A280" t="s">
        <v>1689</v>
      </c>
      <c r="B280" t="s">
        <v>1981</v>
      </c>
      <c r="C280" t="s">
        <v>1999</v>
      </c>
      <c r="D280" t="s">
        <v>1999</v>
      </c>
      <c r="E280" t="s">
        <v>1999</v>
      </c>
      <c r="F280" t="s">
        <v>1999</v>
      </c>
      <c r="G280" t="s">
        <v>1999</v>
      </c>
      <c r="H280" t="s">
        <v>1999</v>
      </c>
      <c r="I280" t="s">
        <v>1999</v>
      </c>
      <c r="J280" t="s">
        <v>1999</v>
      </c>
      <c r="K280" t="s">
        <v>1999</v>
      </c>
      <c r="L280" t="s">
        <v>1999</v>
      </c>
      <c r="M280" t="s">
        <v>1999</v>
      </c>
      <c r="N280" t="s">
        <v>1696</v>
      </c>
      <c r="O280" t="s">
        <v>1697</v>
      </c>
      <c r="P280" t="s">
        <v>1493</v>
      </c>
      <c r="Q280">
        <v>1</v>
      </c>
      <c r="R280">
        <v>1</v>
      </c>
      <c r="S280" t="b">
        <f t="shared" si="4"/>
        <v>1</v>
      </c>
    </row>
    <row r="281" spans="1:19" hidden="1" x14ac:dyDescent="0.25">
      <c r="A281" t="s">
        <v>1689</v>
      </c>
      <c r="B281" t="s">
        <v>1981</v>
      </c>
      <c r="C281" t="s">
        <v>2000</v>
      </c>
      <c r="D281" t="s">
        <v>2000</v>
      </c>
      <c r="E281" t="s">
        <v>2000</v>
      </c>
      <c r="F281" t="s">
        <v>2000</v>
      </c>
      <c r="G281" t="s">
        <v>2000</v>
      </c>
      <c r="H281" t="s">
        <v>2000</v>
      </c>
      <c r="I281" t="s">
        <v>2000</v>
      </c>
      <c r="J281" t="s">
        <v>2000</v>
      </c>
      <c r="K281" t="s">
        <v>2000</v>
      </c>
      <c r="L281" t="s">
        <v>2000</v>
      </c>
      <c r="M281" t="s">
        <v>2000</v>
      </c>
      <c r="N281" t="s">
        <v>1696</v>
      </c>
      <c r="O281" t="s">
        <v>1697</v>
      </c>
      <c r="P281" t="s">
        <v>1493</v>
      </c>
      <c r="Q281">
        <v>1</v>
      </c>
      <c r="R281">
        <v>1</v>
      </c>
      <c r="S281" t="b">
        <f t="shared" si="4"/>
        <v>1</v>
      </c>
    </row>
    <row r="282" spans="1:19" hidden="1" x14ac:dyDescent="0.25">
      <c r="A282" t="s">
        <v>1689</v>
      </c>
      <c r="B282" t="s">
        <v>1981</v>
      </c>
      <c r="C282" t="s">
        <v>2001</v>
      </c>
      <c r="D282" t="s">
        <v>2001</v>
      </c>
      <c r="E282" t="s">
        <v>2001</v>
      </c>
      <c r="F282" t="s">
        <v>2001</v>
      </c>
      <c r="G282" t="s">
        <v>2001</v>
      </c>
      <c r="H282" t="s">
        <v>2001</v>
      </c>
      <c r="I282" t="s">
        <v>2001</v>
      </c>
      <c r="J282" t="s">
        <v>2001</v>
      </c>
      <c r="K282" t="s">
        <v>2001</v>
      </c>
      <c r="L282" t="s">
        <v>2001</v>
      </c>
      <c r="M282" t="s">
        <v>2001</v>
      </c>
      <c r="N282" t="s">
        <v>1696</v>
      </c>
      <c r="O282" t="s">
        <v>1697</v>
      </c>
      <c r="P282" t="s">
        <v>1493</v>
      </c>
      <c r="Q282">
        <v>1</v>
      </c>
      <c r="R282">
        <v>1</v>
      </c>
      <c r="S282" t="b">
        <f t="shared" si="4"/>
        <v>1</v>
      </c>
    </row>
    <row r="283" spans="1:19" hidden="1" x14ac:dyDescent="0.25">
      <c r="A283" t="s">
        <v>1689</v>
      </c>
      <c r="B283" t="s">
        <v>1981</v>
      </c>
      <c r="C283" t="s">
        <v>2002</v>
      </c>
      <c r="D283" t="s">
        <v>2002</v>
      </c>
      <c r="E283" t="s">
        <v>2002</v>
      </c>
      <c r="F283" t="s">
        <v>2002</v>
      </c>
      <c r="G283" t="s">
        <v>2002</v>
      </c>
      <c r="H283" t="s">
        <v>2002</v>
      </c>
      <c r="I283" t="s">
        <v>2002</v>
      </c>
      <c r="J283" t="s">
        <v>2002</v>
      </c>
      <c r="K283" t="s">
        <v>2002</v>
      </c>
      <c r="L283" t="s">
        <v>2002</v>
      </c>
      <c r="M283" t="s">
        <v>2002</v>
      </c>
      <c r="N283" t="s">
        <v>1696</v>
      </c>
      <c r="O283" t="s">
        <v>1697</v>
      </c>
      <c r="P283" t="s">
        <v>1493</v>
      </c>
      <c r="Q283">
        <v>1</v>
      </c>
      <c r="R283">
        <v>1</v>
      </c>
      <c r="S283" t="b">
        <f t="shared" si="4"/>
        <v>1</v>
      </c>
    </row>
    <row r="284" spans="1:19" hidden="1" x14ac:dyDescent="0.25">
      <c r="A284" t="s">
        <v>1689</v>
      </c>
      <c r="B284" t="s">
        <v>1690</v>
      </c>
      <c r="C284" t="s">
        <v>1869</v>
      </c>
      <c r="D284" t="s">
        <v>1870</v>
      </c>
      <c r="E284" t="s">
        <v>1870</v>
      </c>
      <c r="F284" t="s">
        <v>1870</v>
      </c>
      <c r="G284" t="s">
        <v>1870</v>
      </c>
      <c r="H284" t="s">
        <v>1870</v>
      </c>
      <c r="I284" t="s">
        <v>1870</v>
      </c>
      <c r="J284" t="s">
        <v>1870</v>
      </c>
      <c r="K284" t="s">
        <v>1870</v>
      </c>
      <c r="L284" t="s">
        <v>1870</v>
      </c>
      <c r="M284" t="s">
        <v>1870</v>
      </c>
      <c r="N284" t="s">
        <v>1696</v>
      </c>
      <c r="O284" t="s">
        <v>1697</v>
      </c>
      <c r="P284" t="s">
        <v>1493</v>
      </c>
      <c r="Q284">
        <v>1</v>
      </c>
      <c r="R284">
        <v>1</v>
      </c>
      <c r="S284" t="b">
        <f t="shared" si="4"/>
        <v>1</v>
      </c>
    </row>
    <row r="285" spans="1:19" hidden="1" x14ac:dyDescent="0.25">
      <c r="A285" t="s">
        <v>1689</v>
      </c>
      <c r="B285" t="s">
        <v>1690</v>
      </c>
      <c r="C285" t="s">
        <v>1869</v>
      </c>
      <c r="D285" t="s">
        <v>1879</v>
      </c>
      <c r="E285" t="s">
        <v>1879</v>
      </c>
      <c r="F285" t="s">
        <v>1879</v>
      </c>
      <c r="G285" t="s">
        <v>1879</v>
      </c>
      <c r="H285" t="s">
        <v>1879</v>
      </c>
      <c r="I285" t="s">
        <v>1879</v>
      </c>
      <c r="J285" t="s">
        <v>1879</v>
      </c>
      <c r="K285" t="s">
        <v>1879</v>
      </c>
      <c r="L285" t="s">
        <v>1879</v>
      </c>
      <c r="M285" t="s">
        <v>1879</v>
      </c>
      <c r="N285" t="s">
        <v>1696</v>
      </c>
      <c r="O285" t="s">
        <v>1697</v>
      </c>
      <c r="P285" t="s">
        <v>1493</v>
      </c>
      <c r="Q285">
        <v>1</v>
      </c>
      <c r="R285">
        <v>1</v>
      </c>
      <c r="S285" t="b">
        <f t="shared" si="4"/>
        <v>1</v>
      </c>
    </row>
    <row r="286" spans="1:19" hidden="1" x14ac:dyDescent="0.25">
      <c r="A286" t="s">
        <v>1689</v>
      </c>
      <c r="B286" t="s">
        <v>1690</v>
      </c>
      <c r="C286" t="s">
        <v>1869</v>
      </c>
      <c r="D286" t="s">
        <v>1873</v>
      </c>
      <c r="E286" t="s">
        <v>1873</v>
      </c>
      <c r="F286" t="s">
        <v>1873</v>
      </c>
      <c r="G286" t="s">
        <v>1873</v>
      </c>
      <c r="H286" t="s">
        <v>1873</v>
      </c>
      <c r="I286" t="s">
        <v>1873</v>
      </c>
      <c r="J286" t="s">
        <v>1873</v>
      </c>
      <c r="K286" t="s">
        <v>1873</v>
      </c>
      <c r="L286" t="s">
        <v>1873</v>
      </c>
      <c r="M286" t="s">
        <v>1873</v>
      </c>
      <c r="N286" t="s">
        <v>1696</v>
      </c>
      <c r="O286" t="s">
        <v>1697</v>
      </c>
      <c r="P286" t="s">
        <v>1493</v>
      </c>
      <c r="Q286">
        <v>1</v>
      </c>
      <c r="R286">
        <v>1</v>
      </c>
      <c r="S286" t="b">
        <f t="shared" si="4"/>
        <v>1</v>
      </c>
    </row>
    <row r="287" spans="1:19" hidden="1" x14ac:dyDescent="0.25">
      <c r="A287" t="s">
        <v>1689</v>
      </c>
      <c r="B287" t="s">
        <v>1690</v>
      </c>
      <c r="C287" t="s">
        <v>1869</v>
      </c>
      <c r="D287" t="s">
        <v>1887</v>
      </c>
      <c r="E287" t="s">
        <v>1887</v>
      </c>
      <c r="F287" t="s">
        <v>1887</v>
      </c>
      <c r="G287" t="s">
        <v>1887</v>
      </c>
      <c r="H287" t="s">
        <v>1887</v>
      </c>
      <c r="I287" t="s">
        <v>1887</v>
      </c>
      <c r="J287" t="s">
        <v>1887</v>
      </c>
      <c r="K287" t="s">
        <v>1887</v>
      </c>
      <c r="L287" t="s">
        <v>1887</v>
      </c>
      <c r="M287" t="s">
        <v>1887</v>
      </c>
      <c r="N287" t="s">
        <v>1696</v>
      </c>
      <c r="O287" t="s">
        <v>1697</v>
      </c>
      <c r="P287" t="s">
        <v>1493</v>
      </c>
      <c r="Q287">
        <v>1</v>
      </c>
      <c r="R287">
        <v>1</v>
      </c>
      <c r="S287" t="b">
        <f t="shared" si="4"/>
        <v>1</v>
      </c>
    </row>
    <row r="288" spans="1:19" hidden="1" x14ac:dyDescent="0.25">
      <c r="A288" t="s">
        <v>1689</v>
      </c>
      <c r="B288" t="s">
        <v>1690</v>
      </c>
      <c r="C288" t="s">
        <v>1869</v>
      </c>
      <c r="D288" t="s">
        <v>1876</v>
      </c>
      <c r="E288" t="s">
        <v>1876</v>
      </c>
      <c r="F288" t="s">
        <v>1876</v>
      </c>
      <c r="G288" t="s">
        <v>1876</v>
      </c>
      <c r="H288" t="s">
        <v>1876</v>
      </c>
      <c r="I288" t="s">
        <v>1876</v>
      </c>
      <c r="J288" t="s">
        <v>1876</v>
      </c>
      <c r="K288" t="s">
        <v>1876</v>
      </c>
      <c r="L288" t="s">
        <v>1876</v>
      </c>
      <c r="M288" t="s">
        <v>1876</v>
      </c>
      <c r="N288" t="s">
        <v>1696</v>
      </c>
      <c r="O288" t="s">
        <v>1697</v>
      </c>
      <c r="P288" t="s">
        <v>1493</v>
      </c>
      <c r="Q288">
        <v>1</v>
      </c>
      <c r="R288">
        <v>1</v>
      </c>
      <c r="S288" t="b">
        <f t="shared" si="4"/>
        <v>1</v>
      </c>
    </row>
    <row r="289" spans="1:19" hidden="1" x14ac:dyDescent="0.25">
      <c r="A289" t="s">
        <v>1689</v>
      </c>
      <c r="B289" t="s">
        <v>1690</v>
      </c>
      <c r="C289" t="s">
        <v>1989</v>
      </c>
      <c r="D289" t="s">
        <v>2003</v>
      </c>
      <c r="E289" t="s">
        <v>2003</v>
      </c>
      <c r="F289" t="s">
        <v>2003</v>
      </c>
      <c r="G289" t="s">
        <v>2003</v>
      </c>
      <c r="H289" t="s">
        <v>2003</v>
      </c>
      <c r="I289" t="s">
        <v>2003</v>
      </c>
      <c r="J289" t="s">
        <v>2003</v>
      </c>
      <c r="K289" t="s">
        <v>2003</v>
      </c>
      <c r="L289" t="s">
        <v>2003</v>
      </c>
      <c r="M289" t="s">
        <v>2003</v>
      </c>
      <c r="N289" t="s">
        <v>1696</v>
      </c>
      <c r="O289" t="s">
        <v>1697</v>
      </c>
      <c r="P289" t="s">
        <v>1493</v>
      </c>
      <c r="Q289">
        <v>1</v>
      </c>
      <c r="R289">
        <v>1</v>
      </c>
      <c r="S289" t="b">
        <f t="shared" si="4"/>
        <v>1</v>
      </c>
    </row>
    <row r="290" spans="1:19" hidden="1" x14ac:dyDescent="0.25">
      <c r="A290" t="s">
        <v>1689</v>
      </c>
      <c r="B290" t="s">
        <v>1690</v>
      </c>
      <c r="C290" t="s">
        <v>1983</v>
      </c>
      <c r="D290" t="s">
        <v>2004</v>
      </c>
      <c r="E290" t="s">
        <v>2004</v>
      </c>
      <c r="F290" t="s">
        <v>2004</v>
      </c>
      <c r="G290" t="s">
        <v>2004</v>
      </c>
      <c r="H290" t="s">
        <v>2004</v>
      </c>
      <c r="I290" t="s">
        <v>2004</v>
      </c>
      <c r="J290" t="s">
        <v>2004</v>
      </c>
      <c r="K290" t="s">
        <v>2004</v>
      </c>
      <c r="L290" t="s">
        <v>2004</v>
      </c>
      <c r="M290" t="s">
        <v>2004</v>
      </c>
      <c r="N290" t="s">
        <v>1696</v>
      </c>
      <c r="O290" t="s">
        <v>1697</v>
      </c>
      <c r="P290" t="s">
        <v>1493</v>
      </c>
      <c r="Q290">
        <v>1</v>
      </c>
      <c r="R290">
        <v>1</v>
      </c>
      <c r="S290" t="b">
        <f t="shared" si="4"/>
        <v>1</v>
      </c>
    </row>
    <row r="291" spans="1:19" hidden="1" x14ac:dyDescent="0.25">
      <c r="A291" t="s">
        <v>1689</v>
      </c>
      <c r="B291" t="s">
        <v>1690</v>
      </c>
      <c r="C291" t="s">
        <v>1691</v>
      </c>
      <c r="D291" t="s">
        <v>1964</v>
      </c>
      <c r="E291" t="s">
        <v>1964</v>
      </c>
      <c r="F291" t="s">
        <v>1964</v>
      </c>
      <c r="G291" t="s">
        <v>1964</v>
      </c>
      <c r="H291" t="s">
        <v>1964</v>
      </c>
      <c r="I291" t="s">
        <v>1964</v>
      </c>
      <c r="J291" t="s">
        <v>1964</v>
      </c>
      <c r="K291" t="s">
        <v>1964</v>
      </c>
      <c r="L291" t="s">
        <v>1964</v>
      </c>
      <c r="M291" t="s">
        <v>1964</v>
      </c>
      <c r="N291" t="s">
        <v>1696</v>
      </c>
      <c r="O291" t="s">
        <v>1697</v>
      </c>
      <c r="P291" t="s">
        <v>1493</v>
      </c>
      <c r="Q291">
        <v>1</v>
      </c>
      <c r="R291">
        <v>1</v>
      </c>
      <c r="S291" t="b">
        <f t="shared" si="4"/>
        <v>1</v>
      </c>
    </row>
    <row r="292" spans="1:19" hidden="1" x14ac:dyDescent="0.25">
      <c r="A292" t="s">
        <v>1689</v>
      </c>
      <c r="B292" t="s">
        <v>1690</v>
      </c>
      <c r="C292" t="s">
        <v>1691</v>
      </c>
      <c r="D292" t="s">
        <v>1958</v>
      </c>
      <c r="E292" t="s">
        <v>1958</v>
      </c>
      <c r="F292" t="s">
        <v>1958</v>
      </c>
      <c r="G292" t="s">
        <v>1958</v>
      </c>
      <c r="H292" t="s">
        <v>1958</v>
      </c>
      <c r="I292" t="s">
        <v>1958</v>
      </c>
      <c r="J292" t="s">
        <v>1958</v>
      </c>
      <c r="K292" t="s">
        <v>1958</v>
      </c>
      <c r="L292" t="s">
        <v>1958</v>
      </c>
      <c r="M292" t="s">
        <v>1958</v>
      </c>
      <c r="N292" t="s">
        <v>1696</v>
      </c>
      <c r="O292" t="s">
        <v>1697</v>
      </c>
      <c r="P292" t="s">
        <v>1493</v>
      </c>
      <c r="Q292">
        <v>1</v>
      </c>
      <c r="R292">
        <v>1</v>
      </c>
      <c r="S292" t="b">
        <f t="shared" si="4"/>
        <v>1</v>
      </c>
    </row>
    <row r="293" spans="1:19" hidden="1" x14ac:dyDescent="0.25">
      <c r="A293" t="s">
        <v>1689</v>
      </c>
      <c r="B293" t="s">
        <v>1690</v>
      </c>
      <c r="C293" t="s">
        <v>1691</v>
      </c>
      <c r="D293" t="s">
        <v>1692</v>
      </c>
      <c r="E293" t="s">
        <v>1692</v>
      </c>
      <c r="F293" t="s">
        <v>1692</v>
      </c>
      <c r="G293" t="s">
        <v>1692</v>
      </c>
      <c r="H293" t="s">
        <v>1692</v>
      </c>
      <c r="I293" t="s">
        <v>1692</v>
      </c>
      <c r="J293" t="s">
        <v>1692</v>
      </c>
      <c r="K293" t="s">
        <v>1692</v>
      </c>
      <c r="L293" t="s">
        <v>1692</v>
      </c>
      <c r="M293" t="s">
        <v>1692</v>
      </c>
      <c r="N293" t="s">
        <v>1696</v>
      </c>
      <c r="O293" t="s">
        <v>1697</v>
      </c>
      <c r="P293" t="s">
        <v>1493</v>
      </c>
      <c r="Q293">
        <v>1</v>
      </c>
      <c r="R293">
        <v>1</v>
      </c>
      <c r="S293" t="b">
        <f t="shared" si="4"/>
        <v>1</v>
      </c>
    </row>
    <row r="294" spans="1:19" hidden="1" x14ac:dyDescent="0.25">
      <c r="A294" t="s">
        <v>1689</v>
      </c>
      <c r="B294" t="s">
        <v>1690</v>
      </c>
      <c r="C294" t="s">
        <v>1860</v>
      </c>
      <c r="D294" t="s">
        <v>2005</v>
      </c>
      <c r="E294" t="s">
        <v>2005</v>
      </c>
      <c r="F294" t="s">
        <v>2005</v>
      </c>
      <c r="G294" t="s">
        <v>2005</v>
      </c>
      <c r="H294" t="s">
        <v>2005</v>
      </c>
      <c r="I294" t="s">
        <v>2005</v>
      </c>
      <c r="J294" t="s">
        <v>2005</v>
      </c>
      <c r="K294" t="s">
        <v>2005</v>
      </c>
      <c r="L294" t="s">
        <v>2005</v>
      </c>
      <c r="M294" t="s">
        <v>2005</v>
      </c>
      <c r="N294" t="s">
        <v>1696</v>
      </c>
      <c r="O294" t="s">
        <v>1697</v>
      </c>
      <c r="P294" t="s">
        <v>1493</v>
      </c>
      <c r="Q294">
        <v>1</v>
      </c>
      <c r="R294">
        <v>1</v>
      </c>
      <c r="S294" t="b">
        <f t="shared" si="4"/>
        <v>1</v>
      </c>
    </row>
    <row r="295" spans="1:19" hidden="1" x14ac:dyDescent="0.25">
      <c r="A295" t="s">
        <v>1689</v>
      </c>
      <c r="B295" t="s">
        <v>1690</v>
      </c>
      <c r="C295" t="s">
        <v>1860</v>
      </c>
      <c r="D295" t="s">
        <v>1865</v>
      </c>
      <c r="E295" t="s">
        <v>1865</v>
      </c>
      <c r="F295" t="s">
        <v>1865</v>
      </c>
      <c r="G295" t="s">
        <v>1865</v>
      </c>
      <c r="H295" t="s">
        <v>1865</v>
      </c>
      <c r="I295" t="s">
        <v>1865</v>
      </c>
      <c r="J295" t="s">
        <v>1865</v>
      </c>
      <c r="K295" t="s">
        <v>1865</v>
      </c>
      <c r="L295" t="s">
        <v>1865</v>
      </c>
      <c r="M295" t="s">
        <v>1865</v>
      </c>
      <c r="N295" t="s">
        <v>1696</v>
      </c>
      <c r="O295" t="s">
        <v>1697</v>
      </c>
      <c r="P295" t="s">
        <v>1493</v>
      </c>
      <c r="Q295">
        <v>1</v>
      </c>
      <c r="R295">
        <v>1</v>
      </c>
      <c r="S295" t="b">
        <f t="shared" si="4"/>
        <v>1</v>
      </c>
    </row>
    <row r="296" spans="1:19" hidden="1" x14ac:dyDescent="0.25">
      <c r="A296" t="s">
        <v>1689</v>
      </c>
      <c r="B296" t="s">
        <v>1690</v>
      </c>
      <c r="C296" t="s">
        <v>1860</v>
      </c>
      <c r="D296" t="s">
        <v>1861</v>
      </c>
      <c r="E296" t="s">
        <v>1861</v>
      </c>
      <c r="F296" t="s">
        <v>1861</v>
      </c>
      <c r="G296" t="s">
        <v>1861</v>
      </c>
      <c r="H296" t="s">
        <v>1861</v>
      </c>
      <c r="I296" t="s">
        <v>1861</v>
      </c>
      <c r="J296" t="s">
        <v>1861</v>
      </c>
      <c r="K296" t="s">
        <v>1861</v>
      </c>
      <c r="L296" t="s">
        <v>1861</v>
      </c>
      <c r="M296" t="s">
        <v>1861</v>
      </c>
      <c r="N296" t="s">
        <v>1696</v>
      </c>
      <c r="O296" t="s">
        <v>1697</v>
      </c>
      <c r="P296" t="s">
        <v>1493</v>
      </c>
      <c r="Q296">
        <v>1</v>
      </c>
      <c r="R296">
        <v>1</v>
      </c>
      <c r="S296" t="b">
        <f t="shared" si="4"/>
        <v>1</v>
      </c>
    </row>
    <row r="297" spans="1:19" hidden="1" x14ac:dyDescent="0.25">
      <c r="A297" t="s">
        <v>1689</v>
      </c>
      <c r="B297" t="s">
        <v>1690</v>
      </c>
      <c r="C297" t="s">
        <v>1967</v>
      </c>
      <c r="D297" t="s">
        <v>1972</v>
      </c>
      <c r="E297" t="s">
        <v>1972</v>
      </c>
      <c r="F297" t="s">
        <v>1972</v>
      </c>
      <c r="G297" t="s">
        <v>1972</v>
      </c>
      <c r="H297" t="s">
        <v>1972</v>
      </c>
      <c r="I297" t="s">
        <v>1972</v>
      </c>
      <c r="J297" t="s">
        <v>1972</v>
      </c>
      <c r="K297" t="s">
        <v>1972</v>
      </c>
      <c r="L297" t="s">
        <v>1972</v>
      </c>
      <c r="M297" t="s">
        <v>1972</v>
      </c>
      <c r="N297" t="s">
        <v>1696</v>
      </c>
      <c r="O297" t="s">
        <v>1697</v>
      </c>
      <c r="P297" t="s">
        <v>1493</v>
      </c>
      <c r="Q297">
        <v>1</v>
      </c>
      <c r="R297">
        <v>1</v>
      </c>
      <c r="S297" t="b">
        <f t="shared" si="4"/>
        <v>1</v>
      </c>
    </row>
    <row r="298" spans="1:19" hidden="1" x14ac:dyDescent="0.25">
      <c r="A298" t="s">
        <v>1689</v>
      </c>
      <c r="B298" t="s">
        <v>1690</v>
      </c>
      <c r="C298" t="s">
        <v>1967</v>
      </c>
      <c r="D298" t="s">
        <v>1975</v>
      </c>
      <c r="E298" t="s">
        <v>1975</v>
      </c>
      <c r="F298" t="s">
        <v>1975</v>
      </c>
      <c r="G298" t="s">
        <v>1975</v>
      </c>
      <c r="H298" t="s">
        <v>1975</v>
      </c>
      <c r="I298" t="s">
        <v>1975</v>
      </c>
      <c r="J298" t="s">
        <v>1975</v>
      </c>
      <c r="K298" t="s">
        <v>1975</v>
      </c>
      <c r="L298" t="s">
        <v>1975</v>
      </c>
      <c r="M298" t="s">
        <v>1975</v>
      </c>
      <c r="N298" t="s">
        <v>1696</v>
      </c>
      <c r="O298" t="s">
        <v>1697</v>
      </c>
      <c r="P298" t="s">
        <v>1493</v>
      </c>
      <c r="Q298">
        <v>1</v>
      </c>
      <c r="R298">
        <v>1</v>
      </c>
      <c r="S298" t="b">
        <f t="shared" si="4"/>
        <v>1</v>
      </c>
    </row>
    <row r="299" spans="1:19" hidden="1" x14ac:dyDescent="0.25">
      <c r="A299" t="s">
        <v>1689</v>
      </c>
      <c r="B299" t="s">
        <v>1690</v>
      </c>
      <c r="C299" t="s">
        <v>1967</v>
      </c>
      <c r="D299" t="s">
        <v>1979</v>
      </c>
      <c r="E299" t="s">
        <v>1979</v>
      </c>
      <c r="F299" t="s">
        <v>1979</v>
      </c>
      <c r="G299" t="s">
        <v>1979</v>
      </c>
      <c r="H299" t="s">
        <v>1979</v>
      </c>
      <c r="I299" t="s">
        <v>1979</v>
      </c>
      <c r="J299" t="s">
        <v>1979</v>
      </c>
      <c r="K299" t="s">
        <v>1979</v>
      </c>
      <c r="L299" t="s">
        <v>1979</v>
      </c>
      <c r="M299" t="s">
        <v>1979</v>
      </c>
      <c r="N299" t="s">
        <v>1696</v>
      </c>
      <c r="O299" t="s">
        <v>1697</v>
      </c>
      <c r="P299" t="s">
        <v>1493</v>
      </c>
      <c r="Q299">
        <v>1</v>
      </c>
      <c r="R299">
        <v>1</v>
      </c>
      <c r="S299" t="b">
        <f t="shared" si="4"/>
        <v>1</v>
      </c>
    </row>
    <row r="300" spans="1:19" hidden="1" x14ac:dyDescent="0.25">
      <c r="A300" t="s">
        <v>1689</v>
      </c>
      <c r="B300" t="s">
        <v>1690</v>
      </c>
      <c r="C300" t="s">
        <v>1967</v>
      </c>
      <c r="D300" t="s">
        <v>1968</v>
      </c>
      <c r="E300" t="s">
        <v>1968</v>
      </c>
      <c r="F300" t="s">
        <v>1968</v>
      </c>
      <c r="G300" t="s">
        <v>1968</v>
      </c>
      <c r="H300" t="s">
        <v>1968</v>
      </c>
      <c r="I300" t="s">
        <v>1968</v>
      </c>
      <c r="J300" t="s">
        <v>1968</v>
      </c>
      <c r="K300" t="s">
        <v>1968</v>
      </c>
      <c r="L300" t="s">
        <v>1968</v>
      </c>
      <c r="M300" t="s">
        <v>1968</v>
      </c>
      <c r="N300" t="s">
        <v>1696</v>
      </c>
      <c r="O300" t="s">
        <v>1697</v>
      </c>
      <c r="P300" t="s">
        <v>1493</v>
      </c>
      <c r="Q300">
        <v>1</v>
      </c>
      <c r="R300">
        <v>1</v>
      </c>
      <c r="S300" t="b">
        <f t="shared" si="4"/>
        <v>1</v>
      </c>
    </row>
    <row r="301" spans="1:19" hidden="1" x14ac:dyDescent="0.25">
      <c r="A301" t="s">
        <v>1689</v>
      </c>
      <c r="B301" t="s">
        <v>1690</v>
      </c>
      <c r="C301" t="s">
        <v>1967</v>
      </c>
      <c r="D301" t="s">
        <v>1977</v>
      </c>
      <c r="E301" t="s">
        <v>1977</v>
      </c>
      <c r="F301" t="s">
        <v>1977</v>
      </c>
      <c r="G301" t="s">
        <v>1977</v>
      </c>
      <c r="H301" t="s">
        <v>1977</v>
      </c>
      <c r="I301" t="s">
        <v>1977</v>
      </c>
      <c r="J301" t="s">
        <v>1977</v>
      </c>
      <c r="K301" t="s">
        <v>1977</v>
      </c>
      <c r="L301" t="s">
        <v>1977</v>
      </c>
      <c r="M301" t="s">
        <v>1977</v>
      </c>
      <c r="N301" t="s">
        <v>1696</v>
      </c>
      <c r="O301" t="s">
        <v>1697</v>
      </c>
      <c r="P301" t="s">
        <v>1493</v>
      </c>
      <c r="Q301">
        <v>1</v>
      </c>
      <c r="R301">
        <v>1</v>
      </c>
      <c r="S301" t="b">
        <f t="shared" si="4"/>
        <v>1</v>
      </c>
    </row>
    <row r="302" spans="1:19" hidden="1" x14ac:dyDescent="0.25">
      <c r="A302" t="s">
        <v>1689</v>
      </c>
      <c r="B302" t="s">
        <v>1690</v>
      </c>
      <c r="C302" t="s">
        <v>1967</v>
      </c>
      <c r="D302" t="s">
        <v>1970</v>
      </c>
      <c r="E302" t="s">
        <v>1970</v>
      </c>
      <c r="F302" t="s">
        <v>1970</v>
      </c>
      <c r="G302" t="s">
        <v>1970</v>
      </c>
      <c r="H302" t="s">
        <v>1970</v>
      </c>
      <c r="I302" t="s">
        <v>1970</v>
      </c>
      <c r="J302" t="s">
        <v>1970</v>
      </c>
      <c r="K302" t="s">
        <v>1970</v>
      </c>
      <c r="L302" t="s">
        <v>1970</v>
      </c>
      <c r="M302" t="s">
        <v>1970</v>
      </c>
      <c r="N302" t="s">
        <v>1696</v>
      </c>
      <c r="O302" t="s">
        <v>1697</v>
      </c>
      <c r="P302" t="s">
        <v>1493</v>
      </c>
      <c r="Q302">
        <v>1</v>
      </c>
      <c r="R302">
        <v>1</v>
      </c>
      <c r="S302" t="b">
        <f t="shared" si="4"/>
        <v>1</v>
      </c>
    </row>
    <row r="303" spans="1:19" hidden="1" x14ac:dyDescent="0.25">
      <c r="A303" t="s">
        <v>1689</v>
      </c>
      <c r="B303" t="s">
        <v>1690</v>
      </c>
      <c r="C303" t="s">
        <v>1986</v>
      </c>
      <c r="D303" t="s">
        <v>2006</v>
      </c>
      <c r="E303" t="s">
        <v>2006</v>
      </c>
      <c r="F303" t="s">
        <v>2006</v>
      </c>
      <c r="G303" t="s">
        <v>2006</v>
      </c>
      <c r="H303" t="s">
        <v>2006</v>
      </c>
      <c r="I303" t="s">
        <v>2006</v>
      </c>
      <c r="J303" t="s">
        <v>2006</v>
      </c>
      <c r="K303" t="s">
        <v>2006</v>
      </c>
      <c r="L303" t="s">
        <v>2006</v>
      </c>
      <c r="M303" t="s">
        <v>2006</v>
      </c>
      <c r="N303" t="s">
        <v>1696</v>
      </c>
      <c r="O303" t="s">
        <v>1697</v>
      </c>
      <c r="P303" t="s">
        <v>1493</v>
      </c>
      <c r="Q303">
        <v>1</v>
      </c>
      <c r="R303">
        <v>1</v>
      </c>
      <c r="S303" t="b">
        <f t="shared" si="4"/>
        <v>1</v>
      </c>
    </row>
    <row r="304" spans="1:19" hidden="1" x14ac:dyDescent="0.25">
      <c r="A304" t="s">
        <v>1689</v>
      </c>
      <c r="B304" t="s">
        <v>1690</v>
      </c>
      <c r="C304" t="s">
        <v>1987</v>
      </c>
      <c r="D304" t="s">
        <v>2007</v>
      </c>
      <c r="E304" t="s">
        <v>2007</v>
      </c>
      <c r="F304" t="s">
        <v>2007</v>
      </c>
      <c r="G304" t="s">
        <v>2007</v>
      </c>
      <c r="H304" t="s">
        <v>2007</v>
      </c>
      <c r="I304" t="s">
        <v>2007</v>
      </c>
      <c r="J304" t="s">
        <v>2007</v>
      </c>
      <c r="K304" t="s">
        <v>2007</v>
      </c>
      <c r="L304" t="s">
        <v>2007</v>
      </c>
      <c r="M304" t="s">
        <v>2007</v>
      </c>
      <c r="N304" t="s">
        <v>1696</v>
      </c>
      <c r="O304" t="s">
        <v>1697</v>
      </c>
      <c r="P304" t="s">
        <v>1493</v>
      </c>
      <c r="Q304">
        <v>1</v>
      </c>
      <c r="R304">
        <v>1</v>
      </c>
      <c r="S304" t="b">
        <f t="shared" si="4"/>
        <v>1</v>
      </c>
    </row>
    <row r="305" spans="1:19" hidden="1" x14ac:dyDescent="0.25">
      <c r="A305" t="s">
        <v>1689</v>
      </c>
      <c r="B305" t="s">
        <v>1690</v>
      </c>
      <c r="C305" t="s">
        <v>1987</v>
      </c>
      <c r="D305" t="s">
        <v>2008</v>
      </c>
      <c r="E305" t="s">
        <v>2008</v>
      </c>
      <c r="F305" t="s">
        <v>2008</v>
      </c>
      <c r="G305" t="s">
        <v>2008</v>
      </c>
      <c r="H305" t="s">
        <v>2008</v>
      </c>
      <c r="I305" t="s">
        <v>2008</v>
      </c>
      <c r="J305" t="s">
        <v>2008</v>
      </c>
      <c r="K305" t="s">
        <v>2008</v>
      </c>
      <c r="L305" t="s">
        <v>2008</v>
      </c>
      <c r="M305" t="s">
        <v>2008</v>
      </c>
      <c r="N305" t="s">
        <v>1696</v>
      </c>
      <c r="O305" t="s">
        <v>1697</v>
      </c>
      <c r="P305" t="s">
        <v>1493</v>
      </c>
      <c r="Q305">
        <v>1</v>
      </c>
      <c r="R305">
        <v>1</v>
      </c>
      <c r="S305" t="b">
        <f t="shared" si="4"/>
        <v>1</v>
      </c>
    </row>
    <row r="306" spans="1:19" hidden="1" x14ac:dyDescent="0.25">
      <c r="A306" t="s">
        <v>1689</v>
      </c>
      <c r="B306" t="s">
        <v>1690</v>
      </c>
      <c r="C306" t="s">
        <v>1987</v>
      </c>
      <c r="D306" t="s">
        <v>2009</v>
      </c>
      <c r="E306" t="s">
        <v>2009</v>
      </c>
      <c r="F306" t="s">
        <v>2009</v>
      </c>
      <c r="G306" t="s">
        <v>2009</v>
      </c>
      <c r="H306" t="s">
        <v>2009</v>
      </c>
      <c r="I306" t="s">
        <v>2009</v>
      </c>
      <c r="J306" t="s">
        <v>2009</v>
      </c>
      <c r="K306" t="s">
        <v>2009</v>
      </c>
      <c r="L306" t="s">
        <v>2009</v>
      </c>
      <c r="M306" t="s">
        <v>2009</v>
      </c>
      <c r="N306" t="s">
        <v>1696</v>
      </c>
      <c r="O306" t="s">
        <v>1697</v>
      </c>
      <c r="P306" t="s">
        <v>1493</v>
      </c>
      <c r="Q306">
        <v>1</v>
      </c>
      <c r="R306">
        <v>1</v>
      </c>
      <c r="S306" t="b">
        <f t="shared" si="4"/>
        <v>1</v>
      </c>
    </row>
    <row r="307" spans="1:19" hidden="1" x14ac:dyDescent="0.25">
      <c r="A307" t="s">
        <v>1689</v>
      </c>
      <c r="B307" t="s">
        <v>1690</v>
      </c>
      <c r="C307" t="s">
        <v>1987</v>
      </c>
      <c r="D307" t="s">
        <v>2010</v>
      </c>
      <c r="E307" t="s">
        <v>2010</v>
      </c>
      <c r="F307" t="s">
        <v>2010</v>
      </c>
      <c r="G307" t="s">
        <v>2010</v>
      </c>
      <c r="H307" t="s">
        <v>2010</v>
      </c>
      <c r="I307" t="s">
        <v>2010</v>
      </c>
      <c r="J307" t="s">
        <v>2010</v>
      </c>
      <c r="K307" t="s">
        <v>2010</v>
      </c>
      <c r="L307" t="s">
        <v>2010</v>
      </c>
      <c r="M307" t="s">
        <v>2010</v>
      </c>
      <c r="N307" t="s">
        <v>1696</v>
      </c>
      <c r="O307" t="s">
        <v>1697</v>
      </c>
      <c r="P307" t="s">
        <v>1493</v>
      </c>
      <c r="Q307">
        <v>1</v>
      </c>
      <c r="R307">
        <v>1</v>
      </c>
      <c r="S307" t="b">
        <f t="shared" si="4"/>
        <v>1</v>
      </c>
    </row>
    <row r="308" spans="1:19" hidden="1" x14ac:dyDescent="0.25">
      <c r="A308" t="s">
        <v>1689</v>
      </c>
      <c r="B308" t="s">
        <v>1690</v>
      </c>
      <c r="C308" t="s">
        <v>1987</v>
      </c>
      <c r="D308" t="s">
        <v>2011</v>
      </c>
      <c r="E308" t="s">
        <v>2011</v>
      </c>
      <c r="F308" t="s">
        <v>2011</v>
      </c>
      <c r="G308" t="s">
        <v>2011</v>
      </c>
      <c r="H308" t="s">
        <v>2011</v>
      </c>
      <c r="I308" t="s">
        <v>2011</v>
      </c>
      <c r="J308" t="s">
        <v>2011</v>
      </c>
      <c r="K308" t="s">
        <v>2011</v>
      </c>
      <c r="L308" t="s">
        <v>2011</v>
      </c>
      <c r="M308" t="s">
        <v>2011</v>
      </c>
      <c r="N308" t="s">
        <v>1696</v>
      </c>
      <c r="O308" t="s">
        <v>1697</v>
      </c>
      <c r="P308" t="s">
        <v>1493</v>
      </c>
      <c r="Q308">
        <v>1</v>
      </c>
      <c r="R308">
        <v>1</v>
      </c>
      <c r="S308" t="b">
        <f t="shared" si="4"/>
        <v>1</v>
      </c>
    </row>
    <row r="309" spans="1:19" hidden="1" x14ac:dyDescent="0.25">
      <c r="A309" t="s">
        <v>1689</v>
      </c>
      <c r="B309" t="s">
        <v>1690</v>
      </c>
      <c r="C309" t="s">
        <v>1987</v>
      </c>
      <c r="D309" t="s">
        <v>2012</v>
      </c>
      <c r="E309" t="s">
        <v>2012</v>
      </c>
      <c r="F309" t="s">
        <v>2012</v>
      </c>
      <c r="G309" t="s">
        <v>2012</v>
      </c>
      <c r="H309" t="s">
        <v>2012</v>
      </c>
      <c r="I309" t="s">
        <v>2012</v>
      </c>
      <c r="J309" t="s">
        <v>2012</v>
      </c>
      <c r="K309" t="s">
        <v>2012</v>
      </c>
      <c r="L309" t="s">
        <v>2012</v>
      </c>
      <c r="M309" t="s">
        <v>2012</v>
      </c>
      <c r="N309" t="s">
        <v>1696</v>
      </c>
      <c r="O309" t="s">
        <v>1697</v>
      </c>
      <c r="P309" t="s">
        <v>1493</v>
      </c>
      <c r="Q309">
        <v>1</v>
      </c>
      <c r="R309">
        <v>1</v>
      </c>
      <c r="S309" t="b">
        <f t="shared" si="4"/>
        <v>1</v>
      </c>
    </row>
    <row r="310" spans="1:19" hidden="1" x14ac:dyDescent="0.25">
      <c r="A310" t="s">
        <v>1689</v>
      </c>
      <c r="B310" t="s">
        <v>1690</v>
      </c>
      <c r="C310" t="s">
        <v>1987</v>
      </c>
      <c r="D310" t="s">
        <v>2013</v>
      </c>
      <c r="E310" t="s">
        <v>2013</v>
      </c>
      <c r="F310" t="s">
        <v>2013</v>
      </c>
      <c r="G310" t="s">
        <v>2013</v>
      </c>
      <c r="H310" t="s">
        <v>2013</v>
      </c>
      <c r="I310" t="s">
        <v>2013</v>
      </c>
      <c r="J310" t="s">
        <v>2013</v>
      </c>
      <c r="K310" t="s">
        <v>2013</v>
      </c>
      <c r="L310" t="s">
        <v>2013</v>
      </c>
      <c r="M310" t="s">
        <v>2013</v>
      </c>
      <c r="N310" t="s">
        <v>1696</v>
      </c>
      <c r="O310" t="s">
        <v>1697</v>
      </c>
      <c r="P310" t="s">
        <v>1493</v>
      </c>
      <c r="Q310">
        <v>1</v>
      </c>
      <c r="R310">
        <v>1</v>
      </c>
      <c r="S310" t="b">
        <f t="shared" si="4"/>
        <v>1</v>
      </c>
    </row>
    <row r="311" spans="1:19" hidden="1" x14ac:dyDescent="0.25">
      <c r="A311" t="s">
        <v>1689</v>
      </c>
      <c r="B311" t="s">
        <v>1690</v>
      </c>
      <c r="C311" t="s">
        <v>1987</v>
      </c>
      <c r="D311" t="s">
        <v>2014</v>
      </c>
      <c r="E311" t="s">
        <v>2014</v>
      </c>
      <c r="F311" t="s">
        <v>2014</v>
      </c>
      <c r="G311" t="s">
        <v>2014</v>
      </c>
      <c r="H311" t="s">
        <v>2014</v>
      </c>
      <c r="I311" t="s">
        <v>2014</v>
      </c>
      <c r="J311" t="s">
        <v>2014</v>
      </c>
      <c r="K311" t="s">
        <v>2014</v>
      </c>
      <c r="L311" t="s">
        <v>2014</v>
      </c>
      <c r="M311" t="s">
        <v>2014</v>
      </c>
      <c r="N311" t="s">
        <v>1696</v>
      </c>
      <c r="O311" t="s">
        <v>1697</v>
      </c>
      <c r="P311" t="s">
        <v>1493</v>
      </c>
      <c r="Q311">
        <v>1</v>
      </c>
      <c r="R311">
        <v>1</v>
      </c>
      <c r="S311" t="b">
        <f t="shared" si="4"/>
        <v>1</v>
      </c>
    </row>
    <row r="312" spans="1:19" hidden="1" x14ac:dyDescent="0.25">
      <c r="A312" t="s">
        <v>1689</v>
      </c>
      <c r="B312" t="s">
        <v>1690</v>
      </c>
      <c r="C312" t="s">
        <v>1987</v>
      </c>
      <c r="D312" t="s">
        <v>2015</v>
      </c>
      <c r="E312" t="s">
        <v>2015</v>
      </c>
      <c r="F312" t="s">
        <v>2015</v>
      </c>
      <c r="G312" t="s">
        <v>2015</v>
      </c>
      <c r="H312" t="s">
        <v>2015</v>
      </c>
      <c r="I312" t="s">
        <v>2015</v>
      </c>
      <c r="J312" t="s">
        <v>2015</v>
      </c>
      <c r="K312" t="s">
        <v>2015</v>
      </c>
      <c r="L312" t="s">
        <v>2015</v>
      </c>
      <c r="M312" t="s">
        <v>2015</v>
      </c>
      <c r="N312" t="s">
        <v>1696</v>
      </c>
      <c r="O312" t="s">
        <v>1697</v>
      </c>
      <c r="P312" t="s">
        <v>1493</v>
      </c>
      <c r="Q312">
        <v>1</v>
      </c>
      <c r="R312">
        <v>1</v>
      </c>
      <c r="S312" t="b">
        <f t="shared" si="4"/>
        <v>1</v>
      </c>
    </row>
    <row r="313" spans="1:19" hidden="1" x14ac:dyDescent="0.25">
      <c r="A313" t="s">
        <v>1689</v>
      </c>
      <c r="B313" t="s">
        <v>1690</v>
      </c>
      <c r="C313" t="s">
        <v>1902</v>
      </c>
      <c r="D313" t="s">
        <v>2016</v>
      </c>
      <c r="E313" t="s">
        <v>2016</v>
      </c>
      <c r="F313" t="s">
        <v>2016</v>
      </c>
      <c r="G313" t="s">
        <v>2016</v>
      </c>
      <c r="H313" t="s">
        <v>2016</v>
      </c>
      <c r="I313" t="s">
        <v>2016</v>
      </c>
      <c r="J313" t="s">
        <v>2016</v>
      </c>
      <c r="K313" t="s">
        <v>2016</v>
      </c>
      <c r="L313" t="s">
        <v>2016</v>
      </c>
      <c r="M313" t="s">
        <v>2016</v>
      </c>
      <c r="N313" t="s">
        <v>1696</v>
      </c>
      <c r="O313" t="s">
        <v>1697</v>
      </c>
      <c r="P313" t="s">
        <v>1493</v>
      </c>
      <c r="Q313">
        <v>1</v>
      </c>
      <c r="R313">
        <v>1</v>
      </c>
      <c r="S313" t="b">
        <f t="shared" si="4"/>
        <v>1</v>
      </c>
    </row>
    <row r="314" spans="1:19" hidden="1" x14ac:dyDescent="0.25">
      <c r="A314" t="s">
        <v>1689</v>
      </c>
      <c r="B314" t="s">
        <v>1690</v>
      </c>
      <c r="C314" t="s">
        <v>1902</v>
      </c>
      <c r="D314" t="s">
        <v>1910</v>
      </c>
      <c r="E314" t="s">
        <v>1910</v>
      </c>
      <c r="F314" t="s">
        <v>1910</v>
      </c>
      <c r="G314" t="s">
        <v>1910</v>
      </c>
      <c r="H314" t="s">
        <v>1910</v>
      </c>
      <c r="I314" t="s">
        <v>1910</v>
      </c>
      <c r="J314" t="s">
        <v>1910</v>
      </c>
      <c r="K314" t="s">
        <v>1910</v>
      </c>
      <c r="L314" t="s">
        <v>1910</v>
      </c>
      <c r="M314" t="s">
        <v>1910</v>
      </c>
      <c r="N314" t="s">
        <v>1696</v>
      </c>
      <c r="O314" t="s">
        <v>1697</v>
      </c>
      <c r="P314" t="s">
        <v>1493</v>
      </c>
      <c r="Q314">
        <v>1</v>
      </c>
      <c r="R314">
        <v>1</v>
      </c>
      <c r="S314" t="b">
        <f t="shared" si="4"/>
        <v>1</v>
      </c>
    </row>
    <row r="315" spans="1:19" hidden="1" x14ac:dyDescent="0.25">
      <c r="A315" t="s">
        <v>1689</v>
      </c>
      <c r="B315" t="s">
        <v>1690</v>
      </c>
      <c r="C315" t="s">
        <v>1902</v>
      </c>
      <c r="D315" t="s">
        <v>2017</v>
      </c>
      <c r="E315" t="s">
        <v>2017</v>
      </c>
      <c r="F315" t="s">
        <v>2017</v>
      </c>
      <c r="G315" t="s">
        <v>2017</v>
      </c>
      <c r="H315" t="s">
        <v>2017</v>
      </c>
      <c r="I315" t="s">
        <v>2017</v>
      </c>
      <c r="J315" t="s">
        <v>2017</v>
      </c>
      <c r="K315" t="s">
        <v>2017</v>
      </c>
      <c r="L315" t="s">
        <v>2017</v>
      </c>
      <c r="M315" t="s">
        <v>2017</v>
      </c>
      <c r="N315" t="s">
        <v>1696</v>
      </c>
      <c r="O315" t="s">
        <v>1697</v>
      </c>
      <c r="P315" t="s">
        <v>1493</v>
      </c>
      <c r="Q315">
        <v>1</v>
      </c>
      <c r="R315">
        <v>1</v>
      </c>
      <c r="S315" t="b">
        <f t="shared" si="4"/>
        <v>1</v>
      </c>
    </row>
    <row r="316" spans="1:19" hidden="1" x14ac:dyDescent="0.25">
      <c r="A316" t="s">
        <v>1689</v>
      </c>
      <c r="B316" t="s">
        <v>1690</v>
      </c>
      <c r="C316" t="s">
        <v>1902</v>
      </c>
      <c r="D316" t="s">
        <v>1903</v>
      </c>
      <c r="E316" t="s">
        <v>1903</v>
      </c>
      <c r="F316" t="s">
        <v>1903</v>
      </c>
      <c r="G316" t="s">
        <v>1903</v>
      </c>
      <c r="H316" t="s">
        <v>1903</v>
      </c>
      <c r="I316" t="s">
        <v>1903</v>
      </c>
      <c r="J316" t="s">
        <v>1903</v>
      </c>
      <c r="K316" t="s">
        <v>1903</v>
      </c>
      <c r="L316" t="s">
        <v>1903</v>
      </c>
      <c r="M316" t="s">
        <v>1903</v>
      </c>
      <c r="N316" t="s">
        <v>1696</v>
      </c>
      <c r="O316" t="s">
        <v>1697</v>
      </c>
      <c r="P316" t="s">
        <v>1493</v>
      </c>
      <c r="Q316">
        <v>1</v>
      </c>
      <c r="R316">
        <v>1</v>
      </c>
      <c r="S316" t="b">
        <f t="shared" si="4"/>
        <v>1</v>
      </c>
    </row>
    <row r="317" spans="1:19" hidden="1" x14ac:dyDescent="0.25">
      <c r="A317" t="s">
        <v>1689</v>
      </c>
      <c r="B317" t="s">
        <v>1690</v>
      </c>
      <c r="C317" t="s">
        <v>1902</v>
      </c>
      <c r="D317" t="s">
        <v>1907</v>
      </c>
      <c r="E317" t="s">
        <v>1907</v>
      </c>
      <c r="F317" t="s">
        <v>1907</v>
      </c>
      <c r="G317" t="s">
        <v>1907</v>
      </c>
      <c r="H317" t="s">
        <v>1907</v>
      </c>
      <c r="I317" t="s">
        <v>1907</v>
      </c>
      <c r="J317" t="s">
        <v>1907</v>
      </c>
      <c r="K317" t="s">
        <v>1907</v>
      </c>
      <c r="L317" t="s">
        <v>1907</v>
      </c>
      <c r="M317" t="s">
        <v>1907</v>
      </c>
      <c r="N317" t="s">
        <v>1696</v>
      </c>
      <c r="O317" t="s">
        <v>1697</v>
      </c>
      <c r="P317" t="s">
        <v>1493</v>
      </c>
      <c r="Q317">
        <v>1</v>
      </c>
      <c r="R317">
        <v>1</v>
      </c>
      <c r="S317" t="b">
        <f t="shared" si="4"/>
        <v>1</v>
      </c>
    </row>
    <row r="318" spans="1:19" hidden="1" x14ac:dyDescent="0.25">
      <c r="A318" t="s">
        <v>1689</v>
      </c>
      <c r="B318" t="s">
        <v>1690</v>
      </c>
      <c r="C318" t="s">
        <v>1984</v>
      </c>
      <c r="D318" t="s">
        <v>2018</v>
      </c>
      <c r="E318" t="s">
        <v>2018</v>
      </c>
      <c r="F318" t="s">
        <v>2018</v>
      </c>
      <c r="G318" t="s">
        <v>2018</v>
      </c>
      <c r="H318" t="s">
        <v>2018</v>
      </c>
      <c r="I318" t="s">
        <v>2018</v>
      </c>
      <c r="J318" t="s">
        <v>2018</v>
      </c>
      <c r="K318" t="s">
        <v>2018</v>
      </c>
      <c r="L318" t="s">
        <v>2018</v>
      </c>
      <c r="M318" t="s">
        <v>2018</v>
      </c>
      <c r="N318" t="s">
        <v>1696</v>
      </c>
      <c r="O318" t="s">
        <v>1697</v>
      </c>
      <c r="P318" t="s">
        <v>1493</v>
      </c>
      <c r="Q318">
        <v>1</v>
      </c>
      <c r="R318">
        <v>1</v>
      </c>
      <c r="S318" t="b">
        <f t="shared" si="4"/>
        <v>1</v>
      </c>
    </row>
    <row r="319" spans="1:19" hidden="1" x14ac:dyDescent="0.25">
      <c r="A319" t="s">
        <v>1689</v>
      </c>
      <c r="B319" t="s">
        <v>1690</v>
      </c>
      <c r="C319" t="s">
        <v>1890</v>
      </c>
      <c r="D319" t="s">
        <v>2019</v>
      </c>
      <c r="E319" t="s">
        <v>2019</v>
      </c>
      <c r="F319" t="s">
        <v>2019</v>
      </c>
      <c r="G319" t="s">
        <v>2019</v>
      </c>
      <c r="H319" t="s">
        <v>2019</v>
      </c>
      <c r="I319" t="s">
        <v>2019</v>
      </c>
      <c r="J319" t="s">
        <v>2019</v>
      </c>
      <c r="K319" t="s">
        <v>2019</v>
      </c>
      <c r="L319" t="s">
        <v>2019</v>
      </c>
      <c r="M319" t="s">
        <v>2019</v>
      </c>
      <c r="N319" t="s">
        <v>1696</v>
      </c>
      <c r="O319" t="s">
        <v>1697</v>
      </c>
      <c r="P319" t="s">
        <v>1493</v>
      </c>
      <c r="Q319">
        <v>1</v>
      </c>
      <c r="R319">
        <v>1</v>
      </c>
      <c r="S319" t="b">
        <f t="shared" si="4"/>
        <v>1</v>
      </c>
    </row>
    <row r="320" spans="1:19" hidden="1" x14ac:dyDescent="0.25">
      <c r="A320" t="s">
        <v>1689</v>
      </c>
      <c r="B320" t="s">
        <v>1690</v>
      </c>
      <c r="C320" t="s">
        <v>1890</v>
      </c>
      <c r="D320" t="s">
        <v>1891</v>
      </c>
      <c r="E320" t="s">
        <v>1891</v>
      </c>
      <c r="F320" t="s">
        <v>1891</v>
      </c>
      <c r="G320" t="s">
        <v>1891</v>
      </c>
      <c r="H320" t="s">
        <v>1891</v>
      </c>
      <c r="I320" t="s">
        <v>1891</v>
      </c>
      <c r="J320" t="s">
        <v>1891</v>
      </c>
      <c r="K320" t="s">
        <v>1891</v>
      </c>
      <c r="L320" t="s">
        <v>1891</v>
      </c>
      <c r="M320" t="s">
        <v>1891</v>
      </c>
      <c r="N320" t="s">
        <v>1696</v>
      </c>
      <c r="O320" t="s">
        <v>1697</v>
      </c>
      <c r="P320" t="s">
        <v>1493</v>
      </c>
      <c r="Q320">
        <v>1</v>
      </c>
      <c r="R320">
        <v>1</v>
      </c>
      <c r="S320" t="b">
        <f t="shared" si="4"/>
        <v>1</v>
      </c>
    </row>
    <row r="321" spans="1:19" hidden="1" x14ac:dyDescent="0.25">
      <c r="A321" t="s">
        <v>1689</v>
      </c>
      <c r="B321" t="s">
        <v>1690</v>
      </c>
      <c r="C321" t="s">
        <v>1890</v>
      </c>
      <c r="D321" t="s">
        <v>1894</v>
      </c>
      <c r="E321" t="s">
        <v>1894</v>
      </c>
      <c r="F321" t="s">
        <v>1894</v>
      </c>
      <c r="G321" t="s">
        <v>1894</v>
      </c>
      <c r="H321" t="s">
        <v>1894</v>
      </c>
      <c r="I321" t="s">
        <v>1894</v>
      </c>
      <c r="J321" t="s">
        <v>1894</v>
      </c>
      <c r="K321" t="s">
        <v>1894</v>
      </c>
      <c r="L321" t="s">
        <v>1894</v>
      </c>
      <c r="M321" t="s">
        <v>1894</v>
      </c>
      <c r="N321" t="s">
        <v>1696</v>
      </c>
      <c r="O321" t="s">
        <v>1697</v>
      </c>
      <c r="P321" t="s">
        <v>1493</v>
      </c>
      <c r="Q321">
        <v>1</v>
      </c>
      <c r="R321">
        <v>1</v>
      </c>
      <c r="S321" t="b">
        <f t="shared" si="4"/>
        <v>1</v>
      </c>
    </row>
    <row r="322" spans="1:19" hidden="1" x14ac:dyDescent="0.25">
      <c r="A322" t="s">
        <v>1689</v>
      </c>
      <c r="B322" t="s">
        <v>1690</v>
      </c>
      <c r="C322" t="s">
        <v>1982</v>
      </c>
      <c r="D322" t="s">
        <v>2020</v>
      </c>
      <c r="E322" t="s">
        <v>2020</v>
      </c>
      <c r="F322" t="s">
        <v>2020</v>
      </c>
      <c r="G322" t="s">
        <v>2020</v>
      </c>
      <c r="H322" t="s">
        <v>2020</v>
      </c>
      <c r="I322" t="s">
        <v>2020</v>
      </c>
      <c r="J322" t="s">
        <v>2020</v>
      </c>
      <c r="K322" t="s">
        <v>2020</v>
      </c>
      <c r="L322" t="s">
        <v>2020</v>
      </c>
      <c r="M322" t="s">
        <v>2020</v>
      </c>
      <c r="N322" t="s">
        <v>1696</v>
      </c>
      <c r="O322" t="s">
        <v>1697</v>
      </c>
      <c r="P322" t="s">
        <v>1493</v>
      </c>
      <c r="Q322">
        <v>1</v>
      </c>
      <c r="R322">
        <v>1</v>
      </c>
      <c r="S322" t="b">
        <f t="shared" si="4"/>
        <v>1</v>
      </c>
    </row>
    <row r="323" spans="1:19" hidden="1" x14ac:dyDescent="0.25">
      <c r="A323" t="s">
        <v>1689</v>
      </c>
      <c r="B323" t="s">
        <v>1690</v>
      </c>
      <c r="C323" t="s">
        <v>1982</v>
      </c>
      <c r="D323" t="s">
        <v>2021</v>
      </c>
      <c r="E323" t="s">
        <v>2021</v>
      </c>
      <c r="F323" t="s">
        <v>2021</v>
      </c>
      <c r="G323" t="s">
        <v>2021</v>
      </c>
      <c r="H323" t="s">
        <v>2021</v>
      </c>
      <c r="I323" t="s">
        <v>2021</v>
      </c>
      <c r="J323" t="s">
        <v>2021</v>
      </c>
      <c r="K323" t="s">
        <v>2021</v>
      </c>
      <c r="L323" t="s">
        <v>2021</v>
      </c>
      <c r="M323" t="s">
        <v>2021</v>
      </c>
      <c r="N323" t="s">
        <v>1696</v>
      </c>
      <c r="O323" t="s">
        <v>1697</v>
      </c>
      <c r="P323" t="s">
        <v>1493</v>
      </c>
      <c r="Q323">
        <v>1</v>
      </c>
      <c r="R323">
        <v>1</v>
      </c>
      <c r="S323" t="b">
        <f t="shared" ref="S323:S386" si="5">H323=M323</f>
        <v>1</v>
      </c>
    </row>
    <row r="324" spans="1:19" hidden="1" x14ac:dyDescent="0.25">
      <c r="A324" t="s">
        <v>1689</v>
      </c>
      <c r="B324" t="s">
        <v>1690</v>
      </c>
      <c r="C324" t="s">
        <v>1990</v>
      </c>
      <c r="D324" t="s">
        <v>2022</v>
      </c>
      <c r="E324" t="s">
        <v>2022</v>
      </c>
      <c r="F324" t="s">
        <v>2022</v>
      </c>
      <c r="G324" t="s">
        <v>2022</v>
      </c>
      <c r="H324" t="s">
        <v>2022</v>
      </c>
      <c r="I324" t="s">
        <v>2022</v>
      </c>
      <c r="J324" t="s">
        <v>2022</v>
      </c>
      <c r="K324" t="s">
        <v>2022</v>
      </c>
      <c r="L324" t="s">
        <v>2022</v>
      </c>
      <c r="M324" t="s">
        <v>2022</v>
      </c>
      <c r="N324" t="s">
        <v>1696</v>
      </c>
      <c r="O324" t="s">
        <v>1697</v>
      </c>
      <c r="P324" t="s">
        <v>1493</v>
      </c>
      <c r="Q324">
        <v>1</v>
      </c>
      <c r="R324">
        <v>1</v>
      </c>
      <c r="S324" t="b">
        <f t="shared" si="5"/>
        <v>1</v>
      </c>
    </row>
    <row r="325" spans="1:19" hidden="1" x14ac:dyDescent="0.25">
      <c r="A325" t="s">
        <v>1689</v>
      </c>
      <c r="B325" t="s">
        <v>1690</v>
      </c>
      <c r="C325" t="s">
        <v>1990</v>
      </c>
      <c r="D325" t="s">
        <v>2023</v>
      </c>
      <c r="E325" t="s">
        <v>2023</v>
      </c>
      <c r="F325" t="s">
        <v>2023</v>
      </c>
      <c r="G325" t="s">
        <v>2023</v>
      </c>
      <c r="H325" t="s">
        <v>2023</v>
      </c>
      <c r="I325" t="s">
        <v>2023</v>
      </c>
      <c r="J325" t="s">
        <v>2023</v>
      </c>
      <c r="K325" t="s">
        <v>2023</v>
      </c>
      <c r="L325" t="s">
        <v>2023</v>
      </c>
      <c r="M325" t="s">
        <v>2023</v>
      </c>
      <c r="N325" t="s">
        <v>1696</v>
      </c>
      <c r="O325" t="s">
        <v>1697</v>
      </c>
      <c r="P325" t="s">
        <v>1493</v>
      </c>
      <c r="Q325">
        <v>1</v>
      </c>
      <c r="R325">
        <v>1</v>
      </c>
      <c r="S325" t="b">
        <f t="shared" si="5"/>
        <v>1</v>
      </c>
    </row>
    <row r="326" spans="1:19" hidden="1" x14ac:dyDescent="0.25">
      <c r="A326" t="s">
        <v>1689</v>
      </c>
      <c r="B326" t="s">
        <v>1690</v>
      </c>
      <c r="C326" t="s">
        <v>1990</v>
      </c>
      <c r="D326" t="s">
        <v>2024</v>
      </c>
      <c r="E326" t="s">
        <v>2024</v>
      </c>
      <c r="F326" t="s">
        <v>2024</v>
      </c>
      <c r="G326" t="s">
        <v>2024</v>
      </c>
      <c r="H326" t="s">
        <v>2024</v>
      </c>
      <c r="I326" t="s">
        <v>2024</v>
      </c>
      <c r="J326" t="s">
        <v>2024</v>
      </c>
      <c r="K326" t="s">
        <v>2024</v>
      </c>
      <c r="L326" t="s">
        <v>2024</v>
      </c>
      <c r="M326" t="s">
        <v>2024</v>
      </c>
      <c r="N326" t="s">
        <v>1696</v>
      </c>
      <c r="O326" t="s">
        <v>1697</v>
      </c>
      <c r="P326" t="s">
        <v>1493</v>
      </c>
      <c r="Q326">
        <v>1</v>
      </c>
      <c r="R326">
        <v>1</v>
      </c>
      <c r="S326" t="b">
        <f t="shared" si="5"/>
        <v>1</v>
      </c>
    </row>
    <row r="327" spans="1:19" hidden="1" x14ac:dyDescent="0.25">
      <c r="A327" t="s">
        <v>1689</v>
      </c>
      <c r="B327" t="s">
        <v>1690</v>
      </c>
      <c r="C327" t="s">
        <v>1990</v>
      </c>
      <c r="D327" t="s">
        <v>2025</v>
      </c>
      <c r="E327" t="s">
        <v>2025</v>
      </c>
      <c r="F327" t="s">
        <v>2025</v>
      </c>
      <c r="G327" t="s">
        <v>2025</v>
      </c>
      <c r="H327" t="s">
        <v>2025</v>
      </c>
      <c r="I327" t="s">
        <v>2025</v>
      </c>
      <c r="J327" t="s">
        <v>2025</v>
      </c>
      <c r="K327" t="s">
        <v>2025</v>
      </c>
      <c r="L327" t="s">
        <v>2025</v>
      </c>
      <c r="M327" t="s">
        <v>2025</v>
      </c>
      <c r="N327" t="s">
        <v>1696</v>
      </c>
      <c r="O327" t="s">
        <v>1697</v>
      </c>
      <c r="P327" t="s">
        <v>1493</v>
      </c>
      <c r="Q327">
        <v>1</v>
      </c>
      <c r="R327">
        <v>1</v>
      </c>
      <c r="S327" t="b">
        <f t="shared" si="5"/>
        <v>1</v>
      </c>
    </row>
    <row r="328" spans="1:19" hidden="1" x14ac:dyDescent="0.25">
      <c r="A328" t="s">
        <v>1689</v>
      </c>
      <c r="B328" t="s">
        <v>1690</v>
      </c>
      <c r="C328" t="s">
        <v>1990</v>
      </c>
      <c r="D328" t="s">
        <v>2026</v>
      </c>
      <c r="E328" t="s">
        <v>2026</v>
      </c>
      <c r="F328" t="s">
        <v>2026</v>
      </c>
      <c r="G328" t="s">
        <v>2026</v>
      </c>
      <c r="H328" t="s">
        <v>2026</v>
      </c>
      <c r="I328" t="s">
        <v>2026</v>
      </c>
      <c r="J328" t="s">
        <v>2026</v>
      </c>
      <c r="K328" t="s">
        <v>2026</v>
      </c>
      <c r="L328" t="s">
        <v>2026</v>
      </c>
      <c r="M328" t="s">
        <v>2026</v>
      </c>
      <c r="N328" t="s">
        <v>1696</v>
      </c>
      <c r="O328" t="s">
        <v>1697</v>
      </c>
      <c r="P328" t="s">
        <v>1493</v>
      </c>
      <c r="Q328">
        <v>1</v>
      </c>
      <c r="R328">
        <v>1</v>
      </c>
      <c r="S328" t="b">
        <f t="shared" si="5"/>
        <v>1</v>
      </c>
    </row>
    <row r="329" spans="1:19" hidden="1" x14ac:dyDescent="0.25">
      <c r="A329" t="s">
        <v>1689</v>
      </c>
      <c r="B329" t="s">
        <v>1690</v>
      </c>
      <c r="C329" t="s">
        <v>1990</v>
      </c>
      <c r="D329" t="s">
        <v>2027</v>
      </c>
      <c r="E329" t="s">
        <v>2027</v>
      </c>
      <c r="F329" t="s">
        <v>2027</v>
      </c>
      <c r="G329" t="s">
        <v>2027</v>
      </c>
      <c r="H329" t="s">
        <v>2027</v>
      </c>
      <c r="I329" t="s">
        <v>2027</v>
      </c>
      <c r="J329" t="s">
        <v>2027</v>
      </c>
      <c r="K329" t="s">
        <v>2027</v>
      </c>
      <c r="L329" t="s">
        <v>2027</v>
      </c>
      <c r="M329" t="s">
        <v>2027</v>
      </c>
      <c r="N329" t="s">
        <v>1696</v>
      </c>
      <c r="O329" t="s">
        <v>1697</v>
      </c>
      <c r="P329" t="s">
        <v>1493</v>
      </c>
      <c r="Q329">
        <v>1</v>
      </c>
      <c r="R329">
        <v>1</v>
      </c>
      <c r="S329" t="b">
        <f t="shared" si="5"/>
        <v>1</v>
      </c>
    </row>
    <row r="330" spans="1:19" hidden="1" x14ac:dyDescent="0.25">
      <c r="A330" t="s">
        <v>1689</v>
      </c>
      <c r="B330" t="s">
        <v>1690</v>
      </c>
      <c r="C330" t="s">
        <v>1990</v>
      </c>
      <c r="D330" t="s">
        <v>2028</v>
      </c>
      <c r="E330" t="s">
        <v>2028</v>
      </c>
      <c r="F330" t="s">
        <v>2028</v>
      </c>
      <c r="G330" t="s">
        <v>2028</v>
      </c>
      <c r="H330" t="s">
        <v>2028</v>
      </c>
      <c r="I330" t="s">
        <v>2028</v>
      </c>
      <c r="J330" t="s">
        <v>2028</v>
      </c>
      <c r="K330" t="s">
        <v>2028</v>
      </c>
      <c r="L330" t="s">
        <v>2028</v>
      </c>
      <c r="M330" t="s">
        <v>2028</v>
      </c>
      <c r="N330" t="s">
        <v>1696</v>
      </c>
      <c r="O330" t="s">
        <v>1697</v>
      </c>
      <c r="P330" t="s">
        <v>1493</v>
      </c>
      <c r="Q330">
        <v>1</v>
      </c>
      <c r="R330">
        <v>1</v>
      </c>
      <c r="S330" t="b">
        <f t="shared" si="5"/>
        <v>1</v>
      </c>
    </row>
    <row r="331" spans="1:19" hidden="1" x14ac:dyDescent="0.25">
      <c r="A331" t="s">
        <v>1689</v>
      </c>
      <c r="B331" t="s">
        <v>1690</v>
      </c>
      <c r="C331" t="s">
        <v>1990</v>
      </c>
      <c r="D331" t="s">
        <v>2029</v>
      </c>
      <c r="E331" t="s">
        <v>2029</v>
      </c>
      <c r="F331" t="s">
        <v>2029</v>
      </c>
      <c r="G331" t="s">
        <v>2029</v>
      </c>
      <c r="H331" t="s">
        <v>2029</v>
      </c>
      <c r="I331" t="s">
        <v>2029</v>
      </c>
      <c r="J331" t="s">
        <v>2029</v>
      </c>
      <c r="K331" t="s">
        <v>2029</v>
      </c>
      <c r="L331" t="s">
        <v>2029</v>
      </c>
      <c r="M331" t="s">
        <v>2029</v>
      </c>
      <c r="N331" t="s">
        <v>1696</v>
      </c>
      <c r="O331" t="s">
        <v>1697</v>
      </c>
      <c r="P331" t="s">
        <v>1493</v>
      </c>
      <c r="Q331">
        <v>1</v>
      </c>
      <c r="R331">
        <v>1</v>
      </c>
      <c r="S331" t="b">
        <f t="shared" si="5"/>
        <v>1</v>
      </c>
    </row>
    <row r="332" spans="1:19" hidden="1" x14ac:dyDescent="0.25">
      <c r="A332" t="s">
        <v>1689</v>
      </c>
      <c r="B332" t="s">
        <v>1690</v>
      </c>
      <c r="C332" t="s">
        <v>1990</v>
      </c>
      <c r="D332" t="s">
        <v>2030</v>
      </c>
      <c r="E332" t="s">
        <v>2030</v>
      </c>
      <c r="F332" t="s">
        <v>2030</v>
      </c>
      <c r="G332" t="s">
        <v>2030</v>
      </c>
      <c r="H332" t="s">
        <v>2030</v>
      </c>
      <c r="I332" t="s">
        <v>2030</v>
      </c>
      <c r="J332" t="s">
        <v>2030</v>
      </c>
      <c r="K332" t="s">
        <v>2030</v>
      </c>
      <c r="L332" t="s">
        <v>2030</v>
      </c>
      <c r="M332" t="s">
        <v>2030</v>
      </c>
      <c r="N332" t="s">
        <v>1696</v>
      </c>
      <c r="O332" t="s">
        <v>1697</v>
      </c>
      <c r="P332" t="s">
        <v>1493</v>
      </c>
      <c r="Q332">
        <v>1</v>
      </c>
      <c r="R332">
        <v>1</v>
      </c>
      <c r="S332" t="b">
        <f t="shared" si="5"/>
        <v>1</v>
      </c>
    </row>
    <row r="333" spans="1:19" hidden="1" x14ac:dyDescent="0.25">
      <c r="A333" t="s">
        <v>1689</v>
      </c>
      <c r="B333" t="s">
        <v>1690</v>
      </c>
      <c r="C333" t="s">
        <v>1856</v>
      </c>
      <c r="D333" t="s">
        <v>1857</v>
      </c>
      <c r="E333" t="s">
        <v>1857</v>
      </c>
      <c r="F333" t="s">
        <v>1857</v>
      </c>
      <c r="G333" t="s">
        <v>1857</v>
      </c>
      <c r="H333" t="s">
        <v>1857</v>
      </c>
      <c r="I333" t="s">
        <v>1857</v>
      </c>
      <c r="J333" t="s">
        <v>1857</v>
      </c>
      <c r="K333" t="s">
        <v>1857</v>
      </c>
      <c r="L333" t="s">
        <v>1857</v>
      </c>
      <c r="M333" t="s">
        <v>1857</v>
      </c>
      <c r="N333" t="s">
        <v>1696</v>
      </c>
      <c r="O333" t="s">
        <v>1697</v>
      </c>
      <c r="P333" t="s">
        <v>1493</v>
      </c>
      <c r="Q333">
        <v>1</v>
      </c>
      <c r="R333">
        <v>1</v>
      </c>
      <c r="S333" t="b">
        <f t="shared" si="5"/>
        <v>1</v>
      </c>
    </row>
    <row r="334" spans="1:19" hidden="1" x14ac:dyDescent="0.25">
      <c r="A334" t="s">
        <v>1689</v>
      </c>
      <c r="B334" t="s">
        <v>1690</v>
      </c>
      <c r="C334" t="s">
        <v>1988</v>
      </c>
      <c r="D334" t="s">
        <v>2031</v>
      </c>
      <c r="E334" t="s">
        <v>2031</v>
      </c>
      <c r="F334" t="s">
        <v>2031</v>
      </c>
      <c r="G334" t="s">
        <v>2031</v>
      </c>
      <c r="H334" t="s">
        <v>2031</v>
      </c>
      <c r="I334" t="s">
        <v>2031</v>
      </c>
      <c r="J334" t="s">
        <v>2031</v>
      </c>
      <c r="K334" t="s">
        <v>2031</v>
      </c>
      <c r="L334" t="s">
        <v>2031</v>
      </c>
      <c r="M334" t="s">
        <v>2031</v>
      </c>
      <c r="N334" t="s">
        <v>1696</v>
      </c>
      <c r="O334" t="s">
        <v>1697</v>
      </c>
      <c r="P334" t="s">
        <v>1493</v>
      </c>
      <c r="Q334">
        <v>1</v>
      </c>
      <c r="R334">
        <v>1</v>
      </c>
      <c r="S334" t="b">
        <f t="shared" si="5"/>
        <v>1</v>
      </c>
    </row>
    <row r="335" spans="1:19" hidden="1" x14ac:dyDescent="0.25">
      <c r="A335" t="s">
        <v>1689</v>
      </c>
      <c r="B335" t="s">
        <v>1690</v>
      </c>
      <c r="C335" t="s">
        <v>1985</v>
      </c>
      <c r="D335" t="s">
        <v>2032</v>
      </c>
      <c r="E335" t="s">
        <v>2032</v>
      </c>
      <c r="F335" t="s">
        <v>2032</v>
      </c>
      <c r="G335" t="s">
        <v>2032</v>
      </c>
      <c r="H335" t="s">
        <v>2032</v>
      </c>
      <c r="I335" t="s">
        <v>2032</v>
      </c>
      <c r="J335" t="s">
        <v>2032</v>
      </c>
      <c r="K335" t="s">
        <v>2032</v>
      </c>
      <c r="L335" t="s">
        <v>2032</v>
      </c>
      <c r="M335" t="s">
        <v>2032</v>
      </c>
      <c r="N335" t="s">
        <v>1696</v>
      </c>
      <c r="O335" t="s">
        <v>1697</v>
      </c>
      <c r="P335" t="s">
        <v>1493</v>
      </c>
      <c r="Q335">
        <v>1</v>
      </c>
      <c r="R335">
        <v>1</v>
      </c>
      <c r="S335" t="b">
        <f t="shared" si="5"/>
        <v>1</v>
      </c>
    </row>
    <row r="336" spans="1:19" hidden="1" x14ac:dyDescent="0.25">
      <c r="A336" t="s">
        <v>1689</v>
      </c>
      <c r="B336" t="s">
        <v>1690</v>
      </c>
      <c r="C336" t="s">
        <v>1985</v>
      </c>
      <c r="D336" t="s">
        <v>2033</v>
      </c>
      <c r="E336" t="s">
        <v>2033</v>
      </c>
      <c r="F336" t="s">
        <v>2033</v>
      </c>
      <c r="G336" t="s">
        <v>2033</v>
      </c>
      <c r="H336" t="s">
        <v>2033</v>
      </c>
      <c r="I336" t="s">
        <v>2033</v>
      </c>
      <c r="J336" t="s">
        <v>2033</v>
      </c>
      <c r="K336" t="s">
        <v>2033</v>
      </c>
      <c r="L336" t="s">
        <v>2033</v>
      </c>
      <c r="M336" t="s">
        <v>2033</v>
      </c>
      <c r="N336" t="s">
        <v>1696</v>
      </c>
      <c r="O336" t="s">
        <v>1697</v>
      </c>
      <c r="P336" t="s">
        <v>1493</v>
      </c>
      <c r="Q336">
        <v>1</v>
      </c>
      <c r="R336">
        <v>1</v>
      </c>
      <c r="S336" t="b">
        <f t="shared" si="5"/>
        <v>1</v>
      </c>
    </row>
    <row r="337" spans="1:19" hidden="1" x14ac:dyDescent="0.25">
      <c r="A337" t="s">
        <v>1689</v>
      </c>
      <c r="B337" t="s">
        <v>1690</v>
      </c>
      <c r="C337" t="s">
        <v>1914</v>
      </c>
      <c r="D337" t="s">
        <v>2034</v>
      </c>
      <c r="E337" t="s">
        <v>2034</v>
      </c>
      <c r="F337" t="s">
        <v>2034</v>
      </c>
      <c r="G337" t="s">
        <v>2034</v>
      </c>
      <c r="H337" t="s">
        <v>2034</v>
      </c>
      <c r="I337" t="s">
        <v>2034</v>
      </c>
      <c r="J337" t="s">
        <v>2034</v>
      </c>
      <c r="K337" t="s">
        <v>2034</v>
      </c>
      <c r="L337" t="s">
        <v>2034</v>
      </c>
      <c r="M337" t="s">
        <v>2034</v>
      </c>
      <c r="N337" t="s">
        <v>1696</v>
      </c>
      <c r="O337" t="s">
        <v>1697</v>
      </c>
      <c r="P337" t="s">
        <v>1493</v>
      </c>
      <c r="Q337">
        <v>1</v>
      </c>
      <c r="R337">
        <v>1</v>
      </c>
      <c r="S337" t="b">
        <f t="shared" si="5"/>
        <v>1</v>
      </c>
    </row>
    <row r="338" spans="1:19" hidden="1" x14ac:dyDescent="0.25">
      <c r="A338" t="s">
        <v>1689</v>
      </c>
      <c r="B338" t="s">
        <v>1690</v>
      </c>
      <c r="C338" t="s">
        <v>1914</v>
      </c>
      <c r="D338" t="s">
        <v>1924</v>
      </c>
      <c r="E338" t="s">
        <v>1924</v>
      </c>
      <c r="F338" t="s">
        <v>1924</v>
      </c>
      <c r="G338" t="s">
        <v>1924</v>
      </c>
      <c r="H338" t="s">
        <v>1924</v>
      </c>
      <c r="I338" t="s">
        <v>1924</v>
      </c>
      <c r="J338" t="s">
        <v>1924</v>
      </c>
      <c r="K338" t="s">
        <v>1924</v>
      </c>
      <c r="L338" t="s">
        <v>1924</v>
      </c>
      <c r="M338" t="s">
        <v>1924</v>
      </c>
      <c r="N338" t="s">
        <v>1696</v>
      </c>
      <c r="O338" t="s">
        <v>1697</v>
      </c>
      <c r="P338" t="s">
        <v>1493</v>
      </c>
      <c r="Q338">
        <v>1</v>
      </c>
      <c r="R338">
        <v>1</v>
      </c>
      <c r="S338" t="b">
        <f t="shared" si="5"/>
        <v>1</v>
      </c>
    </row>
    <row r="339" spans="1:19" hidden="1" x14ac:dyDescent="0.25">
      <c r="A339" t="s">
        <v>1689</v>
      </c>
      <c r="B339" t="s">
        <v>1690</v>
      </c>
      <c r="C339" t="s">
        <v>1914</v>
      </c>
      <c r="D339" t="s">
        <v>2035</v>
      </c>
      <c r="E339" t="s">
        <v>2035</v>
      </c>
      <c r="F339" t="s">
        <v>2035</v>
      </c>
      <c r="G339" t="s">
        <v>2035</v>
      </c>
      <c r="H339" t="s">
        <v>2035</v>
      </c>
      <c r="I339" t="s">
        <v>2035</v>
      </c>
      <c r="J339" t="s">
        <v>2035</v>
      </c>
      <c r="K339" t="s">
        <v>2035</v>
      </c>
      <c r="L339" t="s">
        <v>2035</v>
      </c>
      <c r="M339" t="s">
        <v>2035</v>
      </c>
      <c r="N339" t="s">
        <v>1696</v>
      </c>
      <c r="O339" t="s">
        <v>1697</v>
      </c>
      <c r="P339" t="s">
        <v>1493</v>
      </c>
      <c r="Q339">
        <v>1</v>
      </c>
      <c r="R339">
        <v>1</v>
      </c>
      <c r="S339" t="b">
        <f t="shared" si="5"/>
        <v>1</v>
      </c>
    </row>
    <row r="340" spans="1:19" hidden="1" x14ac:dyDescent="0.25">
      <c r="A340" t="s">
        <v>1689</v>
      </c>
      <c r="B340" t="s">
        <v>1690</v>
      </c>
      <c r="C340" t="s">
        <v>1914</v>
      </c>
      <c r="D340" t="s">
        <v>2036</v>
      </c>
      <c r="E340" t="s">
        <v>2036</v>
      </c>
      <c r="F340" t="s">
        <v>2036</v>
      </c>
      <c r="G340" t="s">
        <v>2036</v>
      </c>
      <c r="H340" t="s">
        <v>2036</v>
      </c>
      <c r="I340" t="s">
        <v>2036</v>
      </c>
      <c r="J340" t="s">
        <v>2036</v>
      </c>
      <c r="K340" t="s">
        <v>2036</v>
      </c>
      <c r="L340" t="s">
        <v>2036</v>
      </c>
      <c r="M340" t="s">
        <v>2036</v>
      </c>
      <c r="N340" t="s">
        <v>1696</v>
      </c>
      <c r="O340" t="s">
        <v>1697</v>
      </c>
      <c r="P340" t="s">
        <v>1493</v>
      </c>
      <c r="Q340">
        <v>1</v>
      </c>
      <c r="R340">
        <v>1</v>
      </c>
      <c r="S340" t="b">
        <f t="shared" si="5"/>
        <v>1</v>
      </c>
    </row>
    <row r="341" spans="1:19" hidden="1" x14ac:dyDescent="0.25">
      <c r="A341" t="s">
        <v>1689</v>
      </c>
      <c r="B341" t="s">
        <v>1690</v>
      </c>
      <c r="C341" t="s">
        <v>1914</v>
      </c>
      <c r="D341" t="s">
        <v>2037</v>
      </c>
      <c r="E341" t="s">
        <v>2037</v>
      </c>
      <c r="F341" t="s">
        <v>2037</v>
      </c>
      <c r="G341" t="s">
        <v>2037</v>
      </c>
      <c r="H341" t="s">
        <v>2037</v>
      </c>
      <c r="I341" t="s">
        <v>2037</v>
      </c>
      <c r="J341" t="s">
        <v>2037</v>
      </c>
      <c r="K341" t="s">
        <v>2037</v>
      </c>
      <c r="L341" t="s">
        <v>2037</v>
      </c>
      <c r="M341" t="s">
        <v>2037</v>
      </c>
      <c r="N341" t="s">
        <v>1696</v>
      </c>
      <c r="O341" t="s">
        <v>1697</v>
      </c>
      <c r="P341" t="s">
        <v>1493</v>
      </c>
      <c r="Q341">
        <v>1</v>
      </c>
      <c r="R341">
        <v>1</v>
      </c>
      <c r="S341" t="b">
        <f t="shared" si="5"/>
        <v>1</v>
      </c>
    </row>
    <row r="342" spans="1:19" hidden="1" x14ac:dyDescent="0.25">
      <c r="A342" t="s">
        <v>1689</v>
      </c>
      <c r="B342" t="s">
        <v>1690</v>
      </c>
      <c r="C342" t="s">
        <v>1914</v>
      </c>
      <c r="D342" t="s">
        <v>2038</v>
      </c>
      <c r="E342" t="s">
        <v>2038</v>
      </c>
      <c r="F342" t="s">
        <v>2038</v>
      </c>
      <c r="G342" t="s">
        <v>2038</v>
      </c>
      <c r="H342" t="s">
        <v>2038</v>
      </c>
      <c r="I342" t="s">
        <v>2038</v>
      </c>
      <c r="J342" t="s">
        <v>2038</v>
      </c>
      <c r="K342" t="s">
        <v>2038</v>
      </c>
      <c r="L342" t="s">
        <v>2038</v>
      </c>
      <c r="M342" t="s">
        <v>2038</v>
      </c>
      <c r="N342" t="s">
        <v>1696</v>
      </c>
      <c r="O342" t="s">
        <v>1697</v>
      </c>
      <c r="P342" t="s">
        <v>1493</v>
      </c>
      <c r="Q342">
        <v>1</v>
      </c>
      <c r="R342">
        <v>1</v>
      </c>
      <c r="S342" t="b">
        <f t="shared" si="5"/>
        <v>1</v>
      </c>
    </row>
    <row r="343" spans="1:19" hidden="1" x14ac:dyDescent="0.25">
      <c r="A343" t="s">
        <v>1689</v>
      </c>
      <c r="B343" t="s">
        <v>1690</v>
      </c>
      <c r="C343" t="s">
        <v>1914</v>
      </c>
      <c r="D343" t="s">
        <v>1915</v>
      </c>
      <c r="E343" t="s">
        <v>1915</v>
      </c>
      <c r="F343" t="s">
        <v>1915</v>
      </c>
      <c r="G343" t="s">
        <v>1915</v>
      </c>
      <c r="H343" t="s">
        <v>1915</v>
      </c>
      <c r="I343" t="s">
        <v>1915</v>
      </c>
      <c r="J343" t="s">
        <v>1915</v>
      </c>
      <c r="K343" t="s">
        <v>1915</v>
      </c>
      <c r="L343" t="s">
        <v>1915</v>
      </c>
      <c r="M343" t="s">
        <v>1915</v>
      </c>
      <c r="N343" t="s">
        <v>1696</v>
      </c>
      <c r="O343" t="s">
        <v>1697</v>
      </c>
      <c r="P343" t="s">
        <v>1493</v>
      </c>
      <c r="Q343">
        <v>1</v>
      </c>
      <c r="R343">
        <v>1</v>
      </c>
      <c r="S343" t="b">
        <f t="shared" si="5"/>
        <v>1</v>
      </c>
    </row>
    <row r="344" spans="1:19" hidden="1" x14ac:dyDescent="0.25">
      <c r="A344" t="s">
        <v>1689</v>
      </c>
      <c r="B344" t="s">
        <v>1690</v>
      </c>
      <c r="C344" t="s">
        <v>1914</v>
      </c>
      <c r="D344" t="s">
        <v>2039</v>
      </c>
      <c r="E344" t="s">
        <v>2039</v>
      </c>
      <c r="F344" t="s">
        <v>2039</v>
      </c>
      <c r="G344" t="s">
        <v>2039</v>
      </c>
      <c r="H344" t="s">
        <v>2039</v>
      </c>
      <c r="I344" t="s">
        <v>2039</v>
      </c>
      <c r="J344" t="s">
        <v>2039</v>
      </c>
      <c r="K344" t="s">
        <v>2039</v>
      </c>
      <c r="L344" t="s">
        <v>2039</v>
      </c>
      <c r="M344" t="s">
        <v>2039</v>
      </c>
      <c r="N344" t="s">
        <v>1696</v>
      </c>
      <c r="O344" t="s">
        <v>1697</v>
      </c>
      <c r="P344" t="s">
        <v>1493</v>
      </c>
      <c r="Q344">
        <v>1</v>
      </c>
      <c r="R344">
        <v>1</v>
      </c>
      <c r="S344" t="b">
        <f t="shared" si="5"/>
        <v>1</v>
      </c>
    </row>
    <row r="345" spans="1:19" hidden="1" x14ac:dyDescent="0.25">
      <c r="A345" t="s">
        <v>1689</v>
      </c>
      <c r="B345" t="s">
        <v>1690</v>
      </c>
      <c r="C345" t="s">
        <v>1914</v>
      </c>
      <c r="D345" t="s">
        <v>2040</v>
      </c>
      <c r="E345" t="s">
        <v>2040</v>
      </c>
      <c r="F345" t="s">
        <v>2040</v>
      </c>
      <c r="G345" t="s">
        <v>2040</v>
      </c>
      <c r="H345" t="s">
        <v>2040</v>
      </c>
      <c r="I345" t="s">
        <v>2040</v>
      </c>
      <c r="J345" t="s">
        <v>2040</v>
      </c>
      <c r="K345" t="s">
        <v>2040</v>
      </c>
      <c r="L345" t="s">
        <v>2040</v>
      </c>
      <c r="M345" t="s">
        <v>2040</v>
      </c>
      <c r="N345" t="s">
        <v>1696</v>
      </c>
      <c r="O345" t="s">
        <v>1697</v>
      </c>
      <c r="P345" t="s">
        <v>1493</v>
      </c>
      <c r="Q345">
        <v>1</v>
      </c>
      <c r="R345">
        <v>1</v>
      </c>
      <c r="S345" t="b">
        <f t="shared" si="5"/>
        <v>1</v>
      </c>
    </row>
    <row r="346" spans="1:19" hidden="1" x14ac:dyDescent="0.25">
      <c r="A346" t="s">
        <v>1689</v>
      </c>
      <c r="B346" t="s">
        <v>1690</v>
      </c>
      <c r="C346" t="s">
        <v>1914</v>
      </c>
      <c r="D346" t="s">
        <v>2041</v>
      </c>
      <c r="E346" t="s">
        <v>2041</v>
      </c>
      <c r="F346" t="s">
        <v>2041</v>
      </c>
      <c r="G346" t="s">
        <v>2041</v>
      </c>
      <c r="H346" t="s">
        <v>2041</v>
      </c>
      <c r="I346" t="s">
        <v>2041</v>
      </c>
      <c r="J346" t="s">
        <v>2041</v>
      </c>
      <c r="K346" t="s">
        <v>2041</v>
      </c>
      <c r="L346" t="s">
        <v>2041</v>
      </c>
      <c r="M346" t="s">
        <v>2041</v>
      </c>
      <c r="N346" t="s">
        <v>1696</v>
      </c>
      <c r="O346" t="s">
        <v>1697</v>
      </c>
      <c r="P346" t="s">
        <v>1493</v>
      </c>
      <c r="Q346">
        <v>1</v>
      </c>
      <c r="R346">
        <v>1</v>
      </c>
      <c r="S346" t="b">
        <f t="shared" si="5"/>
        <v>1</v>
      </c>
    </row>
    <row r="347" spans="1:19" hidden="1" x14ac:dyDescent="0.25">
      <c r="A347" t="s">
        <v>1689</v>
      </c>
      <c r="B347" t="s">
        <v>1690</v>
      </c>
      <c r="C347" t="s">
        <v>1914</v>
      </c>
      <c r="D347" t="s">
        <v>1945</v>
      </c>
      <c r="E347" t="s">
        <v>1945</v>
      </c>
      <c r="F347" t="s">
        <v>1945</v>
      </c>
      <c r="G347" t="s">
        <v>1945</v>
      </c>
      <c r="H347" t="s">
        <v>1945</v>
      </c>
      <c r="I347" t="s">
        <v>1945</v>
      </c>
      <c r="J347" t="s">
        <v>1945</v>
      </c>
      <c r="K347" t="s">
        <v>1945</v>
      </c>
      <c r="L347" t="s">
        <v>1945</v>
      </c>
      <c r="M347" t="s">
        <v>1945</v>
      </c>
      <c r="N347" t="s">
        <v>1696</v>
      </c>
      <c r="O347" t="s">
        <v>1697</v>
      </c>
      <c r="P347" t="s">
        <v>1493</v>
      </c>
      <c r="Q347">
        <v>1</v>
      </c>
      <c r="R347">
        <v>1</v>
      </c>
      <c r="S347" t="b">
        <f t="shared" si="5"/>
        <v>1</v>
      </c>
    </row>
    <row r="348" spans="1:19" hidden="1" x14ac:dyDescent="0.25">
      <c r="A348" t="s">
        <v>1689</v>
      </c>
      <c r="B348" t="s">
        <v>1690</v>
      </c>
      <c r="C348" t="s">
        <v>1914</v>
      </c>
      <c r="D348" t="s">
        <v>1922</v>
      </c>
      <c r="E348" t="s">
        <v>1922</v>
      </c>
      <c r="F348" t="s">
        <v>1922</v>
      </c>
      <c r="G348" t="s">
        <v>1922</v>
      </c>
      <c r="H348" t="s">
        <v>1922</v>
      </c>
      <c r="I348" t="s">
        <v>1922</v>
      </c>
      <c r="J348" t="s">
        <v>1922</v>
      </c>
      <c r="K348" t="s">
        <v>1922</v>
      </c>
      <c r="L348" t="s">
        <v>1922</v>
      </c>
      <c r="M348" t="s">
        <v>1922</v>
      </c>
      <c r="N348" t="s">
        <v>1696</v>
      </c>
      <c r="O348" t="s">
        <v>1697</v>
      </c>
      <c r="P348" t="s">
        <v>1493</v>
      </c>
      <c r="Q348">
        <v>1</v>
      </c>
      <c r="R348">
        <v>1</v>
      </c>
      <c r="S348" t="b">
        <f t="shared" si="5"/>
        <v>1</v>
      </c>
    </row>
    <row r="349" spans="1:19" hidden="1" x14ac:dyDescent="0.25">
      <c r="A349" t="s">
        <v>1689</v>
      </c>
      <c r="B349" t="s">
        <v>1690</v>
      </c>
      <c r="C349" t="s">
        <v>1914</v>
      </c>
      <c r="D349" t="s">
        <v>2042</v>
      </c>
      <c r="E349" t="s">
        <v>2042</v>
      </c>
      <c r="F349" t="s">
        <v>2042</v>
      </c>
      <c r="G349" t="s">
        <v>2042</v>
      </c>
      <c r="H349" t="s">
        <v>2042</v>
      </c>
      <c r="I349" t="s">
        <v>2042</v>
      </c>
      <c r="J349" t="s">
        <v>2042</v>
      </c>
      <c r="K349" t="s">
        <v>2042</v>
      </c>
      <c r="L349" t="s">
        <v>2042</v>
      </c>
      <c r="M349" t="s">
        <v>2042</v>
      </c>
      <c r="N349" t="s">
        <v>1696</v>
      </c>
      <c r="O349" t="s">
        <v>1697</v>
      </c>
      <c r="P349" t="s">
        <v>1493</v>
      </c>
      <c r="Q349">
        <v>1</v>
      </c>
      <c r="R349">
        <v>1</v>
      </c>
      <c r="S349" t="b">
        <f t="shared" si="5"/>
        <v>1</v>
      </c>
    </row>
    <row r="350" spans="1:19" hidden="1" x14ac:dyDescent="0.25">
      <c r="A350" t="s">
        <v>1689</v>
      </c>
      <c r="B350" t="s">
        <v>1690</v>
      </c>
      <c r="C350" t="s">
        <v>1914</v>
      </c>
      <c r="D350" t="s">
        <v>2043</v>
      </c>
      <c r="E350" t="s">
        <v>2043</v>
      </c>
      <c r="F350" t="s">
        <v>2043</v>
      </c>
      <c r="G350" t="s">
        <v>2043</v>
      </c>
      <c r="H350" t="s">
        <v>2043</v>
      </c>
      <c r="I350" t="s">
        <v>2043</v>
      </c>
      <c r="J350" t="s">
        <v>2043</v>
      </c>
      <c r="K350" t="s">
        <v>2043</v>
      </c>
      <c r="L350" t="s">
        <v>2043</v>
      </c>
      <c r="M350" t="s">
        <v>2043</v>
      </c>
      <c r="N350" t="s">
        <v>1696</v>
      </c>
      <c r="O350" t="s">
        <v>1697</v>
      </c>
      <c r="P350" t="s">
        <v>1493</v>
      </c>
      <c r="Q350">
        <v>1</v>
      </c>
      <c r="R350">
        <v>1</v>
      </c>
      <c r="S350" t="b">
        <f t="shared" si="5"/>
        <v>1</v>
      </c>
    </row>
    <row r="351" spans="1:19" hidden="1" x14ac:dyDescent="0.25">
      <c r="A351" t="s">
        <v>1689</v>
      </c>
      <c r="B351" t="s">
        <v>1690</v>
      </c>
      <c r="C351" t="s">
        <v>1914</v>
      </c>
      <c r="D351" t="s">
        <v>1940</v>
      </c>
      <c r="E351" t="s">
        <v>1940</v>
      </c>
      <c r="F351" t="s">
        <v>1940</v>
      </c>
      <c r="G351" t="s">
        <v>1940</v>
      </c>
      <c r="H351" t="s">
        <v>1940</v>
      </c>
      <c r="I351" t="s">
        <v>1940</v>
      </c>
      <c r="J351" t="s">
        <v>1940</v>
      </c>
      <c r="K351" t="s">
        <v>1940</v>
      </c>
      <c r="L351" t="s">
        <v>1940</v>
      </c>
      <c r="M351" t="s">
        <v>1940</v>
      </c>
      <c r="N351" t="s">
        <v>1696</v>
      </c>
      <c r="O351" t="s">
        <v>1697</v>
      </c>
      <c r="P351" t="s">
        <v>1493</v>
      </c>
      <c r="Q351">
        <v>1</v>
      </c>
      <c r="R351">
        <v>1</v>
      </c>
      <c r="S351" t="b">
        <f t="shared" si="5"/>
        <v>1</v>
      </c>
    </row>
    <row r="352" spans="1:19" hidden="1" x14ac:dyDescent="0.25">
      <c r="A352" t="s">
        <v>1689</v>
      </c>
      <c r="B352" t="s">
        <v>1690</v>
      </c>
      <c r="C352" t="s">
        <v>1914</v>
      </c>
      <c r="D352" t="s">
        <v>1934</v>
      </c>
      <c r="E352" t="s">
        <v>1934</v>
      </c>
      <c r="F352" t="s">
        <v>1934</v>
      </c>
      <c r="G352" t="s">
        <v>1934</v>
      </c>
      <c r="H352" t="s">
        <v>1934</v>
      </c>
      <c r="I352" t="s">
        <v>1934</v>
      </c>
      <c r="J352" t="s">
        <v>1934</v>
      </c>
      <c r="K352" t="s">
        <v>1934</v>
      </c>
      <c r="L352" t="s">
        <v>1934</v>
      </c>
      <c r="M352" t="s">
        <v>1934</v>
      </c>
      <c r="N352" t="s">
        <v>1696</v>
      </c>
      <c r="O352" t="s">
        <v>1697</v>
      </c>
      <c r="P352" t="s">
        <v>1493</v>
      </c>
      <c r="Q352">
        <v>1</v>
      </c>
      <c r="R352">
        <v>1</v>
      </c>
      <c r="S352" t="b">
        <f t="shared" si="5"/>
        <v>1</v>
      </c>
    </row>
    <row r="353" spans="1:19" hidden="1" x14ac:dyDescent="0.25">
      <c r="A353" t="s">
        <v>1689</v>
      </c>
      <c r="B353" t="s">
        <v>1690</v>
      </c>
      <c r="C353" t="s">
        <v>1914</v>
      </c>
      <c r="D353" t="s">
        <v>2044</v>
      </c>
      <c r="E353" t="s">
        <v>2044</v>
      </c>
      <c r="F353" t="s">
        <v>2044</v>
      </c>
      <c r="G353" t="s">
        <v>2044</v>
      </c>
      <c r="H353" t="s">
        <v>2044</v>
      </c>
      <c r="I353" t="s">
        <v>2044</v>
      </c>
      <c r="J353" t="s">
        <v>2044</v>
      </c>
      <c r="K353" t="s">
        <v>2044</v>
      </c>
      <c r="L353" t="s">
        <v>2044</v>
      </c>
      <c r="M353" t="s">
        <v>2044</v>
      </c>
      <c r="N353" t="s">
        <v>1696</v>
      </c>
      <c r="O353" t="s">
        <v>1697</v>
      </c>
      <c r="P353" t="s">
        <v>1493</v>
      </c>
      <c r="Q353">
        <v>1</v>
      </c>
      <c r="R353">
        <v>1</v>
      </c>
      <c r="S353" t="b">
        <f t="shared" si="5"/>
        <v>1</v>
      </c>
    </row>
    <row r="354" spans="1:19" hidden="1" x14ac:dyDescent="0.25">
      <c r="A354" t="s">
        <v>1689</v>
      </c>
      <c r="B354" t="s">
        <v>1690</v>
      </c>
      <c r="C354" t="s">
        <v>1914</v>
      </c>
      <c r="D354" t="s">
        <v>2045</v>
      </c>
      <c r="E354" t="s">
        <v>2045</v>
      </c>
      <c r="F354" t="s">
        <v>2045</v>
      </c>
      <c r="G354" t="s">
        <v>2045</v>
      </c>
      <c r="H354" t="s">
        <v>2045</v>
      </c>
      <c r="I354" t="s">
        <v>2045</v>
      </c>
      <c r="J354" t="s">
        <v>2045</v>
      </c>
      <c r="K354" t="s">
        <v>2045</v>
      </c>
      <c r="L354" t="s">
        <v>2045</v>
      </c>
      <c r="M354" t="s">
        <v>2045</v>
      </c>
      <c r="N354" t="s">
        <v>1696</v>
      </c>
      <c r="O354" t="s">
        <v>1697</v>
      </c>
      <c r="P354" t="s">
        <v>1493</v>
      </c>
      <c r="Q354">
        <v>1</v>
      </c>
      <c r="R354">
        <v>1</v>
      </c>
      <c r="S354" t="b">
        <f t="shared" si="5"/>
        <v>1</v>
      </c>
    </row>
    <row r="355" spans="1:19" hidden="1" x14ac:dyDescent="0.25">
      <c r="A355" t="s">
        <v>1689</v>
      </c>
      <c r="B355" t="s">
        <v>1690</v>
      </c>
      <c r="C355" t="s">
        <v>1914</v>
      </c>
      <c r="D355" t="s">
        <v>2046</v>
      </c>
      <c r="E355" t="s">
        <v>2046</v>
      </c>
      <c r="F355" t="s">
        <v>2046</v>
      </c>
      <c r="G355" t="s">
        <v>2046</v>
      </c>
      <c r="H355" t="s">
        <v>2046</v>
      </c>
      <c r="I355" t="s">
        <v>2046</v>
      </c>
      <c r="J355" t="s">
        <v>2046</v>
      </c>
      <c r="K355" t="s">
        <v>2046</v>
      </c>
      <c r="L355" t="s">
        <v>2046</v>
      </c>
      <c r="M355" t="s">
        <v>2046</v>
      </c>
      <c r="N355" t="s">
        <v>1696</v>
      </c>
      <c r="O355" t="s">
        <v>1697</v>
      </c>
      <c r="P355" t="s">
        <v>1493</v>
      </c>
      <c r="Q355">
        <v>1</v>
      </c>
      <c r="R355">
        <v>1</v>
      </c>
      <c r="S355" t="b">
        <f t="shared" si="5"/>
        <v>1</v>
      </c>
    </row>
    <row r="356" spans="1:19" hidden="1" x14ac:dyDescent="0.25">
      <c r="A356" t="s">
        <v>1689</v>
      </c>
      <c r="B356" t="s">
        <v>1690</v>
      </c>
      <c r="C356" t="s">
        <v>1914</v>
      </c>
      <c r="D356" t="s">
        <v>2047</v>
      </c>
      <c r="E356" t="s">
        <v>2047</v>
      </c>
      <c r="F356" t="s">
        <v>2047</v>
      </c>
      <c r="G356" t="s">
        <v>2047</v>
      </c>
      <c r="H356" t="s">
        <v>2047</v>
      </c>
      <c r="I356" t="s">
        <v>2047</v>
      </c>
      <c r="J356" t="s">
        <v>2047</v>
      </c>
      <c r="K356" t="s">
        <v>2047</v>
      </c>
      <c r="L356" t="s">
        <v>2047</v>
      </c>
      <c r="M356" t="s">
        <v>2047</v>
      </c>
      <c r="N356" t="s">
        <v>1696</v>
      </c>
      <c r="O356" t="s">
        <v>1697</v>
      </c>
      <c r="P356" t="s">
        <v>1493</v>
      </c>
      <c r="Q356">
        <v>1</v>
      </c>
      <c r="R356">
        <v>1</v>
      </c>
      <c r="S356" t="b">
        <f t="shared" si="5"/>
        <v>1</v>
      </c>
    </row>
    <row r="357" spans="1:19" hidden="1" x14ac:dyDescent="0.25">
      <c r="A357" t="s">
        <v>1689</v>
      </c>
      <c r="B357" t="s">
        <v>1690</v>
      </c>
      <c r="C357" t="s">
        <v>1914</v>
      </c>
      <c r="D357" t="s">
        <v>2048</v>
      </c>
      <c r="E357" t="s">
        <v>2048</v>
      </c>
      <c r="F357" t="s">
        <v>2048</v>
      </c>
      <c r="G357" t="s">
        <v>2048</v>
      </c>
      <c r="H357" t="s">
        <v>2048</v>
      </c>
      <c r="I357" t="s">
        <v>2048</v>
      </c>
      <c r="J357" t="s">
        <v>2048</v>
      </c>
      <c r="K357" t="s">
        <v>2048</v>
      </c>
      <c r="L357" t="s">
        <v>2048</v>
      </c>
      <c r="M357" t="s">
        <v>2048</v>
      </c>
      <c r="N357" t="s">
        <v>1696</v>
      </c>
      <c r="O357" t="s">
        <v>1697</v>
      </c>
      <c r="P357" t="s">
        <v>1493</v>
      </c>
      <c r="Q357">
        <v>1</v>
      </c>
      <c r="R357">
        <v>1</v>
      </c>
      <c r="S357" t="b">
        <f t="shared" si="5"/>
        <v>1</v>
      </c>
    </row>
    <row r="358" spans="1:19" hidden="1" x14ac:dyDescent="0.25">
      <c r="A358" t="s">
        <v>1689</v>
      </c>
      <c r="B358" t="s">
        <v>1690</v>
      </c>
      <c r="C358" t="s">
        <v>1914</v>
      </c>
      <c r="D358" t="s">
        <v>1929</v>
      </c>
      <c r="E358" t="s">
        <v>1929</v>
      </c>
      <c r="F358" t="s">
        <v>1929</v>
      </c>
      <c r="G358" t="s">
        <v>1929</v>
      </c>
      <c r="H358" t="s">
        <v>1929</v>
      </c>
      <c r="I358" t="s">
        <v>1929</v>
      </c>
      <c r="J358" t="s">
        <v>1929</v>
      </c>
      <c r="K358" t="s">
        <v>1929</v>
      </c>
      <c r="L358" t="s">
        <v>1929</v>
      </c>
      <c r="M358" t="s">
        <v>1929</v>
      </c>
      <c r="N358" t="s">
        <v>1696</v>
      </c>
      <c r="O358" t="s">
        <v>1697</v>
      </c>
      <c r="P358" t="s">
        <v>1493</v>
      </c>
      <c r="Q358">
        <v>1</v>
      </c>
      <c r="R358">
        <v>1</v>
      </c>
      <c r="S358" t="b">
        <f t="shared" si="5"/>
        <v>1</v>
      </c>
    </row>
    <row r="359" spans="1:19" hidden="1" x14ac:dyDescent="0.25">
      <c r="A359" t="s">
        <v>1689</v>
      </c>
      <c r="B359" t="s">
        <v>1700</v>
      </c>
      <c r="C359" t="s">
        <v>1701</v>
      </c>
      <c r="D359" t="s">
        <v>1702</v>
      </c>
      <c r="E359" t="s">
        <v>1712</v>
      </c>
      <c r="F359" t="s">
        <v>2049</v>
      </c>
      <c r="G359" t="s">
        <v>2049</v>
      </c>
      <c r="H359" t="s">
        <v>2049</v>
      </c>
      <c r="I359" t="s">
        <v>2049</v>
      </c>
      <c r="J359" t="s">
        <v>2049</v>
      </c>
      <c r="K359" t="s">
        <v>2049</v>
      </c>
      <c r="L359" t="s">
        <v>2049</v>
      </c>
      <c r="M359" t="s">
        <v>2049</v>
      </c>
      <c r="N359" t="s">
        <v>1696</v>
      </c>
      <c r="O359" t="s">
        <v>1697</v>
      </c>
      <c r="P359" t="s">
        <v>1493</v>
      </c>
      <c r="Q359">
        <v>1</v>
      </c>
      <c r="R359">
        <v>1</v>
      </c>
      <c r="S359" t="b">
        <f t="shared" si="5"/>
        <v>1</v>
      </c>
    </row>
    <row r="360" spans="1:19" hidden="1" x14ac:dyDescent="0.25">
      <c r="A360" t="s">
        <v>1689</v>
      </c>
      <c r="B360" t="s">
        <v>1700</v>
      </c>
      <c r="C360" t="s">
        <v>1701</v>
      </c>
      <c r="D360" t="s">
        <v>1702</v>
      </c>
      <c r="E360" t="s">
        <v>1712</v>
      </c>
      <c r="F360" t="s">
        <v>2050</v>
      </c>
      <c r="G360" t="s">
        <v>2050</v>
      </c>
      <c r="H360" t="s">
        <v>2050</v>
      </c>
      <c r="I360" t="s">
        <v>2050</v>
      </c>
      <c r="J360" t="s">
        <v>2050</v>
      </c>
      <c r="K360" t="s">
        <v>2050</v>
      </c>
      <c r="L360" t="s">
        <v>2050</v>
      </c>
      <c r="M360" t="s">
        <v>2050</v>
      </c>
      <c r="N360" t="s">
        <v>1696</v>
      </c>
      <c r="O360" t="s">
        <v>1697</v>
      </c>
      <c r="P360" t="s">
        <v>1493</v>
      </c>
      <c r="Q360">
        <v>1</v>
      </c>
      <c r="R360">
        <v>1</v>
      </c>
      <c r="S360" t="b">
        <f t="shared" si="5"/>
        <v>1</v>
      </c>
    </row>
    <row r="361" spans="1:19" hidden="1" x14ac:dyDescent="0.25">
      <c r="A361" t="s">
        <v>1689</v>
      </c>
      <c r="B361" t="s">
        <v>1700</v>
      </c>
      <c r="C361" t="s">
        <v>1701</v>
      </c>
      <c r="D361" t="s">
        <v>1702</v>
      </c>
      <c r="E361" t="s">
        <v>1712</v>
      </c>
      <c r="F361" t="s">
        <v>2051</v>
      </c>
      <c r="G361" t="s">
        <v>2051</v>
      </c>
      <c r="H361" t="s">
        <v>2051</v>
      </c>
      <c r="I361" t="s">
        <v>2051</v>
      </c>
      <c r="J361" t="s">
        <v>2051</v>
      </c>
      <c r="K361" t="s">
        <v>2051</v>
      </c>
      <c r="L361" t="s">
        <v>2051</v>
      </c>
      <c r="M361" t="s">
        <v>2051</v>
      </c>
      <c r="N361" t="s">
        <v>1696</v>
      </c>
      <c r="O361" t="s">
        <v>1697</v>
      </c>
      <c r="P361" t="s">
        <v>1493</v>
      </c>
      <c r="Q361">
        <v>1</v>
      </c>
      <c r="R361">
        <v>1</v>
      </c>
      <c r="S361" t="b">
        <f t="shared" si="5"/>
        <v>1</v>
      </c>
    </row>
    <row r="362" spans="1:19" hidden="1" x14ac:dyDescent="0.25">
      <c r="A362" t="s">
        <v>1689</v>
      </c>
      <c r="B362" t="s">
        <v>1700</v>
      </c>
      <c r="C362" t="s">
        <v>1701</v>
      </c>
      <c r="D362" t="s">
        <v>1702</v>
      </c>
      <c r="E362" t="s">
        <v>1705</v>
      </c>
      <c r="F362" t="s">
        <v>2052</v>
      </c>
      <c r="G362" t="s">
        <v>2052</v>
      </c>
      <c r="H362" t="s">
        <v>2052</v>
      </c>
      <c r="I362" t="s">
        <v>2052</v>
      </c>
      <c r="J362" t="s">
        <v>2052</v>
      </c>
      <c r="K362" t="s">
        <v>2052</v>
      </c>
      <c r="L362" t="s">
        <v>2052</v>
      </c>
      <c r="M362" t="s">
        <v>2052</v>
      </c>
      <c r="N362" t="s">
        <v>1696</v>
      </c>
      <c r="O362" t="s">
        <v>1697</v>
      </c>
      <c r="P362" t="s">
        <v>1493</v>
      </c>
      <c r="Q362">
        <v>1</v>
      </c>
      <c r="R362">
        <v>1</v>
      </c>
      <c r="S362" t="b">
        <f t="shared" si="5"/>
        <v>1</v>
      </c>
    </row>
    <row r="363" spans="1:19" hidden="1" x14ac:dyDescent="0.25">
      <c r="A363" t="s">
        <v>1689</v>
      </c>
      <c r="B363" t="s">
        <v>1700</v>
      </c>
      <c r="C363" t="s">
        <v>1701</v>
      </c>
      <c r="D363" t="s">
        <v>1702</v>
      </c>
      <c r="E363" t="s">
        <v>1705</v>
      </c>
      <c r="F363" t="s">
        <v>2053</v>
      </c>
      <c r="G363" t="s">
        <v>2053</v>
      </c>
      <c r="H363" t="s">
        <v>2053</v>
      </c>
      <c r="I363" t="s">
        <v>2053</v>
      </c>
      <c r="J363" t="s">
        <v>2053</v>
      </c>
      <c r="K363" t="s">
        <v>2053</v>
      </c>
      <c r="L363" t="s">
        <v>2053</v>
      </c>
      <c r="M363" t="s">
        <v>2053</v>
      </c>
      <c r="N363" t="s">
        <v>1696</v>
      </c>
      <c r="O363" t="s">
        <v>1697</v>
      </c>
      <c r="P363" t="s">
        <v>1493</v>
      </c>
      <c r="Q363">
        <v>1</v>
      </c>
      <c r="R363">
        <v>1</v>
      </c>
      <c r="S363" t="b">
        <f t="shared" si="5"/>
        <v>1</v>
      </c>
    </row>
    <row r="364" spans="1:19" hidden="1" x14ac:dyDescent="0.25">
      <c r="A364" t="s">
        <v>1689</v>
      </c>
      <c r="B364" t="s">
        <v>1700</v>
      </c>
      <c r="C364" t="s">
        <v>1701</v>
      </c>
      <c r="D364" t="s">
        <v>1702</v>
      </c>
      <c r="E364" t="s">
        <v>1713</v>
      </c>
      <c r="F364" t="s">
        <v>2054</v>
      </c>
      <c r="G364" t="s">
        <v>2054</v>
      </c>
      <c r="H364" t="s">
        <v>2054</v>
      </c>
      <c r="I364" t="s">
        <v>2054</v>
      </c>
      <c r="J364" t="s">
        <v>2054</v>
      </c>
      <c r="K364" t="s">
        <v>2054</v>
      </c>
      <c r="L364" t="s">
        <v>2054</v>
      </c>
      <c r="M364" t="s">
        <v>2054</v>
      </c>
      <c r="N364" t="s">
        <v>1696</v>
      </c>
      <c r="O364" t="s">
        <v>1697</v>
      </c>
      <c r="P364" t="s">
        <v>1493</v>
      </c>
      <c r="Q364">
        <v>1</v>
      </c>
      <c r="R364">
        <v>1</v>
      </c>
      <c r="S364" t="b">
        <f t="shared" si="5"/>
        <v>1</v>
      </c>
    </row>
    <row r="365" spans="1:19" hidden="1" x14ac:dyDescent="0.25">
      <c r="A365" t="s">
        <v>1689</v>
      </c>
      <c r="B365" t="s">
        <v>1700</v>
      </c>
      <c r="C365" t="s">
        <v>1701</v>
      </c>
      <c r="D365" t="s">
        <v>1702</v>
      </c>
      <c r="E365" t="s">
        <v>1710</v>
      </c>
      <c r="F365" t="s">
        <v>2055</v>
      </c>
      <c r="G365" t="s">
        <v>2055</v>
      </c>
      <c r="H365" t="s">
        <v>2055</v>
      </c>
      <c r="I365" t="s">
        <v>2055</v>
      </c>
      <c r="J365" t="s">
        <v>2055</v>
      </c>
      <c r="K365" t="s">
        <v>2055</v>
      </c>
      <c r="L365" t="s">
        <v>2055</v>
      </c>
      <c r="M365" t="s">
        <v>2055</v>
      </c>
      <c r="N365" t="s">
        <v>1696</v>
      </c>
      <c r="O365" t="s">
        <v>1697</v>
      </c>
      <c r="P365" t="s">
        <v>1493</v>
      </c>
      <c r="Q365">
        <v>1</v>
      </c>
      <c r="R365">
        <v>1</v>
      </c>
      <c r="S365" t="b">
        <f t="shared" si="5"/>
        <v>1</v>
      </c>
    </row>
    <row r="366" spans="1:19" hidden="1" x14ac:dyDescent="0.25">
      <c r="A366" t="s">
        <v>1689</v>
      </c>
      <c r="B366" t="s">
        <v>1700</v>
      </c>
      <c r="C366" t="s">
        <v>1701</v>
      </c>
      <c r="D366" t="s">
        <v>1702</v>
      </c>
      <c r="E366" t="s">
        <v>1710</v>
      </c>
      <c r="F366" t="s">
        <v>2056</v>
      </c>
      <c r="G366" t="s">
        <v>2056</v>
      </c>
      <c r="H366" t="s">
        <v>2056</v>
      </c>
      <c r="I366" t="s">
        <v>2056</v>
      </c>
      <c r="J366" t="s">
        <v>2056</v>
      </c>
      <c r="K366" t="s">
        <v>2056</v>
      </c>
      <c r="L366" t="s">
        <v>2056</v>
      </c>
      <c r="M366" t="s">
        <v>2056</v>
      </c>
      <c r="N366" t="s">
        <v>1696</v>
      </c>
      <c r="O366" t="s">
        <v>1697</v>
      </c>
      <c r="P366" t="s">
        <v>1493</v>
      </c>
      <c r="Q366">
        <v>1</v>
      </c>
      <c r="R366">
        <v>1</v>
      </c>
      <c r="S366" t="b">
        <f t="shared" si="5"/>
        <v>1</v>
      </c>
    </row>
    <row r="367" spans="1:19" hidden="1" x14ac:dyDescent="0.25">
      <c r="A367" t="s">
        <v>1689</v>
      </c>
      <c r="B367" t="s">
        <v>1700</v>
      </c>
      <c r="C367" t="s">
        <v>1701</v>
      </c>
      <c r="D367" t="s">
        <v>1702</v>
      </c>
      <c r="E367" t="s">
        <v>1710</v>
      </c>
      <c r="F367" t="s">
        <v>2057</v>
      </c>
      <c r="G367" t="s">
        <v>2057</v>
      </c>
      <c r="H367" t="s">
        <v>2057</v>
      </c>
      <c r="I367" t="s">
        <v>2057</v>
      </c>
      <c r="J367" t="s">
        <v>2057</v>
      </c>
      <c r="K367" t="s">
        <v>2057</v>
      </c>
      <c r="L367" t="s">
        <v>2057</v>
      </c>
      <c r="M367" t="s">
        <v>2057</v>
      </c>
      <c r="N367" t="s">
        <v>1696</v>
      </c>
      <c r="O367" t="s">
        <v>1697</v>
      </c>
      <c r="P367" t="s">
        <v>1493</v>
      </c>
      <c r="Q367">
        <v>1</v>
      </c>
      <c r="R367">
        <v>1</v>
      </c>
      <c r="S367" t="b">
        <f t="shared" si="5"/>
        <v>1</v>
      </c>
    </row>
    <row r="368" spans="1:19" hidden="1" x14ac:dyDescent="0.25">
      <c r="A368" t="s">
        <v>1689</v>
      </c>
      <c r="B368" t="s">
        <v>1700</v>
      </c>
      <c r="C368" t="s">
        <v>1701</v>
      </c>
      <c r="D368" t="s">
        <v>1702</v>
      </c>
      <c r="E368" t="s">
        <v>1711</v>
      </c>
      <c r="F368" t="s">
        <v>2058</v>
      </c>
      <c r="G368" t="s">
        <v>2058</v>
      </c>
      <c r="H368" t="s">
        <v>2058</v>
      </c>
      <c r="I368" t="s">
        <v>2058</v>
      </c>
      <c r="J368" t="s">
        <v>2058</v>
      </c>
      <c r="K368" t="s">
        <v>2058</v>
      </c>
      <c r="L368" t="s">
        <v>2058</v>
      </c>
      <c r="M368" t="s">
        <v>2058</v>
      </c>
      <c r="N368" t="s">
        <v>1696</v>
      </c>
      <c r="O368" t="s">
        <v>1697</v>
      </c>
      <c r="P368" t="s">
        <v>1493</v>
      </c>
      <c r="Q368">
        <v>1</v>
      </c>
      <c r="R368">
        <v>1</v>
      </c>
      <c r="S368" t="b">
        <f t="shared" si="5"/>
        <v>1</v>
      </c>
    </row>
    <row r="369" spans="1:19" hidden="1" x14ac:dyDescent="0.25">
      <c r="A369" t="s">
        <v>1689</v>
      </c>
      <c r="B369" t="s">
        <v>1700</v>
      </c>
      <c r="C369" t="s">
        <v>1701</v>
      </c>
      <c r="D369" t="s">
        <v>1702</v>
      </c>
      <c r="E369" t="s">
        <v>1709</v>
      </c>
      <c r="F369" t="s">
        <v>2059</v>
      </c>
      <c r="G369" t="s">
        <v>2059</v>
      </c>
      <c r="H369" t="s">
        <v>2059</v>
      </c>
      <c r="I369" t="s">
        <v>2059</v>
      </c>
      <c r="J369" t="s">
        <v>2059</v>
      </c>
      <c r="K369" t="s">
        <v>2059</v>
      </c>
      <c r="L369" t="s">
        <v>2059</v>
      </c>
      <c r="M369" t="s">
        <v>2059</v>
      </c>
      <c r="N369" t="s">
        <v>1696</v>
      </c>
      <c r="O369" t="s">
        <v>1697</v>
      </c>
      <c r="P369" t="s">
        <v>1493</v>
      </c>
      <c r="Q369">
        <v>1</v>
      </c>
      <c r="R369">
        <v>1</v>
      </c>
      <c r="S369" t="b">
        <f t="shared" si="5"/>
        <v>1</v>
      </c>
    </row>
    <row r="370" spans="1:19" hidden="1" x14ac:dyDescent="0.25">
      <c r="A370" t="s">
        <v>1689</v>
      </c>
      <c r="B370" t="s">
        <v>1700</v>
      </c>
      <c r="C370" t="s">
        <v>1701</v>
      </c>
      <c r="D370" t="s">
        <v>1702</v>
      </c>
      <c r="E370" t="s">
        <v>1709</v>
      </c>
      <c r="F370" t="s">
        <v>2060</v>
      </c>
      <c r="G370" t="s">
        <v>2060</v>
      </c>
      <c r="H370" t="s">
        <v>2060</v>
      </c>
      <c r="I370" t="s">
        <v>2060</v>
      </c>
      <c r="J370" t="s">
        <v>2060</v>
      </c>
      <c r="K370" t="s">
        <v>2060</v>
      </c>
      <c r="L370" t="s">
        <v>2060</v>
      </c>
      <c r="M370" t="s">
        <v>2060</v>
      </c>
      <c r="N370" t="s">
        <v>1696</v>
      </c>
      <c r="O370" t="s">
        <v>1697</v>
      </c>
      <c r="P370" t="s">
        <v>1493</v>
      </c>
      <c r="Q370">
        <v>1</v>
      </c>
      <c r="R370">
        <v>1</v>
      </c>
      <c r="S370" t="b">
        <f t="shared" si="5"/>
        <v>1</v>
      </c>
    </row>
    <row r="371" spans="1:19" hidden="1" x14ac:dyDescent="0.25">
      <c r="A371" t="s">
        <v>1689</v>
      </c>
      <c r="B371" t="s">
        <v>1700</v>
      </c>
      <c r="C371" t="s">
        <v>1701</v>
      </c>
      <c r="D371" t="s">
        <v>1702</v>
      </c>
      <c r="E371" t="s">
        <v>1707</v>
      </c>
      <c r="F371" t="s">
        <v>2061</v>
      </c>
      <c r="G371" t="s">
        <v>2061</v>
      </c>
      <c r="H371" t="s">
        <v>2061</v>
      </c>
      <c r="I371" t="s">
        <v>2061</v>
      </c>
      <c r="J371" t="s">
        <v>2061</v>
      </c>
      <c r="K371" t="s">
        <v>2061</v>
      </c>
      <c r="L371" t="s">
        <v>2061</v>
      </c>
      <c r="M371" t="s">
        <v>2061</v>
      </c>
      <c r="N371" t="s">
        <v>1696</v>
      </c>
      <c r="O371" t="s">
        <v>1697</v>
      </c>
      <c r="P371" t="s">
        <v>1493</v>
      </c>
      <c r="Q371">
        <v>1</v>
      </c>
      <c r="R371">
        <v>1</v>
      </c>
      <c r="S371" t="b">
        <f t="shared" si="5"/>
        <v>1</v>
      </c>
    </row>
    <row r="372" spans="1:19" hidden="1" x14ac:dyDescent="0.25">
      <c r="A372" t="s">
        <v>1689</v>
      </c>
      <c r="B372" t="s">
        <v>1700</v>
      </c>
      <c r="C372" t="s">
        <v>1701</v>
      </c>
      <c r="D372" t="s">
        <v>1702</v>
      </c>
      <c r="E372" t="s">
        <v>1707</v>
      </c>
      <c r="F372" t="s">
        <v>2062</v>
      </c>
      <c r="G372" t="s">
        <v>2062</v>
      </c>
      <c r="H372" t="s">
        <v>2062</v>
      </c>
      <c r="I372" t="s">
        <v>2062</v>
      </c>
      <c r="J372" t="s">
        <v>2062</v>
      </c>
      <c r="K372" t="s">
        <v>2062</v>
      </c>
      <c r="L372" t="s">
        <v>2062</v>
      </c>
      <c r="M372" t="s">
        <v>2062</v>
      </c>
      <c r="N372" t="s">
        <v>1696</v>
      </c>
      <c r="O372" t="s">
        <v>1697</v>
      </c>
      <c r="P372" t="s">
        <v>1493</v>
      </c>
      <c r="Q372">
        <v>1</v>
      </c>
      <c r="R372">
        <v>1</v>
      </c>
      <c r="S372" t="b">
        <f t="shared" si="5"/>
        <v>1</v>
      </c>
    </row>
    <row r="373" spans="1:19" hidden="1" x14ac:dyDescent="0.25">
      <c r="A373" t="s">
        <v>1689</v>
      </c>
      <c r="B373" t="s">
        <v>1700</v>
      </c>
      <c r="C373" t="s">
        <v>1701</v>
      </c>
      <c r="D373" t="s">
        <v>1702</v>
      </c>
      <c r="E373" t="s">
        <v>1707</v>
      </c>
      <c r="F373" t="s">
        <v>2063</v>
      </c>
      <c r="G373" t="s">
        <v>2063</v>
      </c>
      <c r="H373" t="s">
        <v>2063</v>
      </c>
      <c r="I373" t="s">
        <v>2063</v>
      </c>
      <c r="J373" t="s">
        <v>2063</v>
      </c>
      <c r="K373" t="s">
        <v>2063</v>
      </c>
      <c r="L373" t="s">
        <v>2063</v>
      </c>
      <c r="M373" t="s">
        <v>2063</v>
      </c>
      <c r="N373" t="s">
        <v>1696</v>
      </c>
      <c r="O373" t="s">
        <v>1697</v>
      </c>
      <c r="P373" t="s">
        <v>1493</v>
      </c>
      <c r="Q373">
        <v>1</v>
      </c>
      <c r="R373">
        <v>1</v>
      </c>
      <c r="S373" t="b">
        <f t="shared" si="5"/>
        <v>1</v>
      </c>
    </row>
    <row r="374" spans="1:19" hidden="1" x14ac:dyDescent="0.25">
      <c r="A374" t="s">
        <v>1689</v>
      </c>
      <c r="B374" t="s">
        <v>1700</v>
      </c>
      <c r="C374" t="s">
        <v>1701</v>
      </c>
      <c r="D374" t="s">
        <v>1702</v>
      </c>
      <c r="E374" t="s">
        <v>1708</v>
      </c>
      <c r="F374" t="s">
        <v>2064</v>
      </c>
      <c r="G374" t="s">
        <v>2064</v>
      </c>
      <c r="H374" t="s">
        <v>2064</v>
      </c>
      <c r="I374" t="s">
        <v>2064</v>
      </c>
      <c r="J374" t="s">
        <v>2064</v>
      </c>
      <c r="K374" t="s">
        <v>2064</v>
      </c>
      <c r="L374" t="s">
        <v>2064</v>
      </c>
      <c r="M374" t="s">
        <v>2064</v>
      </c>
      <c r="N374" t="s">
        <v>1696</v>
      </c>
      <c r="O374" t="s">
        <v>1697</v>
      </c>
      <c r="P374" t="s">
        <v>1493</v>
      </c>
      <c r="Q374">
        <v>1</v>
      </c>
      <c r="R374">
        <v>1</v>
      </c>
      <c r="S374" t="b">
        <f t="shared" si="5"/>
        <v>1</v>
      </c>
    </row>
    <row r="375" spans="1:19" hidden="1" x14ac:dyDescent="0.25">
      <c r="A375" t="s">
        <v>1689</v>
      </c>
      <c r="B375" t="s">
        <v>1700</v>
      </c>
      <c r="C375" t="s">
        <v>1701</v>
      </c>
      <c r="D375" t="s">
        <v>1702</v>
      </c>
      <c r="E375" t="s">
        <v>1717</v>
      </c>
      <c r="F375" t="s">
        <v>2065</v>
      </c>
      <c r="G375" t="s">
        <v>2065</v>
      </c>
      <c r="H375" t="s">
        <v>2065</v>
      </c>
      <c r="I375" t="s">
        <v>2065</v>
      </c>
      <c r="J375" t="s">
        <v>2065</v>
      </c>
      <c r="K375" t="s">
        <v>2065</v>
      </c>
      <c r="L375" t="s">
        <v>2065</v>
      </c>
      <c r="M375" t="s">
        <v>2065</v>
      </c>
      <c r="N375" t="s">
        <v>1696</v>
      </c>
      <c r="O375" t="s">
        <v>1697</v>
      </c>
      <c r="P375" t="s">
        <v>1493</v>
      </c>
      <c r="Q375">
        <v>1</v>
      </c>
      <c r="R375">
        <v>1</v>
      </c>
      <c r="S375" t="b">
        <f t="shared" si="5"/>
        <v>1</v>
      </c>
    </row>
    <row r="376" spans="1:19" hidden="1" x14ac:dyDescent="0.25">
      <c r="A376" t="s">
        <v>1689</v>
      </c>
      <c r="B376" t="s">
        <v>1700</v>
      </c>
      <c r="C376" t="s">
        <v>1701</v>
      </c>
      <c r="D376" t="s">
        <v>1702</v>
      </c>
      <c r="E376" t="s">
        <v>1717</v>
      </c>
      <c r="F376" t="s">
        <v>2066</v>
      </c>
      <c r="G376" t="s">
        <v>2066</v>
      </c>
      <c r="H376" t="s">
        <v>2066</v>
      </c>
      <c r="I376" t="s">
        <v>2066</v>
      </c>
      <c r="J376" t="s">
        <v>2066</v>
      </c>
      <c r="K376" t="s">
        <v>2066</v>
      </c>
      <c r="L376" t="s">
        <v>2066</v>
      </c>
      <c r="M376" t="s">
        <v>2066</v>
      </c>
      <c r="N376" t="s">
        <v>1696</v>
      </c>
      <c r="O376" t="s">
        <v>1697</v>
      </c>
      <c r="P376" t="s">
        <v>1493</v>
      </c>
      <c r="Q376">
        <v>1</v>
      </c>
      <c r="R376">
        <v>1</v>
      </c>
      <c r="S376" t="b">
        <f t="shared" si="5"/>
        <v>1</v>
      </c>
    </row>
    <row r="377" spans="1:19" hidden="1" x14ac:dyDescent="0.25">
      <c r="A377" t="s">
        <v>1689</v>
      </c>
      <c r="B377" t="s">
        <v>1700</v>
      </c>
      <c r="C377" t="s">
        <v>1701</v>
      </c>
      <c r="D377" t="s">
        <v>1702</v>
      </c>
      <c r="E377" t="s">
        <v>1716</v>
      </c>
      <c r="F377" t="s">
        <v>2067</v>
      </c>
      <c r="G377" t="s">
        <v>2067</v>
      </c>
      <c r="H377" t="s">
        <v>2067</v>
      </c>
      <c r="I377" t="s">
        <v>2067</v>
      </c>
      <c r="J377" t="s">
        <v>2067</v>
      </c>
      <c r="K377" t="s">
        <v>2067</v>
      </c>
      <c r="L377" t="s">
        <v>2067</v>
      </c>
      <c r="M377" t="s">
        <v>2067</v>
      </c>
      <c r="N377" t="s">
        <v>1696</v>
      </c>
      <c r="O377" t="s">
        <v>1697</v>
      </c>
      <c r="P377" t="s">
        <v>1493</v>
      </c>
      <c r="Q377">
        <v>1</v>
      </c>
      <c r="R377">
        <v>1</v>
      </c>
      <c r="S377" t="b">
        <f t="shared" si="5"/>
        <v>1</v>
      </c>
    </row>
    <row r="378" spans="1:19" hidden="1" x14ac:dyDescent="0.25">
      <c r="A378" t="s">
        <v>1689</v>
      </c>
      <c r="B378" t="s">
        <v>1700</v>
      </c>
      <c r="C378" t="s">
        <v>1701</v>
      </c>
      <c r="D378" t="s">
        <v>1702</v>
      </c>
      <c r="E378" t="s">
        <v>1706</v>
      </c>
      <c r="F378" t="s">
        <v>2068</v>
      </c>
      <c r="G378" t="s">
        <v>2068</v>
      </c>
      <c r="H378" t="s">
        <v>2068</v>
      </c>
      <c r="I378" t="s">
        <v>2068</v>
      </c>
      <c r="J378" t="s">
        <v>2068</v>
      </c>
      <c r="K378" t="s">
        <v>2068</v>
      </c>
      <c r="L378" t="s">
        <v>2068</v>
      </c>
      <c r="M378" t="s">
        <v>2068</v>
      </c>
      <c r="N378" t="s">
        <v>1696</v>
      </c>
      <c r="O378" t="s">
        <v>1697</v>
      </c>
      <c r="P378" t="s">
        <v>1493</v>
      </c>
      <c r="Q378">
        <v>1</v>
      </c>
      <c r="R378">
        <v>1</v>
      </c>
      <c r="S378" t="b">
        <f t="shared" si="5"/>
        <v>1</v>
      </c>
    </row>
    <row r="379" spans="1:19" hidden="1" x14ac:dyDescent="0.25">
      <c r="A379" t="s">
        <v>1689</v>
      </c>
      <c r="B379" t="s">
        <v>1700</v>
      </c>
      <c r="C379" t="s">
        <v>1701</v>
      </c>
      <c r="D379" t="s">
        <v>1702</v>
      </c>
      <c r="E379" t="s">
        <v>1706</v>
      </c>
      <c r="F379" t="s">
        <v>2069</v>
      </c>
      <c r="G379" t="s">
        <v>2069</v>
      </c>
      <c r="H379" t="s">
        <v>2069</v>
      </c>
      <c r="I379" t="s">
        <v>2069</v>
      </c>
      <c r="J379" t="s">
        <v>2069</v>
      </c>
      <c r="K379" t="s">
        <v>2069</v>
      </c>
      <c r="L379" t="s">
        <v>2069</v>
      </c>
      <c r="M379" t="s">
        <v>2069</v>
      </c>
      <c r="N379" t="s">
        <v>1696</v>
      </c>
      <c r="O379" t="s">
        <v>1697</v>
      </c>
      <c r="P379" t="s">
        <v>1493</v>
      </c>
      <c r="Q379">
        <v>1</v>
      </c>
      <c r="R379">
        <v>1</v>
      </c>
      <c r="S379" t="b">
        <f t="shared" si="5"/>
        <v>1</v>
      </c>
    </row>
    <row r="380" spans="1:19" hidden="1" x14ac:dyDescent="0.25">
      <c r="A380" t="s">
        <v>1689</v>
      </c>
      <c r="B380" t="s">
        <v>1700</v>
      </c>
      <c r="C380" t="s">
        <v>1701</v>
      </c>
      <c r="D380" t="s">
        <v>1702</v>
      </c>
      <c r="E380" t="s">
        <v>1704</v>
      </c>
      <c r="F380" t="s">
        <v>2070</v>
      </c>
      <c r="G380" t="s">
        <v>2070</v>
      </c>
      <c r="H380" t="s">
        <v>2070</v>
      </c>
      <c r="I380" t="s">
        <v>2070</v>
      </c>
      <c r="J380" t="s">
        <v>2070</v>
      </c>
      <c r="K380" t="s">
        <v>2070</v>
      </c>
      <c r="L380" t="s">
        <v>2070</v>
      </c>
      <c r="M380" t="s">
        <v>2070</v>
      </c>
      <c r="N380" t="s">
        <v>1696</v>
      </c>
      <c r="O380" t="s">
        <v>1697</v>
      </c>
      <c r="P380" t="s">
        <v>1493</v>
      </c>
      <c r="Q380">
        <v>1</v>
      </c>
      <c r="R380">
        <v>1</v>
      </c>
      <c r="S380" t="b">
        <f t="shared" si="5"/>
        <v>1</v>
      </c>
    </row>
    <row r="381" spans="1:19" hidden="1" x14ac:dyDescent="0.25">
      <c r="A381" t="s">
        <v>1689</v>
      </c>
      <c r="B381" t="s">
        <v>1700</v>
      </c>
      <c r="C381" t="s">
        <v>1701</v>
      </c>
      <c r="D381" t="s">
        <v>1702</v>
      </c>
      <c r="E381" t="s">
        <v>1704</v>
      </c>
      <c r="F381" t="s">
        <v>2071</v>
      </c>
      <c r="G381" t="s">
        <v>2071</v>
      </c>
      <c r="H381" t="s">
        <v>2071</v>
      </c>
      <c r="I381" t="s">
        <v>2071</v>
      </c>
      <c r="J381" t="s">
        <v>2071</v>
      </c>
      <c r="K381" t="s">
        <v>2071</v>
      </c>
      <c r="L381" t="s">
        <v>2071</v>
      </c>
      <c r="M381" t="s">
        <v>2071</v>
      </c>
      <c r="N381" t="s">
        <v>1696</v>
      </c>
      <c r="O381" t="s">
        <v>1697</v>
      </c>
      <c r="P381" t="s">
        <v>1493</v>
      </c>
      <c r="Q381">
        <v>1</v>
      </c>
      <c r="R381">
        <v>1</v>
      </c>
      <c r="S381" t="b">
        <f t="shared" si="5"/>
        <v>1</v>
      </c>
    </row>
    <row r="382" spans="1:19" hidden="1" x14ac:dyDescent="0.25">
      <c r="A382" t="s">
        <v>1689</v>
      </c>
      <c r="B382" t="s">
        <v>1700</v>
      </c>
      <c r="C382" t="s">
        <v>1701</v>
      </c>
      <c r="D382" t="s">
        <v>1702</v>
      </c>
      <c r="E382" t="s">
        <v>1703</v>
      </c>
      <c r="F382" t="s">
        <v>2072</v>
      </c>
      <c r="G382" t="s">
        <v>2072</v>
      </c>
      <c r="H382" t="s">
        <v>2072</v>
      </c>
      <c r="I382" t="s">
        <v>2072</v>
      </c>
      <c r="J382" t="s">
        <v>2072</v>
      </c>
      <c r="K382" t="s">
        <v>2072</v>
      </c>
      <c r="L382" t="s">
        <v>2072</v>
      </c>
      <c r="M382" t="s">
        <v>2072</v>
      </c>
      <c r="N382" t="s">
        <v>1696</v>
      </c>
      <c r="O382" t="s">
        <v>1697</v>
      </c>
      <c r="P382" t="s">
        <v>1493</v>
      </c>
      <c r="Q382">
        <v>1</v>
      </c>
      <c r="R382">
        <v>1</v>
      </c>
      <c r="S382" t="b">
        <f t="shared" si="5"/>
        <v>1</v>
      </c>
    </row>
    <row r="383" spans="1:19" hidden="1" x14ac:dyDescent="0.25">
      <c r="A383" t="s">
        <v>1689</v>
      </c>
      <c r="B383" t="s">
        <v>1700</v>
      </c>
      <c r="C383" t="s">
        <v>1701</v>
      </c>
      <c r="D383" t="s">
        <v>1702</v>
      </c>
      <c r="E383" t="s">
        <v>1703</v>
      </c>
      <c r="F383" t="s">
        <v>2073</v>
      </c>
      <c r="G383" t="s">
        <v>2073</v>
      </c>
      <c r="H383" t="s">
        <v>2073</v>
      </c>
      <c r="I383" t="s">
        <v>2073</v>
      </c>
      <c r="J383" t="s">
        <v>2073</v>
      </c>
      <c r="K383" t="s">
        <v>2073</v>
      </c>
      <c r="L383" t="s">
        <v>2073</v>
      </c>
      <c r="M383" t="s">
        <v>2073</v>
      </c>
      <c r="N383" t="s">
        <v>1696</v>
      </c>
      <c r="O383" t="s">
        <v>1697</v>
      </c>
      <c r="P383" t="s">
        <v>1493</v>
      </c>
      <c r="Q383">
        <v>1</v>
      </c>
      <c r="R383">
        <v>1</v>
      </c>
      <c r="S383" t="b">
        <f t="shared" si="5"/>
        <v>1</v>
      </c>
    </row>
    <row r="384" spans="1:19" hidden="1" x14ac:dyDescent="0.25">
      <c r="A384" t="s">
        <v>1689</v>
      </c>
      <c r="B384" t="s">
        <v>1700</v>
      </c>
      <c r="C384" t="s">
        <v>1701</v>
      </c>
      <c r="D384" t="s">
        <v>1739</v>
      </c>
      <c r="E384" t="s">
        <v>1747</v>
      </c>
      <c r="F384" t="s">
        <v>2074</v>
      </c>
      <c r="G384" t="s">
        <v>2074</v>
      </c>
      <c r="H384" t="s">
        <v>2074</v>
      </c>
      <c r="I384" t="s">
        <v>2074</v>
      </c>
      <c r="J384" t="s">
        <v>2074</v>
      </c>
      <c r="K384" t="s">
        <v>2074</v>
      </c>
      <c r="L384" t="s">
        <v>2074</v>
      </c>
      <c r="M384" t="s">
        <v>2074</v>
      </c>
      <c r="N384" t="s">
        <v>1696</v>
      </c>
      <c r="O384" t="s">
        <v>1697</v>
      </c>
      <c r="P384" t="s">
        <v>1493</v>
      </c>
      <c r="Q384">
        <v>1</v>
      </c>
      <c r="R384">
        <v>1</v>
      </c>
      <c r="S384" t="b">
        <f t="shared" si="5"/>
        <v>1</v>
      </c>
    </row>
    <row r="385" spans="1:19" hidden="1" x14ac:dyDescent="0.25">
      <c r="A385" t="s">
        <v>1689</v>
      </c>
      <c r="B385" t="s">
        <v>1700</v>
      </c>
      <c r="C385" t="s">
        <v>1701</v>
      </c>
      <c r="D385" t="s">
        <v>1739</v>
      </c>
      <c r="E385" t="s">
        <v>1747</v>
      </c>
      <c r="F385" t="s">
        <v>2075</v>
      </c>
      <c r="G385" t="s">
        <v>2075</v>
      </c>
      <c r="H385" t="s">
        <v>2075</v>
      </c>
      <c r="I385" t="s">
        <v>2075</v>
      </c>
      <c r="J385" t="s">
        <v>2075</v>
      </c>
      <c r="K385" t="s">
        <v>2075</v>
      </c>
      <c r="L385" t="s">
        <v>2075</v>
      </c>
      <c r="M385" t="s">
        <v>2075</v>
      </c>
      <c r="N385" t="s">
        <v>1696</v>
      </c>
      <c r="O385" t="s">
        <v>1697</v>
      </c>
      <c r="P385" t="s">
        <v>1493</v>
      </c>
      <c r="Q385">
        <v>1</v>
      </c>
      <c r="R385">
        <v>1</v>
      </c>
      <c r="S385" t="b">
        <f t="shared" si="5"/>
        <v>1</v>
      </c>
    </row>
    <row r="386" spans="1:19" hidden="1" x14ac:dyDescent="0.25">
      <c r="A386" t="s">
        <v>1689</v>
      </c>
      <c r="B386" t="s">
        <v>1700</v>
      </c>
      <c r="C386" t="s">
        <v>1701</v>
      </c>
      <c r="D386" t="s">
        <v>1739</v>
      </c>
      <c r="E386" t="s">
        <v>1747</v>
      </c>
      <c r="F386" t="s">
        <v>2076</v>
      </c>
      <c r="G386" t="s">
        <v>2076</v>
      </c>
      <c r="H386" t="s">
        <v>2076</v>
      </c>
      <c r="I386" t="s">
        <v>2076</v>
      </c>
      <c r="J386" t="s">
        <v>2076</v>
      </c>
      <c r="K386" t="s">
        <v>2076</v>
      </c>
      <c r="L386" t="s">
        <v>2076</v>
      </c>
      <c r="M386" t="s">
        <v>2076</v>
      </c>
      <c r="N386" t="s">
        <v>1696</v>
      </c>
      <c r="O386" t="s">
        <v>1697</v>
      </c>
      <c r="P386" t="s">
        <v>1493</v>
      </c>
      <c r="Q386">
        <v>1</v>
      </c>
      <c r="R386">
        <v>1</v>
      </c>
      <c r="S386" t="b">
        <f t="shared" si="5"/>
        <v>1</v>
      </c>
    </row>
    <row r="387" spans="1:19" hidden="1" x14ac:dyDescent="0.25">
      <c r="A387" t="s">
        <v>1689</v>
      </c>
      <c r="B387" t="s">
        <v>1700</v>
      </c>
      <c r="C387" t="s">
        <v>1701</v>
      </c>
      <c r="D387" t="s">
        <v>1739</v>
      </c>
      <c r="E387" t="s">
        <v>1753</v>
      </c>
      <c r="F387" t="s">
        <v>2077</v>
      </c>
      <c r="G387" t="s">
        <v>2077</v>
      </c>
      <c r="H387" t="s">
        <v>2077</v>
      </c>
      <c r="I387" t="s">
        <v>2077</v>
      </c>
      <c r="J387" t="s">
        <v>2077</v>
      </c>
      <c r="K387" t="s">
        <v>2077</v>
      </c>
      <c r="L387" t="s">
        <v>2077</v>
      </c>
      <c r="M387" t="s">
        <v>2077</v>
      </c>
      <c r="N387" t="s">
        <v>1696</v>
      </c>
      <c r="O387" t="s">
        <v>1697</v>
      </c>
      <c r="P387" t="s">
        <v>1493</v>
      </c>
      <c r="Q387">
        <v>1</v>
      </c>
      <c r="R387">
        <v>1</v>
      </c>
      <c r="S387" t="b">
        <f t="shared" ref="S387:S450" si="6">H387=M387</f>
        <v>1</v>
      </c>
    </row>
    <row r="388" spans="1:19" hidden="1" x14ac:dyDescent="0.25">
      <c r="A388" t="s">
        <v>1689</v>
      </c>
      <c r="B388" t="s">
        <v>1700</v>
      </c>
      <c r="C388" t="s">
        <v>1701</v>
      </c>
      <c r="D388" t="s">
        <v>1739</v>
      </c>
      <c r="E388" t="s">
        <v>1753</v>
      </c>
      <c r="F388" t="s">
        <v>2078</v>
      </c>
      <c r="G388" t="s">
        <v>2078</v>
      </c>
      <c r="H388" t="s">
        <v>2078</v>
      </c>
      <c r="I388" t="s">
        <v>2078</v>
      </c>
      <c r="J388" t="s">
        <v>2078</v>
      </c>
      <c r="K388" t="s">
        <v>2078</v>
      </c>
      <c r="L388" t="s">
        <v>2078</v>
      </c>
      <c r="M388" t="s">
        <v>2078</v>
      </c>
      <c r="N388" t="s">
        <v>1696</v>
      </c>
      <c r="O388" t="s">
        <v>1697</v>
      </c>
      <c r="P388" t="s">
        <v>1493</v>
      </c>
      <c r="Q388">
        <v>1</v>
      </c>
      <c r="R388">
        <v>1</v>
      </c>
      <c r="S388" t="b">
        <f t="shared" si="6"/>
        <v>1</v>
      </c>
    </row>
    <row r="389" spans="1:19" hidden="1" x14ac:dyDescent="0.25">
      <c r="A389" t="s">
        <v>1689</v>
      </c>
      <c r="B389" t="s">
        <v>1700</v>
      </c>
      <c r="C389" t="s">
        <v>1701</v>
      </c>
      <c r="D389" t="s">
        <v>1739</v>
      </c>
      <c r="E389" t="s">
        <v>1753</v>
      </c>
      <c r="F389" t="s">
        <v>2079</v>
      </c>
      <c r="G389" t="s">
        <v>2079</v>
      </c>
      <c r="H389" t="s">
        <v>2079</v>
      </c>
      <c r="I389" t="s">
        <v>2079</v>
      </c>
      <c r="J389" t="s">
        <v>2079</v>
      </c>
      <c r="K389" t="s">
        <v>2079</v>
      </c>
      <c r="L389" t="s">
        <v>2079</v>
      </c>
      <c r="M389" t="s">
        <v>2079</v>
      </c>
      <c r="N389" t="s">
        <v>1696</v>
      </c>
      <c r="O389" t="s">
        <v>1697</v>
      </c>
      <c r="P389" t="s">
        <v>1493</v>
      </c>
      <c r="Q389">
        <v>1</v>
      </c>
      <c r="R389">
        <v>1</v>
      </c>
      <c r="S389" t="b">
        <f t="shared" si="6"/>
        <v>1</v>
      </c>
    </row>
    <row r="390" spans="1:19" hidden="1" x14ac:dyDescent="0.25">
      <c r="A390" t="s">
        <v>1689</v>
      </c>
      <c r="B390" t="s">
        <v>1700</v>
      </c>
      <c r="C390" t="s">
        <v>1701</v>
      </c>
      <c r="D390" t="s">
        <v>1739</v>
      </c>
      <c r="E390" t="s">
        <v>1743</v>
      </c>
      <c r="F390" t="s">
        <v>2080</v>
      </c>
      <c r="G390" t="s">
        <v>2080</v>
      </c>
      <c r="H390" t="s">
        <v>2080</v>
      </c>
      <c r="I390" t="s">
        <v>2080</v>
      </c>
      <c r="J390" t="s">
        <v>2080</v>
      </c>
      <c r="K390" t="s">
        <v>2080</v>
      </c>
      <c r="L390" t="s">
        <v>2080</v>
      </c>
      <c r="M390" t="s">
        <v>2080</v>
      </c>
      <c r="N390" t="s">
        <v>1696</v>
      </c>
      <c r="O390" t="s">
        <v>1697</v>
      </c>
      <c r="P390" t="s">
        <v>1493</v>
      </c>
      <c r="Q390">
        <v>1</v>
      </c>
      <c r="R390">
        <v>1</v>
      </c>
      <c r="S390" t="b">
        <f t="shared" si="6"/>
        <v>1</v>
      </c>
    </row>
    <row r="391" spans="1:19" hidden="1" x14ac:dyDescent="0.25">
      <c r="A391" t="s">
        <v>1689</v>
      </c>
      <c r="B391" t="s">
        <v>1700</v>
      </c>
      <c r="C391" t="s">
        <v>1701</v>
      </c>
      <c r="D391" t="s">
        <v>1739</v>
      </c>
      <c r="E391" t="s">
        <v>1743</v>
      </c>
      <c r="F391" t="s">
        <v>2081</v>
      </c>
      <c r="G391" t="s">
        <v>2081</v>
      </c>
      <c r="H391" t="s">
        <v>2081</v>
      </c>
      <c r="I391" t="s">
        <v>2081</v>
      </c>
      <c r="J391" t="s">
        <v>2081</v>
      </c>
      <c r="K391" t="s">
        <v>2081</v>
      </c>
      <c r="L391" t="s">
        <v>2081</v>
      </c>
      <c r="M391" t="s">
        <v>2081</v>
      </c>
      <c r="N391" t="s">
        <v>1696</v>
      </c>
      <c r="O391" t="s">
        <v>1697</v>
      </c>
      <c r="P391" t="s">
        <v>1493</v>
      </c>
      <c r="Q391">
        <v>1</v>
      </c>
      <c r="R391">
        <v>1</v>
      </c>
      <c r="S391" t="b">
        <f t="shared" si="6"/>
        <v>1</v>
      </c>
    </row>
    <row r="392" spans="1:19" hidden="1" x14ac:dyDescent="0.25">
      <c r="A392" t="s">
        <v>1689</v>
      </c>
      <c r="B392" t="s">
        <v>1700</v>
      </c>
      <c r="C392" t="s">
        <v>1701</v>
      </c>
      <c r="D392" t="s">
        <v>1739</v>
      </c>
      <c r="E392" t="s">
        <v>1743</v>
      </c>
      <c r="F392" t="s">
        <v>2082</v>
      </c>
      <c r="G392" t="s">
        <v>2082</v>
      </c>
      <c r="H392" t="s">
        <v>2082</v>
      </c>
      <c r="I392" t="s">
        <v>2082</v>
      </c>
      <c r="J392" t="s">
        <v>2082</v>
      </c>
      <c r="K392" t="s">
        <v>2082</v>
      </c>
      <c r="L392" t="s">
        <v>2082</v>
      </c>
      <c r="M392" t="s">
        <v>2082</v>
      </c>
      <c r="N392" t="s">
        <v>1696</v>
      </c>
      <c r="O392" t="s">
        <v>1697</v>
      </c>
      <c r="P392" t="s">
        <v>1493</v>
      </c>
      <c r="Q392">
        <v>1</v>
      </c>
      <c r="R392">
        <v>1</v>
      </c>
      <c r="S392" t="b">
        <f t="shared" si="6"/>
        <v>1</v>
      </c>
    </row>
    <row r="393" spans="1:19" hidden="1" x14ac:dyDescent="0.25">
      <c r="A393" t="s">
        <v>1689</v>
      </c>
      <c r="B393" t="s">
        <v>1700</v>
      </c>
      <c r="C393" t="s">
        <v>1701</v>
      </c>
      <c r="D393" t="s">
        <v>1739</v>
      </c>
      <c r="E393" t="s">
        <v>1748</v>
      </c>
      <c r="F393" t="s">
        <v>2083</v>
      </c>
      <c r="G393" t="s">
        <v>2083</v>
      </c>
      <c r="H393" t="s">
        <v>2083</v>
      </c>
      <c r="I393" t="s">
        <v>2083</v>
      </c>
      <c r="J393" t="s">
        <v>2083</v>
      </c>
      <c r="K393" t="s">
        <v>2083</v>
      </c>
      <c r="L393" t="s">
        <v>2083</v>
      </c>
      <c r="M393" t="s">
        <v>2083</v>
      </c>
      <c r="N393" t="s">
        <v>1696</v>
      </c>
      <c r="O393" t="s">
        <v>1697</v>
      </c>
      <c r="P393" t="s">
        <v>1493</v>
      </c>
      <c r="Q393">
        <v>1</v>
      </c>
      <c r="R393">
        <v>1</v>
      </c>
      <c r="S393" t="b">
        <f t="shared" si="6"/>
        <v>1</v>
      </c>
    </row>
    <row r="394" spans="1:19" hidden="1" x14ac:dyDescent="0.25">
      <c r="A394" t="s">
        <v>1689</v>
      </c>
      <c r="B394" t="s">
        <v>1700</v>
      </c>
      <c r="C394" t="s">
        <v>1701</v>
      </c>
      <c r="D394" t="s">
        <v>1739</v>
      </c>
      <c r="E394" t="s">
        <v>1748</v>
      </c>
      <c r="F394" t="s">
        <v>2084</v>
      </c>
      <c r="G394" t="s">
        <v>2084</v>
      </c>
      <c r="H394" t="s">
        <v>2084</v>
      </c>
      <c r="I394" t="s">
        <v>2084</v>
      </c>
      <c r="J394" t="s">
        <v>2084</v>
      </c>
      <c r="K394" t="s">
        <v>2084</v>
      </c>
      <c r="L394" t="s">
        <v>2084</v>
      </c>
      <c r="M394" t="s">
        <v>2084</v>
      </c>
      <c r="N394" t="s">
        <v>1696</v>
      </c>
      <c r="O394" t="s">
        <v>1697</v>
      </c>
      <c r="P394" t="s">
        <v>1493</v>
      </c>
      <c r="Q394">
        <v>1</v>
      </c>
      <c r="R394">
        <v>1</v>
      </c>
      <c r="S394" t="b">
        <f t="shared" si="6"/>
        <v>1</v>
      </c>
    </row>
    <row r="395" spans="1:19" hidden="1" x14ac:dyDescent="0.25">
      <c r="A395" t="s">
        <v>1689</v>
      </c>
      <c r="B395" t="s">
        <v>1700</v>
      </c>
      <c r="C395" t="s">
        <v>1701</v>
      </c>
      <c r="D395" t="s">
        <v>1739</v>
      </c>
      <c r="E395" t="s">
        <v>1748</v>
      </c>
      <c r="F395" t="s">
        <v>2085</v>
      </c>
      <c r="G395" t="s">
        <v>2085</v>
      </c>
      <c r="H395" t="s">
        <v>2085</v>
      </c>
      <c r="I395" t="s">
        <v>2085</v>
      </c>
      <c r="J395" t="s">
        <v>2085</v>
      </c>
      <c r="K395" t="s">
        <v>2085</v>
      </c>
      <c r="L395" t="s">
        <v>2085</v>
      </c>
      <c r="M395" t="s">
        <v>2085</v>
      </c>
      <c r="N395" t="s">
        <v>1696</v>
      </c>
      <c r="O395" t="s">
        <v>1697</v>
      </c>
      <c r="P395" t="s">
        <v>1493</v>
      </c>
      <c r="Q395">
        <v>1</v>
      </c>
      <c r="R395">
        <v>1</v>
      </c>
      <c r="S395" t="b">
        <f t="shared" si="6"/>
        <v>1</v>
      </c>
    </row>
    <row r="396" spans="1:19" hidden="1" x14ac:dyDescent="0.25">
      <c r="A396" t="s">
        <v>1689</v>
      </c>
      <c r="B396" t="s">
        <v>1700</v>
      </c>
      <c r="C396" t="s">
        <v>1701</v>
      </c>
      <c r="D396" t="s">
        <v>1739</v>
      </c>
      <c r="E396" t="s">
        <v>1742</v>
      </c>
      <c r="F396" t="s">
        <v>2086</v>
      </c>
      <c r="G396" t="s">
        <v>2086</v>
      </c>
      <c r="H396" t="s">
        <v>2086</v>
      </c>
      <c r="I396" t="s">
        <v>2086</v>
      </c>
      <c r="J396" t="s">
        <v>2086</v>
      </c>
      <c r="K396" t="s">
        <v>2086</v>
      </c>
      <c r="L396" t="s">
        <v>2086</v>
      </c>
      <c r="M396" t="s">
        <v>2086</v>
      </c>
      <c r="N396" t="s">
        <v>1696</v>
      </c>
      <c r="O396" t="s">
        <v>1697</v>
      </c>
      <c r="P396" t="s">
        <v>1493</v>
      </c>
      <c r="Q396">
        <v>1</v>
      </c>
      <c r="R396">
        <v>1</v>
      </c>
      <c r="S396" t="b">
        <f t="shared" si="6"/>
        <v>1</v>
      </c>
    </row>
    <row r="397" spans="1:19" hidden="1" x14ac:dyDescent="0.25">
      <c r="A397" t="s">
        <v>1689</v>
      </c>
      <c r="B397" t="s">
        <v>1700</v>
      </c>
      <c r="C397" t="s">
        <v>1701</v>
      </c>
      <c r="D397" t="s">
        <v>1739</v>
      </c>
      <c r="E397" t="s">
        <v>1742</v>
      </c>
      <c r="F397" t="s">
        <v>2087</v>
      </c>
      <c r="G397" t="s">
        <v>2087</v>
      </c>
      <c r="H397" t="s">
        <v>2087</v>
      </c>
      <c r="I397" t="s">
        <v>2087</v>
      </c>
      <c r="J397" t="s">
        <v>2087</v>
      </c>
      <c r="K397" t="s">
        <v>2087</v>
      </c>
      <c r="L397" t="s">
        <v>2087</v>
      </c>
      <c r="M397" t="s">
        <v>2087</v>
      </c>
      <c r="N397" t="s">
        <v>1696</v>
      </c>
      <c r="O397" t="s">
        <v>1697</v>
      </c>
      <c r="P397" t="s">
        <v>1493</v>
      </c>
      <c r="Q397">
        <v>1</v>
      </c>
      <c r="R397">
        <v>1</v>
      </c>
      <c r="S397" t="b">
        <f t="shared" si="6"/>
        <v>1</v>
      </c>
    </row>
    <row r="398" spans="1:19" hidden="1" x14ac:dyDescent="0.25">
      <c r="A398" t="s">
        <v>1689</v>
      </c>
      <c r="B398" t="s">
        <v>1700</v>
      </c>
      <c r="C398" t="s">
        <v>1701</v>
      </c>
      <c r="D398" t="s">
        <v>1739</v>
      </c>
      <c r="E398" t="s">
        <v>1742</v>
      </c>
      <c r="F398" t="s">
        <v>2088</v>
      </c>
      <c r="G398" t="s">
        <v>2088</v>
      </c>
      <c r="H398" t="s">
        <v>2088</v>
      </c>
      <c r="I398" t="s">
        <v>2088</v>
      </c>
      <c r="J398" t="s">
        <v>2088</v>
      </c>
      <c r="K398" t="s">
        <v>2088</v>
      </c>
      <c r="L398" t="s">
        <v>2088</v>
      </c>
      <c r="M398" t="s">
        <v>2088</v>
      </c>
      <c r="N398" t="s">
        <v>1696</v>
      </c>
      <c r="O398" t="s">
        <v>1697</v>
      </c>
      <c r="P398" t="s">
        <v>1493</v>
      </c>
      <c r="Q398">
        <v>1</v>
      </c>
      <c r="R398">
        <v>1</v>
      </c>
      <c r="S398" t="b">
        <f t="shared" si="6"/>
        <v>1</v>
      </c>
    </row>
    <row r="399" spans="1:19" hidden="1" x14ac:dyDescent="0.25">
      <c r="A399" t="s">
        <v>1689</v>
      </c>
      <c r="B399" t="s">
        <v>1700</v>
      </c>
      <c r="C399" t="s">
        <v>1701</v>
      </c>
      <c r="D399" t="s">
        <v>1739</v>
      </c>
      <c r="E399" t="s">
        <v>1754</v>
      </c>
      <c r="F399" t="s">
        <v>2089</v>
      </c>
      <c r="G399" t="s">
        <v>2089</v>
      </c>
      <c r="H399" t="s">
        <v>2089</v>
      </c>
      <c r="I399" t="s">
        <v>2089</v>
      </c>
      <c r="J399" t="s">
        <v>2089</v>
      </c>
      <c r="K399" t="s">
        <v>2089</v>
      </c>
      <c r="L399" t="s">
        <v>2089</v>
      </c>
      <c r="M399" t="s">
        <v>2089</v>
      </c>
      <c r="N399" t="s">
        <v>1696</v>
      </c>
      <c r="O399" t="s">
        <v>1697</v>
      </c>
      <c r="P399" t="s">
        <v>1493</v>
      </c>
      <c r="Q399">
        <v>1</v>
      </c>
      <c r="R399">
        <v>1</v>
      </c>
      <c r="S399" t="b">
        <f t="shared" si="6"/>
        <v>1</v>
      </c>
    </row>
    <row r="400" spans="1:19" hidden="1" x14ac:dyDescent="0.25">
      <c r="A400" t="s">
        <v>1689</v>
      </c>
      <c r="B400" t="s">
        <v>1700</v>
      </c>
      <c r="C400" t="s">
        <v>1701</v>
      </c>
      <c r="D400" t="s">
        <v>1739</v>
      </c>
      <c r="E400" t="s">
        <v>1754</v>
      </c>
      <c r="F400" t="s">
        <v>2090</v>
      </c>
      <c r="G400" t="s">
        <v>2090</v>
      </c>
      <c r="H400" t="s">
        <v>2090</v>
      </c>
      <c r="I400" t="s">
        <v>2090</v>
      </c>
      <c r="J400" t="s">
        <v>2090</v>
      </c>
      <c r="K400" t="s">
        <v>2090</v>
      </c>
      <c r="L400" t="s">
        <v>2090</v>
      </c>
      <c r="M400" t="s">
        <v>2090</v>
      </c>
      <c r="N400" t="s">
        <v>1696</v>
      </c>
      <c r="O400" t="s">
        <v>1697</v>
      </c>
      <c r="P400" t="s">
        <v>1493</v>
      </c>
      <c r="Q400">
        <v>1</v>
      </c>
      <c r="R400">
        <v>1</v>
      </c>
      <c r="S400" t="b">
        <f t="shared" si="6"/>
        <v>1</v>
      </c>
    </row>
    <row r="401" spans="1:19" hidden="1" x14ac:dyDescent="0.25">
      <c r="A401" t="s">
        <v>1689</v>
      </c>
      <c r="B401" t="s">
        <v>1700</v>
      </c>
      <c r="C401" t="s">
        <v>1701</v>
      </c>
      <c r="D401" t="s">
        <v>1739</v>
      </c>
      <c r="E401" t="s">
        <v>1754</v>
      </c>
      <c r="F401" t="s">
        <v>2091</v>
      </c>
      <c r="G401" t="s">
        <v>2091</v>
      </c>
      <c r="H401" t="s">
        <v>2091</v>
      </c>
      <c r="I401" t="s">
        <v>2091</v>
      </c>
      <c r="J401" t="s">
        <v>2091</v>
      </c>
      <c r="K401" t="s">
        <v>2091</v>
      </c>
      <c r="L401" t="s">
        <v>2091</v>
      </c>
      <c r="M401" t="s">
        <v>2091</v>
      </c>
      <c r="N401" t="s">
        <v>1696</v>
      </c>
      <c r="O401" t="s">
        <v>1697</v>
      </c>
      <c r="P401" t="s">
        <v>1493</v>
      </c>
      <c r="Q401">
        <v>1</v>
      </c>
      <c r="R401">
        <v>1</v>
      </c>
      <c r="S401" t="b">
        <f t="shared" si="6"/>
        <v>1</v>
      </c>
    </row>
    <row r="402" spans="1:19" hidden="1" x14ac:dyDescent="0.25">
      <c r="A402" t="s">
        <v>1689</v>
      </c>
      <c r="B402" t="s">
        <v>1700</v>
      </c>
      <c r="C402" t="s">
        <v>1701</v>
      </c>
      <c r="D402" t="s">
        <v>1739</v>
      </c>
      <c r="E402" t="s">
        <v>1751</v>
      </c>
      <c r="F402" t="s">
        <v>2092</v>
      </c>
      <c r="G402" t="s">
        <v>2092</v>
      </c>
      <c r="H402" t="s">
        <v>2092</v>
      </c>
      <c r="I402" t="s">
        <v>2092</v>
      </c>
      <c r="J402" t="s">
        <v>2092</v>
      </c>
      <c r="K402" t="s">
        <v>2092</v>
      </c>
      <c r="L402" t="s">
        <v>2092</v>
      </c>
      <c r="M402" t="s">
        <v>2092</v>
      </c>
      <c r="N402" t="s">
        <v>1696</v>
      </c>
      <c r="O402" t="s">
        <v>1697</v>
      </c>
      <c r="P402" t="s">
        <v>1493</v>
      </c>
      <c r="Q402">
        <v>1</v>
      </c>
      <c r="R402">
        <v>1</v>
      </c>
      <c r="S402" t="b">
        <f t="shared" si="6"/>
        <v>1</v>
      </c>
    </row>
    <row r="403" spans="1:19" hidden="1" x14ac:dyDescent="0.25">
      <c r="A403" t="s">
        <v>1689</v>
      </c>
      <c r="B403" t="s">
        <v>1700</v>
      </c>
      <c r="C403" t="s">
        <v>1701</v>
      </c>
      <c r="D403" t="s">
        <v>1739</v>
      </c>
      <c r="E403" t="s">
        <v>1751</v>
      </c>
      <c r="F403" t="s">
        <v>2093</v>
      </c>
      <c r="G403" t="s">
        <v>2093</v>
      </c>
      <c r="H403" t="s">
        <v>2093</v>
      </c>
      <c r="I403" t="s">
        <v>2093</v>
      </c>
      <c r="J403" t="s">
        <v>2093</v>
      </c>
      <c r="K403" t="s">
        <v>2093</v>
      </c>
      <c r="L403" t="s">
        <v>2093</v>
      </c>
      <c r="M403" t="s">
        <v>2093</v>
      </c>
      <c r="N403" t="s">
        <v>1696</v>
      </c>
      <c r="O403" t="s">
        <v>1697</v>
      </c>
      <c r="P403" t="s">
        <v>1493</v>
      </c>
      <c r="Q403">
        <v>1</v>
      </c>
      <c r="R403">
        <v>1</v>
      </c>
      <c r="S403" t="b">
        <f t="shared" si="6"/>
        <v>1</v>
      </c>
    </row>
    <row r="404" spans="1:19" hidden="1" x14ac:dyDescent="0.25">
      <c r="A404" t="s">
        <v>1689</v>
      </c>
      <c r="B404" t="s">
        <v>1700</v>
      </c>
      <c r="C404" t="s">
        <v>1701</v>
      </c>
      <c r="D404" t="s">
        <v>1739</v>
      </c>
      <c r="E404" t="s">
        <v>1740</v>
      </c>
      <c r="F404" t="s">
        <v>2094</v>
      </c>
      <c r="G404" t="s">
        <v>2094</v>
      </c>
      <c r="H404" t="s">
        <v>2094</v>
      </c>
      <c r="I404" t="s">
        <v>2094</v>
      </c>
      <c r="J404" t="s">
        <v>2094</v>
      </c>
      <c r="K404" t="s">
        <v>2094</v>
      </c>
      <c r="L404" t="s">
        <v>2094</v>
      </c>
      <c r="M404" t="s">
        <v>2094</v>
      </c>
      <c r="N404" t="s">
        <v>1696</v>
      </c>
      <c r="O404" t="s">
        <v>1697</v>
      </c>
      <c r="P404" t="s">
        <v>1493</v>
      </c>
      <c r="Q404">
        <v>1</v>
      </c>
      <c r="R404">
        <v>1</v>
      </c>
      <c r="S404" t="b">
        <f t="shared" si="6"/>
        <v>1</v>
      </c>
    </row>
    <row r="405" spans="1:19" hidden="1" x14ac:dyDescent="0.25">
      <c r="A405" t="s">
        <v>1689</v>
      </c>
      <c r="B405" t="s">
        <v>1700</v>
      </c>
      <c r="C405" t="s">
        <v>1701</v>
      </c>
      <c r="D405" t="s">
        <v>1739</v>
      </c>
      <c r="E405" t="s">
        <v>1740</v>
      </c>
      <c r="F405" t="s">
        <v>2095</v>
      </c>
      <c r="G405" t="s">
        <v>2095</v>
      </c>
      <c r="H405" t="s">
        <v>2095</v>
      </c>
      <c r="I405" t="s">
        <v>2095</v>
      </c>
      <c r="J405" t="s">
        <v>2095</v>
      </c>
      <c r="K405" t="s">
        <v>2095</v>
      </c>
      <c r="L405" t="s">
        <v>2095</v>
      </c>
      <c r="M405" t="s">
        <v>2095</v>
      </c>
      <c r="N405" t="s">
        <v>1696</v>
      </c>
      <c r="O405" t="s">
        <v>1697</v>
      </c>
      <c r="P405" t="s">
        <v>1493</v>
      </c>
      <c r="Q405">
        <v>1</v>
      </c>
      <c r="R405">
        <v>1</v>
      </c>
      <c r="S405" t="b">
        <f t="shared" si="6"/>
        <v>1</v>
      </c>
    </row>
    <row r="406" spans="1:19" hidden="1" x14ac:dyDescent="0.25">
      <c r="A406" t="s">
        <v>1689</v>
      </c>
      <c r="B406" t="s">
        <v>1700</v>
      </c>
      <c r="C406" t="s">
        <v>1701</v>
      </c>
      <c r="D406" t="s">
        <v>1739</v>
      </c>
      <c r="E406" t="s">
        <v>1740</v>
      </c>
      <c r="F406" t="s">
        <v>2096</v>
      </c>
      <c r="G406" t="s">
        <v>2096</v>
      </c>
      <c r="H406" t="s">
        <v>2096</v>
      </c>
      <c r="I406" t="s">
        <v>2096</v>
      </c>
      <c r="J406" t="s">
        <v>2096</v>
      </c>
      <c r="K406" t="s">
        <v>2096</v>
      </c>
      <c r="L406" t="s">
        <v>2096</v>
      </c>
      <c r="M406" t="s">
        <v>2096</v>
      </c>
      <c r="N406" t="s">
        <v>1696</v>
      </c>
      <c r="O406" t="s">
        <v>1697</v>
      </c>
      <c r="P406" t="s">
        <v>1493</v>
      </c>
      <c r="Q406">
        <v>1</v>
      </c>
      <c r="R406">
        <v>1</v>
      </c>
      <c r="S406" t="b">
        <f t="shared" si="6"/>
        <v>1</v>
      </c>
    </row>
    <row r="407" spans="1:19" hidden="1" x14ac:dyDescent="0.25">
      <c r="A407" t="s">
        <v>1689</v>
      </c>
      <c r="B407" t="s">
        <v>1700</v>
      </c>
      <c r="C407" t="s">
        <v>1701</v>
      </c>
      <c r="D407" t="s">
        <v>1739</v>
      </c>
      <c r="E407" t="s">
        <v>1744</v>
      </c>
      <c r="F407" t="s">
        <v>2097</v>
      </c>
      <c r="G407" t="s">
        <v>2097</v>
      </c>
      <c r="H407" t="s">
        <v>2097</v>
      </c>
      <c r="I407" t="s">
        <v>2097</v>
      </c>
      <c r="J407" t="s">
        <v>2097</v>
      </c>
      <c r="K407" t="s">
        <v>2097</v>
      </c>
      <c r="L407" t="s">
        <v>2097</v>
      </c>
      <c r="M407" t="s">
        <v>2097</v>
      </c>
      <c r="N407" t="s">
        <v>1696</v>
      </c>
      <c r="O407" t="s">
        <v>1697</v>
      </c>
      <c r="P407" t="s">
        <v>1493</v>
      </c>
      <c r="Q407">
        <v>1</v>
      </c>
      <c r="R407">
        <v>1</v>
      </c>
      <c r="S407" t="b">
        <f t="shared" si="6"/>
        <v>1</v>
      </c>
    </row>
    <row r="408" spans="1:19" hidden="1" x14ac:dyDescent="0.25">
      <c r="A408" t="s">
        <v>1689</v>
      </c>
      <c r="B408" t="s">
        <v>1700</v>
      </c>
      <c r="C408" t="s">
        <v>1701</v>
      </c>
      <c r="D408" t="s">
        <v>1739</v>
      </c>
      <c r="E408" t="s">
        <v>1744</v>
      </c>
      <c r="F408" t="s">
        <v>2098</v>
      </c>
      <c r="G408" t="s">
        <v>2098</v>
      </c>
      <c r="H408" t="s">
        <v>2098</v>
      </c>
      <c r="I408" t="s">
        <v>2098</v>
      </c>
      <c r="J408" t="s">
        <v>2098</v>
      </c>
      <c r="K408" t="s">
        <v>2098</v>
      </c>
      <c r="L408" t="s">
        <v>2098</v>
      </c>
      <c r="M408" t="s">
        <v>2098</v>
      </c>
      <c r="N408" t="s">
        <v>1696</v>
      </c>
      <c r="O408" t="s">
        <v>1697</v>
      </c>
      <c r="P408" t="s">
        <v>1493</v>
      </c>
      <c r="Q408">
        <v>1</v>
      </c>
      <c r="R408">
        <v>1</v>
      </c>
      <c r="S408" t="b">
        <f t="shared" si="6"/>
        <v>1</v>
      </c>
    </row>
    <row r="409" spans="1:19" hidden="1" x14ac:dyDescent="0.25">
      <c r="A409" t="s">
        <v>1689</v>
      </c>
      <c r="B409" t="s">
        <v>1700</v>
      </c>
      <c r="C409" t="s">
        <v>1701</v>
      </c>
      <c r="D409" t="s">
        <v>1739</v>
      </c>
      <c r="E409" t="s">
        <v>1744</v>
      </c>
      <c r="F409" t="s">
        <v>2099</v>
      </c>
      <c r="G409" t="s">
        <v>2099</v>
      </c>
      <c r="H409" t="s">
        <v>2099</v>
      </c>
      <c r="I409" t="s">
        <v>2099</v>
      </c>
      <c r="J409" t="s">
        <v>2099</v>
      </c>
      <c r="K409" t="s">
        <v>2099</v>
      </c>
      <c r="L409" t="s">
        <v>2099</v>
      </c>
      <c r="M409" t="s">
        <v>2099</v>
      </c>
      <c r="N409" t="s">
        <v>1696</v>
      </c>
      <c r="O409" t="s">
        <v>1697</v>
      </c>
      <c r="P409" t="s">
        <v>1493</v>
      </c>
      <c r="Q409">
        <v>1</v>
      </c>
      <c r="R409">
        <v>1</v>
      </c>
      <c r="S409" t="b">
        <f t="shared" si="6"/>
        <v>1</v>
      </c>
    </row>
    <row r="410" spans="1:19" hidden="1" x14ac:dyDescent="0.25">
      <c r="A410" t="s">
        <v>1689</v>
      </c>
      <c r="B410" t="s">
        <v>1700</v>
      </c>
      <c r="C410" t="s">
        <v>1701</v>
      </c>
      <c r="D410" t="s">
        <v>1739</v>
      </c>
      <c r="E410" t="s">
        <v>1745</v>
      </c>
      <c r="F410" t="s">
        <v>2100</v>
      </c>
      <c r="G410" t="s">
        <v>2100</v>
      </c>
      <c r="H410" t="s">
        <v>2100</v>
      </c>
      <c r="I410" t="s">
        <v>2100</v>
      </c>
      <c r="J410" t="s">
        <v>2100</v>
      </c>
      <c r="K410" t="s">
        <v>2100</v>
      </c>
      <c r="L410" t="s">
        <v>2100</v>
      </c>
      <c r="M410" t="s">
        <v>2100</v>
      </c>
      <c r="N410" t="s">
        <v>1696</v>
      </c>
      <c r="O410" t="s">
        <v>1697</v>
      </c>
      <c r="P410" t="s">
        <v>1493</v>
      </c>
      <c r="Q410">
        <v>1</v>
      </c>
      <c r="R410">
        <v>1</v>
      </c>
      <c r="S410" t="b">
        <f t="shared" si="6"/>
        <v>1</v>
      </c>
    </row>
    <row r="411" spans="1:19" hidden="1" x14ac:dyDescent="0.25">
      <c r="A411" t="s">
        <v>1689</v>
      </c>
      <c r="B411" t="s">
        <v>1700</v>
      </c>
      <c r="C411" t="s">
        <v>1701</v>
      </c>
      <c r="D411" t="s">
        <v>1739</v>
      </c>
      <c r="E411" t="s">
        <v>1745</v>
      </c>
      <c r="F411" t="s">
        <v>2101</v>
      </c>
      <c r="G411" t="s">
        <v>2101</v>
      </c>
      <c r="H411" t="s">
        <v>2101</v>
      </c>
      <c r="I411" t="s">
        <v>2101</v>
      </c>
      <c r="J411" t="s">
        <v>2101</v>
      </c>
      <c r="K411" t="s">
        <v>2101</v>
      </c>
      <c r="L411" t="s">
        <v>2101</v>
      </c>
      <c r="M411" t="s">
        <v>2101</v>
      </c>
      <c r="N411" t="s">
        <v>1696</v>
      </c>
      <c r="O411" t="s">
        <v>1697</v>
      </c>
      <c r="P411" t="s">
        <v>1493</v>
      </c>
      <c r="Q411">
        <v>1</v>
      </c>
      <c r="R411">
        <v>1</v>
      </c>
      <c r="S411" t="b">
        <f t="shared" si="6"/>
        <v>1</v>
      </c>
    </row>
    <row r="412" spans="1:19" hidden="1" x14ac:dyDescent="0.25">
      <c r="A412" t="s">
        <v>1689</v>
      </c>
      <c r="B412" t="s">
        <v>1700</v>
      </c>
      <c r="C412" t="s">
        <v>1701</v>
      </c>
      <c r="D412" t="s">
        <v>1739</v>
      </c>
      <c r="E412" t="s">
        <v>1750</v>
      </c>
      <c r="F412" t="s">
        <v>2102</v>
      </c>
      <c r="G412" t="s">
        <v>2102</v>
      </c>
      <c r="H412" t="s">
        <v>2102</v>
      </c>
      <c r="I412" t="s">
        <v>2102</v>
      </c>
      <c r="J412" t="s">
        <v>2102</v>
      </c>
      <c r="K412" t="s">
        <v>2102</v>
      </c>
      <c r="L412" t="s">
        <v>2102</v>
      </c>
      <c r="M412" t="s">
        <v>2102</v>
      </c>
      <c r="N412" t="s">
        <v>1696</v>
      </c>
      <c r="O412" t="s">
        <v>1697</v>
      </c>
      <c r="P412" t="s">
        <v>1493</v>
      </c>
      <c r="Q412">
        <v>1</v>
      </c>
      <c r="R412">
        <v>1</v>
      </c>
      <c r="S412" t="b">
        <f t="shared" si="6"/>
        <v>1</v>
      </c>
    </row>
    <row r="413" spans="1:19" hidden="1" x14ac:dyDescent="0.25">
      <c r="A413" t="s">
        <v>1689</v>
      </c>
      <c r="B413" t="s">
        <v>1700</v>
      </c>
      <c r="C413" t="s">
        <v>1701</v>
      </c>
      <c r="D413" t="s">
        <v>1739</v>
      </c>
      <c r="E413" t="s">
        <v>1750</v>
      </c>
      <c r="F413" t="s">
        <v>2103</v>
      </c>
      <c r="G413" t="s">
        <v>2103</v>
      </c>
      <c r="H413" t="s">
        <v>2103</v>
      </c>
      <c r="I413" t="s">
        <v>2103</v>
      </c>
      <c r="J413" t="s">
        <v>2103</v>
      </c>
      <c r="K413" t="s">
        <v>2103</v>
      </c>
      <c r="L413" t="s">
        <v>2103</v>
      </c>
      <c r="M413" t="s">
        <v>2103</v>
      </c>
      <c r="N413" t="s">
        <v>1696</v>
      </c>
      <c r="O413" t="s">
        <v>1697</v>
      </c>
      <c r="P413" t="s">
        <v>1493</v>
      </c>
      <c r="Q413">
        <v>1</v>
      </c>
      <c r="R413">
        <v>1</v>
      </c>
      <c r="S413" t="b">
        <f t="shared" si="6"/>
        <v>1</v>
      </c>
    </row>
    <row r="414" spans="1:19" hidden="1" x14ac:dyDescent="0.25">
      <c r="A414" t="s">
        <v>1689</v>
      </c>
      <c r="B414" t="s">
        <v>1700</v>
      </c>
      <c r="C414" t="s">
        <v>1701</v>
      </c>
      <c r="D414" t="s">
        <v>1739</v>
      </c>
      <c r="E414" t="s">
        <v>1750</v>
      </c>
      <c r="F414" t="s">
        <v>2104</v>
      </c>
      <c r="G414" t="s">
        <v>2104</v>
      </c>
      <c r="H414" t="s">
        <v>2104</v>
      </c>
      <c r="I414" t="s">
        <v>2104</v>
      </c>
      <c r="J414" t="s">
        <v>2104</v>
      </c>
      <c r="K414" t="s">
        <v>2104</v>
      </c>
      <c r="L414" t="s">
        <v>2104</v>
      </c>
      <c r="M414" t="s">
        <v>2104</v>
      </c>
      <c r="N414" t="s">
        <v>1696</v>
      </c>
      <c r="O414" t="s">
        <v>1697</v>
      </c>
      <c r="P414" t="s">
        <v>1493</v>
      </c>
      <c r="Q414">
        <v>1</v>
      </c>
      <c r="R414">
        <v>1</v>
      </c>
      <c r="S414" t="b">
        <f t="shared" si="6"/>
        <v>1</v>
      </c>
    </row>
    <row r="415" spans="1:19" hidden="1" x14ac:dyDescent="0.25">
      <c r="A415" t="s">
        <v>1689</v>
      </c>
      <c r="B415" t="s">
        <v>1700</v>
      </c>
      <c r="C415" t="s">
        <v>1701</v>
      </c>
      <c r="D415" t="s">
        <v>1739</v>
      </c>
      <c r="E415" t="s">
        <v>1741</v>
      </c>
      <c r="F415" t="s">
        <v>2105</v>
      </c>
      <c r="G415" t="s">
        <v>2105</v>
      </c>
      <c r="H415" t="s">
        <v>2105</v>
      </c>
      <c r="I415" t="s">
        <v>2105</v>
      </c>
      <c r="J415" t="s">
        <v>2105</v>
      </c>
      <c r="K415" t="s">
        <v>2105</v>
      </c>
      <c r="L415" t="s">
        <v>2105</v>
      </c>
      <c r="M415" t="s">
        <v>2105</v>
      </c>
      <c r="N415" t="s">
        <v>1696</v>
      </c>
      <c r="O415" t="s">
        <v>1697</v>
      </c>
      <c r="P415" t="s">
        <v>1493</v>
      </c>
      <c r="Q415">
        <v>1</v>
      </c>
      <c r="R415">
        <v>1</v>
      </c>
      <c r="S415" t="b">
        <f t="shared" si="6"/>
        <v>1</v>
      </c>
    </row>
    <row r="416" spans="1:19" hidden="1" x14ac:dyDescent="0.25">
      <c r="A416" t="s">
        <v>1689</v>
      </c>
      <c r="B416" t="s">
        <v>1700</v>
      </c>
      <c r="C416" t="s">
        <v>1701</v>
      </c>
      <c r="D416" t="s">
        <v>1739</v>
      </c>
      <c r="E416" t="s">
        <v>1741</v>
      </c>
      <c r="F416" t="s">
        <v>2106</v>
      </c>
      <c r="G416" t="s">
        <v>2106</v>
      </c>
      <c r="H416" t="s">
        <v>2106</v>
      </c>
      <c r="I416" t="s">
        <v>2106</v>
      </c>
      <c r="J416" t="s">
        <v>2106</v>
      </c>
      <c r="K416" t="s">
        <v>2106</v>
      </c>
      <c r="L416" t="s">
        <v>2106</v>
      </c>
      <c r="M416" t="s">
        <v>2106</v>
      </c>
      <c r="N416" t="s">
        <v>1696</v>
      </c>
      <c r="O416" t="s">
        <v>1697</v>
      </c>
      <c r="P416" t="s">
        <v>1493</v>
      </c>
      <c r="Q416">
        <v>1</v>
      </c>
      <c r="R416">
        <v>1</v>
      </c>
      <c r="S416" t="b">
        <f t="shared" si="6"/>
        <v>1</v>
      </c>
    </row>
    <row r="417" spans="1:19" hidden="1" x14ac:dyDescent="0.25">
      <c r="A417" t="s">
        <v>1689</v>
      </c>
      <c r="B417" t="s">
        <v>1700</v>
      </c>
      <c r="C417" t="s">
        <v>1701</v>
      </c>
      <c r="D417" t="s">
        <v>1739</v>
      </c>
      <c r="E417" t="s">
        <v>1746</v>
      </c>
      <c r="F417" t="s">
        <v>2107</v>
      </c>
      <c r="G417" t="s">
        <v>2107</v>
      </c>
      <c r="H417" t="s">
        <v>2107</v>
      </c>
      <c r="I417" t="s">
        <v>2107</v>
      </c>
      <c r="J417" t="s">
        <v>2107</v>
      </c>
      <c r="K417" t="s">
        <v>2107</v>
      </c>
      <c r="L417" t="s">
        <v>2107</v>
      </c>
      <c r="M417" t="s">
        <v>2107</v>
      </c>
      <c r="N417" t="s">
        <v>1696</v>
      </c>
      <c r="O417" t="s">
        <v>1697</v>
      </c>
      <c r="P417" t="s">
        <v>1493</v>
      </c>
      <c r="Q417">
        <v>1</v>
      </c>
      <c r="R417">
        <v>1</v>
      </c>
      <c r="S417" t="b">
        <f t="shared" si="6"/>
        <v>1</v>
      </c>
    </row>
    <row r="418" spans="1:19" hidden="1" x14ac:dyDescent="0.25">
      <c r="A418" t="s">
        <v>1689</v>
      </c>
      <c r="B418" t="s">
        <v>1700</v>
      </c>
      <c r="C418" t="s">
        <v>1701</v>
      </c>
      <c r="D418" t="s">
        <v>1739</v>
      </c>
      <c r="E418" t="s">
        <v>1746</v>
      </c>
      <c r="F418" t="s">
        <v>2108</v>
      </c>
      <c r="G418" t="s">
        <v>2108</v>
      </c>
      <c r="H418" t="s">
        <v>2108</v>
      </c>
      <c r="I418" t="s">
        <v>2108</v>
      </c>
      <c r="J418" t="s">
        <v>2108</v>
      </c>
      <c r="K418" t="s">
        <v>2108</v>
      </c>
      <c r="L418" t="s">
        <v>2108</v>
      </c>
      <c r="M418" t="s">
        <v>2108</v>
      </c>
      <c r="N418" t="s">
        <v>1696</v>
      </c>
      <c r="O418" t="s">
        <v>1697</v>
      </c>
      <c r="P418" t="s">
        <v>1493</v>
      </c>
      <c r="Q418">
        <v>1</v>
      </c>
      <c r="R418">
        <v>1</v>
      </c>
      <c r="S418" t="b">
        <f t="shared" si="6"/>
        <v>1</v>
      </c>
    </row>
    <row r="419" spans="1:19" hidden="1" x14ac:dyDescent="0.25">
      <c r="A419" t="s">
        <v>1689</v>
      </c>
      <c r="B419" t="s">
        <v>1700</v>
      </c>
      <c r="C419" t="s">
        <v>1701</v>
      </c>
      <c r="D419" t="s">
        <v>1739</v>
      </c>
      <c r="E419" t="s">
        <v>1746</v>
      </c>
      <c r="F419" t="s">
        <v>2109</v>
      </c>
      <c r="G419" t="s">
        <v>2109</v>
      </c>
      <c r="H419" t="s">
        <v>2109</v>
      </c>
      <c r="I419" t="s">
        <v>2109</v>
      </c>
      <c r="J419" t="s">
        <v>2109</v>
      </c>
      <c r="K419" t="s">
        <v>2109</v>
      </c>
      <c r="L419" t="s">
        <v>2109</v>
      </c>
      <c r="M419" t="s">
        <v>2109</v>
      </c>
      <c r="N419" t="s">
        <v>1696</v>
      </c>
      <c r="O419" t="s">
        <v>1697</v>
      </c>
      <c r="P419" t="s">
        <v>1493</v>
      </c>
      <c r="Q419">
        <v>1</v>
      </c>
      <c r="R419">
        <v>1</v>
      </c>
      <c r="S419" t="b">
        <f t="shared" si="6"/>
        <v>1</v>
      </c>
    </row>
    <row r="420" spans="1:19" hidden="1" x14ac:dyDescent="0.25">
      <c r="A420" t="s">
        <v>1689</v>
      </c>
      <c r="B420" t="s">
        <v>1700</v>
      </c>
      <c r="C420" t="s">
        <v>1701</v>
      </c>
      <c r="D420" t="s">
        <v>1764</v>
      </c>
      <c r="E420" t="s">
        <v>1766</v>
      </c>
      <c r="F420" t="s">
        <v>2110</v>
      </c>
      <c r="G420" t="s">
        <v>2110</v>
      </c>
      <c r="H420" t="s">
        <v>2110</v>
      </c>
      <c r="I420" t="s">
        <v>2110</v>
      </c>
      <c r="J420" t="s">
        <v>2110</v>
      </c>
      <c r="K420" t="s">
        <v>2110</v>
      </c>
      <c r="L420" t="s">
        <v>2110</v>
      </c>
      <c r="M420" t="s">
        <v>2110</v>
      </c>
      <c r="N420" t="s">
        <v>1696</v>
      </c>
      <c r="O420" t="s">
        <v>1697</v>
      </c>
      <c r="P420" t="s">
        <v>1493</v>
      </c>
      <c r="Q420">
        <v>1</v>
      </c>
      <c r="R420">
        <v>1</v>
      </c>
      <c r="S420" t="b">
        <f t="shared" si="6"/>
        <v>1</v>
      </c>
    </row>
    <row r="421" spans="1:19" hidden="1" x14ac:dyDescent="0.25">
      <c r="A421" t="s">
        <v>1689</v>
      </c>
      <c r="B421" t="s">
        <v>1700</v>
      </c>
      <c r="C421" t="s">
        <v>1701</v>
      </c>
      <c r="D421" t="s">
        <v>1764</v>
      </c>
      <c r="E421" t="s">
        <v>1766</v>
      </c>
      <c r="F421" t="s">
        <v>2111</v>
      </c>
      <c r="G421" t="s">
        <v>2111</v>
      </c>
      <c r="H421" t="s">
        <v>2111</v>
      </c>
      <c r="I421" t="s">
        <v>2111</v>
      </c>
      <c r="J421" t="s">
        <v>2111</v>
      </c>
      <c r="K421" t="s">
        <v>2111</v>
      </c>
      <c r="L421" t="s">
        <v>2111</v>
      </c>
      <c r="M421" t="s">
        <v>2111</v>
      </c>
      <c r="N421" t="s">
        <v>1696</v>
      </c>
      <c r="O421" t="s">
        <v>1697</v>
      </c>
      <c r="P421" t="s">
        <v>1493</v>
      </c>
      <c r="Q421">
        <v>1</v>
      </c>
      <c r="R421">
        <v>1</v>
      </c>
      <c r="S421" t="b">
        <f t="shared" si="6"/>
        <v>1</v>
      </c>
    </row>
    <row r="422" spans="1:19" hidden="1" x14ac:dyDescent="0.25">
      <c r="A422" t="s">
        <v>1689</v>
      </c>
      <c r="B422" t="s">
        <v>1700</v>
      </c>
      <c r="C422" t="s">
        <v>1701</v>
      </c>
      <c r="D422" t="s">
        <v>1764</v>
      </c>
      <c r="E422" t="s">
        <v>1766</v>
      </c>
      <c r="F422" t="s">
        <v>2112</v>
      </c>
      <c r="G422" t="s">
        <v>2112</v>
      </c>
      <c r="H422" t="s">
        <v>2112</v>
      </c>
      <c r="I422" t="s">
        <v>2112</v>
      </c>
      <c r="J422" t="s">
        <v>2112</v>
      </c>
      <c r="K422" t="s">
        <v>2112</v>
      </c>
      <c r="L422" t="s">
        <v>2112</v>
      </c>
      <c r="M422" t="s">
        <v>2112</v>
      </c>
      <c r="N422" t="s">
        <v>1696</v>
      </c>
      <c r="O422" t="s">
        <v>1697</v>
      </c>
      <c r="P422" t="s">
        <v>1493</v>
      </c>
      <c r="Q422">
        <v>1</v>
      </c>
      <c r="R422">
        <v>1</v>
      </c>
      <c r="S422" t="b">
        <f t="shared" si="6"/>
        <v>1</v>
      </c>
    </row>
    <row r="423" spans="1:19" hidden="1" x14ac:dyDescent="0.25">
      <c r="A423" t="s">
        <v>1689</v>
      </c>
      <c r="B423" t="s">
        <v>1700</v>
      </c>
      <c r="C423" t="s">
        <v>1701</v>
      </c>
      <c r="D423" t="s">
        <v>1764</v>
      </c>
      <c r="E423" t="s">
        <v>1767</v>
      </c>
      <c r="F423" t="s">
        <v>2113</v>
      </c>
      <c r="G423" t="s">
        <v>2113</v>
      </c>
      <c r="H423" t="s">
        <v>2113</v>
      </c>
      <c r="I423" t="s">
        <v>2113</v>
      </c>
      <c r="J423" t="s">
        <v>2113</v>
      </c>
      <c r="K423" t="s">
        <v>2113</v>
      </c>
      <c r="L423" t="s">
        <v>2113</v>
      </c>
      <c r="M423" t="s">
        <v>2113</v>
      </c>
      <c r="N423" t="s">
        <v>1696</v>
      </c>
      <c r="O423" t="s">
        <v>1697</v>
      </c>
      <c r="P423" t="s">
        <v>1493</v>
      </c>
      <c r="Q423">
        <v>1</v>
      </c>
      <c r="R423">
        <v>1</v>
      </c>
      <c r="S423" t="b">
        <f t="shared" si="6"/>
        <v>1</v>
      </c>
    </row>
    <row r="424" spans="1:19" hidden="1" x14ac:dyDescent="0.25">
      <c r="A424" t="s">
        <v>1689</v>
      </c>
      <c r="B424" t="s">
        <v>1700</v>
      </c>
      <c r="C424" t="s">
        <v>1701</v>
      </c>
      <c r="D424" t="s">
        <v>1764</v>
      </c>
      <c r="E424" t="s">
        <v>1767</v>
      </c>
      <c r="F424" t="s">
        <v>2114</v>
      </c>
      <c r="G424" t="s">
        <v>2114</v>
      </c>
      <c r="H424" t="s">
        <v>2114</v>
      </c>
      <c r="I424" t="s">
        <v>2114</v>
      </c>
      <c r="J424" t="s">
        <v>2114</v>
      </c>
      <c r="K424" t="s">
        <v>2114</v>
      </c>
      <c r="L424" t="s">
        <v>2114</v>
      </c>
      <c r="M424" t="s">
        <v>2114</v>
      </c>
      <c r="N424" t="s">
        <v>1696</v>
      </c>
      <c r="O424" t="s">
        <v>1697</v>
      </c>
      <c r="P424" t="s">
        <v>1493</v>
      </c>
      <c r="Q424">
        <v>1</v>
      </c>
      <c r="R424">
        <v>1</v>
      </c>
      <c r="S424" t="b">
        <f t="shared" si="6"/>
        <v>1</v>
      </c>
    </row>
    <row r="425" spans="1:19" hidden="1" x14ac:dyDescent="0.25">
      <c r="A425" t="s">
        <v>1689</v>
      </c>
      <c r="B425" t="s">
        <v>1700</v>
      </c>
      <c r="C425" t="s">
        <v>1701</v>
      </c>
      <c r="D425" t="s">
        <v>1764</v>
      </c>
      <c r="E425" t="s">
        <v>1767</v>
      </c>
      <c r="F425" t="s">
        <v>2115</v>
      </c>
      <c r="G425" t="s">
        <v>2115</v>
      </c>
      <c r="H425" t="s">
        <v>2115</v>
      </c>
      <c r="I425" t="s">
        <v>2115</v>
      </c>
      <c r="J425" t="s">
        <v>2115</v>
      </c>
      <c r="K425" t="s">
        <v>2115</v>
      </c>
      <c r="L425" t="s">
        <v>2115</v>
      </c>
      <c r="M425" t="s">
        <v>2115</v>
      </c>
      <c r="N425" t="s">
        <v>1696</v>
      </c>
      <c r="O425" t="s">
        <v>1697</v>
      </c>
      <c r="P425" t="s">
        <v>1493</v>
      </c>
      <c r="Q425">
        <v>1</v>
      </c>
      <c r="R425">
        <v>1</v>
      </c>
      <c r="S425" t="b">
        <f t="shared" si="6"/>
        <v>1</v>
      </c>
    </row>
    <row r="426" spans="1:19" hidden="1" x14ac:dyDescent="0.25">
      <c r="A426" t="s">
        <v>1689</v>
      </c>
      <c r="B426" t="s">
        <v>1700</v>
      </c>
      <c r="C426" t="s">
        <v>1701</v>
      </c>
      <c r="D426" t="s">
        <v>1759</v>
      </c>
      <c r="E426" t="s">
        <v>1760</v>
      </c>
      <c r="F426" t="s">
        <v>2116</v>
      </c>
      <c r="G426" t="s">
        <v>2116</v>
      </c>
      <c r="H426" t="s">
        <v>2116</v>
      </c>
      <c r="I426" t="s">
        <v>2116</v>
      </c>
      <c r="J426" t="s">
        <v>2116</v>
      </c>
      <c r="K426" t="s">
        <v>2116</v>
      </c>
      <c r="L426" t="s">
        <v>2116</v>
      </c>
      <c r="M426" t="s">
        <v>2116</v>
      </c>
      <c r="N426" t="s">
        <v>1696</v>
      </c>
      <c r="O426" t="s">
        <v>1697</v>
      </c>
      <c r="P426" t="s">
        <v>1493</v>
      </c>
      <c r="Q426">
        <v>1</v>
      </c>
      <c r="R426">
        <v>1</v>
      </c>
      <c r="S426" t="b">
        <f t="shared" si="6"/>
        <v>1</v>
      </c>
    </row>
    <row r="427" spans="1:19" hidden="1" x14ac:dyDescent="0.25">
      <c r="A427" t="s">
        <v>1689</v>
      </c>
      <c r="B427" t="s">
        <v>1700</v>
      </c>
      <c r="C427" t="s">
        <v>1701</v>
      </c>
      <c r="D427" t="s">
        <v>1759</v>
      </c>
      <c r="E427" t="s">
        <v>1760</v>
      </c>
      <c r="F427" t="s">
        <v>2117</v>
      </c>
      <c r="G427" t="s">
        <v>2117</v>
      </c>
      <c r="H427" t="s">
        <v>2117</v>
      </c>
      <c r="I427" t="s">
        <v>2117</v>
      </c>
      <c r="J427" t="s">
        <v>2117</v>
      </c>
      <c r="K427" t="s">
        <v>2117</v>
      </c>
      <c r="L427" t="s">
        <v>2117</v>
      </c>
      <c r="M427" t="s">
        <v>2117</v>
      </c>
      <c r="N427" t="s">
        <v>1696</v>
      </c>
      <c r="O427" t="s">
        <v>1697</v>
      </c>
      <c r="P427" t="s">
        <v>1493</v>
      </c>
      <c r="Q427">
        <v>1</v>
      </c>
      <c r="R427">
        <v>1</v>
      </c>
      <c r="S427" t="b">
        <f t="shared" si="6"/>
        <v>1</v>
      </c>
    </row>
    <row r="428" spans="1:19" hidden="1" x14ac:dyDescent="0.25">
      <c r="A428" t="s">
        <v>1689</v>
      </c>
      <c r="B428" t="s">
        <v>1700</v>
      </c>
      <c r="C428" t="s">
        <v>1701</v>
      </c>
      <c r="D428" t="s">
        <v>1759</v>
      </c>
      <c r="E428" t="s">
        <v>1762</v>
      </c>
      <c r="F428" t="s">
        <v>2118</v>
      </c>
      <c r="G428" t="s">
        <v>2118</v>
      </c>
      <c r="H428" t="s">
        <v>2118</v>
      </c>
      <c r="I428" t="s">
        <v>2118</v>
      </c>
      <c r="J428" t="s">
        <v>2118</v>
      </c>
      <c r="K428" t="s">
        <v>2118</v>
      </c>
      <c r="L428" t="s">
        <v>2118</v>
      </c>
      <c r="M428" t="s">
        <v>2118</v>
      </c>
      <c r="N428" t="s">
        <v>1696</v>
      </c>
      <c r="O428" t="s">
        <v>1697</v>
      </c>
      <c r="P428" t="s">
        <v>1493</v>
      </c>
      <c r="Q428">
        <v>1</v>
      </c>
      <c r="R428">
        <v>1</v>
      </c>
      <c r="S428" t="b">
        <f t="shared" si="6"/>
        <v>1</v>
      </c>
    </row>
    <row r="429" spans="1:19" hidden="1" x14ac:dyDescent="0.25">
      <c r="A429" t="s">
        <v>1689</v>
      </c>
      <c r="B429" t="s">
        <v>1700</v>
      </c>
      <c r="C429" t="s">
        <v>1701</v>
      </c>
      <c r="D429" t="s">
        <v>1759</v>
      </c>
      <c r="E429" t="s">
        <v>1762</v>
      </c>
      <c r="F429" t="s">
        <v>2119</v>
      </c>
      <c r="G429" t="s">
        <v>2119</v>
      </c>
      <c r="H429" t="s">
        <v>2119</v>
      </c>
      <c r="I429" t="s">
        <v>2119</v>
      </c>
      <c r="J429" t="s">
        <v>2119</v>
      </c>
      <c r="K429" t="s">
        <v>2119</v>
      </c>
      <c r="L429" t="s">
        <v>2119</v>
      </c>
      <c r="M429" t="s">
        <v>2119</v>
      </c>
      <c r="N429" t="s">
        <v>1696</v>
      </c>
      <c r="O429" t="s">
        <v>1697</v>
      </c>
      <c r="P429" t="s">
        <v>1493</v>
      </c>
      <c r="Q429">
        <v>1</v>
      </c>
      <c r="R429">
        <v>1</v>
      </c>
      <c r="S429" t="b">
        <f t="shared" si="6"/>
        <v>1</v>
      </c>
    </row>
    <row r="430" spans="1:19" hidden="1" x14ac:dyDescent="0.25">
      <c r="A430" t="s">
        <v>1689</v>
      </c>
      <c r="B430" t="s">
        <v>1700</v>
      </c>
      <c r="C430" t="s">
        <v>1701</v>
      </c>
      <c r="D430" t="s">
        <v>1759</v>
      </c>
      <c r="E430" t="s">
        <v>1763</v>
      </c>
      <c r="F430" t="s">
        <v>2120</v>
      </c>
      <c r="G430" t="s">
        <v>2120</v>
      </c>
      <c r="H430" t="s">
        <v>2120</v>
      </c>
      <c r="I430" t="s">
        <v>2120</v>
      </c>
      <c r="J430" t="s">
        <v>2120</v>
      </c>
      <c r="K430" t="s">
        <v>2120</v>
      </c>
      <c r="L430" t="s">
        <v>2120</v>
      </c>
      <c r="M430" t="s">
        <v>2120</v>
      </c>
      <c r="N430" t="s">
        <v>1696</v>
      </c>
      <c r="O430" t="s">
        <v>1697</v>
      </c>
      <c r="P430" t="s">
        <v>1493</v>
      </c>
      <c r="Q430">
        <v>1</v>
      </c>
      <c r="R430">
        <v>1</v>
      </c>
      <c r="S430" t="b">
        <f t="shared" si="6"/>
        <v>1</v>
      </c>
    </row>
    <row r="431" spans="1:19" hidden="1" x14ac:dyDescent="0.25">
      <c r="A431" t="s">
        <v>1689</v>
      </c>
      <c r="B431" t="s">
        <v>1700</v>
      </c>
      <c r="C431" t="s">
        <v>1701</v>
      </c>
      <c r="D431" t="s">
        <v>1759</v>
      </c>
      <c r="E431" t="s">
        <v>1763</v>
      </c>
      <c r="F431" t="s">
        <v>2121</v>
      </c>
      <c r="G431" t="s">
        <v>2121</v>
      </c>
      <c r="H431" t="s">
        <v>2121</v>
      </c>
      <c r="I431" t="s">
        <v>2121</v>
      </c>
      <c r="J431" t="s">
        <v>2121</v>
      </c>
      <c r="K431" t="s">
        <v>2121</v>
      </c>
      <c r="L431" t="s">
        <v>2121</v>
      </c>
      <c r="M431" t="s">
        <v>2121</v>
      </c>
      <c r="N431" t="s">
        <v>1696</v>
      </c>
      <c r="O431" t="s">
        <v>1697</v>
      </c>
      <c r="P431" t="s">
        <v>1493</v>
      </c>
      <c r="Q431">
        <v>1</v>
      </c>
      <c r="R431">
        <v>1</v>
      </c>
      <c r="S431" t="b">
        <f t="shared" si="6"/>
        <v>1</v>
      </c>
    </row>
    <row r="432" spans="1:19" hidden="1" x14ac:dyDescent="0.25">
      <c r="A432" t="s">
        <v>1689</v>
      </c>
      <c r="B432" t="s">
        <v>1700</v>
      </c>
      <c r="C432" t="s">
        <v>1701</v>
      </c>
      <c r="D432" t="s">
        <v>1736</v>
      </c>
      <c r="E432" t="s">
        <v>1737</v>
      </c>
      <c r="F432" t="s">
        <v>2122</v>
      </c>
      <c r="G432" t="s">
        <v>2122</v>
      </c>
      <c r="H432" t="s">
        <v>2122</v>
      </c>
      <c r="I432" t="s">
        <v>2122</v>
      </c>
      <c r="J432" t="s">
        <v>2122</v>
      </c>
      <c r="K432" t="s">
        <v>2122</v>
      </c>
      <c r="L432" t="s">
        <v>2122</v>
      </c>
      <c r="M432" t="s">
        <v>2122</v>
      </c>
      <c r="N432" t="s">
        <v>1696</v>
      </c>
      <c r="O432" t="s">
        <v>1697</v>
      </c>
      <c r="P432" t="s">
        <v>1493</v>
      </c>
      <c r="Q432">
        <v>1</v>
      </c>
      <c r="R432">
        <v>1</v>
      </c>
      <c r="S432" t="b">
        <f t="shared" si="6"/>
        <v>1</v>
      </c>
    </row>
    <row r="433" spans="1:19" hidden="1" x14ac:dyDescent="0.25">
      <c r="A433" t="s">
        <v>1689</v>
      </c>
      <c r="B433" t="s">
        <v>1700</v>
      </c>
      <c r="C433" t="s">
        <v>1701</v>
      </c>
      <c r="D433" t="s">
        <v>1736</v>
      </c>
      <c r="E433" t="s">
        <v>1737</v>
      </c>
      <c r="F433" t="s">
        <v>2123</v>
      </c>
      <c r="G433" t="s">
        <v>2123</v>
      </c>
      <c r="H433" t="s">
        <v>2123</v>
      </c>
      <c r="I433" t="s">
        <v>2123</v>
      </c>
      <c r="J433" t="s">
        <v>2123</v>
      </c>
      <c r="K433" t="s">
        <v>2123</v>
      </c>
      <c r="L433" t="s">
        <v>2123</v>
      </c>
      <c r="M433" t="s">
        <v>2123</v>
      </c>
      <c r="N433" t="s">
        <v>1696</v>
      </c>
      <c r="O433" t="s">
        <v>1697</v>
      </c>
      <c r="P433" t="s">
        <v>1493</v>
      </c>
      <c r="Q433">
        <v>1</v>
      </c>
      <c r="R433">
        <v>1</v>
      </c>
      <c r="S433" t="b">
        <f t="shared" si="6"/>
        <v>1</v>
      </c>
    </row>
    <row r="434" spans="1:19" hidden="1" x14ac:dyDescent="0.25">
      <c r="A434" t="s">
        <v>1689</v>
      </c>
      <c r="B434" t="s">
        <v>1700</v>
      </c>
      <c r="C434" t="s">
        <v>1701</v>
      </c>
      <c r="D434" t="s">
        <v>1736</v>
      </c>
      <c r="E434" t="s">
        <v>1738</v>
      </c>
      <c r="F434" t="s">
        <v>2124</v>
      </c>
      <c r="G434" t="s">
        <v>2124</v>
      </c>
      <c r="H434" t="s">
        <v>2124</v>
      </c>
      <c r="I434" t="s">
        <v>2124</v>
      </c>
      <c r="J434" t="s">
        <v>2124</v>
      </c>
      <c r="K434" t="s">
        <v>2124</v>
      </c>
      <c r="L434" t="s">
        <v>2124</v>
      </c>
      <c r="M434" t="s">
        <v>2124</v>
      </c>
      <c r="N434" t="s">
        <v>1696</v>
      </c>
      <c r="O434" t="s">
        <v>1697</v>
      </c>
      <c r="P434" t="s">
        <v>1493</v>
      </c>
      <c r="Q434">
        <v>1</v>
      </c>
      <c r="R434">
        <v>1</v>
      </c>
      <c r="S434" t="b">
        <f t="shared" si="6"/>
        <v>1</v>
      </c>
    </row>
    <row r="435" spans="1:19" hidden="1" x14ac:dyDescent="0.25">
      <c r="A435" t="s">
        <v>1689</v>
      </c>
      <c r="B435" t="s">
        <v>1700</v>
      </c>
      <c r="C435" t="s">
        <v>1701</v>
      </c>
      <c r="D435" t="s">
        <v>1736</v>
      </c>
      <c r="E435" t="s">
        <v>1738</v>
      </c>
      <c r="F435" t="s">
        <v>2125</v>
      </c>
      <c r="G435" t="s">
        <v>2125</v>
      </c>
      <c r="H435" t="s">
        <v>2125</v>
      </c>
      <c r="I435" t="s">
        <v>2125</v>
      </c>
      <c r="J435" t="s">
        <v>2125</v>
      </c>
      <c r="K435" t="s">
        <v>2125</v>
      </c>
      <c r="L435" t="s">
        <v>2125</v>
      </c>
      <c r="M435" t="s">
        <v>2125</v>
      </c>
      <c r="N435" t="s">
        <v>1696</v>
      </c>
      <c r="O435" t="s">
        <v>1697</v>
      </c>
      <c r="P435" t="s">
        <v>1493</v>
      </c>
      <c r="Q435">
        <v>1</v>
      </c>
      <c r="R435">
        <v>1</v>
      </c>
      <c r="S435" t="b">
        <f t="shared" si="6"/>
        <v>1</v>
      </c>
    </row>
    <row r="436" spans="1:19" hidden="1" x14ac:dyDescent="0.25">
      <c r="A436" t="s">
        <v>1689</v>
      </c>
      <c r="B436" t="s">
        <v>1700</v>
      </c>
      <c r="C436" t="s">
        <v>1701</v>
      </c>
      <c r="D436" t="s">
        <v>1733</v>
      </c>
      <c r="E436" t="s">
        <v>1734</v>
      </c>
      <c r="F436" t="s">
        <v>2126</v>
      </c>
      <c r="G436" t="s">
        <v>2126</v>
      </c>
      <c r="H436" t="s">
        <v>2126</v>
      </c>
      <c r="I436" t="s">
        <v>2126</v>
      </c>
      <c r="J436" t="s">
        <v>2126</v>
      </c>
      <c r="K436" t="s">
        <v>2126</v>
      </c>
      <c r="L436" t="s">
        <v>2126</v>
      </c>
      <c r="M436" t="s">
        <v>2126</v>
      </c>
      <c r="N436" t="s">
        <v>1696</v>
      </c>
      <c r="O436" t="s">
        <v>1697</v>
      </c>
      <c r="P436" t="s">
        <v>1493</v>
      </c>
      <c r="Q436">
        <v>1</v>
      </c>
      <c r="R436">
        <v>1</v>
      </c>
      <c r="S436" t="b">
        <f t="shared" si="6"/>
        <v>1</v>
      </c>
    </row>
    <row r="437" spans="1:19" hidden="1" x14ac:dyDescent="0.25">
      <c r="A437" t="s">
        <v>1689</v>
      </c>
      <c r="B437" t="s">
        <v>1700</v>
      </c>
      <c r="C437" t="s">
        <v>1701</v>
      </c>
      <c r="D437" t="s">
        <v>1733</v>
      </c>
      <c r="E437" t="s">
        <v>1734</v>
      </c>
      <c r="F437" t="s">
        <v>2127</v>
      </c>
      <c r="G437" t="s">
        <v>2127</v>
      </c>
      <c r="H437" t="s">
        <v>2127</v>
      </c>
      <c r="I437" t="s">
        <v>2127</v>
      </c>
      <c r="J437" t="s">
        <v>2127</v>
      </c>
      <c r="K437" t="s">
        <v>2127</v>
      </c>
      <c r="L437" t="s">
        <v>2127</v>
      </c>
      <c r="M437" t="s">
        <v>2127</v>
      </c>
      <c r="N437" t="s">
        <v>1696</v>
      </c>
      <c r="O437" t="s">
        <v>1697</v>
      </c>
      <c r="P437" t="s">
        <v>1493</v>
      </c>
      <c r="Q437">
        <v>1</v>
      </c>
      <c r="R437">
        <v>1</v>
      </c>
      <c r="S437" t="b">
        <f t="shared" si="6"/>
        <v>1</v>
      </c>
    </row>
    <row r="438" spans="1:19" hidden="1" x14ac:dyDescent="0.25">
      <c r="A438" t="s">
        <v>1689</v>
      </c>
      <c r="B438" t="s">
        <v>1700</v>
      </c>
      <c r="C438" t="s">
        <v>1701</v>
      </c>
      <c r="D438" t="s">
        <v>1733</v>
      </c>
      <c r="E438" t="s">
        <v>1734</v>
      </c>
      <c r="F438" t="s">
        <v>2128</v>
      </c>
      <c r="G438" t="s">
        <v>2128</v>
      </c>
      <c r="H438" t="s">
        <v>2128</v>
      </c>
      <c r="I438" t="s">
        <v>2128</v>
      </c>
      <c r="J438" t="s">
        <v>2128</v>
      </c>
      <c r="K438" t="s">
        <v>2128</v>
      </c>
      <c r="L438" t="s">
        <v>2128</v>
      </c>
      <c r="M438" t="s">
        <v>2128</v>
      </c>
      <c r="N438" t="s">
        <v>1696</v>
      </c>
      <c r="O438" t="s">
        <v>1697</v>
      </c>
      <c r="P438" t="s">
        <v>1493</v>
      </c>
      <c r="Q438">
        <v>1</v>
      </c>
      <c r="R438">
        <v>1</v>
      </c>
      <c r="S438" t="b">
        <f t="shared" si="6"/>
        <v>1</v>
      </c>
    </row>
    <row r="439" spans="1:19" hidden="1" x14ac:dyDescent="0.25">
      <c r="A439" t="s">
        <v>1689</v>
      </c>
      <c r="B439" t="s">
        <v>1700</v>
      </c>
      <c r="C439" t="s">
        <v>1701</v>
      </c>
      <c r="D439" t="s">
        <v>1733</v>
      </c>
      <c r="E439" t="s">
        <v>1735</v>
      </c>
      <c r="F439" t="s">
        <v>2129</v>
      </c>
      <c r="G439" t="s">
        <v>2129</v>
      </c>
      <c r="H439" t="s">
        <v>2129</v>
      </c>
      <c r="I439" t="s">
        <v>2129</v>
      </c>
      <c r="J439" t="s">
        <v>2129</v>
      </c>
      <c r="K439" t="s">
        <v>2129</v>
      </c>
      <c r="L439" t="s">
        <v>2129</v>
      </c>
      <c r="M439" t="s">
        <v>2129</v>
      </c>
      <c r="N439" t="s">
        <v>1696</v>
      </c>
      <c r="O439" t="s">
        <v>1697</v>
      </c>
      <c r="P439" t="s">
        <v>1493</v>
      </c>
      <c r="Q439">
        <v>1</v>
      </c>
      <c r="R439">
        <v>1</v>
      </c>
      <c r="S439" t="b">
        <f t="shared" si="6"/>
        <v>1</v>
      </c>
    </row>
    <row r="440" spans="1:19" x14ac:dyDescent="0.25">
      <c r="A440" t="s">
        <v>1689</v>
      </c>
      <c r="B440" t="s">
        <v>1700</v>
      </c>
      <c r="C440" t="s">
        <v>1701</v>
      </c>
      <c r="D440" t="s">
        <v>1733</v>
      </c>
      <c r="E440" t="s">
        <v>1735</v>
      </c>
      <c r="F440" t="s">
        <v>2130</v>
      </c>
      <c r="G440" t="s">
        <v>2130</v>
      </c>
      <c r="H440" t="s">
        <v>2130</v>
      </c>
      <c r="I440" t="s">
        <v>2130</v>
      </c>
      <c r="J440" t="s">
        <v>2130</v>
      </c>
      <c r="K440" t="s">
        <v>2130</v>
      </c>
      <c r="L440" t="s">
        <v>2130</v>
      </c>
      <c r="M440" t="s">
        <v>2130</v>
      </c>
      <c r="N440" t="s">
        <v>1696</v>
      </c>
      <c r="O440" t="s">
        <v>1697</v>
      </c>
      <c r="P440" t="s">
        <v>1493</v>
      </c>
      <c r="Q440">
        <v>1</v>
      </c>
      <c r="R440">
        <v>1</v>
      </c>
      <c r="S440" t="b">
        <f t="shared" si="6"/>
        <v>1</v>
      </c>
    </row>
    <row r="441" spans="1:19" hidden="1" x14ac:dyDescent="0.25">
      <c r="A441" t="s">
        <v>1689</v>
      </c>
      <c r="B441" t="s">
        <v>1700</v>
      </c>
      <c r="C441" t="s">
        <v>1701</v>
      </c>
      <c r="D441" t="s">
        <v>1719</v>
      </c>
      <c r="E441" t="s">
        <v>1728</v>
      </c>
      <c r="F441" t="s">
        <v>2131</v>
      </c>
      <c r="G441" t="s">
        <v>2131</v>
      </c>
      <c r="H441" t="s">
        <v>2131</v>
      </c>
      <c r="I441" t="s">
        <v>2131</v>
      </c>
      <c r="J441" t="s">
        <v>2131</v>
      </c>
      <c r="K441" t="s">
        <v>2131</v>
      </c>
      <c r="L441" t="s">
        <v>2131</v>
      </c>
      <c r="M441" t="s">
        <v>2131</v>
      </c>
      <c r="N441" t="s">
        <v>1696</v>
      </c>
      <c r="O441" t="s">
        <v>1697</v>
      </c>
      <c r="P441" t="s">
        <v>1493</v>
      </c>
      <c r="Q441">
        <v>1</v>
      </c>
      <c r="R441">
        <v>1</v>
      </c>
      <c r="S441" t="b">
        <f t="shared" si="6"/>
        <v>1</v>
      </c>
    </row>
    <row r="442" spans="1:19" hidden="1" x14ac:dyDescent="0.25">
      <c r="A442" t="s">
        <v>1689</v>
      </c>
      <c r="B442" t="s">
        <v>1700</v>
      </c>
      <c r="C442" t="s">
        <v>1701</v>
      </c>
      <c r="D442" t="s">
        <v>1719</v>
      </c>
      <c r="E442" t="s">
        <v>1728</v>
      </c>
      <c r="F442" t="s">
        <v>2132</v>
      </c>
      <c r="G442" t="s">
        <v>2132</v>
      </c>
      <c r="H442" t="s">
        <v>2132</v>
      </c>
      <c r="I442" t="s">
        <v>2132</v>
      </c>
      <c r="J442" t="s">
        <v>2132</v>
      </c>
      <c r="K442" t="s">
        <v>2132</v>
      </c>
      <c r="L442" t="s">
        <v>2132</v>
      </c>
      <c r="M442" t="s">
        <v>2132</v>
      </c>
      <c r="N442" t="s">
        <v>1696</v>
      </c>
      <c r="O442" t="s">
        <v>1697</v>
      </c>
      <c r="P442" t="s">
        <v>1493</v>
      </c>
      <c r="Q442">
        <v>1</v>
      </c>
      <c r="R442">
        <v>1</v>
      </c>
      <c r="S442" t="b">
        <f t="shared" si="6"/>
        <v>1</v>
      </c>
    </row>
    <row r="443" spans="1:19" hidden="1" x14ac:dyDescent="0.25">
      <c r="A443" t="s">
        <v>1689</v>
      </c>
      <c r="B443" t="s">
        <v>1700</v>
      </c>
      <c r="C443" t="s">
        <v>1701</v>
      </c>
      <c r="D443" t="s">
        <v>1719</v>
      </c>
      <c r="E443" t="s">
        <v>1724</v>
      </c>
      <c r="F443" t="s">
        <v>2133</v>
      </c>
      <c r="G443" t="s">
        <v>2133</v>
      </c>
      <c r="H443" t="s">
        <v>2133</v>
      </c>
      <c r="I443" t="s">
        <v>2133</v>
      </c>
      <c r="J443" t="s">
        <v>2133</v>
      </c>
      <c r="K443" t="s">
        <v>2133</v>
      </c>
      <c r="L443" t="s">
        <v>2133</v>
      </c>
      <c r="M443" t="s">
        <v>2133</v>
      </c>
      <c r="N443" t="s">
        <v>1696</v>
      </c>
      <c r="O443" t="s">
        <v>1697</v>
      </c>
      <c r="P443" t="s">
        <v>1493</v>
      </c>
      <c r="Q443">
        <v>1</v>
      </c>
      <c r="R443">
        <v>1</v>
      </c>
      <c r="S443" t="b">
        <f t="shared" si="6"/>
        <v>1</v>
      </c>
    </row>
    <row r="444" spans="1:19" hidden="1" x14ac:dyDescent="0.25">
      <c r="A444" t="s">
        <v>1689</v>
      </c>
      <c r="B444" t="s">
        <v>1700</v>
      </c>
      <c r="C444" t="s">
        <v>1701</v>
      </c>
      <c r="D444" t="s">
        <v>1719</v>
      </c>
      <c r="E444" t="s">
        <v>1724</v>
      </c>
      <c r="F444" t="s">
        <v>2134</v>
      </c>
      <c r="G444" t="s">
        <v>2134</v>
      </c>
      <c r="H444" t="s">
        <v>2134</v>
      </c>
      <c r="I444" t="s">
        <v>2134</v>
      </c>
      <c r="J444" t="s">
        <v>2134</v>
      </c>
      <c r="K444" t="s">
        <v>2134</v>
      </c>
      <c r="L444" t="s">
        <v>2134</v>
      </c>
      <c r="M444" t="s">
        <v>2134</v>
      </c>
      <c r="N444" t="s">
        <v>1696</v>
      </c>
      <c r="O444" t="s">
        <v>1697</v>
      </c>
      <c r="P444" t="s">
        <v>1493</v>
      </c>
      <c r="Q444">
        <v>1</v>
      </c>
      <c r="R444">
        <v>1</v>
      </c>
      <c r="S444" t="b">
        <f t="shared" si="6"/>
        <v>1</v>
      </c>
    </row>
    <row r="445" spans="1:19" hidden="1" x14ac:dyDescent="0.25">
      <c r="A445" t="s">
        <v>1689</v>
      </c>
      <c r="B445" t="s">
        <v>1700</v>
      </c>
      <c r="C445" t="s">
        <v>1701</v>
      </c>
      <c r="D445" t="s">
        <v>1719</v>
      </c>
      <c r="E445" t="s">
        <v>1724</v>
      </c>
      <c r="F445" t="s">
        <v>2135</v>
      </c>
      <c r="G445" t="s">
        <v>2135</v>
      </c>
      <c r="H445" t="s">
        <v>2135</v>
      </c>
      <c r="I445" t="s">
        <v>2135</v>
      </c>
      <c r="J445" t="s">
        <v>2135</v>
      </c>
      <c r="K445" t="s">
        <v>2135</v>
      </c>
      <c r="L445" t="s">
        <v>2135</v>
      </c>
      <c r="M445" t="s">
        <v>2135</v>
      </c>
      <c r="N445" t="s">
        <v>1696</v>
      </c>
      <c r="O445" t="s">
        <v>1697</v>
      </c>
      <c r="P445" t="s">
        <v>1493</v>
      </c>
      <c r="Q445">
        <v>1</v>
      </c>
      <c r="R445">
        <v>1</v>
      </c>
      <c r="S445" t="b">
        <f t="shared" si="6"/>
        <v>1</v>
      </c>
    </row>
    <row r="446" spans="1:19" hidden="1" x14ac:dyDescent="0.25">
      <c r="A446" t="s">
        <v>1689</v>
      </c>
      <c r="B446" t="s">
        <v>1700</v>
      </c>
      <c r="C446" t="s">
        <v>1701</v>
      </c>
      <c r="D446" t="s">
        <v>1719</v>
      </c>
      <c r="E446" t="s">
        <v>1732</v>
      </c>
      <c r="F446" t="s">
        <v>2136</v>
      </c>
      <c r="G446" t="s">
        <v>2136</v>
      </c>
      <c r="H446" t="s">
        <v>2136</v>
      </c>
      <c r="I446" t="s">
        <v>2136</v>
      </c>
      <c r="J446" t="s">
        <v>2136</v>
      </c>
      <c r="K446" t="s">
        <v>2136</v>
      </c>
      <c r="L446" t="s">
        <v>2136</v>
      </c>
      <c r="M446" t="s">
        <v>2136</v>
      </c>
      <c r="N446" t="s">
        <v>1696</v>
      </c>
      <c r="O446" t="s">
        <v>1697</v>
      </c>
      <c r="P446" t="s">
        <v>1493</v>
      </c>
      <c r="Q446">
        <v>1</v>
      </c>
      <c r="R446">
        <v>1</v>
      </c>
      <c r="S446" t="b">
        <f t="shared" si="6"/>
        <v>1</v>
      </c>
    </row>
    <row r="447" spans="1:19" hidden="1" x14ac:dyDescent="0.25">
      <c r="A447" t="s">
        <v>1689</v>
      </c>
      <c r="B447" t="s">
        <v>1700</v>
      </c>
      <c r="C447" t="s">
        <v>1701</v>
      </c>
      <c r="D447" t="s">
        <v>1719</v>
      </c>
      <c r="E447" t="s">
        <v>1732</v>
      </c>
      <c r="F447" t="s">
        <v>2137</v>
      </c>
      <c r="G447" t="s">
        <v>2137</v>
      </c>
      <c r="H447" t="s">
        <v>2137</v>
      </c>
      <c r="I447" t="s">
        <v>2137</v>
      </c>
      <c r="J447" t="s">
        <v>2137</v>
      </c>
      <c r="K447" t="s">
        <v>2137</v>
      </c>
      <c r="L447" t="s">
        <v>2137</v>
      </c>
      <c r="M447" t="s">
        <v>2137</v>
      </c>
      <c r="N447" t="s">
        <v>1696</v>
      </c>
      <c r="O447" t="s">
        <v>1697</v>
      </c>
      <c r="P447" t="s">
        <v>1493</v>
      </c>
      <c r="Q447">
        <v>1</v>
      </c>
      <c r="R447">
        <v>1</v>
      </c>
      <c r="S447" t="b">
        <f t="shared" si="6"/>
        <v>1</v>
      </c>
    </row>
    <row r="448" spans="1:19" hidden="1" x14ac:dyDescent="0.25">
      <c r="A448" t="s">
        <v>1689</v>
      </c>
      <c r="B448" t="s">
        <v>1700</v>
      </c>
      <c r="C448" t="s">
        <v>1701</v>
      </c>
      <c r="D448" t="s">
        <v>1719</v>
      </c>
      <c r="E448" t="s">
        <v>1726</v>
      </c>
      <c r="F448" t="s">
        <v>2138</v>
      </c>
      <c r="G448" t="s">
        <v>2138</v>
      </c>
      <c r="H448" t="s">
        <v>2138</v>
      </c>
      <c r="I448" t="s">
        <v>2138</v>
      </c>
      <c r="J448" t="s">
        <v>2138</v>
      </c>
      <c r="K448" t="s">
        <v>2138</v>
      </c>
      <c r="L448" t="s">
        <v>2138</v>
      </c>
      <c r="M448" t="s">
        <v>2138</v>
      </c>
      <c r="N448" t="s">
        <v>1696</v>
      </c>
      <c r="O448" t="s">
        <v>1697</v>
      </c>
      <c r="P448" t="s">
        <v>1493</v>
      </c>
      <c r="Q448">
        <v>1</v>
      </c>
      <c r="R448">
        <v>1</v>
      </c>
      <c r="S448" t="b">
        <f t="shared" si="6"/>
        <v>1</v>
      </c>
    </row>
    <row r="449" spans="1:19" hidden="1" x14ac:dyDescent="0.25">
      <c r="A449" t="s">
        <v>1689</v>
      </c>
      <c r="B449" t="s">
        <v>1700</v>
      </c>
      <c r="C449" t="s">
        <v>1701</v>
      </c>
      <c r="D449" t="s">
        <v>1719</v>
      </c>
      <c r="E449" t="s">
        <v>1726</v>
      </c>
      <c r="F449" t="s">
        <v>2139</v>
      </c>
      <c r="G449" t="s">
        <v>2139</v>
      </c>
      <c r="H449" t="s">
        <v>2139</v>
      </c>
      <c r="I449" t="s">
        <v>2139</v>
      </c>
      <c r="J449" t="s">
        <v>2139</v>
      </c>
      <c r="K449" t="s">
        <v>2139</v>
      </c>
      <c r="L449" t="s">
        <v>2139</v>
      </c>
      <c r="M449" t="s">
        <v>2139</v>
      </c>
      <c r="N449" t="s">
        <v>1696</v>
      </c>
      <c r="O449" t="s">
        <v>1697</v>
      </c>
      <c r="P449" t="s">
        <v>1493</v>
      </c>
      <c r="Q449">
        <v>1</v>
      </c>
      <c r="R449">
        <v>1</v>
      </c>
      <c r="S449" t="b">
        <f t="shared" si="6"/>
        <v>1</v>
      </c>
    </row>
    <row r="450" spans="1:19" hidden="1" x14ac:dyDescent="0.25">
      <c r="A450" t="s">
        <v>1689</v>
      </c>
      <c r="B450" t="s">
        <v>1700</v>
      </c>
      <c r="C450" t="s">
        <v>1701</v>
      </c>
      <c r="D450" t="s">
        <v>1719</v>
      </c>
      <c r="E450" t="s">
        <v>1725</v>
      </c>
      <c r="F450" t="s">
        <v>2140</v>
      </c>
      <c r="G450" t="s">
        <v>2140</v>
      </c>
      <c r="H450" t="s">
        <v>2140</v>
      </c>
      <c r="I450" t="s">
        <v>2140</v>
      </c>
      <c r="J450" t="s">
        <v>2140</v>
      </c>
      <c r="K450" t="s">
        <v>2140</v>
      </c>
      <c r="L450" t="s">
        <v>2140</v>
      </c>
      <c r="M450" t="s">
        <v>2140</v>
      </c>
      <c r="N450" t="s">
        <v>1696</v>
      </c>
      <c r="O450" t="s">
        <v>1697</v>
      </c>
      <c r="P450" t="s">
        <v>1493</v>
      </c>
      <c r="Q450">
        <v>1</v>
      </c>
      <c r="R450">
        <v>1</v>
      </c>
      <c r="S450" t="b">
        <f t="shared" si="6"/>
        <v>1</v>
      </c>
    </row>
    <row r="451" spans="1:19" hidden="1" x14ac:dyDescent="0.25">
      <c r="A451" t="s">
        <v>1689</v>
      </c>
      <c r="B451" t="s">
        <v>1700</v>
      </c>
      <c r="C451" t="s">
        <v>1701</v>
      </c>
      <c r="D451" t="s">
        <v>1719</v>
      </c>
      <c r="E451" t="s">
        <v>1725</v>
      </c>
      <c r="F451" t="s">
        <v>2141</v>
      </c>
      <c r="G451" t="s">
        <v>2141</v>
      </c>
      <c r="H451" t="s">
        <v>2141</v>
      </c>
      <c r="I451" t="s">
        <v>2141</v>
      </c>
      <c r="J451" t="s">
        <v>2141</v>
      </c>
      <c r="K451" t="s">
        <v>2141</v>
      </c>
      <c r="L451" t="s">
        <v>2141</v>
      </c>
      <c r="M451" t="s">
        <v>2141</v>
      </c>
      <c r="N451" t="s">
        <v>1696</v>
      </c>
      <c r="O451" t="s">
        <v>1697</v>
      </c>
      <c r="P451" t="s">
        <v>1493</v>
      </c>
      <c r="Q451">
        <v>1</v>
      </c>
      <c r="R451">
        <v>1</v>
      </c>
      <c r="S451" t="b">
        <f t="shared" ref="S451:S514" si="7">H451=M451</f>
        <v>1</v>
      </c>
    </row>
    <row r="452" spans="1:19" hidden="1" x14ac:dyDescent="0.25">
      <c r="A452" t="s">
        <v>1689</v>
      </c>
      <c r="B452" t="s">
        <v>1700</v>
      </c>
      <c r="C452" t="s">
        <v>1701</v>
      </c>
      <c r="D452" t="s">
        <v>1719</v>
      </c>
      <c r="E452" t="s">
        <v>1727</v>
      </c>
      <c r="F452" t="s">
        <v>2142</v>
      </c>
      <c r="G452" t="s">
        <v>2142</v>
      </c>
      <c r="H452" t="s">
        <v>2142</v>
      </c>
      <c r="I452" t="s">
        <v>2142</v>
      </c>
      <c r="J452" t="s">
        <v>2142</v>
      </c>
      <c r="K452" t="s">
        <v>2142</v>
      </c>
      <c r="L452" t="s">
        <v>2142</v>
      </c>
      <c r="M452" t="s">
        <v>2142</v>
      </c>
      <c r="N452" t="s">
        <v>1696</v>
      </c>
      <c r="O452" t="s">
        <v>1697</v>
      </c>
      <c r="P452" t="s">
        <v>1493</v>
      </c>
      <c r="Q452">
        <v>1</v>
      </c>
      <c r="R452">
        <v>1</v>
      </c>
      <c r="S452" t="b">
        <f t="shared" si="7"/>
        <v>1</v>
      </c>
    </row>
    <row r="453" spans="1:19" hidden="1" x14ac:dyDescent="0.25">
      <c r="A453" t="s">
        <v>1689</v>
      </c>
      <c r="B453" t="s">
        <v>1700</v>
      </c>
      <c r="C453" t="s">
        <v>1701</v>
      </c>
      <c r="D453" t="s">
        <v>1719</v>
      </c>
      <c r="E453" t="s">
        <v>1727</v>
      </c>
      <c r="F453" t="s">
        <v>2143</v>
      </c>
      <c r="G453" t="s">
        <v>2143</v>
      </c>
      <c r="H453" t="s">
        <v>2143</v>
      </c>
      <c r="I453" t="s">
        <v>2143</v>
      </c>
      <c r="J453" t="s">
        <v>2143</v>
      </c>
      <c r="K453" t="s">
        <v>2143</v>
      </c>
      <c r="L453" t="s">
        <v>2143</v>
      </c>
      <c r="M453" t="s">
        <v>2143</v>
      </c>
      <c r="N453" t="s">
        <v>1696</v>
      </c>
      <c r="O453" t="s">
        <v>1697</v>
      </c>
      <c r="P453" t="s">
        <v>1493</v>
      </c>
      <c r="Q453">
        <v>1</v>
      </c>
      <c r="R453">
        <v>1</v>
      </c>
      <c r="S453" t="b">
        <f t="shared" si="7"/>
        <v>1</v>
      </c>
    </row>
    <row r="454" spans="1:19" hidden="1" x14ac:dyDescent="0.25">
      <c r="A454" t="s">
        <v>1689</v>
      </c>
      <c r="B454" t="s">
        <v>1700</v>
      </c>
      <c r="C454" t="s">
        <v>1701</v>
      </c>
      <c r="D454" t="s">
        <v>1719</v>
      </c>
      <c r="E454" t="s">
        <v>1720</v>
      </c>
      <c r="F454" t="s">
        <v>2144</v>
      </c>
      <c r="G454" t="s">
        <v>2144</v>
      </c>
      <c r="H454" t="s">
        <v>2144</v>
      </c>
      <c r="I454" t="s">
        <v>2144</v>
      </c>
      <c r="J454" t="s">
        <v>2144</v>
      </c>
      <c r="K454" t="s">
        <v>2144</v>
      </c>
      <c r="L454" t="s">
        <v>2144</v>
      </c>
      <c r="M454" t="s">
        <v>2144</v>
      </c>
      <c r="N454" t="s">
        <v>1696</v>
      </c>
      <c r="O454" t="s">
        <v>1697</v>
      </c>
      <c r="P454" t="s">
        <v>1493</v>
      </c>
      <c r="Q454">
        <v>1</v>
      </c>
      <c r="R454">
        <v>1</v>
      </c>
      <c r="S454" t="b">
        <f t="shared" si="7"/>
        <v>1</v>
      </c>
    </row>
    <row r="455" spans="1:19" hidden="1" x14ac:dyDescent="0.25">
      <c r="A455" t="s">
        <v>1689</v>
      </c>
      <c r="B455" t="s">
        <v>1700</v>
      </c>
      <c r="C455" t="s">
        <v>1701</v>
      </c>
      <c r="D455" t="s">
        <v>1719</v>
      </c>
      <c r="E455" t="s">
        <v>1720</v>
      </c>
      <c r="F455" t="s">
        <v>2145</v>
      </c>
      <c r="G455" t="s">
        <v>2145</v>
      </c>
      <c r="H455" t="s">
        <v>2145</v>
      </c>
      <c r="I455" t="s">
        <v>2145</v>
      </c>
      <c r="J455" t="s">
        <v>2145</v>
      </c>
      <c r="K455" t="s">
        <v>2145</v>
      </c>
      <c r="L455" t="s">
        <v>2145</v>
      </c>
      <c r="M455" t="s">
        <v>2145</v>
      </c>
      <c r="N455" t="s">
        <v>1696</v>
      </c>
      <c r="O455" t="s">
        <v>1697</v>
      </c>
      <c r="P455" t="s">
        <v>1493</v>
      </c>
      <c r="Q455">
        <v>1</v>
      </c>
      <c r="R455">
        <v>1</v>
      </c>
      <c r="S455" t="b">
        <f t="shared" si="7"/>
        <v>1</v>
      </c>
    </row>
    <row r="456" spans="1:19" hidden="1" x14ac:dyDescent="0.25">
      <c r="A456" t="s">
        <v>1689</v>
      </c>
      <c r="B456" t="s">
        <v>1700</v>
      </c>
      <c r="C456" t="s">
        <v>1701</v>
      </c>
      <c r="D456" t="s">
        <v>1719</v>
      </c>
      <c r="E456" t="s">
        <v>1730</v>
      </c>
      <c r="F456" t="s">
        <v>2146</v>
      </c>
      <c r="G456" t="s">
        <v>2146</v>
      </c>
      <c r="H456" t="s">
        <v>2146</v>
      </c>
      <c r="I456" t="s">
        <v>2146</v>
      </c>
      <c r="J456" t="s">
        <v>2146</v>
      </c>
      <c r="K456" t="s">
        <v>2146</v>
      </c>
      <c r="L456" t="s">
        <v>2146</v>
      </c>
      <c r="M456" t="s">
        <v>2146</v>
      </c>
      <c r="N456" t="s">
        <v>1696</v>
      </c>
      <c r="O456" t="s">
        <v>1697</v>
      </c>
      <c r="P456" t="s">
        <v>1493</v>
      </c>
      <c r="Q456">
        <v>1</v>
      </c>
      <c r="R456">
        <v>1</v>
      </c>
      <c r="S456" t="b">
        <f t="shared" si="7"/>
        <v>1</v>
      </c>
    </row>
    <row r="457" spans="1:19" hidden="1" x14ac:dyDescent="0.25">
      <c r="A457" t="s">
        <v>1689</v>
      </c>
      <c r="B457" t="s">
        <v>1700</v>
      </c>
      <c r="C457" t="s">
        <v>1701</v>
      </c>
      <c r="D457" t="s">
        <v>1719</v>
      </c>
      <c r="E457" t="s">
        <v>1730</v>
      </c>
      <c r="F457" t="s">
        <v>2147</v>
      </c>
      <c r="G457" t="s">
        <v>2147</v>
      </c>
      <c r="H457" t="s">
        <v>2147</v>
      </c>
      <c r="I457" t="s">
        <v>2147</v>
      </c>
      <c r="J457" t="s">
        <v>2147</v>
      </c>
      <c r="K457" t="s">
        <v>2147</v>
      </c>
      <c r="L457" t="s">
        <v>2147</v>
      </c>
      <c r="M457" t="s">
        <v>2147</v>
      </c>
      <c r="N457" t="s">
        <v>1696</v>
      </c>
      <c r="O457" t="s">
        <v>1697</v>
      </c>
      <c r="P457" t="s">
        <v>1493</v>
      </c>
      <c r="Q457">
        <v>1</v>
      </c>
      <c r="R457">
        <v>1</v>
      </c>
      <c r="S457" t="b">
        <f t="shared" si="7"/>
        <v>1</v>
      </c>
    </row>
    <row r="458" spans="1:19" hidden="1" x14ac:dyDescent="0.25">
      <c r="A458" t="s">
        <v>1689</v>
      </c>
      <c r="B458" t="s">
        <v>1700</v>
      </c>
      <c r="C458" t="s">
        <v>1701</v>
      </c>
      <c r="D458" t="s">
        <v>1719</v>
      </c>
      <c r="E458" t="s">
        <v>1731</v>
      </c>
      <c r="F458" t="s">
        <v>2148</v>
      </c>
      <c r="G458" t="s">
        <v>2148</v>
      </c>
      <c r="H458" t="s">
        <v>2148</v>
      </c>
      <c r="I458" t="s">
        <v>2148</v>
      </c>
      <c r="J458" t="s">
        <v>2148</v>
      </c>
      <c r="K458" t="s">
        <v>2148</v>
      </c>
      <c r="L458" t="s">
        <v>2148</v>
      </c>
      <c r="M458" t="s">
        <v>2148</v>
      </c>
      <c r="N458" t="s">
        <v>1696</v>
      </c>
      <c r="O458" t="s">
        <v>1697</v>
      </c>
      <c r="P458" t="s">
        <v>1493</v>
      </c>
      <c r="Q458">
        <v>1</v>
      </c>
      <c r="R458">
        <v>1</v>
      </c>
      <c r="S458" t="b">
        <f t="shared" si="7"/>
        <v>1</v>
      </c>
    </row>
    <row r="459" spans="1:19" hidden="1" x14ac:dyDescent="0.25">
      <c r="A459" t="s">
        <v>1689</v>
      </c>
      <c r="B459" t="s">
        <v>1700</v>
      </c>
      <c r="C459" t="s">
        <v>1701</v>
      </c>
      <c r="D459" t="s">
        <v>1719</v>
      </c>
      <c r="E459" t="s">
        <v>1731</v>
      </c>
      <c r="F459" t="s">
        <v>2149</v>
      </c>
      <c r="G459" t="s">
        <v>2149</v>
      </c>
      <c r="H459" t="s">
        <v>2149</v>
      </c>
      <c r="I459" t="s">
        <v>2149</v>
      </c>
      <c r="J459" t="s">
        <v>2149</v>
      </c>
      <c r="K459" t="s">
        <v>2149</v>
      </c>
      <c r="L459" t="s">
        <v>2149</v>
      </c>
      <c r="M459" t="s">
        <v>2149</v>
      </c>
      <c r="N459" t="s">
        <v>1696</v>
      </c>
      <c r="O459" t="s">
        <v>1697</v>
      </c>
      <c r="P459" t="s">
        <v>1493</v>
      </c>
      <c r="Q459">
        <v>1</v>
      </c>
      <c r="R459">
        <v>1</v>
      </c>
      <c r="S459" t="b">
        <f t="shared" si="7"/>
        <v>1</v>
      </c>
    </row>
    <row r="460" spans="1:19" hidden="1" x14ac:dyDescent="0.25">
      <c r="A460" t="s">
        <v>1689</v>
      </c>
      <c r="B460" t="s">
        <v>1700</v>
      </c>
      <c r="C460" t="s">
        <v>1701</v>
      </c>
      <c r="D460" t="s">
        <v>1719</v>
      </c>
      <c r="E460" t="s">
        <v>1731</v>
      </c>
      <c r="F460" t="s">
        <v>2150</v>
      </c>
      <c r="G460" t="s">
        <v>2150</v>
      </c>
      <c r="H460" t="s">
        <v>2150</v>
      </c>
      <c r="I460" t="s">
        <v>2150</v>
      </c>
      <c r="J460" t="s">
        <v>2150</v>
      </c>
      <c r="K460" t="s">
        <v>2150</v>
      </c>
      <c r="L460" t="s">
        <v>2150</v>
      </c>
      <c r="M460" t="s">
        <v>2150</v>
      </c>
      <c r="N460" t="s">
        <v>1696</v>
      </c>
      <c r="O460" t="s">
        <v>1697</v>
      </c>
      <c r="P460" t="s">
        <v>1493</v>
      </c>
      <c r="Q460">
        <v>1</v>
      </c>
      <c r="R460">
        <v>1</v>
      </c>
      <c r="S460" t="b">
        <f t="shared" si="7"/>
        <v>1</v>
      </c>
    </row>
    <row r="461" spans="1:19" hidden="1" x14ac:dyDescent="0.25">
      <c r="A461" t="s">
        <v>1689</v>
      </c>
      <c r="B461" t="s">
        <v>1700</v>
      </c>
      <c r="C461" t="s">
        <v>1701</v>
      </c>
      <c r="D461" t="s">
        <v>1719</v>
      </c>
      <c r="E461" t="s">
        <v>1721</v>
      </c>
      <c r="F461" t="s">
        <v>2151</v>
      </c>
      <c r="G461" t="s">
        <v>2151</v>
      </c>
      <c r="H461" t="s">
        <v>2151</v>
      </c>
      <c r="I461" t="s">
        <v>2151</v>
      </c>
      <c r="J461" t="s">
        <v>2151</v>
      </c>
      <c r="K461" t="s">
        <v>2151</v>
      </c>
      <c r="L461" t="s">
        <v>2151</v>
      </c>
      <c r="M461" t="s">
        <v>2151</v>
      </c>
      <c r="N461" t="s">
        <v>1696</v>
      </c>
      <c r="O461" t="s">
        <v>1697</v>
      </c>
      <c r="P461" t="s">
        <v>1493</v>
      </c>
      <c r="Q461">
        <v>1</v>
      </c>
      <c r="R461">
        <v>1</v>
      </c>
      <c r="S461" t="b">
        <f t="shared" si="7"/>
        <v>1</v>
      </c>
    </row>
    <row r="462" spans="1:19" hidden="1" x14ac:dyDescent="0.25">
      <c r="A462" t="s">
        <v>1689</v>
      </c>
      <c r="B462" t="s">
        <v>1700</v>
      </c>
      <c r="C462" t="s">
        <v>1701</v>
      </c>
      <c r="D462" t="s">
        <v>1719</v>
      </c>
      <c r="E462" t="s">
        <v>1721</v>
      </c>
      <c r="F462" t="s">
        <v>2152</v>
      </c>
      <c r="G462" t="s">
        <v>2152</v>
      </c>
      <c r="H462" t="s">
        <v>2152</v>
      </c>
      <c r="I462" t="s">
        <v>2152</v>
      </c>
      <c r="J462" t="s">
        <v>2152</v>
      </c>
      <c r="K462" t="s">
        <v>2152</v>
      </c>
      <c r="L462" t="s">
        <v>2152</v>
      </c>
      <c r="M462" t="s">
        <v>2152</v>
      </c>
      <c r="N462" t="s">
        <v>1696</v>
      </c>
      <c r="O462" t="s">
        <v>1697</v>
      </c>
      <c r="P462" t="s">
        <v>1493</v>
      </c>
      <c r="Q462">
        <v>1</v>
      </c>
      <c r="R462">
        <v>1</v>
      </c>
      <c r="S462" t="b">
        <f t="shared" si="7"/>
        <v>1</v>
      </c>
    </row>
    <row r="463" spans="1:19" hidden="1" x14ac:dyDescent="0.25">
      <c r="A463" t="s">
        <v>1689</v>
      </c>
      <c r="B463" t="s">
        <v>1700</v>
      </c>
      <c r="C463" t="s">
        <v>1701</v>
      </c>
      <c r="D463" t="s">
        <v>1719</v>
      </c>
      <c r="E463" t="s">
        <v>1723</v>
      </c>
      <c r="F463" t="s">
        <v>2153</v>
      </c>
      <c r="G463" t="s">
        <v>2153</v>
      </c>
      <c r="H463" t="s">
        <v>2153</v>
      </c>
      <c r="I463" t="s">
        <v>2153</v>
      </c>
      <c r="J463" t="s">
        <v>2153</v>
      </c>
      <c r="K463" t="s">
        <v>2153</v>
      </c>
      <c r="L463" t="s">
        <v>2153</v>
      </c>
      <c r="M463" t="s">
        <v>2153</v>
      </c>
      <c r="N463" t="s">
        <v>1696</v>
      </c>
      <c r="O463" t="s">
        <v>1697</v>
      </c>
      <c r="P463" t="s">
        <v>1493</v>
      </c>
      <c r="Q463">
        <v>1</v>
      </c>
      <c r="R463">
        <v>1</v>
      </c>
      <c r="S463" t="b">
        <f t="shared" si="7"/>
        <v>1</v>
      </c>
    </row>
    <row r="464" spans="1:19" hidden="1" x14ac:dyDescent="0.25">
      <c r="A464" t="s">
        <v>1689</v>
      </c>
      <c r="B464" t="s">
        <v>1700</v>
      </c>
      <c r="C464" t="s">
        <v>1701</v>
      </c>
      <c r="D464" t="s">
        <v>1719</v>
      </c>
      <c r="E464" t="s">
        <v>1723</v>
      </c>
      <c r="F464" t="s">
        <v>2154</v>
      </c>
      <c r="G464" t="s">
        <v>2154</v>
      </c>
      <c r="H464" t="s">
        <v>2154</v>
      </c>
      <c r="I464" t="s">
        <v>2154</v>
      </c>
      <c r="J464" t="s">
        <v>2154</v>
      </c>
      <c r="K464" t="s">
        <v>2154</v>
      </c>
      <c r="L464" t="s">
        <v>2154</v>
      </c>
      <c r="M464" t="s">
        <v>2154</v>
      </c>
      <c r="N464" t="s">
        <v>1696</v>
      </c>
      <c r="O464" t="s">
        <v>1697</v>
      </c>
      <c r="P464" t="s">
        <v>1493</v>
      </c>
      <c r="Q464">
        <v>1</v>
      </c>
      <c r="R464">
        <v>1</v>
      </c>
      <c r="S464" t="b">
        <f t="shared" si="7"/>
        <v>1</v>
      </c>
    </row>
    <row r="465" spans="1:19" hidden="1" x14ac:dyDescent="0.25">
      <c r="A465" t="s">
        <v>1689</v>
      </c>
      <c r="B465" t="s">
        <v>1700</v>
      </c>
      <c r="C465" t="s">
        <v>1701</v>
      </c>
      <c r="D465" t="s">
        <v>1719</v>
      </c>
      <c r="E465" t="s">
        <v>1722</v>
      </c>
      <c r="F465" t="s">
        <v>2155</v>
      </c>
      <c r="G465" t="s">
        <v>2155</v>
      </c>
      <c r="H465" t="s">
        <v>2155</v>
      </c>
      <c r="I465" t="s">
        <v>2155</v>
      </c>
      <c r="J465" t="s">
        <v>2155</v>
      </c>
      <c r="K465" t="s">
        <v>2155</v>
      </c>
      <c r="L465" t="s">
        <v>2155</v>
      </c>
      <c r="M465" t="s">
        <v>2155</v>
      </c>
      <c r="N465" t="s">
        <v>1696</v>
      </c>
      <c r="O465" t="s">
        <v>1697</v>
      </c>
      <c r="P465" t="s">
        <v>1493</v>
      </c>
      <c r="Q465">
        <v>1</v>
      </c>
      <c r="R465">
        <v>1</v>
      </c>
      <c r="S465" t="b">
        <f t="shared" si="7"/>
        <v>1</v>
      </c>
    </row>
    <row r="466" spans="1:19" hidden="1" x14ac:dyDescent="0.25">
      <c r="A466" t="s">
        <v>1689</v>
      </c>
      <c r="B466" t="s">
        <v>1700</v>
      </c>
      <c r="C466" t="s">
        <v>1701</v>
      </c>
      <c r="D466" t="s">
        <v>1719</v>
      </c>
      <c r="E466" t="s">
        <v>1722</v>
      </c>
      <c r="F466" t="s">
        <v>2156</v>
      </c>
      <c r="G466" t="s">
        <v>2156</v>
      </c>
      <c r="H466" t="s">
        <v>2156</v>
      </c>
      <c r="I466" t="s">
        <v>2156</v>
      </c>
      <c r="J466" t="s">
        <v>2156</v>
      </c>
      <c r="K466" t="s">
        <v>2156</v>
      </c>
      <c r="L466" t="s">
        <v>2156</v>
      </c>
      <c r="M466" t="s">
        <v>2156</v>
      </c>
      <c r="N466" t="s">
        <v>1696</v>
      </c>
      <c r="O466" t="s">
        <v>1697</v>
      </c>
      <c r="P466" t="s">
        <v>1493</v>
      </c>
      <c r="Q466">
        <v>1</v>
      </c>
      <c r="R466">
        <v>1</v>
      </c>
      <c r="S466" t="b">
        <f t="shared" si="7"/>
        <v>1</v>
      </c>
    </row>
    <row r="467" spans="1:19" hidden="1" x14ac:dyDescent="0.25">
      <c r="A467" t="s">
        <v>1689</v>
      </c>
      <c r="B467" t="s">
        <v>1700</v>
      </c>
      <c r="C467" t="s">
        <v>1701</v>
      </c>
      <c r="D467" t="s">
        <v>1719</v>
      </c>
      <c r="E467" t="s">
        <v>1722</v>
      </c>
      <c r="F467" t="s">
        <v>2157</v>
      </c>
      <c r="G467" t="s">
        <v>2157</v>
      </c>
      <c r="H467" t="s">
        <v>2157</v>
      </c>
      <c r="I467" t="s">
        <v>2157</v>
      </c>
      <c r="J467" t="s">
        <v>2157</v>
      </c>
      <c r="K467" t="s">
        <v>2157</v>
      </c>
      <c r="L467" t="s">
        <v>2157</v>
      </c>
      <c r="M467" t="s">
        <v>2157</v>
      </c>
      <c r="N467" t="s">
        <v>1696</v>
      </c>
      <c r="O467" t="s">
        <v>1697</v>
      </c>
      <c r="P467" t="s">
        <v>1493</v>
      </c>
      <c r="Q467">
        <v>1</v>
      </c>
      <c r="R467">
        <v>1</v>
      </c>
      <c r="S467" t="b">
        <f t="shared" si="7"/>
        <v>1</v>
      </c>
    </row>
    <row r="468" spans="1:19" hidden="1" x14ac:dyDescent="0.25">
      <c r="A468" t="s">
        <v>1689</v>
      </c>
      <c r="B468" t="s">
        <v>1700</v>
      </c>
      <c r="C468" t="s">
        <v>1701</v>
      </c>
      <c r="D468" t="s">
        <v>1755</v>
      </c>
      <c r="E468" t="s">
        <v>1758</v>
      </c>
      <c r="F468" t="s">
        <v>2158</v>
      </c>
      <c r="G468" t="s">
        <v>2158</v>
      </c>
      <c r="H468" t="s">
        <v>2158</v>
      </c>
      <c r="I468" t="s">
        <v>2158</v>
      </c>
      <c r="J468" t="s">
        <v>2158</v>
      </c>
      <c r="K468" t="s">
        <v>2158</v>
      </c>
      <c r="L468" t="s">
        <v>2158</v>
      </c>
      <c r="M468" t="s">
        <v>2158</v>
      </c>
      <c r="N468" t="s">
        <v>1696</v>
      </c>
      <c r="O468" t="s">
        <v>1697</v>
      </c>
      <c r="P468" t="s">
        <v>1493</v>
      </c>
      <c r="Q468">
        <v>1</v>
      </c>
      <c r="R468">
        <v>1</v>
      </c>
      <c r="S468" t="b">
        <f t="shared" si="7"/>
        <v>1</v>
      </c>
    </row>
    <row r="469" spans="1:19" hidden="1" x14ac:dyDescent="0.25">
      <c r="A469" t="s">
        <v>1689</v>
      </c>
      <c r="B469" t="s">
        <v>1700</v>
      </c>
      <c r="C469" t="s">
        <v>1701</v>
      </c>
      <c r="D469" t="s">
        <v>1755</v>
      </c>
      <c r="E469" t="s">
        <v>1758</v>
      </c>
      <c r="F469" t="s">
        <v>2159</v>
      </c>
      <c r="G469" t="s">
        <v>2159</v>
      </c>
      <c r="H469" t="s">
        <v>2159</v>
      </c>
      <c r="I469" t="s">
        <v>2159</v>
      </c>
      <c r="J469" t="s">
        <v>2159</v>
      </c>
      <c r="K469" t="s">
        <v>2159</v>
      </c>
      <c r="L469" t="s">
        <v>2159</v>
      </c>
      <c r="M469" t="s">
        <v>2159</v>
      </c>
      <c r="N469" t="s">
        <v>1696</v>
      </c>
      <c r="O469" t="s">
        <v>1697</v>
      </c>
      <c r="P469" t="s">
        <v>1493</v>
      </c>
      <c r="Q469">
        <v>1</v>
      </c>
      <c r="R469">
        <v>1</v>
      </c>
      <c r="S469" t="b">
        <f t="shared" si="7"/>
        <v>1</v>
      </c>
    </row>
    <row r="470" spans="1:19" hidden="1" x14ac:dyDescent="0.25">
      <c r="A470" t="s">
        <v>1689</v>
      </c>
      <c r="B470" t="s">
        <v>1700</v>
      </c>
      <c r="C470" t="s">
        <v>1701</v>
      </c>
      <c r="D470" t="s">
        <v>1755</v>
      </c>
      <c r="E470" t="s">
        <v>1756</v>
      </c>
      <c r="F470" t="s">
        <v>2160</v>
      </c>
      <c r="G470" t="s">
        <v>2160</v>
      </c>
      <c r="H470" t="s">
        <v>2160</v>
      </c>
      <c r="I470" t="s">
        <v>2160</v>
      </c>
      <c r="J470" t="s">
        <v>2160</v>
      </c>
      <c r="K470" t="s">
        <v>2160</v>
      </c>
      <c r="L470" t="s">
        <v>2160</v>
      </c>
      <c r="M470" t="s">
        <v>2160</v>
      </c>
      <c r="N470" t="s">
        <v>1696</v>
      </c>
      <c r="O470" t="s">
        <v>1697</v>
      </c>
      <c r="P470" t="s">
        <v>1493</v>
      </c>
      <c r="Q470">
        <v>1</v>
      </c>
      <c r="R470">
        <v>1</v>
      </c>
      <c r="S470" t="b">
        <f t="shared" si="7"/>
        <v>1</v>
      </c>
    </row>
    <row r="471" spans="1:19" hidden="1" x14ac:dyDescent="0.25">
      <c r="A471" t="s">
        <v>1689</v>
      </c>
      <c r="B471" t="s">
        <v>1700</v>
      </c>
      <c r="C471" t="s">
        <v>1701</v>
      </c>
      <c r="D471" t="s">
        <v>1755</v>
      </c>
      <c r="E471" t="s">
        <v>1756</v>
      </c>
      <c r="F471" t="s">
        <v>2161</v>
      </c>
      <c r="G471" t="s">
        <v>2161</v>
      </c>
      <c r="H471" t="s">
        <v>2161</v>
      </c>
      <c r="I471" t="s">
        <v>2161</v>
      </c>
      <c r="J471" t="s">
        <v>2161</v>
      </c>
      <c r="K471" t="s">
        <v>2161</v>
      </c>
      <c r="L471" t="s">
        <v>2161</v>
      </c>
      <c r="M471" t="s">
        <v>2161</v>
      </c>
      <c r="N471" t="s">
        <v>1696</v>
      </c>
      <c r="O471" t="s">
        <v>1697</v>
      </c>
      <c r="P471" t="s">
        <v>1493</v>
      </c>
      <c r="Q471">
        <v>1</v>
      </c>
      <c r="R471">
        <v>1</v>
      </c>
      <c r="S471" t="b">
        <f t="shared" si="7"/>
        <v>1</v>
      </c>
    </row>
    <row r="472" spans="1:19" hidden="1" x14ac:dyDescent="0.25">
      <c r="A472" t="s">
        <v>1689</v>
      </c>
      <c r="B472" t="s">
        <v>1700</v>
      </c>
      <c r="C472" t="s">
        <v>1701</v>
      </c>
      <c r="D472" t="s">
        <v>1774</v>
      </c>
      <c r="E472" t="s">
        <v>1776</v>
      </c>
      <c r="F472" t="s">
        <v>2162</v>
      </c>
      <c r="G472" t="s">
        <v>2162</v>
      </c>
      <c r="H472" t="s">
        <v>2162</v>
      </c>
      <c r="I472" t="s">
        <v>2162</v>
      </c>
      <c r="J472" t="s">
        <v>2162</v>
      </c>
      <c r="K472" t="s">
        <v>2162</v>
      </c>
      <c r="L472" t="s">
        <v>2162</v>
      </c>
      <c r="M472" t="s">
        <v>2162</v>
      </c>
      <c r="N472" t="s">
        <v>1696</v>
      </c>
      <c r="O472" t="s">
        <v>1697</v>
      </c>
      <c r="P472" t="s">
        <v>1493</v>
      </c>
      <c r="Q472">
        <v>1</v>
      </c>
      <c r="R472">
        <v>1</v>
      </c>
      <c r="S472" t="b">
        <f t="shared" si="7"/>
        <v>1</v>
      </c>
    </row>
    <row r="473" spans="1:19" hidden="1" x14ac:dyDescent="0.25">
      <c r="A473" t="s">
        <v>1689</v>
      </c>
      <c r="B473" t="s">
        <v>1700</v>
      </c>
      <c r="C473" t="s">
        <v>1701</v>
      </c>
      <c r="D473" t="s">
        <v>1774</v>
      </c>
      <c r="E473" t="s">
        <v>1776</v>
      </c>
      <c r="F473" t="s">
        <v>2163</v>
      </c>
      <c r="G473" t="s">
        <v>2163</v>
      </c>
      <c r="H473" t="s">
        <v>2163</v>
      </c>
      <c r="I473" t="s">
        <v>2163</v>
      </c>
      <c r="J473" t="s">
        <v>2163</v>
      </c>
      <c r="K473" t="s">
        <v>2163</v>
      </c>
      <c r="L473" t="s">
        <v>2163</v>
      </c>
      <c r="M473" t="s">
        <v>2163</v>
      </c>
      <c r="N473" t="s">
        <v>1696</v>
      </c>
      <c r="O473" t="s">
        <v>1697</v>
      </c>
      <c r="P473" t="s">
        <v>1493</v>
      </c>
      <c r="Q473">
        <v>1</v>
      </c>
      <c r="R473">
        <v>1</v>
      </c>
      <c r="S473" t="b">
        <f t="shared" si="7"/>
        <v>1</v>
      </c>
    </row>
    <row r="474" spans="1:19" hidden="1" x14ac:dyDescent="0.25">
      <c r="A474" t="s">
        <v>1689</v>
      </c>
      <c r="B474" t="s">
        <v>1700</v>
      </c>
      <c r="C474" t="s">
        <v>1701</v>
      </c>
      <c r="D474" t="s">
        <v>1774</v>
      </c>
      <c r="E474" t="s">
        <v>1779</v>
      </c>
      <c r="F474" t="s">
        <v>2164</v>
      </c>
      <c r="G474" t="s">
        <v>2164</v>
      </c>
      <c r="H474" t="s">
        <v>2164</v>
      </c>
      <c r="I474" t="s">
        <v>2164</v>
      </c>
      <c r="J474" t="s">
        <v>2164</v>
      </c>
      <c r="K474" t="s">
        <v>2164</v>
      </c>
      <c r="L474" t="s">
        <v>2164</v>
      </c>
      <c r="M474" t="s">
        <v>2164</v>
      </c>
      <c r="N474" t="s">
        <v>1696</v>
      </c>
      <c r="O474" t="s">
        <v>1697</v>
      </c>
      <c r="P474" t="s">
        <v>1493</v>
      </c>
      <c r="Q474">
        <v>1</v>
      </c>
      <c r="R474">
        <v>1</v>
      </c>
      <c r="S474" t="b">
        <f t="shared" si="7"/>
        <v>1</v>
      </c>
    </row>
    <row r="475" spans="1:19" hidden="1" x14ac:dyDescent="0.25">
      <c r="A475" t="s">
        <v>1689</v>
      </c>
      <c r="B475" t="s">
        <v>1700</v>
      </c>
      <c r="C475" t="s">
        <v>1701</v>
      </c>
      <c r="D475" t="s">
        <v>1774</v>
      </c>
      <c r="E475" t="s">
        <v>1779</v>
      </c>
      <c r="F475" t="s">
        <v>2165</v>
      </c>
      <c r="G475" t="s">
        <v>2165</v>
      </c>
      <c r="H475" t="s">
        <v>2165</v>
      </c>
      <c r="I475" t="s">
        <v>2165</v>
      </c>
      <c r="J475" t="s">
        <v>2165</v>
      </c>
      <c r="K475" t="s">
        <v>2165</v>
      </c>
      <c r="L475" t="s">
        <v>2165</v>
      </c>
      <c r="M475" t="s">
        <v>2165</v>
      </c>
      <c r="N475" t="s">
        <v>1696</v>
      </c>
      <c r="O475" t="s">
        <v>1697</v>
      </c>
      <c r="P475" t="s">
        <v>1493</v>
      </c>
      <c r="Q475">
        <v>1</v>
      </c>
      <c r="R475">
        <v>1</v>
      </c>
      <c r="S475" t="b">
        <f t="shared" si="7"/>
        <v>1</v>
      </c>
    </row>
    <row r="476" spans="1:19" hidden="1" x14ac:dyDescent="0.25">
      <c r="A476" t="s">
        <v>1689</v>
      </c>
      <c r="B476" t="s">
        <v>1700</v>
      </c>
      <c r="C476" t="s">
        <v>1701</v>
      </c>
      <c r="D476" t="s">
        <v>1774</v>
      </c>
      <c r="E476" t="s">
        <v>1779</v>
      </c>
      <c r="F476" t="s">
        <v>2166</v>
      </c>
      <c r="G476" t="s">
        <v>2166</v>
      </c>
      <c r="H476" t="s">
        <v>2166</v>
      </c>
      <c r="I476" t="s">
        <v>2166</v>
      </c>
      <c r="J476" t="s">
        <v>2166</v>
      </c>
      <c r="K476" t="s">
        <v>2166</v>
      </c>
      <c r="L476" t="s">
        <v>2166</v>
      </c>
      <c r="M476" t="s">
        <v>2166</v>
      </c>
      <c r="N476" t="s">
        <v>1696</v>
      </c>
      <c r="O476" t="s">
        <v>1697</v>
      </c>
      <c r="P476" t="s">
        <v>1493</v>
      </c>
      <c r="Q476">
        <v>1</v>
      </c>
      <c r="R476">
        <v>1</v>
      </c>
      <c r="S476" t="b">
        <f t="shared" si="7"/>
        <v>1</v>
      </c>
    </row>
    <row r="477" spans="1:19" hidden="1" x14ac:dyDescent="0.25">
      <c r="A477" t="s">
        <v>1689</v>
      </c>
      <c r="B477" t="s">
        <v>1700</v>
      </c>
      <c r="C477" t="s">
        <v>1701</v>
      </c>
      <c r="D477" t="s">
        <v>1774</v>
      </c>
      <c r="E477" t="s">
        <v>1777</v>
      </c>
      <c r="F477" t="s">
        <v>2167</v>
      </c>
      <c r="G477" t="s">
        <v>2167</v>
      </c>
      <c r="H477" t="s">
        <v>2167</v>
      </c>
      <c r="I477" t="s">
        <v>2167</v>
      </c>
      <c r="J477" t="s">
        <v>2167</v>
      </c>
      <c r="K477" t="s">
        <v>2167</v>
      </c>
      <c r="L477" t="s">
        <v>2167</v>
      </c>
      <c r="M477" t="s">
        <v>2167</v>
      </c>
      <c r="N477" t="s">
        <v>1696</v>
      </c>
      <c r="O477" t="s">
        <v>1697</v>
      </c>
      <c r="P477" t="s">
        <v>1493</v>
      </c>
      <c r="Q477">
        <v>1</v>
      </c>
      <c r="R477">
        <v>1</v>
      </c>
      <c r="S477" t="b">
        <f t="shared" si="7"/>
        <v>1</v>
      </c>
    </row>
    <row r="478" spans="1:19" hidden="1" x14ac:dyDescent="0.25">
      <c r="A478" t="s">
        <v>1689</v>
      </c>
      <c r="B478" t="s">
        <v>1700</v>
      </c>
      <c r="C478" t="s">
        <v>1701</v>
      </c>
      <c r="D478" t="s">
        <v>1774</v>
      </c>
      <c r="E478" t="s">
        <v>1777</v>
      </c>
      <c r="F478" t="s">
        <v>2168</v>
      </c>
      <c r="G478" t="s">
        <v>2168</v>
      </c>
      <c r="H478" t="s">
        <v>2168</v>
      </c>
      <c r="I478" t="s">
        <v>2168</v>
      </c>
      <c r="J478" t="s">
        <v>2168</v>
      </c>
      <c r="K478" t="s">
        <v>2168</v>
      </c>
      <c r="L478" t="s">
        <v>2168</v>
      </c>
      <c r="M478" t="s">
        <v>2168</v>
      </c>
      <c r="N478" t="s">
        <v>1696</v>
      </c>
      <c r="O478" t="s">
        <v>1697</v>
      </c>
      <c r="P478" t="s">
        <v>1493</v>
      </c>
      <c r="Q478">
        <v>1</v>
      </c>
      <c r="R478">
        <v>1</v>
      </c>
      <c r="S478" t="b">
        <f t="shared" si="7"/>
        <v>1</v>
      </c>
    </row>
    <row r="479" spans="1:19" hidden="1" x14ac:dyDescent="0.25">
      <c r="A479" t="s">
        <v>1689</v>
      </c>
      <c r="B479" t="s">
        <v>1700</v>
      </c>
      <c r="C479" t="s">
        <v>1798</v>
      </c>
      <c r="D479" t="s">
        <v>1811</v>
      </c>
      <c r="E479" t="s">
        <v>1815</v>
      </c>
      <c r="F479" t="s">
        <v>2169</v>
      </c>
      <c r="G479" t="s">
        <v>2169</v>
      </c>
      <c r="H479" t="s">
        <v>2169</v>
      </c>
      <c r="I479" t="s">
        <v>2169</v>
      </c>
      <c r="J479" t="s">
        <v>2169</v>
      </c>
      <c r="K479" t="s">
        <v>2169</v>
      </c>
      <c r="L479" t="s">
        <v>2169</v>
      </c>
      <c r="M479" t="s">
        <v>2169</v>
      </c>
      <c r="N479" t="s">
        <v>1696</v>
      </c>
      <c r="O479" t="s">
        <v>1697</v>
      </c>
      <c r="P479" t="s">
        <v>1493</v>
      </c>
      <c r="Q479">
        <v>1</v>
      </c>
      <c r="R479">
        <v>1</v>
      </c>
      <c r="S479" t="b">
        <f t="shared" si="7"/>
        <v>1</v>
      </c>
    </row>
    <row r="480" spans="1:19" hidden="1" x14ac:dyDescent="0.25">
      <c r="A480" t="s">
        <v>1689</v>
      </c>
      <c r="B480" t="s">
        <v>1700</v>
      </c>
      <c r="C480" t="s">
        <v>1798</v>
      </c>
      <c r="D480" t="s">
        <v>1811</v>
      </c>
      <c r="E480" t="s">
        <v>1815</v>
      </c>
      <c r="F480" t="s">
        <v>2170</v>
      </c>
      <c r="G480" t="s">
        <v>2170</v>
      </c>
      <c r="H480" t="s">
        <v>2170</v>
      </c>
      <c r="I480" t="s">
        <v>2170</v>
      </c>
      <c r="J480" t="s">
        <v>2170</v>
      </c>
      <c r="K480" t="s">
        <v>2170</v>
      </c>
      <c r="L480" t="s">
        <v>2170</v>
      </c>
      <c r="M480" t="s">
        <v>2170</v>
      </c>
      <c r="N480" t="s">
        <v>1696</v>
      </c>
      <c r="O480" t="s">
        <v>1697</v>
      </c>
      <c r="P480" t="s">
        <v>1493</v>
      </c>
      <c r="Q480">
        <v>1</v>
      </c>
      <c r="R480">
        <v>1</v>
      </c>
      <c r="S480" t="b">
        <f t="shared" si="7"/>
        <v>1</v>
      </c>
    </row>
    <row r="481" spans="1:19" hidden="1" x14ac:dyDescent="0.25">
      <c r="A481" t="s">
        <v>1689</v>
      </c>
      <c r="B481" t="s">
        <v>1700</v>
      </c>
      <c r="C481" t="s">
        <v>1798</v>
      </c>
      <c r="D481" t="s">
        <v>1811</v>
      </c>
      <c r="E481" t="s">
        <v>1815</v>
      </c>
      <c r="F481" t="s">
        <v>2171</v>
      </c>
      <c r="G481" t="s">
        <v>2171</v>
      </c>
      <c r="H481" t="s">
        <v>2171</v>
      </c>
      <c r="I481" t="s">
        <v>2171</v>
      </c>
      <c r="J481" t="s">
        <v>2171</v>
      </c>
      <c r="K481" t="s">
        <v>2171</v>
      </c>
      <c r="L481" t="s">
        <v>2171</v>
      </c>
      <c r="M481" t="s">
        <v>2171</v>
      </c>
      <c r="N481" t="s">
        <v>1696</v>
      </c>
      <c r="O481" t="s">
        <v>1697</v>
      </c>
      <c r="P481" t="s">
        <v>1493</v>
      </c>
      <c r="Q481">
        <v>1</v>
      </c>
      <c r="R481">
        <v>1</v>
      </c>
      <c r="S481" t="b">
        <f t="shared" si="7"/>
        <v>1</v>
      </c>
    </row>
    <row r="482" spans="1:19" hidden="1" x14ac:dyDescent="0.25">
      <c r="A482" t="s">
        <v>1689</v>
      </c>
      <c r="B482" t="s">
        <v>1700</v>
      </c>
      <c r="C482" t="s">
        <v>1798</v>
      </c>
      <c r="D482" t="s">
        <v>1811</v>
      </c>
      <c r="E482" t="s">
        <v>1815</v>
      </c>
      <c r="F482" t="s">
        <v>2172</v>
      </c>
      <c r="G482" t="s">
        <v>2172</v>
      </c>
      <c r="H482" t="s">
        <v>2172</v>
      </c>
      <c r="I482" t="s">
        <v>2172</v>
      </c>
      <c r="J482" t="s">
        <v>2172</v>
      </c>
      <c r="K482" t="s">
        <v>2172</v>
      </c>
      <c r="L482" t="s">
        <v>2172</v>
      </c>
      <c r="M482" t="s">
        <v>2172</v>
      </c>
      <c r="N482" t="s">
        <v>1696</v>
      </c>
      <c r="O482" t="s">
        <v>1697</v>
      </c>
      <c r="P482" t="s">
        <v>1493</v>
      </c>
      <c r="Q482">
        <v>1</v>
      </c>
      <c r="R482">
        <v>1</v>
      </c>
      <c r="S482" t="b">
        <f t="shared" si="7"/>
        <v>1</v>
      </c>
    </row>
    <row r="483" spans="1:19" hidden="1" x14ac:dyDescent="0.25">
      <c r="A483" t="s">
        <v>1689</v>
      </c>
      <c r="B483" t="s">
        <v>1700</v>
      </c>
      <c r="C483" t="s">
        <v>1798</v>
      </c>
      <c r="D483" t="s">
        <v>1811</v>
      </c>
      <c r="E483" t="s">
        <v>1815</v>
      </c>
      <c r="F483" t="s">
        <v>2173</v>
      </c>
      <c r="G483" t="s">
        <v>2173</v>
      </c>
      <c r="H483" t="s">
        <v>2173</v>
      </c>
      <c r="I483" t="s">
        <v>2173</v>
      </c>
      <c r="J483" t="s">
        <v>2173</v>
      </c>
      <c r="K483" t="s">
        <v>2173</v>
      </c>
      <c r="L483" t="s">
        <v>2173</v>
      </c>
      <c r="M483" t="s">
        <v>2173</v>
      </c>
      <c r="N483" t="s">
        <v>1696</v>
      </c>
      <c r="O483" t="s">
        <v>1697</v>
      </c>
      <c r="P483" t="s">
        <v>1493</v>
      </c>
      <c r="Q483">
        <v>1</v>
      </c>
      <c r="R483">
        <v>1</v>
      </c>
      <c r="S483" t="b">
        <f t="shared" si="7"/>
        <v>1</v>
      </c>
    </row>
    <row r="484" spans="1:19" hidden="1" x14ac:dyDescent="0.25">
      <c r="A484" t="s">
        <v>1689</v>
      </c>
      <c r="B484" t="s">
        <v>1700</v>
      </c>
      <c r="C484" t="s">
        <v>1798</v>
      </c>
      <c r="D484" t="s">
        <v>1811</v>
      </c>
      <c r="E484" t="s">
        <v>1813</v>
      </c>
      <c r="F484" t="s">
        <v>2174</v>
      </c>
      <c r="G484" t="s">
        <v>2174</v>
      </c>
      <c r="H484" t="s">
        <v>2174</v>
      </c>
      <c r="I484" t="s">
        <v>2174</v>
      </c>
      <c r="J484" t="s">
        <v>2174</v>
      </c>
      <c r="K484" t="s">
        <v>2174</v>
      </c>
      <c r="L484" t="s">
        <v>2174</v>
      </c>
      <c r="M484" t="s">
        <v>2174</v>
      </c>
      <c r="N484" t="s">
        <v>1696</v>
      </c>
      <c r="O484" t="s">
        <v>1697</v>
      </c>
      <c r="P484" t="s">
        <v>1493</v>
      </c>
      <c r="Q484">
        <v>1</v>
      </c>
      <c r="R484">
        <v>1</v>
      </c>
      <c r="S484" t="b">
        <f t="shared" si="7"/>
        <v>1</v>
      </c>
    </row>
    <row r="485" spans="1:19" hidden="1" x14ac:dyDescent="0.25">
      <c r="A485" t="s">
        <v>1689</v>
      </c>
      <c r="B485" t="s">
        <v>1700</v>
      </c>
      <c r="C485" t="s">
        <v>1798</v>
      </c>
      <c r="D485" t="s">
        <v>1811</v>
      </c>
      <c r="E485" t="s">
        <v>1813</v>
      </c>
      <c r="F485" t="s">
        <v>2175</v>
      </c>
      <c r="G485" t="s">
        <v>2175</v>
      </c>
      <c r="H485" t="s">
        <v>2175</v>
      </c>
      <c r="I485" t="s">
        <v>2175</v>
      </c>
      <c r="J485" t="s">
        <v>2175</v>
      </c>
      <c r="K485" t="s">
        <v>2175</v>
      </c>
      <c r="L485" t="s">
        <v>2175</v>
      </c>
      <c r="M485" t="s">
        <v>2175</v>
      </c>
      <c r="N485" t="s">
        <v>1696</v>
      </c>
      <c r="O485" t="s">
        <v>1697</v>
      </c>
      <c r="P485" t="s">
        <v>1493</v>
      </c>
      <c r="Q485">
        <v>1</v>
      </c>
      <c r="R485">
        <v>1</v>
      </c>
      <c r="S485" t="b">
        <f t="shared" si="7"/>
        <v>1</v>
      </c>
    </row>
    <row r="486" spans="1:19" hidden="1" x14ac:dyDescent="0.25">
      <c r="A486" t="s">
        <v>1689</v>
      </c>
      <c r="B486" t="s">
        <v>1700</v>
      </c>
      <c r="C486" t="s">
        <v>1798</v>
      </c>
      <c r="D486" t="s">
        <v>1811</v>
      </c>
      <c r="E486" t="s">
        <v>1813</v>
      </c>
      <c r="F486" t="s">
        <v>2176</v>
      </c>
      <c r="G486" t="s">
        <v>2176</v>
      </c>
      <c r="H486" t="s">
        <v>2176</v>
      </c>
      <c r="I486" t="s">
        <v>2176</v>
      </c>
      <c r="J486" t="s">
        <v>2176</v>
      </c>
      <c r="K486" t="s">
        <v>2176</v>
      </c>
      <c r="L486" t="s">
        <v>2176</v>
      </c>
      <c r="M486" t="s">
        <v>2176</v>
      </c>
      <c r="N486" t="s">
        <v>1696</v>
      </c>
      <c r="O486" t="s">
        <v>1697</v>
      </c>
      <c r="P486" t="s">
        <v>1493</v>
      </c>
      <c r="Q486">
        <v>1</v>
      </c>
      <c r="R486">
        <v>1</v>
      </c>
      <c r="S486" t="b">
        <f t="shared" si="7"/>
        <v>1</v>
      </c>
    </row>
    <row r="487" spans="1:19" hidden="1" x14ac:dyDescent="0.25">
      <c r="A487" t="s">
        <v>1689</v>
      </c>
      <c r="B487" t="s">
        <v>1700</v>
      </c>
      <c r="C487" t="s">
        <v>1798</v>
      </c>
      <c r="D487" t="s">
        <v>1811</v>
      </c>
      <c r="E487" t="s">
        <v>1814</v>
      </c>
      <c r="F487" t="s">
        <v>2177</v>
      </c>
      <c r="G487" t="s">
        <v>2177</v>
      </c>
      <c r="H487" t="s">
        <v>2177</v>
      </c>
      <c r="I487" t="s">
        <v>2177</v>
      </c>
      <c r="J487" t="s">
        <v>2177</v>
      </c>
      <c r="K487" t="s">
        <v>2177</v>
      </c>
      <c r="L487" t="s">
        <v>2177</v>
      </c>
      <c r="M487" t="s">
        <v>2177</v>
      </c>
      <c r="N487" t="s">
        <v>1696</v>
      </c>
      <c r="O487" t="s">
        <v>1697</v>
      </c>
      <c r="P487" t="s">
        <v>1493</v>
      </c>
      <c r="Q487">
        <v>1</v>
      </c>
      <c r="R487">
        <v>1</v>
      </c>
      <c r="S487" t="b">
        <f t="shared" si="7"/>
        <v>1</v>
      </c>
    </row>
    <row r="488" spans="1:19" hidden="1" x14ac:dyDescent="0.25">
      <c r="A488" t="s">
        <v>1689</v>
      </c>
      <c r="B488" t="s">
        <v>1700</v>
      </c>
      <c r="C488" t="s">
        <v>1798</v>
      </c>
      <c r="D488" t="s">
        <v>1811</v>
      </c>
      <c r="E488" t="s">
        <v>1814</v>
      </c>
      <c r="F488" t="s">
        <v>2178</v>
      </c>
      <c r="G488" t="s">
        <v>2178</v>
      </c>
      <c r="H488" t="s">
        <v>2178</v>
      </c>
      <c r="I488" t="s">
        <v>2178</v>
      </c>
      <c r="J488" t="s">
        <v>2178</v>
      </c>
      <c r="K488" t="s">
        <v>2178</v>
      </c>
      <c r="L488" t="s">
        <v>2178</v>
      </c>
      <c r="M488" t="s">
        <v>2178</v>
      </c>
      <c r="N488" t="s">
        <v>1696</v>
      </c>
      <c r="O488" t="s">
        <v>1697</v>
      </c>
      <c r="P488" t="s">
        <v>1493</v>
      </c>
      <c r="Q488">
        <v>1</v>
      </c>
      <c r="R488">
        <v>1</v>
      </c>
      <c r="S488" t="b">
        <f t="shared" si="7"/>
        <v>1</v>
      </c>
    </row>
    <row r="489" spans="1:19" hidden="1" x14ac:dyDescent="0.25">
      <c r="A489" t="s">
        <v>1689</v>
      </c>
      <c r="B489" t="s">
        <v>1700</v>
      </c>
      <c r="C489" t="s">
        <v>1798</v>
      </c>
      <c r="D489" t="s">
        <v>1811</v>
      </c>
      <c r="E489" t="s">
        <v>1814</v>
      </c>
      <c r="F489" t="s">
        <v>2179</v>
      </c>
      <c r="G489" t="s">
        <v>2179</v>
      </c>
      <c r="H489" t="s">
        <v>2179</v>
      </c>
      <c r="I489" t="s">
        <v>2179</v>
      </c>
      <c r="J489" t="s">
        <v>2179</v>
      </c>
      <c r="K489" t="s">
        <v>2179</v>
      </c>
      <c r="L489" t="s">
        <v>2179</v>
      </c>
      <c r="M489" t="s">
        <v>2179</v>
      </c>
      <c r="N489" t="s">
        <v>1696</v>
      </c>
      <c r="O489" t="s">
        <v>1697</v>
      </c>
      <c r="P489" t="s">
        <v>1493</v>
      </c>
      <c r="Q489">
        <v>1</v>
      </c>
      <c r="R489">
        <v>1</v>
      </c>
      <c r="S489" t="b">
        <f t="shared" si="7"/>
        <v>1</v>
      </c>
    </row>
    <row r="490" spans="1:19" hidden="1" x14ac:dyDescent="0.25">
      <c r="A490" t="s">
        <v>1689</v>
      </c>
      <c r="B490" t="s">
        <v>1700</v>
      </c>
      <c r="C490" t="s">
        <v>1798</v>
      </c>
      <c r="D490" t="s">
        <v>1811</v>
      </c>
      <c r="E490" t="s">
        <v>1814</v>
      </c>
      <c r="F490" t="s">
        <v>2180</v>
      </c>
      <c r="G490" t="s">
        <v>2180</v>
      </c>
      <c r="H490" t="s">
        <v>2180</v>
      </c>
      <c r="I490" t="s">
        <v>2180</v>
      </c>
      <c r="J490" t="s">
        <v>2180</v>
      </c>
      <c r="K490" t="s">
        <v>2180</v>
      </c>
      <c r="L490" t="s">
        <v>2180</v>
      </c>
      <c r="M490" t="s">
        <v>2180</v>
      </c>
      <c r="N490" t="s">
        <v>1696</v>
      </c>
      <c r="O490" t="s">
        <v>1697</v>
      </c>
      <c r="P490" t="s">
        <v>1493</v>
      </c>
      <c r="Q490">
        <v>1</v>
      </c>
      <c r="R490">
        <v>1</v>
      </c>
      <c r="S490" t="b">
        <f t="shared" si="7"/>
        <v>1</v>
      </c>
    </row>
    <row r="491" spans="1:19" hidden="1" x14ac:dyDescent="0.25">
      <c r="A491" t="s">
        <v>1689</v>
      </c>
      <c r="B491" t="s">
        <v>1700</v>
      </c>
      <c r="C491" t="s">
        <v>1798</v>
      </c>
      <c r="D491" t="s">
        <v>1811</v>
      </c>
      <c r="E491" t="s">
        <v>1812</v>
      </c>
      <c r="F491" t="s">
        <v>2181</v>
      </c>
      <c r="G491" t="s">
        <v>2181</v>
      </c>
      <c r="H491" t="s">
        <v>2181</v>
      </c>
      <c r="I491" t="s">
        <v>2181</v>
      </c>
      <c r="J491" t="s">
        <v>2181</v>
      </c>
      <c r="K491" t="s">
        <v>2181</v>
      </c>
      <c r="L491" t="s">
        <v>2181</v>
      </c>
      <c r="M491" t="s">
        <v>2181</v>
      </c>
      <c r="N491" t="s">
        <v>1696</v>
      </c>
      <c r="O491" t="s">
        <v>1697</v>
      </c>
      <c r="P491" t="s">
        <v>1493</v>
      </c>
      <c r="Q491">
        <v>1</v>
      </c>
      <c r="R491">
        <v>1</v>
      </c>
      <c r="S491" t="b">
        <f t="shared" si="7"/>
        <v>1</v>
      </c>
    </row>
    <row r="492" spans="1:19" hidden="1" x14ac:dyDescent="0.25">
      <c r="A492" t="s">
        <v>1689</v>
      </c>
      <c r="B492" t="s">
        <v>1700</v>
      </c>
      <c r="C492" t="s">
        <v>1798</v>
      </c>
      <c r="D492" t="s">
        <v>1811</v>
      </c>
      <c r="E492" t="s">
        <v>1812</v>
      </c>
      <c r="F492" t="s">
        <v>2182</v>
      </c>
      <c r="G492" t="s">
        <v>2182</v>
      </c>
      <c r="H492" t="s">
        <v>2182</v>
      </c>
      <c r="I492" t="s">
        <v>2182</v>
      </c>
      <c r="J492" t="s">
        <v>2182</v>
      </c>
      <c r="K492" t="s">
        <v>2182</v>
      </c>
      <c r="L492" t="s">
        <v>2182</v>
      </c>
      <c r="M492" t="s">
        <v>2182</v>
      </c>
      <c r="N492" t="s">
        <v>1696</v>
      </c>
      <c r="O492" t="s">
        <v>1697</v>
      </c>
      <c r="P492" t="s">
        <v>1493</v>
      </c>
      <c r="Q492">
        <v>1</v>
      </c>
      <c r="R492">
        <v>1</v>
      </c>
      <c r="S492" t="b">
        <f t="shared" si="7"/>
        <v>1</v>
      </c>
    </row>
    <row r="493" spans="1:19" hidden="1" x14ac:dyDescent="0.25">
      <c r="A493" t="s">
        <v>1689</v>
      </c>
      <c r="B493" t="s">
        <v>1700</v>
      </c>
      <c r="C493" t="s">
        <v>1798</v>
      </c>
      <c r="D493" t="s">
        <v>1847</v>
      </c>
      <c r="E493" t="s">
        <v>1848</v>
      </c>
      <c r="F493" t="s">
        <v>2183</v>
      </c>
      <c r="G493" t="s">
        <v>2183</v>
      </c>
      <c r="H493" t="s">
        <v>2183</v>
      </c>
      <c r="I493" t="s">
        <v>2183</v>
      </c>
      <c r="J493" t="s">
        <v>2183</v>
      </c>
      <c r="K493" t="s">
        <v>2183</v>
      </c>
      <c r="L493" t="s">
        <v>2183</v>
      </c>
      <c r="M493" t="s">
        <v>2183</v>
      </c>
      <c r="N493" t="s">
        <v>1696</v>
      </c>
      <c r="O493" t="s">
        <v>1697</v>
      </c>
      <c r="P493" t="s">
        <v>1493</v>
      </c>
      <c r="Q493">
        <v>1</v>
      </c>
      <c r="R493">
        <v>1</v>
      </c>
      <c r="S493" t="b">
        <f t="shared" si="7"/>
        <v>1</v>
      </c>
    </row>
    <row r="494" spans="1:19" hidden="1" x14ac:dyDescent="0.25">
      <c r="A494" t="s">
        <v>1689</v>
      </c>
      <c r="B494" t="s">
        <v>1700</v>
      </c>
      <c r="C494" t="s">
        <v>1798</v>
      </c>
      <c r="D494" t="s">
        <v>1847</v>
      </c>
      <c r="E494" t="s">
        <v>1848</v>
      </c>
      <c r="F494" t="s">
        <v>2184</v>
      </c>
      <c r="G494" t="s">
        <v>2184</v>
      </c>
      <c r="H494" t="s">
        <v>2184</v>
      </c>
      <c r="I494" t="s">
        <v>2184</v>
      </c>
      <c r="J494" t="s">
        <v>2184</v>
      </c>
      <c r="K494" t="s">
        <v>2184</v>
      </c>
      <c r="L494" t="s">
        <v>2184</v>
      </c>
      <c r="M494" t="s">
        <v>2184</v>
      </c>
      <c r="N494" t="s">
        <v>1696</v>
      </c>
      <c r="O494" t="s">
        <v>1697</v>
      </c>
      <c r="P494" t="s">
        <v>1493</v>
      </c>
      <c r="Q494">
        <v>1</v>
      </c>
      <c r="R494">
        <v>1</v>
      </c>
      <c r="S494" t="b">
        <f t="shared" si="7"/>
        <v>1</v>
      </c>
    </row>
    <row r="495" spans="1:19" hidden="1" x14ac:dyDescent="0.25">
      <c r="A495" t="s">
        <v>1689</v>
      </c>
      <c r="B495" t="s">
        <v>1700</v>
      </c>
      <c r="C495" t="s">
        <v>1798</v>
      </c>
      <c r="D495" t="s">
        <v>1847</v>
      </c>
      <c r="E495" t="s">
        <v>1848</v>
      </c>
      <c r="F495" t="s">
        <v>2185</v>
      </c>
      <c r="G495" t="s">
        <v>2185</v>
      </c>
      <c r="H495" t="s">
        <v>2185</v>
      </c>
      <c r="I495" t="s">
        <v>2185</v>
      </c>
      <c r="J495" t="s">
        <v>2185</v>
      </c>
      <c r="K495" t="s">
        <v>2185</v>
      </c>
      <c r="L495" t="s">
        <v>2185</v>
      </c>
      <c r="M495" t="s">
        <v>2185</v>
      </c>
      <c r="N495" t="s">
        <v>1696</v>
      </c>
      <c r="O495" t="s">
        <v>1697</v>
      </c>
      <c r="P495" t="s">
        <v>1493</v>
      </c>
      <c r="Q495">
        <v>1</v>
      </c>
      <c r="R495">
        <v>1</v>
      </c>
      <c r="S495" t="b">
        <f t="shared" si="7"/>
        <v>1</v>
      </c>
    </row>
    <row r="496" spans="1:19" hidden="1" x14ac:dyDescent="0.25">
      <c r="A496" t="s">
        <v>1689</v>
      </c>
      <c r="B496" t="s">
        <v>1700</v>
      </c>
      <c r="C496" t="s">
        <v>1798</v>
      </c>
      <c r="D496" t="s">
        <v>1847</v>
      </c>
      <c r="E496" t="s">
        <v>1848</v>
      </c>
      <c r="F496" t="s">
        <v>2186</v>
      </c>
      <c r="G496" t="s">
        <v>2186</v>
      </c>
      <c r="H496" t="s">
        <v>2186</v>
      </c>
      <c r="I496" t="s">
        <v>2186</v>
      </c>
      <c r="J496" t="s">
        <v>2186</v>
      </c>
      <c r="K496" t="s">
        <v>2186</v>
      </c>
      <c r="L496" t="s">
        <v>2186</v>
      </c>
      <c r="M496" t="s">
        <v>2186</v>
      </c>
      <c r="N496" t="s">
        <v>1696</v>
      </c>
      <c r="O496" t="s">
        <v>1697</v>
      </c>
      <c r="P496" t="s">
        <v>1493</v>
      </c>
      <c r="Q496">
        <v>1</v>
      </c>
      <c r="R496">
        <v>1</v>
      </c>
      <c r="S496" t="b">
        <f t="shared" si="7"/>
        <v>1</v>
      </c>
    </row>
    <row r="497" spans="1:19" hidden="1" x14ac:dyDescent="0.25">
      <c r="A497" t="s">
        <v>1689</v>
      </c>
      <c r="B497" t="s">
        <v>1700</v>
      </c>
      <c r="C497" t="s">
        <v>1798</v>
      </c>
      <c r="D497" t="s">
        <v>1847</v>
      </c>
      <c r="E497" t="s">
        <v>1848</v>
      </c>
      <c r="F497" t="s">
        <v>2187</v>
      </c>
      <c r="G497" t="s">
        <v>2187</v>
      </c>
      <c r="H497" t="s">
        <v>2187</v>
      </c>
      <c r="I497" t="s">
        <v>2187</v>
      </c>
      <c r="J497" t="s">
        <v>2187</v>
      </c>
      <c r="K497" t="s">
        <v>2187</v>
      </c>
      <c r="L497" t="s">
        <v>2187</v>
      </c>
      <c r="M497" t="s">
        <v>2187</v>
      </c>
      <c r="N497" t="s">
        <v>1696</v>
      </c>
      <c r="O497" t="s">
        <v>1697</v>
      </c>
      <c r="P497" t="s">
        <v>1493</v>
      </c>
      <c r="Q497">
        <v>1</v>
      </c>
      <c r="R497">
        <v>1</v>
      </c>
      <c r="S497" t="b">
        <f t="shared" si="7"/>
        <v>1</v>
      </c>
    </row>
    <row r="498" spans="1:19" hidden="1" x14ac:dyDescent="0.25">
      <c r="A498" t="s">
        <v>1689</v>
      </c>
      <c r="B498" t="s">
        <v>1700</v>
      </c>
      <c r="C498" t="s">
        <v>1798</v>
      </c>
      <c r="D498" t="s">
        <v>1847</v>
      </c>
      <c r="E498" t="s">
        <v>1852</v>
      </c>
      <c r="F498" t="s">
        <v>2188</v>
      </c>
      <c r="G498" t="s">
        <v>2188</v>
      </c>
      <c r="H498" t="s">
        <v>2188</v>
      </c>
      <c r="I498" t="s">
        <v>2188</v>
      </c>
      <c r="J498" t="s">
        <v>2188</v>
      </c>
      <c r="K498" t="s">
        <v>2188</v>
      </c>
      <c r="L498" t="s">
        <v>2188</v>
      </c>
      <c r="M498" t="s">
        <v>2188</v>
      </c>
      <c r="N498" t="s">
        <v>1696</v>
      </c>
      <c r="O498" t="s">
        <v>1697</v>
      </c>
      <c r="P498" t="s">
        <v>1493</v>
      </c>
      <c r="Q498">
        <v>1</v>
      </c>
      <c r="R498">
        <v>1</v>
      </c>
      <c r="S498" t="b">
        <f t="shared" si="7"/>
        <v>1</v>
      </c>
    </row>
    <row r="499" spans="1:19" hidden="1" x14ac:dyDescent="0.25">
      <c r="A499" t="s">
        <v>1689</v>
      </c>
      <c r="B499" t="s">
        <v>1700</v>
      </c>
      <c r="C499" t="s">
        <v>1798</v>
      </c>
      <c r="D499" t="s">
        <v>1847</v>
      </c>
      <c r="E499" t="s">
        <v>1852</v>
      </c>
      <c r="F499" t="s">
        <v>2189</v>
      </c>
      <c r="G499" t="s">
        <v>2189</v>
      </c>
      <c r="H499" t="s">
        <v>2189</v>
      </c>
      <c r="I499" t="s">
        <v>2189</v>
      </c>
      <c r="J499" t="s">
        <v>2189</v>
      </c>
      <c r="K499" t="s">
        <v>2189</v>
      </c>
      <c r="L499" t="s">
        <v>2189</v>
      </c>
      <c r="M499" t="s">
        <v>2189</v>
      </c>
      <c r="N499" t="s">
        <v>1696</v>
      </c>
      <c r="O499" t="s">
        <v>1697</v>
      </c>
      <c r="P499" t="s">
        <v>1493</v>
      </c>
      <c r="Q499">
        <v>1</v>
      </c>
      <c r="R499">
        <v>1</v>
      </c>
      <c r="S499" t="b">
        <f t="shared" si="7"/>
        <v>1</v>
      </c>
    </row>
    <row r="500" spans="1:19" hidden="1" x14ac:dyDescent="0.25">
      <c r="A500" t="s">
        <v>1689</v>
      </c>
      <c r="B500" t="s">
        <v>1700</v>
      </c>
      <c r="C500" t="s">
        <v>1798</v>
      </c>
      <c r="D500" t="s">
        <v>1847</v>
      </c>
      <c r="E500" t="s">
        <v>1852</v>
      </c>
      <c r="F500" t="s">
        <v>2190</v>
      </c>
      <c r="G500" t="s">
        <v>2190</v>
      </c>
      <c r="H500" t="s">
        <v>2190</v>
      </c>
      <c r="I500" t="s">
        <v>2190</v>
      </c>
      <c r="J500" t="s">
        <v>2190</v>
      </c>
      <c r="K500" t="s">
        <v>2190</v>
      </c>
      <c r="L500" t="s">
        <v>2190</v>
      </c>
      <c r="M500" t="s">
        <v>2190</v>
      </c>
      <c r="N500" t="s">
        <v>1696</v>
      </c>
      <c r="O500" t="s">
        <v>1697</v>
      </c>
      <c r="P500" t="s">
        <v>1493</v>
      </c>
      <c r="Q500">
        <v>1</v>
      </c>
      <c r="R500">
        <v>1</v>
      </c>
      <c r="S500" t="b">
        <f t="shared" si="7"/>
        <v>1</v>
      </c>
    </row>
    <row r="501" spans="1:19" hidden="1" x14ac:dyDescent="0.25">
      <c r="A501" t="s">
        <v>1689</v>
      </c>
      <c r="B501" t="s">
        <v>1700</v>
      </c>
      <c r="C501" t="s">
        <v>1798</v>
      </c>
      <c r="D501" t="s">
        <v>1847</v>
      </c>
      <c r="E501" t="s">
        <v>1852</v>
      </c>
      <c r="F501" t="s">
        <v>2191</v>
      </c>
      <c r="G501" t="s">
        <v>2191</v>
      </c>
      <c r="H501" t="s">
        <v>2191</v>
      </c>
      <c r="I501" t="s">
        <v>2191</v>
      </c>
      <c r="J501" t="s">
        <v>2191</v>
      </c>
      <c r="K501" t="s">
        <v>2191</v>
      </c>
      <c r="L501" t="s">
        <v>2191</v>
      </c>
      <c r="M501" t="s">
        <v>2191</v>
      </c>
      <c r="N501" t="s">
        <v>1696</v>
      </c>
      <c r="O501" t="s">
        <v>1697</v>
      </c>
      <c r="P501" t="s">
        <v>1493</v>
      </c>
      <c r="Q501">
        <v>1</v>
      </c>
      <c r="R501">
        <v>1</v>
      </c>
      <c r="S501" t="b">
        <f t="shared" si="7"/>
        <v>1</v>
      </c>
    </row>
    <row r="502" spans="1:19" hidden="1" x14ac:dyDescent="0.25">
      <c r="A502" t="s">
        <v>1689</v>
      </c>
      <c r="B502" t="s">
        <v>1700</v>
      </c>
      <c r="C502" t="s">
        <v>1798</v>
      </c>
      <c r="D502" t="s">
        <v>1847</v>
      </c>
      <c r="E502" t="s">
        <v>1852</v>
      </c>
      <c r="F502" t="s">
        <v>2192</v>
      </c>
      <c r="G502" t="s">
        <v>2192</v>
      </c>
      <c r="H502" t="s">
        <v>2192</v>
      </c>
      <c r="I502" t="s">
        <v>2192</v>
      </c>
      <c r="J502" t="s">
        <v>2192</v>
      </c>
      <c r="K502" t="s">
        <v>2192</v>
      </c>
      <c r="L502" t="s">
        <v>2192</v>
      </c>
      <c r="M502" t="s">
        <v>2192</v>
      </c>
      <c r="N502" t="s">
        <v>1696</v>
      </c>
      <c r="O502" t="s">
        <v>1697</v>
      </c>
      <c r="P502" t="s">
        <v>1493</v>
      </c>
      <c r="Q502">
        <v>1</v>
      </c>
      <c r="R502">
        <v>1</v>
      </c>
      <c r="S502" t="b">
        <f t="shared" si="7"/>
        <v>1</v>
      </c>
    </row>
    <row r="503" spans="1:19" hidden="1" x14ac:dyDescent="0.25">
      <c r="A503" t="s">
        <v>1689</v>
      </c>
      <c r="B503" t="s">
        <v>1700</v>
      </c>
      <c r="C503" t="s">
        <v>1798</v>
      </c>
      <c r="D503" t="s">
        <v>1847</v>
      </c>
      <c r="E503" t="s">
        <v>1852</v>
      </c>
      <c r="F503" t="s">
        <v>2193</v>
      </c>
      <c r="G503" t="s">
        <v>2193</v>
      </c>
      <c r="H503" t="s">
        <v>2193</v>
      </c>
      <c r="I503" t="s">
        <v>2193</v>
      </c>
      <c r="J503" t="s">
        <v>2193</v>
      </c>
      <c r="K503" t="s">
        <v>2193</v>
      </c>
      <c r="L503" t="s">
        <v>2193</v>
      </c>
      <c r="M503" t="s">
        <v>2193</v>
      </c>
      <c r="N503" t="s">
        <v>1696</v>
      </c>
      <c r="O503" t="s">
        <v>1697</v>
      </c>
      <c r="P503" t="s">
        <v>1493</v>
      </c>
      <c r="Q503">
        <v>1</v>
      </c>
      <c r="R503">
        <v>1</v>
      </c>
      <c r="S503" t="b">
        <f t="shared" si="7"/>
        <v>1</v>
      </c>
    </row>
    <row r="504" spans="1:19" hidden="1" x14ac:dyDescent="0.25">
      <c r="A504" t="s">
        <v>1689</v>
      </c>
      <c r="B504" t="s">
        <v>1700</v>
      </c>
      <c r="C504" t="s">
        <v>1798</v>
      </c>
      <c r="D504" t="s">
        <v>1847</v>
      </c>
      <c r="E504" t="s">
        <v>1852</v>
      </c>
      <c r="F504" t="s">
        <v>2194</v>
      </c>
      <c r="G504" t="s">
        <v>2194</v>
      </c>
      <c r="H504" t="s">
        <v>2194</v>
      </c>
      <c r="I504" t="s">
        <v>2194</v>
      </c>
      <c r="J504" t="s">
        <v>2194</v>
      </c>
      <c r="K504" t="s">
        <v>2194</v>
      </c>
      <c r="L504" t="s">
        <v>2194</v>
      </c>
      <c r="M504" t="s">
        <v>2194</v>
      </c>
      <c r="N504" t="s">
        <v>1696</v>
      </c>
      <c r="O504" t="s">
        <v>1697</v>
      </c>
      <c r="P504" t="s">
        <v>1493</v>
      </c>
      <c r="Q504">
        <v>1</v>
      </c>
      <c r="R504">
        <v>1</v>
      </c>
      <c r="S504" t="b">
        <f t="shared" si="7"/>
        <v>1</v>
      </c>
    </row>
    <row r="505" spans="1:19" hidden="1" x14ac:dyDescent="0.25">
      <c r="A505" t="s">
        <v>1689</v>
      </c>
      <c r="B505" t="s">
        <v>1700</v>
      </c>
      <c r="C505" t="s">
        <v>1798</v>
      </c>
      <c r="D505" t="s">
        <v>1847</v>
      </c>
      <c r="E505" t="s">
        <v>1852</v>
      </c>
      <c r="F505" t="s">
        <v>2195</v>
      </c>
      <c r="G505" t="s">
        <v>2195</v>
      </c>
      <c r="H505" t="s">
        <v>2195</v>
      </c>
      <c r="I505" t="s">
        <v>2195</v>
      </c>
      <c r="J505" t="s">
        <v>2195</v>
      </c>
      <c r="K505" t="s">
        <v>2195</v>
      </c>
      <c r="L505" t="s">
        <v>2195</v>
      </c>
      <c r="M505" t="s">
        <v>2195</v>
      </c>
      <c r="N505" t="s">
        <v>1696</v>
      </c>
      <c r="O505" t="s">
        <v>1697</v>
      </c>
      <c r="P505" t="s">
        <v>1493</v>
      </c>
      <c r="Q505">
        <v>1</v>
      </c>
      <c r="R505">
        <v>1</v>
      </c>
      <c r="S505" t="b">
        <f t="shared" si="7"/>
        <v>1</v>
      </c>
    </row>
    <row r="506" spans="1:19" hidden="1" x14ac:dyDescent="0.25">
      <c r="A506" t="s">
        <v>1689</v>
      </c>
      <c r="B506" t="s">
        <v>1700</v>
      </c>
      <c r="C506" t="s">
        <v>1798</v>
      </c>
      <c r="D506" t="s">
        <v>1853</v>
      </c>
      <c r="E506" t="s">
        <v>1855</v>
      </c>
      <c r="F506" t="s">
        <v>2196</v>
      </c>
      <c r="G506" t="s">
        <v>2196</v>
      </c>
      <c r="H506" t="s">
        <v>2196</v>
      </c>
      <c r="I506" t="s">
        <v>2196</v>
      </c>
      <c r="J506" t="s">
        <v>2196</v>
      </c>
      <c r="K506" t="s">
        <v>2196</v>
      </c>
      <c r="L506" t="s">
        <v>2196</v>
      </c>
      <c r="M506" t="s">
        <v>2196</v>
      </c>
      <c r="N506" t="s">
        <v>1696</v>
      </c>
      <c r="O506" t="s">
        <v>1697</v>
      </c>
      <c r="P506" t="s">
        <v>1493</v>
      </c>
      <c r="Q506">
        <v>1</v>
      </c>
      <c r="R506">
        <v>1</v>
      </c>
      <c r="S506" t="b">
        <f t="shared" si="7"/>
        <v>1</v>
      </c>
    </row>
    <row r="507" spans="1:19" hidden="1" x14ac:dyDescent="0.25">
      <c r="A507" t="s">
        <v>1689</v>
      </c>
      <c r="B507" t="s">
        <v>1700</v>
      </c>
      <c r="C507" t="s">
        <v>1798</v>
      </c>
      <c r="D507" t="s">
        <v>1853</v>
      </c>
      <c r="E507" t="s">
        <v>1855</v>
      </c>
      <c r="F507" t="s">
        <v>2197</v>
      </c>
      <c r="G507" t="s">
        <v>2197</v>
      </c>
      <c r="H507" t="s">
        <v>2197</v>
      </c>
      <c r="I507" t="s">
        <v>2197</v>
      </c>
      <c r="J507" t="s">
        <v>2197</v>
      </c>
      <c r="K507" t="s">
        <v>2197</v>
      </c>
      <c r="L507" t="s">
        <v>2197</v>
      </c>
      <c r="M507" t="s">
        <v>2197</v>
      </c>
      <c r="N507" t="s">
        <v>1696</v>
      </c>
      <c r="O507" t="s">
        <v>1697</v>
      </c>
      <c r="P507" t="s">
        <v>1493</v>
      </c>
      <c r="Q507">
        <v>1</v>
      </c>
      <c r="R507">
        <v>1</v>
      </c>
      <c r="S507" t="b">
        <f t="shared" si="7"/>
        <v>1</v>
      </c>
    </row>
    <row r="508" spans="1:19" hidden="1" x14ac:dyDescent="0.25">
      <c r="A508" t="s">
        <v>1689</v>
      </c>
      <c r="B508" t="s">
        <v>1700</v>
      </c>
      <c r="C508" t="s">
        <v>1798</v>
      </c>
      <c r="D508" t="s">
        <v>1853</v>
      </c>
      <c r="E508" t="s">
        <v>1855</v>
      </c>
      <c r="F508" t="s">
        <v>2198</v>
      </c>
      <c r="G508" t="s">
        <v>2198</v>
      </c>
      <c r="H508" t="s">
        <v>2198</v>
      </c>
      <c r="I508" t="s">
        <v>2198</v>
      </c>
      <c r="J508" t="s">
        <v>2198</v>
      </c>
      <c r="K508" t="s">
        <v>2198</v>
      </c>
      <c r="L508" t="s">
        <v>2198</v>
      </c>
      <c r="M508" t="s">
        <v>2198</v>
      </c>
      <c r="N508" t="s">
        <v>1696</v>
      </c>
      <c r="O508" t="s">
        <v>1697</v>
      </c>
      <c r="P508" t="s">
        <v>1493</v>
      </c>
      <c r="Q508">
        <v>1</v>
      </c>
      <c r="R508">
        <v>1</v>
      </c>
      <c r="S508" t="b">
        <f t="shared" si="7"/>
        <v>1</v>
      </c>
    </row>
    <row r="509" spans="1:19" hidden="1" x14ac:dyDescent="0.25">
      <c r="A509" t="s">
        <v>1689</v>
      </c>
      <c r="B509" t="s">
        <v>1700</v>
      </c>
      <c r="C509" t="s">
        <v>1798</v>
      </c>
      <c r="D509" t="s">
        <v>1853</v>
      </c>
      <c r="E509" t="s">
        <v>1854</v>
      </c>
      <c r="F509" t="s">
        <v>2199</v>
      </c>
      <c r="G509" t="s">
        <v>2199</v>
      </c>
      <c r="H509" t="s">
        <v>2199</v>
      </c>
      <c r="I509" t="s">
        <v>2199</v>
      </c>
      <c r="J509" t="s">
        <v>2199</v>
      </c>
      <c r="K509" t="s">
        <v>2199</v>
      </c>
      <c r="L509" t="s">
        <v>2199</v>
      </c>
      <c r="M509" t="s">
        <v>2199</v>
      </c>
      <c r="N509" t="s">
        <v>1696</v>
      </c>
      <c r="O509" t="s">
        <v>1697</v>
      </c>
      <c r="P509" t="s">
        <v>1493</v>
      </c>
      <c r="Q509">
        <v>1</v>
      </c>
      <c r="R509">
        <v>1</v>
      </c>
      <c r="S509" t="b">
        <f t="shared" si="7"/>
        <v>1</v>
      </c>
    </row>
    <row r="510" spans="1:19" hidden="1" x14ac:dyDescent="0.25">
      <c r="A510" t="s">
        <v>1689</v>
      </c>
      <c r="B510" t="s">
        <v>1700</v>
      </c>
      <c r="C510" t="s">
        <v>1798</v>
      </c>
      <c r="D510" t="s">
        <v>1853</v>
      </c>
      <c r="E510" t="s">
        <v>1854</v>
      </c>
      <c r="F510" t="s">
        <v>2200</v>
      </c>
      <c r="G510" t="s">
        <v>2200</v>
      </c>
      <c r="H510" t="s">
        <v>2200</v>
      </c>
      <c r="I510" t="s">
        <v>2200</v>
      </c>
      <c r="J510" t="s">
        <v>2200</v>
      </c>
      <c r="K510" t="s">
        <v>2200</v>
      </c>
      <c r="L510" t="s">
        <v>2200</v>
      </c>
      <c r="M510" t="s">
        <v>2200</v>
      </c>
      <c r="N510" t="s">
        <v>1696</v>
      </c>
      <c r="O510" t="s">
        <v>1697</v>
      </c>
      <c r="P510" t="s">
        <v>1493</v>
      </c>
      <c r="Q510">
        <v>1</v>
      </c>
      <c r="R510">
        <v>1</v>
      </c>
      <c r="S510" t="b">
        <f t="shared" si="7"/>
        <v>1</v>
      </c>
    </row>
    <row r="511" spans="1:19" hidden="1" x14ac:dyDescent="0.25">
      <c r="A511" t="s">
        <v>1689</v>
      </c>
      <c r="B511" t="s">
        <v>1700</v>
      </c>
      <c r="C511" t="s">
        <v>1798</v>
      </c>
      <c r="D511" t="s">
        <v>1853</v>
      </c>
      <c r="E511" t="s">
        <v>1854</v>
      </c>
      <c r="F511" t="s">
        <v>2201</v>
      </c>
      <c r="G511" t="s">
        <v>2201</v>
      </c>
      <c r="H511" t="s">
        <v>2201</v>
      </c>
      <c r="I511" t="s">
        <v>2201</v>
      </c>
      <c r="J511" t="s">
        <v>2201</v>
      </c>
      <c r="K511" t="s">
        <v>2201</v>
      </c>
      <c r="L511" t="s">
        <v>2201</v>
      </c>
      <c r="M511" t="s">
        <v>2201</v>
      </c>
      <c r="N511" t="s">
        <v>1696</v>
      </c>
      <c r="O511" t="s">
        <v>1697</v>
      </c>
      <c r="P511" t="s">
        <v>1493</v>
      </c>
      <c r="Q511">
        <v>1</v>
      </c>
      <c r="R511">
        <v>1</v>
      </c>
      <c r="S511" t="b">
        <f t="shared" si="7"/>
        <v>1</v>
      </c>
    </row>
    <row r="512" spans="1:19" hidden="1" x14ac:dyDescent="0.25">
      <c r="A512" t="s">
        <v>1689</v>
      </c>
      <c r="B512" t="s">
        <v>1700</v>
      </c>
      <c r="C512" t="s">
        <v>1798</v>
      </c>
      <c r="D512" t="s">
        <v>1799</v>
      </c>
      <c r="E512" t="s">
        <v>1800</v>
      </c>
      <c r="F512" t="s">
        <v>2202</v>
      </c>
      <c r="G512" t="s">
        <v>2202</v>
      </c>
      <c r="H512" t="s">
        <v>2202</v>
      </c>
      <c r="I512" t="s">
        <v>2202</v>
      </c>
      <c r="J512" t="s">
        <v>2202</v>
      </c>
      <c r="K512" t="s">
        <v>2202</v>
      </c>
      <c r="L512" t="s">
        <v>2202</v>
      </c>
      <c r="M512" t="s">
        <v>2202</v>
      </c>
      <c r="N512" t="s">
        <v>1696</v>
      </c>
      <c r="O512" t="s">
        <v>1697</v>
      </c>
      <c r="P512" t="s">
        <v>1493</v>
      </c>
      <c r="Q512">
        <v>1</v>
      </c>
      <c r="R512">
        <v>1</v>
      </c>
      <c r="S512" t="b">
        <f t="shared" si="7"/>
        <v>1</v>
      </c>
    </row>
    <row r="513" spans="1:19" hidden="1" x14ac:dyDescent="0.25">
      <c r="A513" t="s">
        <v>1689</v>
      </c>
      <c r="B513" t="s">
        <v>1700</v>
      </c>
      <c r="C513" t="s">
        <v>1798</v>
      </c>
      <c r="D513" t="s">
        <v>1799</v>
      </c>
      <c r="E513" t="s">
        <v>1800</v>
      </c>
      <c r="F513" t="s">
        <v>2203</v>
      </c>
      <c r="G513" t="s">
        <v>2203</v>
      </c>
      <c r="H513" t="s">
        <v>2203</v>
      </c>
      <c r="I513" t="s">
        <v>2203</v>
      </c>
      <c r="J513" t="s">
        <v>2203</v>
      </c>
      <c r="K513" t="s">
        <v>2203</v>
      </c>
      <c r="L513" t="s">
        <v>2203</v>
      </c>
      <c r="M513" t="s">
        <v>2203</v>
      </c>
      <c r="N513" t="s">
        <v>1696</v>
      </c>
      <c r="O513" t="s">
        <v>1697</v>
      </c>
      <c r="P513" t="s">
        <v>1493</v>
      </c>
      <c r="Q513">
        <v>1</v>
      </c>
      <c r="R513">
        <v>1</v>
      </c>
      <c r="S513" t="b">
        <f t="shared" si="7"/>
        <v>1</v>
      </c>
    </row>
    <row r="514" spans="1:19" hidden="1" x14ac:dyDescent="0.25">
      <c r="A514" t="s">
        <v>1689</v>
      </c>
      <c r="B514" t="s">
        <v>1700</v>
      </c>
      <c r="C514" t="s">
        <v>1798</v>
      </c>
      <c r="D514" t="s">
        <v>1799</v>
      </c>
      <c r="E514" t="s">
        <v>1808</v>
      </c>
      <c r="F514" t="s">
        <v>2204</v>
      </c>
      <c r="G514" t="s">
        <v>2204</v>
      </c>
      <c r="H514" t="s">
        <v>2204</v>
      </c>
      <c r="I514" t="s">
        <v>2204</v>
      </c>
      <c r="J514" t="s">
        <v>2204</v>
      </c>
      <c r="K514" t="s">
        <v>2204</v>
      </c>
      <c r="L514" t="s">
        <v>2204</v>
      </c>
      <c r="M514" t="s">
        <v>2204</v>
      </c>
      <c r="N514" t="s">
        <v>1696</v>
      </c>
      <c r="O514" t="s">
        <v>1697</v>
      </c>
      <c r="P514" t="s">
        <v>1493</v>
      </c>
      <c r="Q514">
        <v>1</v>
      </c>
      <c r="R514">
        <v>1</v>
      </c>
      <c r="S514" t="b">
        <f t="shared" si="7"/>
        <v>1</v>
      </c>
    </row>
    <row r="515" spans="1:19" hidden="1" x14ac:dyDescent="0.25">
      <c r="A515" t="s">
        <v>1689</v>
      </c>
      <c r="B515" t="s">
        <v>1700</v>
      </c>
      <c r="C515" t="s">
        <v>1798</v>
      </c>
      <c r="D515" t="s">
        <v>1799</v>
      </c>
      <c r="E515" t="s">
        <v>1808</v>
      </c>
      <c r="F515" t="s">
        <v>2205</v>
      </c>
      <c r="G515" t="s">
        <v>2205</v>
      </c>
      <c r="H515" t="s">
        <v>2205</v>
      </c>
      <c r="I515" t="s">
        <v>2205</v>
      </c>
      <c r="J515" t="s">
        <v>2205</v>
      </c>
      <c r="K515" t="s">
        <v>2205</v>
      </c>
      <c r="L515" t="s">
        <v>2205</v>
      </c>
      <c r="M515" t="s">
        <v>2205</v>
      </c>
      <c r="N515" t="s">
        <v>1696</v>
      </c>
      <c r="O515" t="s">
        <v>1697</v>
      </c>
      <c r="P515" t="s">
        <v>1493</v>
      </c>
      <c r="Q515">
        <v>1</v>
      </c>
      <c r="R515">
        <v>1</v>
      </c>
      <c r="S515" t="b">
        <f t="shared" ref="S515:S578" si="8">H515=M515</f>
        <v>1</v>
      </c>
    </row>
    <row r="516" spans="1:19" hidden="1" x14ac:dyDescent="0.25">
      <c r="A516" t="s">
        <v>1689</v>
      </c>
      <c r="B516" t="s">
        <v>1700</v>
      </c>
      <c r="C516" t="s">
        <v>1798</v>
      </c>
      <c r="D516" t="s">
        <v>1799</v>
      </c>
      <c r="E516" t="s">
        <v>1810</v>
      </c>
      <c r="F516" t="s">
        <v>2206</v>
      </c>
      <c r="G516" t="s">
        <v>2206</v>
      </c>
      <c r="H516" t="s">
        <v>2206</v>
      </c>
      <c r="I516" t="s">
        <v>2206</v>
      </c>
      <c r="J516" t="s">
        <v>2206</v>
      </c>
      <c r="K516" t="s">
        <v>2206</v>
      </c>
      <c r="L516" t="s">
        <v>2206</v>
      </c>
      <c r="M516" t="s">
        <v>2206</v>
      </c>
      <c r="N516" t="s">
        <v>1696</v>
      </c>
      <c r="O516" t="s">
        <v>1697</v>
      </c>
      <c r="P516" t="s">
        <v>1493</v>
      </c>
      <c r="Q516">
        <v>1</v>
      </c>
      <c r="R516">
        <v>1</v>
      </c>
      <c r="S516" t="b">
        <f t="shared" si="8"/>
        <v>1</v>
      </c>
    </row>
    <row r="517" spans="1:19" hidden="1" x14ac:dyDescent="0.25">
      <c r="A517" t="s">
        <v>1689</v>
      </c>
      <c r="B517" t="s">
        <v>1700</v>
      </c>
      <c r="C517" t="s">
        <v>1798</v>
      </c>
      <c r="D517" t="s">
        <v>1799</v>
      </c>
      <c r="E517" t="s">
        <v>1810</v>
      </c>
      <c r="F517" t="s">
        <v>2207</v>
      </c>
      <c r="G517" t="s">
        <v>2207</v>
      </c>
      <c r="H517" t="s">
        <v>2207</v>
      </c>
      <c r="I517" t="s">
        <v>2207</v>
      </c>
      <c r="J517" t="s">
        <v>2207</v>
      </c>
      <c r="K517" t="s">
        <v>2207</v>
      </c>
      <c r="L517" t="s">
        <v>2207</v>
      </c>
      <c r="M517" t="s">
        <v>2207</v>
      </c>
      <c r="N517" t="s">
        <v>1696</v>
      </c>
      <c r="O517" t="s">
        <v>1697</v>
      </c>
      <c r="P517" t="s">
        <v>1493</v>
      </c>
      <c r="Q517">
        <v>1</v>
      </c>
      <c r="R517">
        <v>1</v>
      </c>
      <c r="S517" t="b">
        <f t="shared" si="8"/>
        <v>1</v>
      </c>
    </row>
    <row r="518" spans="1:19" hidden="1" x14ac:dyDescent="0.25">
      <c r="A518" t="s">
        <v>1689</v>
      </c>
      <c r="B518" t="s">
        <v>1700</v>
      </c>
      <c r="C518" t="s">
        <v>1798</v>
      </c>
      <c r="D518" t="s">
        <v>1799</v>
      </c>
      <c r="E518" t="s">
        <v>1804</v>
      </c>
      <c r="F518" t="s">
        <v>2208</v>
      </c>
      <c r="G518" t="s">
        <v>2208</v>
      </c>
      <c r="H518" t="s">
        <v>2208</v>
      </c>
      <c r="I518" t="s">
        <v>2208</v>
      </c>
      <c r="J518" t="s">
        <v>2208</v>
      </c>
      <c r="K518" t="s">
        <v>2208</v>
      </c>
      <c r="L518" t="s">
        <v>2208</v>
      </c>
      <c r="M518" t="s">
        <v>2208</v>
      </c>
      <c r="N518" t="s">
        <v>1696</v>
      </c>
      <c r="O518" t="s">
        <v>1697</v>
      </c>
      <c r="P518" t="s">
        <v>1493</v>
      </c>
      <c r="Q518">
        <v>1</v>
      </c>
      <c r="R518">
        <v>1</v>
      </c>
      <c r="S518" t="b">
        <f t="shared" si="8"/>
        <v>1</v>
      </c>
    </row>
    <row r="519" spans="1:19" hidden="1" x14ac:dyDescent="0.25">
      <c r="A519" t="s">
        <v>1689</v>
      </c>
      <c r="B519" t="s">
        <v>1700</v>
      </c>
      <c r="C519" t="s">
        <v>1798</v>
      </c>
      <c r="D519" t="s">
        <v>1799</v>
      </c>
      <c r="E519" t="s">
        <v>1804</v>
      </c>
      <c r="F519" t="s">
        <v>2209</v>
      </c>
      <c r="G519" t="s">
        <v>2209</v>
      </c>
      <c r="H519" t="s">
        <v>2209</v>
      </c>
      <c r="I519" t="s">
        <v>2209</v>
      </c>
      <c r="J519" t="s">
        <v>2209</v>
      </c>
      <c r="K519" t="s">
        <v>2209</v>
      </c>
      <c r="L519" t="s">
        <v>2209</v>
      </c>
      <c r="M519" t="s">
        <v>2209</v>
      </c>
      <c r="N519" t="s">
        <v>1696</v>
      </c>
      <c r="O519" t="s">
        <v>1697</v>
      </c>
      <c r="P519" t="s">
        <v>1493</v>
      </c>
      <c r="Q519">
        <v>1</v>
      </c>
      <c r="R519">
        <v>1</v>
      </c>
      <c r="S519" t="b">
        <f t="shared" si="8"/>
        <v>1</v>
      </c>
    </row>
    <row r="520" spans="1:19" hidden="1" x14ac:dyDescent="0.25">
      <c r="A520" t="s">
        <v>1689</v>
      </c>
      <c r="B520" t="s">
        <v>1700</v>
      </c>
      <c r="C520" t="s">
        <v>1798</v>
      </c>
      <c r="D520" t="s">
        <v>1799</v>
      </c>
      <c r="E520" t="s">
        <v>1804</v>
      </c>
      <c r="F520" t="s">
        <v>2210</v>
      </c>
      <c r="G520" t="s">
        <v>2210</v>
      </c>
      <c r="H520" t="s">
        <v>2210</v>
      </c>
      <c r="I520" t="s">
        <v>2210</v>
      </c>
      <c r="J520" t="s">
        <v>2210</v>
      </c>
      <c r="K520" t="s">
        <v>2210</v>
      </c>
      <c r="L520" t="s">
        <v>2210</v>
      </c>
      <c r="M520" t="s">
        <v>2210</v>
      </c>
      <c r="N520" t="s">
        <v>1696</v>
      </c>
      <c r="O520" t="s">
        <v>1697</v>
      </c>
      <c r="P520" t="s">
        <v>1493</v>
      </c>
      <c r="Q520">
        <v>1</v>
      </c>
      <c r="R520">
        <v>1</v>
      </c>
      <c r="S520" t="b">
        <f t="shared" si="8"/>
        <v>1</v>
      </c>
    </row>
    <row r="521" spans="1:19" hidden="1" x14ac:dyDescent="0.25">
      <c r="A521" t="s">
        <v>1689</v>
      </c>
      <c r="B521" t="s">
        <v>1700</v>
      </c>
      <c r="C521" t="s">
        <v>1798</v>
      </c>
      <c r="D521" t="s">
        <v>1799</v>
      </c>
      <c r="E521" t="s">
        <v>1801</v>
      </c>
      <c r="F521" t="s">
        <v>2211</v>
      </c>
      <c r="G521" t="s">
        <v>2211</v>
      </c>
      <c r="H521" t="s">
        <v>2211</v>
      </c>
      <c r="I521" t="s">
        <v>2211</v>
      </c>
      <c r="J521" t="s">
        <v>2211</v>
      </c>
      <c r="K521" t="s">
        <v>2211</v>
      </c>
      <c r="L521" t="s">
        <v>2211</v>
      </c>
      <c r="M521" t="s">
        <v>2211</v>
      </c>
      <c r="N521" t="s">
        <v>1696</v>
      </c>
      <c r="O521" t="s">
        <v>1697</v>
      </c>
      <c r="P521" t="s">
        <v>1493</v>
      </c>
      <c r="Q521">
        <v>1</v>
      </c>
      <c r="R521">
        <v>1</v>
      </c>
      <c r="S521" t="b">
        <f t="shared" si="8"/>
        <v>1</v>
      </c>
    </row>
    <row r="522" spans="1:19" hidden="1" x14ac:dyDescent="0.25">
      <c r="A522" t="s">
        <v>1689</v>
      </c>
      <c r="B522" t="s">
        <v>1700</v>
      </c>
      <c r="C522" t="s">
        <v>1798</v>
      </c>
      <c r="D522" t="s">
        <v>1799</v>
      </c>
      <c r="E522" t="s">
        <v>1801</v>
      </c>
      <c r="F522" t="s">
        <v>2212</v>
      </c>
      <c r="G522" t="s">
        <v>2212</v>
      </c>
      <c r="H522" t="s">
        <v>2212</v>
      </c>
      <c r="I522" t="s">
        <v>2212</v>
      </c>
      <c r="J522" t="s">
        <v>2212</v>
      </c>
      <c r="K522" t="s">
        <v>2212</v>
      </c>
      <c r="L522" t="s">
        <v>2212</v>
      </c>
      <c r="M522" t="s">
        <v>2212</v>
      </c>
      <c r="N522" t="s">
        <v>1696</v>
      </c>
      <c r="O522" t="s">
        <v>1697</v>
      </c>
      <c r="P522" t="s">
        <v>1493</v>
      </c>
      <c r="Q522">
        <v>1</v>
      </c>
      <c r="R522">
        <v>1</v>
      </c>
      <c r="S522" t="b">
        <f t="shared" si="8"/>
        <v>1</v>
      </c>
    </row>
    <row r="523" spans="1:19" hidden="1" x14ac:dyDescent="0.25">
      <c r="A523" t="s">
        <v>1689</v>
      </c>
      <c r="B523" t="s">
        <v>1700</v>
      </c>
      <c r="C523" t="s">
        <v>1798</v>
      </c>
      <c r="D523" t="s">
        <v>1799</v>
      </c>
      <c r="E523" t="s">
        <v>1802</v>
      </c>
      <c r="F523" t="s">
        <v>2213</v>
      </c>
      <c r="G523" t="s">
        <v>2213</v>
      </c>
      <c r="H523" t="s">
        <v>2213</v>
      </c>
      <c r="I523" t="s">
        <v>2213</v>
      </c>
      <c r="J523" t="s">
        <v>2213</v>
      </c>
      <c r="K523" t="s">
        <v>2213</v>
      </c>
      <c r="L523" t="s">
        <v>2213</v>
      </c>
      <c r="M523" t="s">
        <v>2213</v>
      </c>
      <c r="N523" t="s">
        <v>1696</v>
      </c>
      <c r="O523" t="s">
        <v>1697</v>
      </c>
      <c r="P523" t="s">
        <v>1493</v>
      </c>
      <c r="Q523">
        <v>1</v>
      </c>
      <c r="R523">
        <v>1</v>
      </c>
      <c r="S523" t="b">
        <f t="shared" si="8"/>
        <v>1</v>
      </c>
    </row>
    <row r="524" spans="1:19" hidden="1" x14ac:dyDescent="0.25">
      <c r="A524" t="s">
        <v>1689</v>
      </c>
      <c r="B524" t="s">
        <v>1700</v>
      </c>
      <c r="C524" t="s">
        <v>1798</v>
      </c>
      <c r="D524" t="s">
        <v>1799</v>
      </c>
      <c r="E524" t="s">
        <v>1802</v>
      </c>
      <c r="F524" t="s">
        <v>2214</v>
      </c>
      <c r="G524" t="s">
        <v>2214</v>
      </c>
      <c r="H524" t="s">
        <v>2214</v>
      </c>
      <c r="I524" t="s">
        <v>2214</v>
      </c>
      <c r="J524" t="s">
        <v>2214</v>
      </c>
      <c r="K524" t="s">
        <v>2214</v>
      </c>
      <c r="L524" t="s">
        <v>2214</v>
      </c>
      <c r="M524" t="s">
        <v>2214</v>
      </c>
      <c r="N524" t="s">
        <v>1696</v>
      </c>
      <c r="O524" t="s">
        <v>1697</v>
      </c>
      <c r="P524" t="s">
        <v>1493</v>
      </c>
      <c r="Q524">
        <v>1</v>
      </c>
      <c r="R524">
        <v>1</v>
      </c>
      <c r="S524" t="b">
        <f t="shared" si="8"/>
        <v>1</v>
      </c>
    </row>
    <row r="525" spans="1:19" hidden="1" x14ac:dyDescent="0.25">
      <c r="A525" t="s">
        <v>1689</v>
      </c>
      <c r="B525" t="s">
        <v>1700</v>
      </c>
      <c r="C525" t="s">
        <v>1798</v>
      </c>
      <c r="D525" t="s">
        <v>1799</v>
      </c>
      <c r="E525" t="s">
        <v>1803</v>
      </c>
      <c r="F525" t="s">
        <v>2215</v>
      </c>
      <c r="G525" t="s">
        <v>2215</v>
      </c>
      <c r="H525" t="s">
        <v>2215</v>
      </c>
      <c r="I525" t="s">
        <v>2215</v>
      </c>
      <c r="J525" t="s">
        <v>2215</v>
      </c>
      <c r="K525" t="s">
        <v>2215</v>
      </c>
      <c r="L525" t="s">
        <v>2215</v>
      </c>
      <c r="M525" t="s">
        <v>2215</v>
      </c>
      <c r="N525" t="s">
        <v>1696</v>
      </c>
      <c r="O525" t="s">
        <v>1697</v>
      </c>
      <c r="P525" t="s">
        <v>1493</v>
      </c>
      <c r="Q525">
        <v>1</v>
      </c>
      <c r="R525">
        <v>1</v>
      </c>
      <c r="S525" t="b">
        <f t="shared" si="8"/>
        <v>1</v>
      </c>
    </row>
    <row r="526" spans="1:19" hidden="1" x14ac:dyDescent="0.25">
      <c r="A526" t="s">
        <v>1689</v>
      </c>
      <c r="B526" t="s">
        <v>1700</v>
      </c>
      <c r="C526" t="s">
        <v>1798</v>
      </c>
      <c r="D526" t="s">
        <v>1799</v>
      </c>
      <c r="E526" t="s">
        <v>1803</v>
      </c>
      <c r="F526" t="s">
        <v>2216</v>
      </c>
      <c r="G526" t="s">
        <v>2216</v>
      </c>
      <c r="H526" t="s">
        <v>2216</v>
      </c>
      <c r="I526" t="s">
        <v>2216</v>
      </c>
      <c r="J526" t="s">
        <v>2216</v>
      </c>
      <c r="K526" t="s">
        <v>2216</v>
      </c>
      <c r="L526" t="s">
        <v>2216</v>
      </c>
      <c r="M526" t="s">
        <v>2216</v>
      </c>
      <c r="N526" t="s">
        <v>1696</v>
      </c>
      <c r="O526" t="s">
        <v>1697</v>
      </c>
      <c r="P526" t="s">
        <v>1493</v>
      </c>
      <c r="Q526">
        <v>1</v>
      </c>
      <c r="R526">
        <v>1</v>
      </c>
      <c r="S526" t="b">
        <f t="shared" si="8"/>
        <v>1</v>
      </c>
    </row>
    <row r="527" spans="1:19" hidden="1" x14ac:dyDescent="0.25">
      <c r="A527" t="s">
        <v>1689</v>
      </c>
      <c r="B527" t="s">
        <v>1700</v>
      </c>
      <c r="C527" t="s">
        <v>1798</v>
      </c>
      <c r="D527" t="s">
        <v>1799</v>
      </c>
      <c r="E527" t="s">
        <v>1807</v>
      </c>
      <c r="F527" t="s">
        <v>2217</v>
      </c>
      <c r="G527" t="s">
        <v>2217</v>
      </c>
      <c r="H527" t="s">
        <v>2217</v>
      </c>
      <c r="I527" t="s">
        <v>2217</v>
      </c>
      <c r="J527" t="s">
        <v>2217</v>
      </c>
      <c r="K527" t="s">
        <v>2217</v>
      </c>
      <c r="L527" t="s">
        <v>2217</v>
      </c>
      <c r="M527" t="s">
        <v>2217</v>
      </c>
      <c r="N527" t="s">
        <v>1696</v>
      </c>
      <c r="O527" t="s">
        <v>1697</v>
      </c>
      <c r="P527" t="s">
        <v>1493</v>
      </c>
      <c r="Q527">
        <v>1</v>
      </c>
      <c r="R527">
        <v>1</v>
      </c>
      <c r="S527" t="b">
        <f t="shared" si="8"/>
        <v>1</v>
      </c>
    </row>
    <row r="528" spans="1:19" hidden="1" x14ac:dyDescent="0.25">
      <c r="A528" t="s">
        <v>1689</v>
      </c>
      <c r="B528" t="s">
        <v>1700</v>
      </c>
      <c r="C528" t="s">
        <v>1798</v>
      </c>
      <c r="D528" t="s">
        <v>1799</v>
      </c>
      <c r="E528" t="s">
        <v>1807</v>
      </c>
      <c r="F528" t="s">
        <v>2218</v>
      </c>
      <c r="G528" t="s">
        <v>2218</v>
      </c>
      <c r="H528" t="s">
        <v>2218</v>
      </c>
      <c r="I528" t="s">
        <v>2218</v>
      </c>
      <c r="J528" t="s">
        <v>2218</v>
      </c>
      <c r="K528" t="s">
        <v>2218</v>
      </c>
      <c r="L528" t="s">
        <v>2218</v>
      </c>
      <c r="M528" t="s">
        <v>2218</v>
      </c>
      <c r="N528" t="s">
        <v>1696</v>
      </c>
      <c r="O528" t="s">
        <v>1697</v>
      </c>
      <c r="P528" t="s">
        <v>1493</v>
      </c>
      <c r="Q528">
        <v>1</v>
      </c>
      <c r="R528">
        <v>1</v>
      </c>
      <c r="S528" t="b">
        <f t="shared" si="8"/>
        <v>1</v>
      </c>
    </row>
    <row r="529" spans="1:19" hidden="1" x14ac:dyDescent="0.25">
      <c r="A529" t="s">
        <v>1689</v>
      </c>
      <c r="B529" t="s">
        <v>1690</v>
      </c>
      <c r="C529" t="s">
        <v>1967</v>
      </c>
      <c r="D529" t="s">
        <v>1972</v>
      </c>
      <c r="E529" t="s">
        <v>1974</v>
      </c>
      <c r="F529" t="s">
        <v>2219</v>
      </c>
      <c r="G529" t="s">
        <v>2219</v>
      </c>
      <c r="H529" t="s">
        <v>2219</v>
      </c>
      <c r="I529" t="s">
        <v>2219</v>
      </c>
      <c r="J529" t="s">
        <v>2219</v>
      </c>
      <c r="K529" t="s">
        <v>2219</v>
      </c>
      <c r="L529" t="s">
        <v>2219</v>
      </c>
      <c r="M529" t="s">
        <v>2219</v>
      </c>
      <c r="N529" t="s">
        <v>1696</v>
      </c>
      <c r="O529" t="s">
        <v>1697</v>
      </c>
      <c r="P529" t="s">
        <v>1493</v>
      </c>
      <c r="Q529">
        <v>1</v>
      </c>
      <c r="R529">
        <v>1</v>
      </c>
      <c r="S529" t="b">
        <f t="shared" si="8"/>
        <v>1</v>
      </c>
    </row>
    <row r="530" spans="1:19" hidden="1" x14ac:dyDescent="0.25">
      <c r="A530" t="s">
        <v>1689</v>
      </c>
      <c r="B530" t="s">
        <v>1690</v>
      </c>
      <c r="C530" t="s">
        <v>1967</v>
      </c>
      <c r="D530" t="s">
        <v>1972</v>
      </c>
      <c r="E530" t="s">
        <v>1973</v>
      </c>
      <c r="F530" t="s">
        <v>2220</v>
      </c>
      <c r="G530" t="s">
        <v>2220</v>
      </c>
      <c r="H530" t="s">
        <v>2220</v>
      </c>
      <c r="I530" t="s">
        <v>2220</v>
      </c>
      <c r="J530" t="s">
        <v>2220</v>
      </c>
      <c r="K530" t="s">
        <v>2220</v>
      </c>
      <c r="L530" t="s">
        <v>2220</v>
      </c>
      <c r="M530" t="s">
        <v>2220</v>
      </c>
      <c r="N530" t="s">
        <v>1696</v>
      </c>
      <c r="O530" t="s">
        <v>1697</v>
      </c>
      <c r="P530" t="s">
        <v>1493</v>
      </c>
      <c r="Q530">
        <v>1</v>
      </c>
      <c r="R530">
        <v>1</v>
      </c>
      <c r="S530" t="b">
        <f t="shared" si="8"/>
        <v>1</v>
      </c>
    </row>
    <row r="531" spans="1:19" hidden="1" x14ac:dyDescent="0.25">
      <c r="A531" t="s">
        <v>1689</v>
      </c>
      <c r="B531" t="s">
        <v>1690</v>
      </c>
      <c r="C531" t="s">
        <v>1890</v>
      </c>
      <c r="D531" t="s">
        <v>1891</v>
      </c>
      <c r="E531" t="s">
        <v>1892</v>
      </c>
      <c r="F531" t="s">
        <v>2221</v>
      </c>
      <c r="G531" t="s">
        <v>2221</v>
      </c>
      <c r="H531" t="s">
        <v>2221</v>
      </c>
      <c r="I531" t="s">
        <v>2221</v>
      </c>
      <c r="J531" t="s">
        <v>2221</v>
      </c>
      <c r="K531" t="s">
        <v>2221</v>
      </c>
      <c r="L531" t="s">
        <v>2221</v>
      </c>
      <c r="M531" t="s">
        <v>2221</v>
      </c>
      <c r="N531" t="s">
        <v>1696</v>
      </c>
      <c r="O531" t="s">
        <v>1697</v>
      </c>
      <c r="P531" t="s">
        <v>1493</v>
      </c>
      <c r="Q531">
        <v>1</v>
      </c>
      <c r="R531">
        <v>1</v>
      </c>
      <c r="S531" t="b">
        <f t="shared" si="8"/>
        <v>1</v>
      </c>
    </row>
    <row r="532" spans="1:19" hidden="1" x14ac:dyDescent="0.25">
      <c r="A532" t="s">
        <v>1689</v>
      </c>
      <c r="B532" t="s">
        <v>1690</v>
      </c>
      <c r="C532" t="s">
        <v>1890</v>
      </c>
      <c r="D532" t="s">
        <v>1891</v>
      </c>
      <c r="E532" t="s">
        <v>1892</v>
      </c>
      <c r="F532" t="s">
        <v>2222</v>
      </c>
      <c r="G532" t="s">
        <v>2222</v>
      </c>
      <c r="H532" t="s">
        <v>2222</v>
      </c>
      <c r="I532" t="s">
        <v>2222</v>
      </c>
      <c r="J532" t="s">
        <v>2222</v>
      </c>
      <c r="K532" t="s">
        <v>2222</v>
      </c>
      <c r="L532" t="s">
        <v>2222</v>
      </c>
      <c r="M532" t="s">
        <v>2222</v>
      </c>
      <c r="N532" t="s">
        <v>1696</v>
      </c>
      <c r="O532" t="s">
        <v>1697</v>
      </c>
      <c r="P532" t="s">
        <v>1493</v>
      </c>
      <c r="Q532">
        <v>1</v>
      </c>
      <c r="R532">
        <v>1</v>
      </c>
      <c r="S532" t="b">
        <f t="shared" si="8"/>
        <v>1</v>
      </c>
    </row>
    <row r="533" spans="1:19" hidden="1" x14ac:dyDescent="0.25">
      <c r="A533" t="s">
        <v>1689</v>
      </c>
      <c r="B533" t="s">
        <v>1690</v>
      </c>
      <c r="C533" t="s">
        <v>1691</v>
      </c>
      <c r="D533" t="s">
        <v>1692</v>
      </c>
      <c r="E533" t="s">
        <v>1951</v>
      </c>
      <c r="F533" t="s">
        <v>2223</v>
      </c>
      <c r="G533" t="s">
        <v>2223</v>
      </c>
      <c r="H533" t="s">
        <v>2223</v>
      </c>
      <c r="I533" t="s">
        <v>2223</v>
      </c>
      <c r="J533" t="s">
        <v>2223</v>
      </c>
      <c r="K533" t="s">
        <v>2223</v>
      </c>
      <c r="L533" t="s">
        <v>2223</v>
      </c>
      <c r="M533" t="s">
        <v>2223</v>
      </c>
      <c r="N533" t="s">
        <v>1696</v>
      </c>
      <c r="O533" t="s">
        <v>1697</v>
      </c>
      <c r="P533" t="s">
        <v>1493</v>
      </c>
      <c r="Q533">
        <v>1</v>
      </c>
      <c r="R533">
        <v>1</v>
      </c>
      <c r="S533" t="b">
        <f t="shared" si="8"/>
        <v>1</v>
      </c>
    </row>
    <row r="534" spans="1:19" hidden="1" x14ac:dyDescent="0.25">
      <c r="A534" t="s">
        <v>1689</v>
      </c>
      <c r="B534" t="s">
        <v>1690</v>
      </c>
      <c r="C534" t="s">
        <v>1691</v>
      </c>
      <c r="D534" t="s">
        <v>1692</v>
      </c>
      <c r="E534" t="s">
        <v>1951</v>
      </c>
      <c r="F534" t="s">
        <v>2224</v>
      </c>
      <c r="G534" t="s">
        <v>2224</v>
      </c>
      <c r="H534" t="s">
        <v>2224</v>
      </c>
      <c r="I534" t="s">
        <v>2224</v>
      </c>
      <c r="J534" t="s">
        <v>2224</v>
      </c>
      <c r="K534" t="s">
        <v>2224</v>
      </c>
      <c r="L534" t="s">
        <v>2224</v>
      </c>
      <c r="M534" t="s">
        <v>2224</v>
      </c>
      <c r="N534" t="s">
        <v>1696</v>
      </c>
      <c r="O534" t="s">
        <v>1697</v>
      </c>
      <c r="P534" t="s">
        <v>1493</v>
      </c>
      <c r="Q534">
        <v>1</v>
      </c>
      <c r="R534">
        <v>1</v>
      </c>
      <c r="S534" t="b">
        <f t="shared" si="8"/>
        <v>1</v>
      </c>
    </row>
    <row r="535" spans="1:19" hidden="1" x14ac:dyDescent="0.25">
      <c r="A535" t="s">
        <v>1689</v>
      </c>
      <c r="B535" t="s">
        <v>1690</v>
      </c>
      <c r="C535" t="s">
        <v>1691</v>
      </c>
      <c r="D535" t="s">
        <v>1692</v>
      </c>
      <c r="E535" t="s">
        <v>1952</v>
      </c>
      <c r="F535" t="s">
        <v>2225</v>
      </c>
      <c r="G535" t="s">
        <v>2225</v>
      </c>
      <c r="H535" t="s">
        <v>2225</v>
      </c>
      <c r="I535" t="s">
        <v>2225</v>
      </c>
      <c r="J535" t="s">
        <v>2225</v>
      </c>
      <c r="K535" t="s">
        <v>2225</v>
      </c>
      <c r="L535" t="s">
        <v>2225</v>
      </c>
      <c r="M535" t="s">
        <v>2225</v>
      </c>
      <c r="N535" t="s">
        <v>1696</v>
      </c>
      <c r="O535" t="s">
        <v>1697</v>
      </c>
      <c r="P535" t="s">
        <v>1493</v>
      </c>
      <c r="Q535">
        <v>1</v>
      </c>
      <c r="R535">
        <v>1</v>
      </c>
      <c r="S535" t="b">
        <f t="shared" si="8"/>
        <v>1</v>
      </c>
    </row>
    <row r="536" spans="1:19" hidden="1" x14ac:dyDescent="0.25">
      <c r="A536" t="s">
        <v>1689</v>
      </c>
      <c r="B536" t="s">
        <v>1690</v>
      </c>
      <c r="C536" t="s">
        <v>1691</v>
      </c>
      <c r="D536" t="s">
        <v>1692</v>
      </c>
      <c r="E536" t="s">
        <v>1952</v>
      </c>
      <c r="F536" t="s">
        <v>2226</v>
      </c>
      <c r="G536" t="s">
        <v>2226</v>
      </c>
      <c r="H536" t="s">
        <v>2226</v>
      </c>
      <c r="I536" t="s">
        <v>2226</v>
      </c>
      <c r="J536" t="s">
        <v>2226</v>
      </c>
      <c r="K536" t="s">
        <v>2226</v>
      </c>
      <c r="L536" t="s">
        <v>2226</v>
      </c>
      <c r="M536" t="s">
        <v>2226</v>
      </c>
      <c r="N536" t="s">
        <v>1696</v>
      </c>
      <c r="O536" t="s">
        <v>1697</v>
      </c>
      <c r="P536" t="s">
        <v>1493</v>
      </c>
      <c r="Q536">
        <v>1</v>
      </c>
      <c r="R536">
        <v>1</v>
      </c>
      <c r="S536" t="b">
        <f t="shared" si="8"/>
        <v>1</v>
      </c>
    </row>
    <row r="537" spans="1:19" hidden="1" x14ac:dyDescent="0.25">
      <c r="A537" t="s">
        <v>1689</v>
      </c>
      <c r="B537" t="s">
        <v>1690</v>
      </c>
      <c r="C537" t="s">
        <v>1691</v>
      </c>
      <c r="D537" t="s">
        <v>1692</v>
      </c>
      <c r="E537" t="s">
        <v>1952</v>
      </c>
      <c r="F537" t="s">
        <v>2227</v>
      </c>
      <c r="G537" t="s">
        <v>2227</v>
      </c>
      <c r="H537" t="s">
        <v>2227</v>
      </c>
      <c r="I537" t="s">
        <v>2227</v>
      </c>
      <c r="J537" t="s">
        <v>2227</v>
      </c>
      <c r="K537" t="s">
        <v>2227</v>
      </c>
      <c r="L537" t="s">
        <v>2227</v>
      </c>
      <c r="M537" t="s">
        <v>2227</v>
      </c>
      <c r="N537" t="s">
        <v>1696</v>
      </c>
      <c r="O537" t="s">
        <v>1697</v>
      </c>
      <c r="P537" t="s">
        <v>1493</v>
      </c>
      <c r="Q537">
        <v>1</v>
      </c>
      <c r="R537">
        <v>1</v>
      </c>
      <c r="S537" t="b">
        <f t="shared" si="8"/>
        <v>1</v>
      </c>
    </row>
    <row r="538" spans="1:19" hidden="1" x14ac:dyDescent="0.25">
      <c r="A538" t="s">
        <v>1689</v>
      </c>
      <c r="B538" t="s">
        <v>1690</v>
      </c>
      <c r="C538" t="s">
        <v>1691</v>
      </c>
      <c r="D538" t="s">
        <v>1692</v>
      </c>
      <c r="E538" t="s">
        <v>1957</v>
      </c>
      <c r="F538" t="s">
        <v>2228</v>
      </c>
      <c r="G538" t="s">
        <v>2228</v>
      </c>
      <c r="H538" t="s">
        <v>2228</v>
      </c>
      <c r="I538" t="s">
        <v>2228</v>
      </c>
      <c r="J538" t="s">
        <v>2228</v>
      </c>
      <c r="K538" t="s">
        <v>2228</v>
      </c>
      <c r="L538" t="s">
        <v>2228</v>
      </c>
      <c r="M538" t="s">
        <v>2228</v>
      </c>
      <c r="N538" t="s">
        <v>1696</v>
      </c>
      <c r="O538" t="s">
        <v>1697</v>
      </c>
      <c r="P538" t="s">
        <v>1493</v>
      </c>
      <c r="Q538">
        <v>1</v>
      </c>
      <c r="R538">
        <v>1</v>
      </c>
      <c r="S538" t="b">
        <f t="shared" si="8"/>
        <v>1</v>
      </c>
    </row>
    <row r="539" spans="1:19" hidden="1" x14ac:dyDescent="0.25">
      <c r="A539" t="s">
        <v>1689</v>
      </c>
      <c r="B539" t="s">
        <v>1690</v>
      </c>
      <c r="C539" t="s">
        <v>1691</v>
      </c>
      <c r="D539" t="s">
        <v>1692</v>
      </c>
      <c r="E539" t="s">
        <v>1957</v>
      </c>
      <c r="F539" t="s">
        <v>2229</v>
      </c>
      <c r="G539" t="s">
        <v>2229</v>
      </c>
      <c r="H539" t="s">
        <v>2229</v>
      </c>
      <c r="I539" t="s">
        <v>2229</v>
      </c>
      <c r="J539" t="s">
        <v>2229</v>
      </c>
      <c r="K539" t="s">
        <v>2229</v>
      </c>
      <c r="L539" t="s">
        <v>2229</v>
      </c>
      <c r="M539" t="s">
        <v>2229</v>
      </c>
      <c r="N539" t="s">
        <v>1696</v>
      </c>
      <c r="O539" t="s">
        <v>1697</v>
      </c>
      <c r="P539" t="s">
        <v>1493</v>
      </c>
      <c r="Q539">
        <v>1</v>
      </c>
      <c r="R539">
        <v>1</v>
      </c>
      <c r="S539" t="b">
        <f t="shared" si="8"/>
        <v>1</v>
      </c>
    </row>
    <row r="540" spans="1:19" hidden="1" x14ac:dyDescent="0.25">
      <c r="A540" t="s">
        <v>1689</v>
      </c>
      <c r="B540" t="s">
        <v>1690</v>
      </c>
      <c r="C540" t="s">
        <v>1691</v>
      </c>
      <c r="D540" t="s">
        <v>1692</v>
      </c>
      <c r="E540" t="s">
        <v>1957</v>
      </c>
      <c r="F540" t="s">
        <v>2230</v>
      </c>
      <c r="G540" t="s">
        <v>2230</v>
      </c>
      <c r="H540" t="s">
        <v>2230</v>
      </c>
      <c r="I540" t="s">
        <v>2230</v>
      </c>
      <c r="J540" t="s">
        <v>2230</v>
      </c>
      <c r="K540" t="s">
        <v>2230</v>
      </c>
      <c r="L540" t="s">
        <v>2230</v>
      </c>
      <c r="M540" t="s">
        <v>2230</v>
      </c>
      <c r="N540" t="s">
        <v>1696</v>
      </c>
      <c r="O540" t="s">
        <v>1697</v>
      </c>
      <c r="P540" t="s">
        <v>1493</v>
      </c>
      <c r="Q540">
        <v>1</v>
      </c>
      <c r="R540">
        <v>1</v>
      </c>
      <c r="S540" t="b">
        <f t="shared" si="8"/>
        <v>1</v>
      </c>
    </row>
    <row r="541" spans="1:19" hidden="1" x14ac:dyDescent="0.25">
      <c r="A541" t="s">
        <v>1689</v>
      </c>
      <c r="B541" t="s">
        <v>1690</v>
      </c>
      <c r="C541" t="s">
        <v>1691</v>
      </c>
      <c r="D541" t="s">
        <v>1692</v>
      </c>
      <c r="E541" t="s">
        <v>1957</v>
      </c>
      <c r="F541" t="s">
        <v>2231</v>
      </c>
      <c r="G541" t="s">
        <v>2231</v>
      </c>
      <c r="H541" t="s">
        <v>2231</v>
      </c>
      <c r="I541" t="s">
        <v>2231</v>
      </c>
      <c r="J541" t="s">
        <v>2231</v>
      </c>
      <c r="K541" t="s">
        <v>2231</v>
      </c>
      <c r="L541" t="s">
        <v>2231</v>
      </c>
      <c r="M541" t="s">
        <v>2231</v>
      </c>
      <c r="N541" t="s">
        <v>1696</v>
      </c>
      <c r="O541" t="s">
        <v>1697</v>
      </c>
      <c r="P541" t="s">
        <v>1493</v>
      </c>
      <c r="Q541">
        <v>1</v>
      </c>
      <c r="R541">
        <v>1</v>
      </c>
      <c r="S541" t="b">
        <f t="shared" si="8"/>
        <v>1</v>
      </c>
    </row>
    <row r="542" spans="1:19" hidden="1" x14ac:dyDescent="0.25">
      <c r="A542" t="s">
        <v>1689</v>
      </c>
      <c r="B542" t="s">
        <v>1690</v>
      </c>
      <c r="C542" t="s">
        <v>1691</v>
      </c>
      <c r="D542" t="s">
        <v>1692</v>
      </c>
      <c r="E542" t="s">
        <v>1957</v>
      </c>
      <c r="F542" t="s">
        <v>2232</v>
      </c>
      <c r="G542" t="s">
        <v>2232</v>
      </c>
      <c r="H542" t="s">
        <v>2232</v>
      </c>
      <c r="I542" t="s">
        <v>2232</v>
      </c>
      <c r="J542" t="s">
        <v>2232</v>
      </c>
      <c r="K542" t="s">
        <v>2232</v>
      </c>
      <c r="L542" t="s">
        <v>2232</v>
      </c>
      <c r="M542" t="s">
        <v>2232</v>
      </c>
      <c r="N542" t="s">
        <v>1696</v>
      </c>
      <c r="O542" t="s">
        <v>1697</v>
      </c>
      <c r="P542" t="s">
        <v>1493</v>
      </c>
      <c r="Q542">
        <v>1</v>
      </c>
      <c r="R542">
        <v>1</v>
      </c>
      <c r="S542" t="b">
        <f t="shared" si="8"/>
        <v>1</v>
      </c>
    </row>
    <row r="543" spans="1:19" hidden="1" x14ac:dyDescent="0.25">
      <c r="A543" t="s">
        <v>1689</v>
      </c>
      <c r="B543" t="s">
        <v>1690</v>
      </c>
      <c r="C543" t="s">
        <v>1691</v>
      </c>
      <c r="D543" t="s">
        <v>1692</v>
      </c>
      <c r="E543" t="s">
        <v>1957</v>
      </c>
      <c r="F543" t="s">
        <v>2233</v>
      </c>
      <c r="G543" t="s">
        <v>2233</v>
      </c>
      <c r="H543" t="s">
        <v>2233</v>
      </c>
      <c r="I543" t="s">
        <v>2233</v>
      </c>
      <c r="J543" t="s">
        <v>2233</v>
      </c>
      <c r="K543" t="s">
        <v>2233</v>
      </c>
      <c r="L543" t="s">
        <v>2233</v>
      </c>
      <c r="M543" t="s">
        <v>2233</v>
      </c>
      <c r="N543" t="s">
        <v>1696</v>
      </c>
      <c r="O543" t="s">
        <v>1697</v>
      </c>
      <c r="P543" t="s">
        <v>1493</v>
      </c>
      <c r="Q543">
        <v>1</v>
      </c>
      <c r="R543">
        <v>1</v>
      </c>
      <c r="S543" t="b">
        <f t="shared" si="8"/>
        <v>1</v>
      </c>
    </row>
    <row r="544" spans="1:19" hidden="1" x14ac:dyDescent="0.25">
      <c r="A544" t="s">
        <v>1689</v>
      </c>
      <c r="B544" t="s">
        <v>1690</v>
      </c>
      <c r="C544" t="s">
        <v>1691</v>
      </c>
      <c r="D544" t="s">
        <v>1692</v>
      </c>
      <c r="E544" t="s">
        <v>1957</v>
      </c>
      <c r="F544" t="s">
        <v>2234</v>
      </c>
      <c r="G544" t="s">
        <v>2234</v>
      </c>
      <c r="H544" t="s">
        <v>2234</v>
      </c>
      <c r="I544" t="s">
        <v>2234</v>
      </c>
      <c r="J544" t="s">
        <v>2234</v>
      </c>
      <c r="K544" t="s">
        <v>2234</v>
      </c>
      <c r="L544" t="s">
        <v>2234</v>
      </c>
      <c r="M544" t="s">
        <v>2234</v>
      </c>
      <c r="N544" t="s">
        <v>1696</v>
      </c>
      <c r="O544" t="s">
        <v>1697</v>
      </c>
      <c r="P544" t="s">
        <v>1493</v>
      </c>
      <c r="Q544">
        <v>1</v>
      </c>
      <c r="R544">
        <v>1</v>
      </c>
      <c r="S544" t="b">
        <f t="shared" si="8"/>
        <v>1</v>
      </c>
    </row>
    <row r="545" spans="1:19" hidden="1" x14ac:dyDescent="0.25">
      <c r="A545" t="s">
        <v>1689</v>
      </c>
      <c r="B545" t="s">
        <v>1690</v>
      </c>
      <c r="C545" t="s">
        <v>1691</v>
      </c>
      <c r="D545" t="s">
        <v>1692</v>
      </c>
      <c r="E545" t="s">
        <v>1957</v>
      </c>
      <c r="F545" t="s">
        <v>2235</v>
      </c>
      <c r="G545" t="s">
        <v>2235</v>
      </c>
      <c r="H545" t="s">
        <v>2235</v>
      </c>
      <c r="I545" t="s">
        <v>2235</v>
      </c>
      <c r="J545" t="s">
        <v>2235</v>
      </c>
      <c r="K545" t="s">
        <v>2235</v>
      </c>
      <c r="L545" t="s">
        <v>2235</v>
      </c>
      <c r="M545" t="s">
        <v>2235</v>
      </c>
      <c r="N545" t="s">
        <v>1696</v>
      </c>
      <c r="O545" t="s">
        <v>1697</v>
      </c>
      <c r="P545" t="s">
        <v>1493</v>
      </c>
      <c r="Q545">
        <v>1</v>
      </c>
      <c r="R545">
        <v>1</v>
      </c>
      <c r="S545" t="b">
        <f t="shared" si="8"/>
        <v>1</v>
      </c>
    </row>
    <row r="546" spans="1:19" hidden="1" x14ac:dyDescent="0.25">
      <c r="A546" t="s">
        <v>1689</v>
      </c>
      <c r="B546" t="s">
        <v>1690</v>
      </c>
      <c r="C546" t="s">
        <v>1691</v>
      </c>
      <c r="D546" t="s">
        <v>1692</v>
      </c>
      <c r="E546" t="s">
        <v>1956</v>
      </c>
      <c r="F546" t="s">
        <v>2236</v>
      </c>
      <c r="G546" t="s">
        <v>2236</v>
      </c>
      <c r="H546" t="s">
        <v>2236</v>
      </c>
      <c r="I546" t="s">
        <v>2236</v>
      </c>
      <c r="J546" t="s">
        <v>2236</v>
      </c>
      <c r="K546" t="s">
        <v>2236</v>
      </c>
      <c r="L546" t="s">
        <v>2236</v>
      </c>
      <c r="M546" t="s">
        <v>2236</v>
      </c>
      <c r="N546" t="s">
        <v>1696</v>
      </c>
      <c r="O546" t="s">
        <v>1697</v>
      </c>
      <c r="P546" t="s">
        <v>1493</v>
      </c>
      <c r="Q546">
        <v>1</v>
      </c>
      <c r="R546">
        <v>1</v>
      </c>
      <c r="S546" t="b">
        <f t="shared" si="8"/>
        <v>1</v>
      </c>
    </row>
    <row r="547" spans="1:19" hidden="1" x14ac:dyDescent="0.25">
      <c r="A547" t="s">
        <v>1689</v>
      </c>
      <c r="B547" t="s">
        <v>1690</v>
      </c>
      <c r="C547" t="s">
        <v>1691</v>
      </c>
      <c r="D547" t="s">
        <v>1692</v>
      </c>
      <c r="E547" t="s">
        <v>1956</v>
      </c>
      <c r="F547" t="s">
        <v>2237</v>
      </c>
      <c r="G547" t="s">
        <v>2237</v>
      </c>
      <c r="H547" t="s">
        <v>2237</v>
      </c>
      <c r="I547" t="s">
        <v>2237</v>
      </c>
      <c r="J547" t="s">
        <v>2237</v>
      </c>
      <c r="K547" t="s">
        <v>2237</v>
      </c>
      <c r="L547" t="s">
        <v>2237</v>
      </c>
      <c r="M547" t="s">
        <v>2237</v>
      </c>
      <c r="N547" t="s">
        <v>1696</v>
      </c>
      <c r="O547" t="s">
        <v>1697</v>
      </c>
      <c r="P547" t="s">
        <v>1493</v>
      </c>
      <c r="Q547">
        <v>1</v>
      </c>
      <c r="R547">
        <v>1</v>
      </c>
      <c r="S547" t="b">
        <f t="shared" si="8"/>
        <v>1</v>
      </c>
    </row>
    <row r="548" spans="1:19" hidden="1" x14ac:dyDescent="0.25">
      <c r="A548" t="s">
        <v>1689</v>
      </c>
      <c r="B548" t="s">
        <v>1690</v>
      </c>
      <c r="C548" t="s">
        <v>1691</v>
      </c>
      <c r="D548" t="s">
        <v>1692</v>
      </c>
      <c r="E548" t="s">
        <v>1693</v>
      </c>
      <c r="F548" t="s">
        <v>2238</v>
      </c>
      <c r="G548" t="s">
        <v>2238</v>
      </c>
      <c r="H548" t="s">
        <v>2238</v>
      </c>
      <c r="I548" t="s">
        <v>2238</v>
      </c>
      <c r="J548" t="s">
        <v>2238</v>
      </c>
      <c r="K548" t="s">
        <v>2238</v>
      </c>
      <c r="L548" t="s">
        <v>2238</v>
      </c>
      <c r="M548" t="s">
        <v>2238</v>
      </c>
      <c r="N548" t="s">
        <v>1696</v>
      </c>
      <c r="O548" t="s">
        <v>1697</v>
      </c>
      <c r="P548" t="s">
        <v>1493</v>
      </c>
      <c r="Q548">
        <v>1</v>
      </c>
      <c r="R548">
        <v>1</v>
      </c>
      <c r="S548" t="b">
        <f t="shared" si="8"/>
        <v>1</v>
      </c>
    </row>
    <row r="549" spans="1:19" hidden="1" x14ac:dyDescent="0.25">
      <c r="A549" t="s">
        <v>1689</v>
      </c>
      <c r="B549" t="s">
        <v>1690</v>
      </c>
      <c r="C549" t="s">
        <v>1691</v>
      </c>
      <c r="D549" t="s">
        <v>1692</v>
      </c>
      <c r="E549" t="s">
        <v>1693</v>
      </c>
      <c r="F549" t="s">
        <v>1694</v>
      </c>
      <c r="G549" t="s">
        <v>1694</v>
      </c>
      <c r="H549" t="s">
        <v>1694</v>
      </c>
      <c r="I549" t="s">
        <v>1694</v>
      </c>
      <c r="J549" t="s">
        <v>1694</v>
      </c>
      <c r="K549" t="s">
        <v>1694</v>
      </c>
      <c r="L549" t="s">
        <v>1694</v>
      </c>
      <c r="M549" t="s">
        <v>1694</v>
      </c>
      <c r="N549" t="s">
        <v>1696</v>
      </c>
      <c r="O549" t="s">
        <v>1697</v>
      </c>
      <c r="P549" t="s">
        <v>1493</v>
      </c>
      <c r="Q549">
        <v>1</v>
      </c>
      <c r="R549">
        <v>1</v>
      </c>
      <c r="S549" t="b">
        <f t="shared" si="8"/>
        <v>1</v>
      </c>
    </row>
    <row r="550" spans="1:19" hidden="1" x14ac:dyDescent="0.25">
      <c r="A550" t="s">
        <v>1689</v>
      </c>
      <c r="B550" t="s">
        <v>1690</v>
      </c>
      <c r="C550" t="s">
        <v>1691</v>
      </c>
      <c r="D550" t="s">
        <v>1692</v>
      </c>
      <c r="E550" t="s">
        <v>1948</v>
      </c>
      <c r="F550" t="s">
        <v>2239</v>
      </c>
      <c r="G550" t="s">
        <v>2239</v>
      </c>
      <c r="H550" t="s">
        <v>2239</v>
      </c>
      <c r="I550" t="s">
        <v>2239</v>
      </c>
      <c r="J550" t="s">
        <v>2239</v>
      </c>
      <c r="K550" t="s">
        <v>2239</v>
      </c>
      <c r="L550" t="s">
        <v>2239</v>
      </c>
      <c r="M550" t="s">
        <v>2239</v>
      </c>
      <c r="N550" t="s">
        <v>1696</v>
      </c>
      <c r="O550" t="s">
        <v>1697</v>
      </c>
      <c r="P550" t="s">
        <v>1493</v>
      </c>
      <c r="Q550">
        <v>1</v>
      </c>
      <c r="R550">
        <v>1</v>
      </c>
      <c r="S550" t="b">
        <f t="shared" si="8"/>
        <v>1</v>
      </c>
    </row>
    <row r="551" spans="1:19" hidden="1" x14ac:dyDescent="0.25">
      <c r="A551" t="s">
        <v>1689</v>
      </c>
      <c r="B551" t="s">
        <v>1690</v>
      </c>
      <c r="C551" t="s">
        <v>1691</v>
      </c>
      <c r="D551" t="s">
        <v>1692</v>
      </c>
      <c r="E551" t="s">
        <v>1948</v>
      </c>
      <c r="F551" t="s">
        <v>2240</v>
      </c>
      <c r="G551" t="s">
        <v>2240</v>
      </c>
      <c r="H551" t="s">
        <v>2240</v>
      </c>
      <c r="I551" t="s">
        <v>2240</v>
      </c>
      <c r="J551" t="s">
        <v>2240</v>
      </c>
      <c r="K551" t="s">
        <v>2240</v>
      </c>
      <c r="L551" t="s">
        <v>2240</v>
      </c>
      <c r="M551" t="s">
        <v>2240</v>
      </c>
      <c r="N551" t="s">
        <v>1696</v>
      </c>
      <c r="O551" t="s">
        <v>1697</v>
      </c>
      <c r="P551" t="s">
        <v>1493</v>
      </c>
      <c r="Q551">
        <v>1</v>
      </c>
      <c r="R551">
        <v>1</v>
      </c>
      <c r="S551" t="b">
        <f t="shared" si="8"/>
        <v>1</v>
      </c>
    </row>
    <row r="552" spans="1:19" hidden="1" x14ac:dyDescent="0.25">
      <c r="A552" t="s">
        <v>1689</v>
      </c>
      <c r="B552" t="s">
        <v>1690</v>
      </c>
      <c r="C552" t="s">
        <v>1691</v>
      </c>
      <c r="D552" t="s">
        <v>1958</v>
      </c>
      <c r="E552" t="s">
        <v>1963</v>
      </c>
      <c r="F552" t="s">
        <v>2241</v>
      </c>
      <c r="G552" t="s">
        <v>2241</v>
      </c>
      <c r="H552" t="s">
        <v>2241</v>
      </c>
      <c r="I552" t="s">
        <v>2241</v>
      </c>
      <c r="J552" t="s">
        <v>2241</v>
      </c>
      <c r="K552" t="s">
        <v>2241</v>
      </c>
      <c r="L552" t="s">
        <v>2241</v>
      </c>
      <c r="M552" t="s">
        <v>2241</v>
      </c>
      <c r="N552" t="s">
        <v>1696</v>
      </c>
      <c r="O552" t="s">
        <v>1697</v>
      </c>
      <c r="P552" t="s">
        <v>1493</v>
      </c>
      <c r="Q552">
        <v>1</v>
      </c>
      <c r="R552">
        <v>1</v>
      </c>
      <c r="S552" t="b">
        <f t="shared" si="8"/>
        <v>1</v>
      </c>
    </row>
    <row r="553" spans="1:19" hidden="1" x14ac:dyDescent="0.25">
      <c r="A553" t="s">
        <v>1689</v>
      </c>
      <c r="B553" t="s">
        <v>1690</v>
      </c>
      <c r="C553" t="s">
        <v>1691</v>
      </c>
      <c r="D553" t="s">
        <v>1958</v>
      </c>
      <c r="E553" t="s">
        <v>1963</v>
      </c>
      <c r="F553" t="s">
        <v>2242</v>
      </c>
      <c r="G553" t="s">
        <v>2242</v>
      </c>
      <c r="H553" t="s">
        <v>2242</v>
      </c>
      <c r="I553" t="s">
        <v>2242</v>
      </c>
      <c r="J553" t="s">
        <v>2242</v>
      </c>
      <c r="K553" t="s">
        <v>2242</v>
      </c>
      <c r="L553" t="s">
        <v>2242</v>
      </c>
      <c r="M553" t="s">
        <v>2242</v>
      </c>
      <c r="N553" t="s">
        <v>1696</v>
      </c>
      <c r="O553" t="s">
        <v>1697</v>
      </c>
      <c r="P553" t="s">
        <v>1493</v>
      </c>
      <c r="Q553">
        <v>1</v>
      </c>
      <c r="R553">
        <v>1</v>
      </c>
      <c r="S553" t="b">
        <f t="shared" si="8"/>
        <v>1</v>
      </c>
    </row>
    <row r="554" spans="1:19" hidden="1" x14ac:dyDescent="0.25">
      <c r="A554" t="s">
        <v>1689</v>
      </c>
      <c r="B554" t="s">
        <v>1690</v>
      </c>
      <c r="C554" t="s">
        <v>1691</v>
      </c>
      <c r="D554" t="s">
        <v>1958</v>
      </c>
      <c r="E554" t="s">
        <v>1963</v>
      </c>
      <c r="F554" t="s">
        <v>2243</v>
      </c>
      <c r="G554" t="s">
        <v>2243</v>
      </c>
      <c r="H554" t="s">
        <v>2243</v>
      </c>
      <c r="I554" t="s">
        <v>2243</v>
      </c>
      <c r="J554" t="s">
        <v>2243</v>
      </c>
      <c r="K554" t="s">
        <v>2243</v>
      </c>
      <c r="L554" t="s">
        <v>2243</v>
      </c>
      <c r="M554" t="s">
        <v>2243</v>
      </c>
      <c r="N554" t="s">
        <v>1696</v>
      </c>
      <c r="O554" t="s">
        <v>1697</v>
      </c>
      <c r="P554" t="s">
        <v>1493</v>
      </c>
      <c r="Q554">
        <v>1</v>
      </c>
      <c r="R554">
        <v>1</v>
      </c>
      <c r="S554" t="b">
        <f t="shared" si="8"/>
        <v>1</v>
      </c>
    </row>
    <row r="555" spans="1:19" hidden="1" x14ac:dyDescent="0.25">
      <c r="A555" t="s">
        <v>1689</v>
      </c>
      <c r="B555" t="s">
        <v>1690</v>
      </c>
      <c r="C555" t="s">
        <v>1691</v>
      </c>
      <c r="D555" t="s">
        <v>1958</v>
      </c>
      <c r="E555" t="s">
        <v>1961</v>
      </c>
      <c r="F555" t="s">
        <v>2244</v>
      </c>
      <c r="G555" t="s">
        <v>2244</v>
      </c>
      <c r="H555" t="s">
        <v>2244</v>
      </c>
      <c r="I555" t="s">
        <v>2244</v>
      </c>
      <c r="J555" t="s">
        <v>2244</v>
      </c>
      <c r="K555" t="s">
        <v>2244</v>
      </c>
      <c r="L555" t="s">
        <v>2244</v>
      </c>
      <c r="M555" t="s">
        <v>2244</v>
      </c>
      <c r="N555" t="s">
        <v>1696</v>
      </c>
      <c r="O555" t="s">
        <v>1697</v>
      </c>
      <c r="P555" t="s">
        <v>1493</v>
      </c>
      <c r="Q555">
        <v>1</v>
      </c>
      <c r="R555">
        <v>1</v>
      </c>
      <c r="S555" t="b">
        <f t="shared" si="8"/>
        <v>1</v>
      </c>
    </row>
    <row r="556" spans="1:19" hidden="1" x14ac:dyDescent="0.25">
      <c r="A556" t="s">
        <v>1689</v>
      </c>
      <c r="B556" t="s">
        <v>1690</v>
      </c>
      <c r="C556" t="s">
        <v>1691</v>
      </c>
      <c r="D556" t="s">
        <v>1958</v>
      </c>
      <c r="E556" t="s">
        <v>1961</v>
      </c>
      <c r="F556" t="s">
        <v>2245</v>
      </c>
      <c r="G556" t="s">
        <v>2245</v>
      </c>
      <c r="H556" t="s">
        <v>2245</v>
      </c>
      <c r="I556" t="s">
        <v>2245</v>
      </c>
      <c r="J556" t="s">
        <v>2245</v>
      </c>
      <c r="K556" t="s">
        <v>2245</v>
      </c>
      <c r="L556" t="s">
        <v>2245</v>
      </c>
      <c r="M556" t="s">
        <v>2245</v>
      </c>
      <c r="N556" t="s">
        <v>1696</v>
      </c>
      <c r="O556" t="s">
        <v>1697</v>
      </c>
      <c r="P556" t="s">
        <v>1493</v>
      </c>
      <c r="Q556">
        <v>1</v>
      </c>
      <c r="R556">
        <v>1</v>
      </c>
      <c r="S556" t="b">
        <f t="shared" si="8"/>
        <v>1</v>
      </c>
    </row>
    <row r="557" spans="1:19" hidden="1" x14ac:dyDescent="0.25">
      <c r="A557" t="s">
        <v>1689</v>
      </c>
      <c r="B557" t="s">
        <v>1690</v>
      </c>
      <c r="C557" t="s">
        <v>1691</v>
      </c>
      <c r="D557" t="s">
        <v>1958</v>
      </c>
      <c r="E557" t="s">
        <v>1962</v>
      </c>
      <c r="F557" t="s">
        <v>2246</v>
      </c>
      <c r="G557" t="s">
        <v>2246</v>
      </c>
      <c r="H557" t="s">
        <v>2246</v>
      </c>
      <c r="I557" t="s">
        <v>2246</v>
      </c>
      <c r="J557" t="s">
        <v>2246</v>
      </c>
      <c r="K557" t="s">
        <v>2246</v>
      </c>
      <c r="L557" t="s">
        <v>2246</v>
      </c>
      <c r="M557" t="s">
        <v>2246</v>
      </c>
      <c r="N557" t="s">
        <v>1696</v>
      </c>
      <c r="O557" t="s">
        <v>1697</v>
      </c>
      <c r="P557" t="s">
        <v>1493</v>
      </c>
      <c r="Q557">
        <v>1</v>
      </c>
      <c r="R557">
        <v>1</v>
      </c>
      <c r="S557" t="b">
        <f t="shared" si="8"/>
        <v>1</v>
      </c>
    </row>
    <row r="558" spans="1:19" hidden="1" x14ac:dyDescent="0.25">
      <c r="A558" t="s">
        <v>1689</v>
      </c>
      <c r="B558" t="s">
        <v>1690</v>
      </c>
      <c r="C558" t="s">
        <v>1691</v>
      </c>
      <c r="D558" t="s">
        <v>1958</v>
      </c>
      <c r="E558" t="s">
        <v>1962</v>
      </c>
      <c r="F558" t="s">
        <v>2247</v>
      </c>
      <c r="G558" t="s">
        <v>2247</v>
      </c>
      <c r="H558" t="s">
        <v>2247</v>
      </c>
      <c r="I558" t="s">
        <v>2247</v>
      </c>
      <c r="J558" t="s">
        <v>2247</v>
      </c>
      <c r="K558" t="s">
        <v>2247</v>
      </c>
      <c r="L558" t="s">
        <v>2247</v>
      </c>
      <c r="M558" t="s">
        <v>2247</v>
      </c>
      <c r="N558" t="s">
        <v>1696</v>
      </c>
      <c r="O558" t="s">
        <v>1697</v>
      </c>
      <c r="P558" t="s">
        <v>1493</v>
      </c>
      <c r="Q558">
        <v>1</v>
      </c>
      <c r="R558">
        <v>1</v>
      </c>
      <c r="S558" t="b">
        <f t="shared" si="8"/>
        <v>1</v>
      </c>
    </row>
    <row r="559" spans="1:19" hidden="1" x14ac:dyDescent="0.25">
      <c r="A559" t="s">
        <v>1689</v>
      </c>
      <c r="B559" t="s">
        <v>1690</v>
      </c>
      <c r="C559" t="s">
        <v>1691</v>
      </c>
      <c r="D559" t="s">
        <v>1958</v>
      </c>
      <c r="E559" t="s">
        <v>1962</v>
      </c>
      <c r="F559" t="s">
        <v>2248</v>
      </c>
      <c r="G559" t="s">
        <v>2248</v>
      </c>
      <c r="H559" t="s">
        <v>2248</v>
      </c>
      <c r="I559" t="s">
        <v>2248</v>
      </c>
      <c r="J559" t="s">
        <v>2248</v>
      </c>
      <c r="K559" t="s">
        <v>2248</v>
      </c>
      <c r="L559" t="s">
        <v>2248</v>
      </c>
      <c r="M559" t="s">
        <v>2248</v>
      </c>
      <c r="N559" t="s">
        <v>1696</v>
      </c>
      <c r="O559" t="s">
        <v>1697</v>
      </c>
      <c r="P559" t="s">
        <v>1493</v>
      </c>
      <c r="Q559">
        <v>1</v>
      </c>
      <c r="R559">
        <v>1</v>
      </c>
      <c r="S559" t="b">
        <f t="shared" si="8"/>
        <v>1</v>
      </c>
    </row>
    <row r="560" spans="1:19" hidden="1" x14ac:dyDescent="0.25">
      <c r="A560" t="s">
        <v>1689</v>
      </c>
      <c r="B560" t="s">
        <v>1690</v>
      </c>
      <c r="C560" t="s">
        <v>1691</v>
      </c>
      <c r="D560" t="s">
        <v>1958</v>
      </c>
      <c r="E560" t="s">
        <v>1962</v>
      </c>
      <c r="F560" t="s">
        <v>2249</v>
      </c>
      <c r="G560" t="s">
        <v>2249</v>
      </c>
      <c r="H560" t="s">
        <v>2249</v>
      </c>
      <c r="I560" t="s">
        <v>2249</v>
      </c>
      <c r="J560" t="s">
        <v>2249</v>
      </c>
      <c r="K560" t="s">
        <v>2249</v>
      </c>
      <c r="L560" t="s">
        <v>2249</v>
      </c>
      <c r="M560" t="s">
        <v>2249</v>
      </c>
      <c r="N560" t="s">
        <v>1696</v>
      </c>
      <c r="O560" t="s">
        <v>1697</v>
      </c>
      <c r="P560" t="s">
        <v>1493</v>
      </c>
      <c r="Q560">
        <v>1</v>
      </c>
      <c r="R560">
        <v>1</v>
      </c>
      <c r="S560" t="b">
        <f t="shared" si="8"/>
        <v>1</v>
      </c>
    </row>
    <row r="561" spans="1:19" hidden="1" x14ac:dyDescent="0.25">
      <c r="A561" t="s">
        <v>1689</v>
      </c>
      <c r="B561" t="s">
        <v>1690</v>
      </c>
      <c r="C561" t="s">
        <v>1691</v>
      </c>
      <c r="D561" t="s">
        <v>1958</v>
      </c>
      <c r="E561" t="s">
        <v>1960</v>
      </c>
      <c r="F561" t="s">
        <v>2250</v>
      </c>
      <c r="G561" t="s">
        <v>2250</v>
      </c>
      <c r="H561" t="s">
        <v>2250</v>
      </c>
      <c r="I561" t="s">
        <v>2250</v>
      </c>
      <c r="J561" t="s">
        <v>2250</v>
      </c>
      <c r="K561" t="s">
        <v>2250</v>
      </c>
      <c r="L561" t="s">
        <v>2250</v>
      </c>
      <c r="M561" t="s">
        <v>2250</v>
      </c>
      <c r="N561" t="s">
        <v>1696</v>
      </c>
      <c r="O561" t="s">
        <v>1697</v>
      </c>
      <c r="P561" t="s">
        <v>1493</v>
      </c>
      <c r="Q561">
        <v>1</v>
      </c>
      <c r="R561">
        <v>1</v>
      </c>
      <c r="S561" t="b">
        <f t="shared" si="8"/>
        <v>1</v>
      </c>
    </row>
    <row r="562" spans="1:19" hidden="1" x14ac:dyDescent="0.25">
      <c r="A562" t="s">
        <v>1689</v>
      </c>
      <c r="B562" t="s">
        <v>1690</v>
      </c>
      <c r="C562" t="s">
        <v>1691</v>
      </c>
      <c r="D562" t="s">
        <v>1958</v>
      </c>
      <c r="E562" t="s">
        <v>1960</v>
      </c>
      <c r="F562" t="s">
        <v>2251</v>
      </c>
      <c r="G562" t="s">
        <v>2251</v>
      </c>
      <c r="H562" t="s">
        <v>2251</v>
      </c>
      <c r="I562" t="s">
        <v>2251</v>
      </c>
      <c r="J562" t="s">
        <v>2251</v>
      </c>
      <c r="K562" t="s">
        <v>2251</v>
      </c>
      <c r="L562" t="s">
        <v>2251</v>
      </c>
      <c r="M562" t="s">
        <v>2251</v>
      </c>
      <c r="N562" t="s">
        <v>1696</v>
      </c>
      <c r="O562" t="s">
        <v>1697</v>
      </c>
      <c r="P562" t="s">
        <v>1493</v>
      </c>
      <c r="Q562">
        <v>1</v>
      </c>
      <c r="R562">
        <v>1</v>
      </c>
      <c r="S562" t="b">
        <f t="shared" si="8"/>
        <v>1</v>
      </c>
    </row>
    <row r="563" spans="1:19" hidden="1" x14ac:dyDescent="0.25">
      <c r="A563" t="s">
        <v>1689</v>
      </c>
      <c r="B563" t="s">
        <v>1690</v>
      </c>
      <c r="C563" t="s">
        <v>1902</v>
      </c>
      <c r="D563" t="s">
        <v>1903</v>
      </c>
      <c r="E563" t="s">
        <v>1905</v>
      </c>
      <c r="F563" t="s">
        <v>2252</v>
      </c>
      <c r="G563" t="s">
        <v>2252</v>
      </c>
      <c r="H563" t="s">
        <v>2252</v>
      </c>
      <c r="I563" t="s">
        <v>2252</v>
      </c>
      <c r="J563" t="s">
        <v>2252</v>
      </c>
      <c r="K563" t="s">
        <v>2252</v>
      </c>
      <c r="L563" t="s">
        <v>2252</v>
      </c>
      <c r="M563" t="s">
        <v>2252</v>
      </c>
      <c r="N563" t="s">
        <v>1696</v>
      </c>
      <c r="O563" t="s">
        <v>1697</v>
      </c>
      <c r="P563" t="s">
        <v>1493</v>
      </c>
      <c r="Q563">
        <v>1</v>
      </c>
      <c r="R563">
        <v>1</v>
      </c>
      <c r="S563" t="b">
        <f t="shared" si="8"/>
        <v>1</v>
      </c>
    </row>
    <row r="564" spans="1:19" hidden="1" x14ac:dyDescent="0.25">
      <c r="A564" t="s">
        <v>1689</v>
      </c>
      <c r="B564" t="s">
        <v>1690</v>
      </c>
      <c r="C564" t="s">
        <v>1902</v>
      </c>
      <c r="D564" t="s">
        <v>1903</v>
      </c>
      <c r="E564" t="s">
        <v>1905</v>
      </c>
      <c r="F564" t="s">
        <v>2253</v>
      </c>
      <c r="G564" t="s">
        <v>2253</v>
      </c>
      <c r="H564" t="s">
        <v>2253</v>
      </c>
      <c r="I564" t="s">
        <v>2253</v>
      </c>
      <c r="J564" t="s">
        <v>2253</v>
      </c>
      <c r="K564" t="s">
        <v>2253</v>
      </c>
      <c r="L564" t="s">
        <v>2253</v>
      </c>
      <c r="M564" t="s">
        <v>2253</v>
      </c>
      <c r="N564" t="s">
        <v>1696</v>
      </c>
      <c r="O564" t="s">
        <v>1697</v>
      </c>
      <c r="P564" t="s">
        <v>1493</v>
      </c>
      <c r="Q564">
        <v>1</v>
      </c>
      <c r="R564">
        <v>1</v>
      </c>
      <c r="S564" t="b">
        <f t="shared" si="8"/>
        <v>1</v>
      </c>
    </row>
    <row r="565" spans="1:19" hidden="1" x14ac:dyDescent="0.25">
      <c r="A565" t="s">
        <v>1689</v>
      </c>
      <c r="B565" t="s">
        <v>1690</v>
      </c>
      <c r="C565" t="s">
        <v>1869</v>
      </c>
      <c r="D565" t="s">
        <v>1873</v>
      </c>
      <c r="E565" t="s">
        <v>1874</v>
      </c>
      <c r="F565" t="s">
        <v>2254</v>
      </c>
      <c r="G565" t="s">
        <v>2254</v>
      </c>
      <c r="H565" t="s">
        <v>2254</v>
      </c>
      <c r="I565" t="s">
        <v>2254</v>
      </c>
      <c r="J565" t="s">
        <v>2254</v>
      </c>
      <c r="K565" t="s">
        <v>2254</v>
      </c>
      <c r="L565" t="s">
        <v>2254</v>
      </c>
      <c r="M565" t="s">
        <v>2254</v>
      </c>
      <c r="N565" t="s">
        <v>1696</v>
      </c>
      <c r="O565" t="s">
        <v>1697</v>
      </c>
      <c r="P565" t="s">
        <v>1493</v>
      </c>
      <c r="Q565">
        <v>1</v>
      </c>
      <c r="R565">
        <v>1</v>
      </c>
      <c r="S565" t="b">
        <f t="shared" si="8"/>
        <v>1</v>
      </c>
    </row>
    <row r="566" spans="1:19" hidden="1" x14ac:dyDescent="0.25">
      <c r="A566" t="s">
        <v>1689</v>
      </c>
      <c r="B566" t="s">
        <v>1690</v>
      </c>
      <c r="C566" t="s">
        <v>1869</v>
      </c>
      <c r="D566" t="s">
        <v>1873</v>
      </c>
      <c r="E566" t="s">
        <v>1874</v>
      </c>
      <c r="F566" t="s">
        <v>2255</v>
      </c>
      <c r="G566" t="s">
        <v>2255</v>
      </c>
      <c r="H566" t="s">
        <v>2255</v>
      </c>
      <c r="I566" t="s">
        <v>2255</v>
      </c>
      <c r="J566" t="s">
        <v>2255</v>
      </c>
      <c r="K566" t="s">
        <v>2255</v>
      </c>
      <c r="L566" t="s">
        <v>2255</v>
      </c>
      <c r="M566" t="s">
        <v>2255</v>
      </c>
      <c r="N566" t="s">
        <v>1696</v>
      </c>
      <c r="O566" t="s">
        <v>1697</v>
      </c>
      <c r="P566" t="s">
        <v>1493</v>
      </c>
      <c r="Q566">
        <v>1</v>
      </c>
      <c r="R566">
        <v>1</v>
      </c>
      <c r="S566" t="b">
        <f t="shared" si="8"/>
        <v>1</v>
      </c>
    </row>
    <row r="567" spans="1:19" hidden="1" x14ac:dyDescent="0.25">
      <c r="A567" t="s">
        <v>1689</v>
      </c>
      <c r="B567" t="s">
        <v>1690</v>
      </c>
      <c r="C567" t="s">
        <v>1869</v>
      </c>
      <c r="D567" t="s">
        <v>1873</v>
      </c>
      <c r="E567" t="s">
        <v>1875</v>
      </c>
      <c r="F567" t="s">
        <v>2256</v>
      </c>
      <c r="G567" t="s">
        <v>2256</v>
      </c>
      <c r="H567" t="s">
        <v>2256</v>
      </c>
      <c r="I567" t="s">
        <v>2256</v>
      </c>
      <c r="J567" t="s">
        <v>2256</v>
      </c>
      <c r="K567" t="s">
        <v>2256</v>
      </c>
      <c r="L567" t="s">
        <v>2256</v>
      </c>
      <c r="M567" t="s">
        <v>2256</v>
      </c>
      <c r="N567" t="s">
        <v>1696</v>
      </c>
      <c r="O567" t="s">
        <v>1697</v>
      </c>
      <c r="P567" t="s">
        <v>1493</v>
      </c>
      <c r="Q567">
        <v>1</v>
      </c>
      <c r="R567">
        <v>1</v>
      </c>
      <c r="S567" t="b">
        <f t="shared" si="8"/>
        <v>1</v>
      </c>
    </row>
    <row r="568" spans="1:19" hidden="1" x14ac:dyDescent="0.25">
      <c r="A568" t="s">
        <v>1689</v>
      </c>
      <c r="B568" t="s">
        <v>1690</v>
      </c>
      <c r="C568" t="s">
        <v>1869</v>
      </c>
      <c r="D568" t="s">
        <v>1873</v>
      </c>
      <c r="E568" t="s">
        <v>1875</v>
      </c>
      <c r="F568" t="s">
        <v>2257</v>
      </c>
      <c r="G568" t="s">
        <v>2257</v>
      </c>
      <c r="H568" t="s">
        <v>2257</v>
      </c>
      <c r="I568" t="s">
        <v>2257</v>
      </c>
      <c r="J568" t="s">
        <v>2257</v>
      </c>
      <c r="K568" t="s">
        <v>2257</v>
      </c>
      <c r="L568" t="s">
        <v>2257</v>
      </c>
      <c r="M568" t="s">
        <v>2257</v>
      </c>
      <c r="N568" t="s">
        <v>1696</v>
      </c>
      <c r="O568" t="s">
        <v>1697</v>
      </c>
      <c r="P568" t="s">
        <v>1493</v>
      </c>
      <c r="Q568">
        <v>1</v>
      </c>
      <c r="R568">
        <v>1</v>
      </c>
      <c r="S568" t="b">
        <f t="shared" si="8"/>
        <v>1</v>
      </c>
    </row>
    <row r="569" spans="1:19" hidden="1" x14ac:dyDescent="0.25">
      <c r="A569" t="s">
        <v>1689</v>
      </c>
      <c r="B569" t="s">
        <v>1700</v>
      </c>
      <c r="C569" t="s">
        <v>1701</v>
      </c>
      <c r="D569" t="s">
        <v>1736</v>
      </c>
      <c r="E569" t="s">
        <v>1738</v>
      </c>
      <c r="F569" t="s">
        <v>2124</v>
      </c>
      <c r="G569" t="s">
        <v>2258</v>
      </c>
      <c r="H569" t="s">
        <v>2258</v>
      </c>
      <c r="I569" t="s">
        <v>2258</v>
      </c>
      <c r="J569" t="s">
        <v>2258</v>
      </c>
      <c r="K569" t="s">
        <v>2258</v>
      </c>
      <c r="L569" t="s">
        <v>2258</v>
      </c>
      <c r="M569" t="s">
        <v>2258</v>
      </c>
      <c r="N569" t="s">
        <v>1696</v>
      </c>
      <c r="O569" t="s">
        <v>1697</v>
      </c>
      <c r="P569" t="s">
        <v>1493</v>
      </c>
      <c r="Q569">
        <v>1</v>
      </c>
      <c r="R569">
        <v>1</v>
      </c>
      <c r="S569" t="b">
        <f t="shared" si="8"/>
        <v>1</v>
      </c>
    </row>
    <row r="570" spans="1:19" hidden="1" x14ac:dyDescent="0.25">
      <c r="A570" t="s">
        <v>1689</v>
      </c>
      <c r="B570" t="s">
        <v>1700</v>
      </c>
      <c r="C570" t="s">
        <v>1701</v>
      </c>
      <c r="D570" t="s">
        <v>1736</v>
      </c>
      <c r="E570" t="s">
        <v>1738</v>
      </c>
      <c r="F570" t="s">
        <v>2124</v>
      </c>
      <c r="G570" t="s">
        <v>2259</v>
      </c>
      <c r="H570" t="s">
        <v>2259</v>
      </c>
      <c r="I570" t="s">
        <v>2259</v>
      </c>
      <c r="J570" t="s">
        <v>2259</v>
      </c>
      <c r="K570" t="s">
        <v>2259</v>
      </c>
      <c r="L570" t="s">
        <v>2259</v>
      </c>
      <c r="M570" t="s">
        <v>2259</v>
      </c>
      <c r="N570" t="s">
        <v>1696</v>
      </c>
      <c r="O570" t="s">
        <v>1697</v>
      </c>
      <c r="P570" t="s">
        <v>1493</v>
      </c>
      <c r="Q570">
        <v>1</v>
      </c>
      <c r="R570">
        <v>1</v>
      </c>
      <c r="S570" t="b">
        <f t="shared" si="8"/>
        <v>1</v>
      </c>
    </row>
    <row r="571" spans="1:19" hidden="1" x14ac:dyDescent="0.25">
      <c r="A571" t="s">
        <v>1689</v>
      </c>
      <c r="B571" t="s">
        <v>1700</v>
      </c>
      <c r="C571" t="s">
        <v>1701</v>
      </c>
      <c r="D571" t="s">
        <v>1736</v>
      </c>
      <c r="E571" t="s">
        <v>1738</v>
      </c>
      <c r="F571" t="s">
        <v>2124</v>
      </c>
      <c r="G571" t="s">
        <v>2260</v>
      </c>
      <c r="H571" t="s">
        <v>2260</v>
      </c>
      <c r="I571" t="s">
        <v>2260</v>
      </c>
      <c r="J571" t="s">
        <v>2260</v>
      </c>
      <c r="K571" t="s">
        <v>2260</v>
      </c>
      <c r="L571" t="s">
        <v>2260</v>
      </c>
      <c r="M571" t="s">
        <v>2260</v>
      </c>
      <c r="N571" t="s">
        <v>1696</v>
      </c>
      <c r="O571" t="s">
        <v>1697</v>
      </c>
      <c r="P571" t="s">
        <v>1493</v>
      </c>
      <c r="Q571">
        <v>1</v>
      </c>
      <c r="R571">
        <v>1</v>
      </c>
      <c r="S571" t="b">
        <f t="shared" si="8"/>
        <v>1</v>
      </c>
    </row>
    <row r="572" spans="1:19" hidden="1" x14ac:dyDescent="0.25">
      <c r="A572" t="s">
        <v>1689</v>
      </c>
      <c r="B572" t="s">
        <v>1700</v>
      </c>
      <c r="C572" t="s">
        <v>1701</v>
      </c>
      <c r="D572" t="s">
        <v>1736</v>
      </c>
      <c r="E572" t="s">
        <v>1738</v>
      </c>
      <c r="F572" t="s">
        <v>2125</v>
      </c>
      <c r="G572" t="s">
        <v>2261</v>
      </c>
      <c r="H572" t="s">
        <v>2261</v>
      </c>
      <c r="I572" t="s">
        <v>2261</v>
      </c>
      <c r="J572" t="s">
        <v>2261</v>
      </c>
      <c r="K572" t="s">
        <v>2261</v>
      </c>
      <c r="L572" t="s">
        <v>2261</v>
      </c>
      <c r="M572" t="s">
        <v>2261</v>
      </c>
      <c r="N572" t="s">
        <v>1696</v>
      </c>
      <c r="O572" t="s">
        <v>1697</v>
      </c>
      <c r="P572" t="s">
        <v>1493</v>
      </c>
      <c r="Q572">
        <v>1</v>
      </c>
      <c r="R572">
        <v>1</v>
      </c>
      <c r="S572" t="b">
        <f t="shared" si="8"/>
        <v>1</v>
      </c>
    </row>
    <row r="573" spans="1:19" hidden="1" x14ac:dyDescent="0.25">
      <c r="A573" t="s">
        <v>1689</v>
      </c>
      <c r="B573" t="s">
        <v>1700</v>
      </c>
      <c r="C573" t="s">
        <v>1701</v>
      </c>
      <c r="D573" t="s">
        <v>1736</v>
      </c>
      <c r="E573" t="s">
        <v>1738</v>
      </c>
      <c r="F573" t="s">
        <v>2125</v>
      </c>
      <c r="G573" t="s">
        <v>2262</v>
      </c>
      <c r="H573" t="s">
        <v>2262</v>
      </c>
      <c r="I573" t="s">
        <v>2262</v>
      </c>
      <c r="J573" t="s">
        <v>2262</v>
      </c>
      <c r="K573" t="s">
        <v>2262</v>
      </c>
      <c r="L573" t="s">
        <v>2262</v>
      </c>
      <c r="M573" t="s">
        <v>2262</v>
      </c>
      <c r="N573" t="s">
        <v>1696</v>
      </c>
      <c r="O573" t="s">
        <v>1697</v>
      </c>
      <c r="P573" t="s">
        <v>1493</v>
      </c>
      <c r="Q573">
        <v>1</v>
      </c>
      <c r="R573">
        <v>1</v>
      </c>
      <c r="S573" t="b">
        <f t="shared" si="8"/>
        <v>1</v>
      </c>
    </row>
    <row r="574" spans="1:19" hidden="1" x14ac:dyDescent="0.25">
      <c r="A574" t="s">
        <v>1689</v>
      </c>
      <c r="B574" t="s">
        <v>1700</v>
      </c>
      <c r="C574" t="s">
        <v>1701</v>
      </c>
      <c r="D574" t="s">
        <v>1736</v>
      </c>
      <c r="E574" t="s">
        <v>1738</v>
      </c>
      <c r="F574" t="s">
        <v>2125</v>
      </c>
      <c r="G574" t="s">
        <v>2263</v>
      </c>
      <c r="H574" t="s">
        <v>2263</v>
      </c>
      <c r="I574" t="s">
        <v>2263</v>
      </c>
      <c r="J574" t="s">
        <v>2263</v>
      </c>
      <c r="K574" t="s">
        <v>2263</v>
      </c>
      <c r="L574" t="s">
        <v>2263</v>
      </c>
      <c r="M574" t="s">
        <v>2263</v>
      </c>
      <c r="N574" t="s">
        <v>1696</v>
      </c>
      <c r="O574" t="s">
        <v>1697</v>
      </c>
      <c r="P574" t="s">
        <v>1493</v>
      </c>
      <c r="Q574">
        <v>1</v>
      </c>
      <c r="R574">
        <v>1</v>
      </c>
      <c r="S574" t="b">
        <f t="shared" si="8"/>
        <v>1</v>
      </c>
    </row>
    <row r="575" spans="1:19" hidden="1" x14ac:dyDescent="0.25">
      <c r="A575" t="s">
        <v>1689</v>
      </c>
      <c r="B575" t="s">
        <v>1700</v>
      </c>
      <c r="C575" t="s">
        <v>1701</v>
      </c>
      <c r="D575" t="s">
        <v>1702</v>
      </c>
      <c r="E575" t="s">
        <v>1717</v>
      </c>
      <c r="F575" t="s">
        <v>2065</v>
      </c>
      <c r="G575" t="s">
        <v>2264</v>
      </c>
      <c r="H575" t="s">
        <v>2264</v>
      </c>
      <c r="I575" t="s">
        <v>2264</v>
      </c>
      <c r="J575" t="s">
        <v>2264</v>
      </c>
      <c r="K575" t="s">
        <v>2264</v>
      </c>
      <c r="L575" t="s">
        <v>2264</v>
      </c>
      <c r="M575" t="s">
        <v>2264</v>
      </c>
      <c r="N575" t="s">
        <v>1696</v>
      </c>
      <c r="O575" t="s">
        <v>1697</v>
      </c>
      <c r="P575" t="s">
        <v>1493</v>
      </c>
      <c r="Q575">
        <v>1</v>
      </c>
      <c r="R575">
        <v>1</v>
      </c>
      <c r="S575" t="b">
        <f t="shared" si="8"/>
        <v>1</v>
      </c>
    </row>
    <row r="576" spans="1:19" hidden="1" x14ac:dyDescent="0.25">
      <c r="A576" t="s">
        <v>1689</v>
      </c>
      <c r="B576" t="s">
        <v>1700</v>
      </c>
      <c r="C576" t="s">
        <v>1701</v>
      </c>
      <c r="D576" t="s">
        <v>1702</v>
      </c>
      <c r="E576" t="s">
        <v>1710</v>
      </c>
      <c r="F576" t="s">
        <v>2055</v>
      </c>
      <c r="G576" t="s">
        <v>2265</v>
      </c>
      <c r="H576" t="s">
        <v>2265</v>
      </c>
      <c r="I576" t="s">
        <v>2265</v>
      </c>
      <c r="J576" t="s">
        <v>2265</v>
      </c>
      <c r="K576" t="s">
        <v>2265</v>
      </c>
      <c r="L576" t="s">
        <v>2265</v>
      </c>
      <c r="M576" t="s">
        <v>2265</v>
      </c>
      <c r="N576" t="s">
        <v>1696</v>
      </c>
      <c r="O576" t="s">
        <v>1697</v>
      </c>
      <c r="P576" t="s">
        <v>1493</v>
      </c>
      <c r="Q576">
        <v>1</v>
      </c>
      <c r="R576">
        <v>1</v>
      </c>
      <c r="S576" t="b">
        <f t="shared" si="8"/>
        <v>1</v>
      </c>
    </row>
    <row r="577" spans="1:19" hidden="1" x14ac:dyDescent="0.25">
      <c r="A577" t="s">
        <v>1689</v>
      </c>
      <c r="B577" t="s">
        <v>1700</v>
      </c>
      <c r="C577" t="s">
        <v>1701</v>
      </c>
      <c r="D577" t="s">
        <v>1702</v>
      </c>
      <c r="E577" t="s">
        <v>1710</v>
      </c>
      <c r="F577" t="s">
        <v>2055</v>
      </c>
      <c r="G577" t="s">
        <v>2266</v>
      </c>
      <c r="H577" t="s">
        <v>2266</v>
      </c>
      <c r="I577" t="s">
        <v>2266</v>
      </c>
      <c r="J577" t="s">
        <v>2266</v>
      </c>
      <c r="K577" t="s">
        <v>2266</v>
      </c>
      <c r="L577" t="s">
        <v>2266</v>
      </c>
      <c r="M577" t="s">
        <v>2266</v>
      </c>
      <c r="N577" t="s">
        <v>1696</v>
      </c>
      <c r="O577" t="s">
        <v>1697</v>
      </c>
      <c r="P577" t="s">
        <v>1493</v>
      </c>
      <c r="Q577">
        <v>1</v>
      </c>
      <c r="R577">
        <v>1</v>
      </c>
      <c r="S577" t="b">
        <f t="shared" si="8"/>
        <v>1</v>
      </c>
    </row>
    <row r="578" spans="1:19" hidden="1" x14ac:dyDescent="0.25">
      <c r="A578" t="s">
        <v>1689</v>
      </c>
      <c r="B578" t="s">
        <v>1700</v>
      </c>
      <c r="C578" t="s">
        <v>1701</v>
      </c>
      <c r="D578" t="s">
        <v>1702</v>
      </c>
      <c r="E578" t="s">
        <v>1710</v>
      </c>
      <c r="F578" t="s">
        <v>2055</v>
      </c>
      <c r="G578" t="s">
        <v>2267</v>
      </c>
      <c r="H578" t="s">
        <v>2267</v>
      </c>
      <c r="I578" t="s">
        <v>2267</v>
      </c>
      <c r="J578" t="s">
        <v>2267</v>
      </c>
      <c r="K578" t="s">
        <v>2267</v>
      </c>
      <c r="L578" t="s">
        <v>2267</v>
      </c>
      <c r="M578" t="s">
        <v>2267</v>
      </c>
      <c r="N578" t="s">
        <v>1696</v>
      </c>
      <c r="O578" t="s">
        <v>1697</v>
      </c>
      <c r="P578" t="s">
        <v>1493</v>
      </c>
      <c r="Q578">
        <v>1</v>
      </c>
      <c r="R578">
        <v>1</v>
      </c>
      <c r="S578" t="b">
        <f t="shared" si="8"/>
        <v>1</v>
      </c>
    </row>
    <row r="579" spans="1:19" hidden="1" x14ac:dyDescent="0.25">
      <c r="A579" t="s">
        <v>1689</v>
      </c>
      <c r="B579" t="s">
        <v>1700</v>
      </c>
      <c r="C579" t="s">
        <v>1701</v>
      </c>
      <c r="D579" t="s">
        <v>1702</v>
      </c>
      <c r="E579" t="s">
        <v>1710</v>
      </c>
      <c r="F579" t="s">
        <v>2057</v>
      </c>
      <c r="G579" t="s">
        <v>2268</v>
      </c>
      <c r="H579" t="s">
        <v>2268</v>
      </c>
      <c r="I579" t="s">
        <v>2268</v>
      </c>
      <c r="J579" t="s">
        <v>2268</v>
      </c>
      <c r="K579" t="s">
        <v>2268</v>
      </c>
      <c r="L579" t="s">
        <v>2268</v>
      </c>
      <c r="M579" t="s">
        <v>2268</v>
      </c>
      <c r="N579" t="s">
        <v>1696</v>
      </c>
      <c r="O579" t="s">
        <v>1697</v>
      </c>
      <c r="P579" t="s">
        <v>1493</v>
      </c>
      <c r="Q579">
        <v>1</v>
      </c>
      <c r="R579">
        <v>1</v>
      </c>
      <c r="S579" t="b">
        <f t="shared" ref="S579:S642" si="9">H579=M579</f>
        <v>1</v>
      </c>
    </row>
    <row r="580" spans="1:19" hidden="1" x14ac:dyDescent="0.25">
      <c r="A580" t="s">
        <v>1689</v>
      </c>
      <c r="B580" t="s">
        <v>1700</v>
      </c>
      <c r="C580" t="s">
        <v>1701</v>
      </c>
      <c r="D580" t="s">
        <v>1702</v>
      </c>
      <c r="E580" t="s">
        <v>1710</v>
      </c>
      <c r="F580" t="s">
        <v>2057</v>
      </c>
      <c r="G580" t="s">
        <v>2269</v>
      </c>
      <c r="H580" t="s">
        <v>2269</v>
      </c>
      <c r="I580" t="s">
        <v>2269</v>
      </c>
      <c r="J580" t="s">
        <v>2269</v>
      </c>
      <c r="K580" t="s">
        <v>2269</v>
      </c>
      <c r="L580" t="s">
        <v>2269</v>
      </c>
      <c r="M580" t="s">
        <v>2269</v>
      </c>
      <c r="N580" t="s">
        <v>1696</v>
      </c>
      <c r="O580" t="s">
        <v>1697</v>
      </c>
      <c r="P580" t="s">
        <v>1493</v>
      </c>
      <c r="Q580">
        <v>1</v>
      </c>
      <c r="R580">
        <v>1</v>
      </c>
      <c r="S580" t="b">
        <f t="shared" si="9"/>
        <v>1</v>
      </c>
    </row>
    <row r="581" spans="1:19" hidden="1" x14ac:dyDescent="0.25">
      <c r="A581" t="s">
        <v>1689</v>
      </c>
      <c r="B581" t="s">
        <v>1700</v>
      </c>
      <c r="C581" t="s">
        <v>1701</v>
      </c>
      <c r="D581" t="s">
        <v>1702</v>
      </c>
      <c r="E581" t="s">
        <v>1707</v>
      </c>
      <c r="F581" t="s">
        <v>2062</v>
      </c>
      <c r="G581" t="s">
        <v>2270</v>
      </c>
      <c r="H581" t="s">
        <v>2270</v>
      </c>
      <c r="I581" t="s">
        <v>2270</v>
      </c>
      <c r="J581" t="s">
        <v>2270</v>
      </c>
      <c r="K581" t="s">
        <v>2270</v>
      </c>
      <c r="L581" t="s">
        <v>2270</v>
      </c>
      <c r="M581" t="s">
        <v>2270</v>
      </c>
      <c r="N581" t="s">
        <v>1696</v>
      </c>
      <c r="O581" t="s">
        <v>1697</v>
      </c>
      <c r="P581" t="s">
        <v>1493</v>
      </c>
      <c r="Q581">
        <v>1</v>
      </c>
      <c r="R581">
        <v>1</v>
      </c>
      <c r="S581" t="b">
        <f t="shared" si="9"/>
        <v>1</v>
      </c>
    </row>
    <row r="582" spans="1:19" hidden="1" x14ac:dyDescent="0.25">
      <c r="A582" t="s">
        <v>1689</v>
      </c>
      <c r="B582" t="s">
        <v>1700</v>
      </c>
      <c r="C582" t="s">
        <v>1701</v>
      </c>
      <c r="D582" t="s">
        <v>1702</v>
      </c>
      <c r="E582" t="s">
        <v>1707</v>
      </c>
      <c r="F582" t="s">
        <v>2061</v>
      </c>
      <c r="G582" t="s">
        <v>2271</v>
      </c>
      <c r="H582" t="s">
        <v>2271</v>
      </c>
      <c r="I582" t="s">
        <v>2271</v>
      </c>
      <c r="J582" t="s">
        <v>2271</v>
      </c>
      <c r="K582" t="s">
        <v>2271</v>
      </c>
      <c r="L582" t="s">
        <v>2271</v>
      </c>
      <c r="M582" t="s">
        <v>2271</v>
      </c>
      <c r="N582" t="s">
        <v>1696</v>
      </c>
      <c r="O582" t="s">
        <v>1697</v>
      </c>
      <c r="P582" t="s">
        <v>1493</v>
      </c>
      <c r="Q582">
        <v>1</v>
      </c>
      <c r="R582">
        <v>1</v>
      </c>
      <c r="S582" t="b">
        <f t="shared" si="9"/>
        <v>1</v>
      </c>
    </row>
    <row r="583" spans="1:19" hidden="1" x14ac:dyDescent="0.25">
      <c r="A583" t="s">
        <v>1689</v>
      </c>
      <c r="B583" t="s">
        <v>1700</v>
      </c>
      <c r="C583" t="s">
        <v>1701</v>
      </c>
      <c r="D583" t="s">
        <v>1702</v>
      </c>
      <c r="E583" t="s">
        <v>1707</v>
      </c>
      <c r="F583" t="s">
        <v>2061</v>
      </c>
      <c r="G583" t="s">
        <v>2272</v>
      </c>
      <c r="H583" t="s">
        <v>2272</v>
      </c>
      <c r="I583" t="s">
        <v>2272</v>
      </c>
      <c r="J583" t="s">
        <v>2272</v>
      </c>
      <c r="K583" t="s">
        <v>2272</v>
      </c>
      <c r="L583" t="s">
        <v>2272</v>
      </c>
      <c r="M583" t="s">
        <v>2272</v>
      </c>
      <c r="N583" t="s">
        <v>1696</v>
      </c>
      <c r="O583" t="s">
        <v>1697</v>
      </c>
      <c r="P583" t="s">
        <v>1493</v>
      </c>
      <c r="Q583">
        <v>1</v>
      </c>
      <c r="R583">
        <v>1</v>
      </c>
      <c r="S583" t="b">
        <f t="shared" si="9"/>
        <v>1</v>
      </c>
    </row>
    <row r="584" spans="1:19" hidden="1" x14ac:dyDescent="0.25">
      <c r="A584" t="s">
        <v>1689</v>
      </c>
      <c r="B584" t="s">
        <v>1700</v>
      </c>
      <c r="C584" t="s">
        <v>1701</v>
      </c>
      <c r="D584" t="s">
        <v>1702</v>
      </c>
      <c r="E584" t="s">
        <v>1707</v>
      </c>
      <c r="F584" t="s">
        <v>2061</v>
      </c>
      <c r="G584" t="s">
        <v>2273</v>
      </c>
      <c r="H584" t="s">
        <v>2273</v>
      </c>
      <c r="I584" t="s">
        <v>2273</v>
      </c>
      <c r="J584" t="s">
        <v>2273</v>
      </c>
      <c r="K584" t="s">
        <v>2273</v>
      </c>
      <c r="L584" t="s">
        <v>2273</v>
      </c>
      <c r="M584" t="s">
        <v>2273</v>
      </c>
      <c r="N584" t="s">
        <v>1696</v>
      </c>
      <c r="O584" t="s">
        <v>1697</v>
      </c>
      <c r="P584" t="s">
        <v>1493</v>
      </c>
      <c r="Q584">
        <v>1</v>
      </c>
      <c r="R584">
        <v>1</v>
      </c>
      <c r="S584" t="b">
        <f t="shared" si="9"/>
        <v>1</v>
      </c>
    </row>
    <row r="585" spans="1:19" hidden="1" x14ac:dyDescent="0.25">
      <c r="A585" t="s">
        <v>1689</v>
      </c>
      <c r="B585" t="s">
        <v>1700</v>
      </c>
      <c r="C585" t="s">
        <v>1701</v>
      </c>
      <c r="D585" t="s">
        <v>1702</v>
      </c>
      <c r="E585" t="s">
        <v>1707</v>
      </c>
      <c r="F585" t="s">
        <v>2063</v>
      </c>
      <c r="G585" t="s">
        <v>2274</v>
      </c>
      <c r="H585" t="s">
        <v>2274</v>
      </c>
      <c r="I585" t="s">
        <v>2274</v>
      </c>
      <c r="J585" t="s">
        <v>2274</v>
      </c>
      <c r="K585" t="s">
        <v>2274</v>
      </c>
      <c r="L585" t="s">
        <v>2274</v>
      </c>
      <c r="M585" t="s">
        <v>2274</v>
      </c>
      <c r="N585" t="s">
        <v>1696</v>
      </c>
      <c r="O585" t="s">
        <v>1697</v>
      </c>
      <c r="P585" t="s">
        <v>1493</v>
      </c>
      <c r="Q585">
        <v>1</v>
      </c>
      <c r="R585">
        <v>1</v>
      </c>
      <c r="S585" t="b">
        <f t="shared" si="9"/>
        <v>1</v>
      </c>
    </row>
    <row r="586" spans="1:19" x14ac:dyDescent="0.25">
      <c r="A586" t="s">
        <v>1689</v>
      </c>
      <c r="B586" t="s">
        <v>1700</v>
      </c>
      <c r="C586" t="s">
        <v>1701</v>
      </c>
      <c r="D586" t="s">
        <v>1733</v>
      </c>
      <c r="E586" t="s">
        <v>1735</v>
      </c>
      <c r="F586" t="s">
        <v>2130</v>
      </c>
      <c r="G586" t="s">
        <v>2275</v>
      </c>
      <c r="H586" t="s">
        <v>2275</v>
      </c>
      <c r="I586" t="s">
        <v>2275</v>
      </c>
      <c r="J586" t="s">
        <v>2275</v>
      </c>
      <c r="K586" t="s">
        <v>2275</v>
      </c>
      <c r="L586" t="s">
        <v>2275</v>
      </c>
      <c r="M586" t="s">
        <v>2275</v>
      </c>
      <c r="N586" t="s">
        <v>1696</v>
      </c>
      <c r="O586" t="s">
        <v>1697</v>
      </c>
      <c r="P586" t="s">
        <v>1493</v>
      </c>
      <c r="Q586">
        <v>1</v>
      </c>
      <c r="R586">
        <v>1</v>
      </c>
      <c r="S586" t="b">
        <f t="shared" si="9"/>
        <v>1</v>
      </c>
    </row>
    <row r="587" spans="1:19" x14ac:dyDescent="0.25">
      <c r="A587" t="s">
        <v>1689</v>
      </c>
      <c r="B587" t="s">
        <v>1700</v>
      </c>
      <c r="C587" t="s">
        <v>1701</v>
      </c>
      <c r="D587" t="s">
        <v>1733</v>
      </c>
      <c r="E587" t="s">
        <v>1735</v>
      </c>
      <c r="F587" t="s">
        <v>2130</v>
      </c>
      <c r="G587" t="s">
        <v>2276</v>
      </c>
      <c r="H587" t="s">
        <v>2276</v>
      </c>
      <c r="I587" t="s">
        <v>2276</v>
      </c>
      <c r="J587" t="s">
        <v>2276</v>
      </c>
      <c r="K587" t="s">
        <v>2276</v>
      </c>
      <c r="L587" t="s">
        <v>2276</v>
      </c>
      <c r="M587" t="s">
        <v>2276</v>
      </c>
      <c r="N587" t="s">
        <v>1696</v>
      </c>
      <c r="O587" t="s">
        <v>1697</v>
      </c>
      <c r="P587" t="s">
        <v>1493</v>
      </c>
      <c r="Q587">
        <v>1</v>
      </c>
      <c r="R587">
        <v>1</v>
      </c>
      <c r="S587" t="b">
        <f t="shared" si="9"/>
        <v>1</v>
      </c>
    </row>
    <row r="588" spans="1:19" hidden="1" x14ac:dyDescent="0.25">
      <c r="A588" t="s">
        <v>1689</v>
      </c>
      <c r="B588" t="s">
        <v>1700</v>
      </c>
      <c r="C588" t="s">
        <v>1701</v>
      </c>
      <c r="D588" t="s">
        <v>1733</v>
      </c>
      <c r="E588" t="s">
        <v>1735</v>
      </c>
      <c r="F588" t="s">
        <v>2129</v>
      </c>
      <c r="G588" t="s">
        <v>2277</v>
      </c>
      <c r="H588" t="s">
        <v>2277</v>
      </c>
      <c r="I588" t="s">
        <v>2277</v>
      </c>
      <c r="J588" t="s">
        <v>2277</v>
      </c>
      <c r="K588" t="s">
        <v>2277</v>
      </c>
      <c r="L588" t="s">
        <v>2277</v>
      </c>
      <c r="M588" t="s">
        <v>2277</v>
      </c>
      <c r="N588" t="s">
        <v>1696</v>
      </c>
      <c r="O588" t="s">
        <v>1697</v>
      </c>
      <c r="P588" t="s">
        <v>1493</v>
      </c>
      <c r="Q588">
        <v>1</v>
      </c>
      <c r="R588">
        <v>1</v>
      </c>
      <c r="S588" t="b">
        <f t="shared" si="9"/>
        <v>1</v>
      </c>
    </row>
    <row r="589" spans="1:19" hidden="1" x14ac:dyDescent="0.25">
      <c r="A589" t="s">
        <v>1689</v>
      </c>
      <c r="B589" t="s">
        <v>1700</v>
      </c>
      <c r="C589" t="s">
        <v>1701</v>
      </c>
      <c r="D589" t="s">
        <v>1733</v>
      </c>
      <c r="E589" t="s">
        <v>1735</v>
      </c>
      <c r="F589" t="s">
        <v>2129</v>
      </c>
      <c r="G589" t="s">
        <v>2278</v>
      </c>
      <c r="H589" t="s">
        <v>2278</v>
      </c>
      <c r="I589" t="s">
        <v>2278</v>
      </c>
      <c r="J589" t="s">
        <v>2278</v>
      </c>
      <c r="K589" t="s">
        <v>2278</v>
      </c>
      <c r="L589" t="s">
        <v>2278</v>
      </c>
      <c r="M589" t="s">
        <v>2278</v>
      </c>
      <c r="N589" t="s">
        <v>1696</v>
      </c>
      <c r="O589" t="s">
        <v>1697</v>
      </c>
      <c r="P589" t="s">
        <v>1493</v>
      </c>
      <c r="Q589">
        <v>1</v>
      </c>
      <c r="R589">
        <v>1</v>
      </c>
      <c r="S589" t="b">
        <f t="shared" si="9"/>
        <v>1</v>
      </c>
    </row>
    <row r="590" spans="1:19" hidden="1" x14ac:dyDescent="0.25">
      <c r="A590" t="s">
        <v>1689</v>
      </c>
      <c r="B590" t="s">
        <v>1700</v>
      </c>
      <c r="C590" t="s">
        <v>1701</v>
      </c>
      <c r="D590" t="s">
        <v>1733</v>
      </c>
      <c r="E590" t="s">
        <v>1735</v>
      </c>
      <c r="F590" t="s">
        <v>2129</v>
      </c>
      <c r="G590" t="s">
        <v>2279</v>
      </c>
      <c r="H590" t="s">
        <v>2279</v>
      </c>
      <c r="I590" t="s">
        <v>2279</v>
      </c>
      <c r="J590" t="s">
        <v>2279</v>
      </c>
      <c r="K590" t="s">
        <v>2279</v>
      </c>
      <c r="L590" t="s">
        <v>2279</v>
      </c>
      <c r="M590" t="s">
        <v>2279</v>
      </c>
      <c r="N590" t="s">
        <v>1696</v>
      </c>
      <c r="O590" t="s">
        <v>1697</v>
      </c>
      <c r="P590" t="s">
        <v>1493</v>
      </c>
      <c r="Q590">
        <v>1</v>
      </c>
      <c r="R590">
        <v>1</v>
      </c>
      <c r="S590" t="b">
        <f t="shared" si="9"/>
        <v>1</v>
      </c>
    </row>
    <row r="591" spans="1:19" hidden="1" x14ac:dyDescent="0.25">
      <c r="A591" t="s">
        <v>1689</v>
      </c>
      <c r="B591" t="s">
        <v>1700</v>
      </c>
      <c r="C591" t="s">
        <v>1701</v>
      </c>
      <c r="D591" t="s">
        <v>1733</v>
      </c>
      <c r="E591" t="s">
        <v>1735</v>
      </c>
      <c r="F591" t="s">
        <v>2129</v>
      </c>
      <c r="G591" t="s">
        <v>2280</v>
      </c>
      <c r="H591" t="s">
        <v>2280</v>
      </c>
      <c r="I591" t="s">
        <v>2280</v>
      </c>
      <c r="J591" t="s">
        <v>2280</v>
      </c>
      <c r="K591" t="s">
        <v>2280</v>
      </c>
      <c r="L591" t="s">
        <v>2280</v>
      </c>
      <c r="M591" t="s">
        <v>2280</v>
      </c>
      <c r="N591" t="s">
        <v>1696</v>
      </c>
      <c r="O591" t="s">
        <v>1697</v>
      </c>
      <c r="P591" t="s">
        <v>1493</v>
      </c>
      <c r="Q591">
        <v>1</v>
      </c>
      <c r="R591">
        <v>1</v>
      </c>
      <c r="S591" t="b">
        <f t="shared" si="9"/>
        <v>1</v>
      </c>
    </row>
    <row r="592" spans="1:19" hidden="1" x14ac:dyDescent="0.25">
      <c r="A592" t="s">
        <v>1689</v>
      </c>
      <c r="B592" t="s">
        <v>1700</v>
      </c>
      <c r="C592" t="s">
        <v>1701</v>
      </c>
      <c r="D592" t="s">
        <v>1733</v>
      </c>
      <c r="E592" t="s">
        <v>1735</v>
      </c>
      <c r="F592" t="s">
        <v>2129</v>
      </c>
      <c r="G592" t="s">
        <v>2281</v>
      </c>
      <c r="H592" t="s">
        <v>2281</v>
      </c>
      <c r="I592" t="s">
        <v>2281</v>
      </c>
      <c r="J592" t="s">
        <v>2281</v>
      </c>
      <c r="K592" t="s">
        <v>2281</v>
      </c>
      <c r="L592" t="s">
        <v>2281</v>
      </c>
      <c r="M592" t="s">
        <v>2281</v>
      </c>
      <c r="N592" t="s">
        <v>1696</v>
      </c>
      <c r="O592" t="s">
        <v>1697</v>
      </c>
      <c r="P592" t="s">
        <v>1493</v>
      </c>
      <c r="Q592">
        <v>1</v>
      </c>
      <c r="R592">
        <v>1</v>
      </c>
      <c r="S592" t="b">
        <f t="shared" si="9"/>
        <v>1</v>
      </c>
    </row>
    <row r="593" spans="1:19" hidden="1" x14ac:dyDescent="0.25">
      <c r="A593" t="s">
        <v>1689</v>
      </c>
      <c r="B593" t="s">
        <v>1700</v>
      </c>
      <c r="C593" t="s">
        <v>1701</v>
      </c>
      <c r="D593" t="s">
        <v>1733</v>
      </c>
      <c r="E593" t="s">
        <v>1735</v>
      </c>
      <c r="F593" t="s">
        <v>2129</v>
      </c>
      <c r="G593" t="s">
        <v>2282</v>
      </c>
      <c r="H593" t="s">
        <v>2282</v>
      </c>
      <c r="I593" t="s">
        <v>2282</v>
      </c>
      <c r="J593" t="s">
        <v>2282</v>
      </c>
      <c r="K593" t="s">
        <v>2282</v>
      </c>
      <c r="L593" t="s">
        <v>2282</v>
      </c>
      <c r="M593" t="s">
        <v>2282</v>
      </c>
      <c r="N593" t="s">
        <v>1696</v>
      </c>
      <c r="O593" t="s">
        <v>1697</v>
      </c>
      <c r="P593" t="s">
        <v>1493</v>
      </c>
      <c r="Q593">
        <v>1</v>
      </c>
      <c r="R593">
        <v>1</v>
      </c>
      <c r="S593" t="b">
        <f t="shared" si="9"/>
        <v>1</v>
      </c>
    </row>
    <row r="594" spans="1:19" hidden="1" x14ac:dyDescent="0.25">
      <c r="A594" t="s">
        <v>1689</v>
      </c>
      <c r="B594" t="s">
        <v>1700</v>
      </c>
      <c r="C594" t="s">
        <v>1701</v>
      </c>
      <c r="D594" t="s">
        <v>1733</v>
      </c>
      <c r="E594" t="s">
        <v>1735</v>
      </c>
      <c r="F594" t="s">
        <v>2129</v>
      </c>
      <c r="G594" t="s">
        <v>2283</v>
      </c>
      <c r="H594" t="s">
        <v>2283</v>
      </c>
      <c r="I594" t="s">
        <v>2283</v>
      </c>
      <c r="J594" t="s">
        <v>2283</v>
      </c>
      <c r="K594" t="s">
        <v>2283</v>
      </c>
      <c r="L594" t="s">
        <v>2283</v>
      </c>
      <c r="M594" t="s">
        <v>2283</v>
      </c>
      <c r="N594" t="s">
        <v>1696</v>
      </c>
      <c r="O594" t="s">
        <v>1697</v>
      </c>
      <c r="P594" t="s">
        <v>1493</v>
      </c>
      <c r="Q594">
        <v>1</v>
      </c>
      <c r="R594">
        <v>1</v>
      </c>
      <c r="S594" t="b">
        <f t="shared" si="9"/>
        <v>1</v>
      </c>
    </row>
    <row r="595" spans="1:19" hidden="1" x14ac:dyDescent="0.25">
      <c r="A595" t="s">
        <v>1689</v>
      </c>
      <c r="B595" t="s">
        <v>1700</v>
      </c>
      <c r="C595" t="s">
        <v>1701</v>
      </c>
      <c r="D595" t="s">
        <v>1733</v>
      </c>
      <c r="E595" t="s">
        <v>1735</v>
      </c>
      <c r="F595" t="s">
        <v>2129</v>
      </c>
      <c r="G595" t="s">
        <v>2284</v>
      </c>
      <c r="H595" t="s">
        <v>2284</v>
      </c>
      <c r="I595" t="s">
        <v>2284</v>
      </c>
      <c r="J595" t="s">
        <v>2284</v>
      </c>
      <c r="K595" t="s">
        <v>2284</v>
      </c>
      <c r="L595" t="s">
        <v>2284</v>
      </c>
      <c r="M595" t="s">
        <v>2284</v>
      </c>
      <c r="N595" t="s">
        <v>1696</v>
      </c>
      <c r="O595" t="s">
        <v>1697</v>
      </c>
      <c r="P595" t="s">
        <v>1493</v>
      </c>
      <c r="Q595">
        <v>1</v>
      </c>
      <c r="R595">
        <v>1</v>
      </c>
      <c r="S595" t="b">
        <f t="shared" si="9"/>
        <v>1</v>
      </c>
    </row>
    <row r="596" spans="1:19" hidden="1" x14ac:dyDescent="0.25">
      <c r="A596" t="s">
        <v>1689</v>
      </c>
      <c r="B596" t="s">
        <v>1700</v>
      </c>
      <c r="C596" t="s">
        <v>1701</v>
      </c>
      <c r="D596" t="s">
        <v>1733</v>
      </c>
      <c r="E596" t="s">
        <v>1734</v>
      </c>
      <c r="F596" t="s">
        <v>2126</v>
      </c>
      <c r="G596" t="s">
        <v>2285</v>
      </c>
      <c r="H596" t="s">
        <v>2285</v>
      </c>
      <c r="I596" t="s">
        <v>2285</v>
      </c>
      <c r="J596" t="s">
        <v>2285</v>
      </c>
      <c r="K596" t="s">
        <v>2285</v>
      </c>
      <c r="L596" t="s">
        <v>2285</v>
      </c>
      <c r="M596" t="s">
        <v>2285</v>
      </c>
      <c r="N596" t="s">
        <v>1696</v>
      </c>
      <c r="O596" t="s">
        <v>1697</v>
      </c>
      <c r="P596" t="s">
        <v>1493</v>
      </c>
      <c r="Q596">
        <v>1</v>
      </c>
      <c r="R596">
        <v>1</v>
      </c>
      <c r="S596" t="b">
        <f t="shared" si="9"/>
        <v>1</v>
      </c>
    </row>
    <row r="597" spans="1:19" hidden="1" x14ac:dyDescent="0.25">
      <c r="A597" t="s">
        <v>1689</v>
      </c>
      <c r="B597" t="s">
        <v>1700</v>
      </c>
      <c r="C597" t="s">
        <v>1701</v>
      </c>
      <c r="D597" t="s">
        <v>1733</v>
      </c>
      <c r="E597" t="s">
        <v>1734</v>
      </c>
      <c r="F597" t="s">
        <v>2126</v>
      </c>
      <c r="G597" t="s">
        <v>2286</v>
      </c>
      <c r="H597" t="s">
        <v>2286</v>
      </c>
      <c r="I597" t="s">
        <v>2286</v>
      </c>
      <c r="J597" t="s">
        <v>2286</v>
      </c>
      <c r="K597" t="s">
        <v>2286</v>
      </c>
      <c r="L597" t="s">
        <v>2286</v>
      </c>
      <c r="M597" t="s">
        <v>2286</v>
      </c>
      <c r="N597" t="s">
        <v>1696</v>
      </c>
      <c r="O597" t="s">
        <v>1697</v>
      </c>
      <c r="P597" t="s">
        <v>1493</v>
      </c>
      <c r="Q597">
        <v>1</v>
      </c>
      <c r="R597">
        <v>1</v>
      </c>
      <c r="S597" t="b">
        <f t="shared" si="9"/>
        <v>1</v>
      </c>
    </row>
    <row r="598" spans="1:19" hidden="1" x14ac:dyDescent="0.25">
      <c r="A598" t="s">
        <v>1689</v>
      </c>
      <c r="B598" t="s">
        <v>1700</v>
      </c>
      <c r="C598" t="s">
        <v>1701</v>
      </c>
      <c r="D598" t="s">
        <v>1733</v>
      </c>
      <c r="E598" t="s">
        <v>1734</v>
      </c>
      <c r="F598" t="s">
        <v>2126</v>
      </c>
      <c r="G598" t="s">
        <v>2287</v>
      </c>
      <c r="H598" t="s">
        <v>2287</v>
      </c>
      <c r="I598" t="s">
        <v>2287</v>
      </c>
      <c r="J598" t="s">
        <v>2287</v>
      </c>
      <c r="K598" t="s">
        <v>2287</v>
      </c>
      <c r="L598" t="s">
        <v>2287</v>
      </c>
      <c r="M598" t="s">
        <v>2287</v>
      </c>
      <c r="N598" t="s">
        <v>1696</v>
      </c>
      <c r="O598" t="s">
        <v>1697</v>
      </c>
      <c r="P598" t="s">
        <v>1493</v>
      </c>
      <c r="Q598">
        <v>1</v>
      </c>
      <c r="R598">
        <v>1</v>
      </c>
      <c r="S598" t="b">
        <f t="shared" si="9"/>
        <v>1</v>
      </c>
    </row>
    <row r="599" spans="1:19" hidden="1" x14ac:dyDescent="0.25">
      <c r="A599" t="s">
        <v>1689</v>
      </c>
      <c r="B599" t="s">
        <v>1700</v>
      </c>
      <c r="C599" t="s">
        <v>1701</v>
      </c>
      <c r="D599" t="s">
        <v>1733</v>
      </c>
      <c r="E599" t="s">
        <v>1734</v>
      </c>
      <c r="F599" t="s">
        <v>2128</v>
      </c>
      <c r="G599" t="s">
        <v>2288</v>
      </c>
      <c r="H599" t="s">
        <v>2288</v>
      </c>
      <c r="I599" t="s">
        <v>2288</v>
      </c>
      <c r="J599" t="s">
        <v>2288</v>
      </c>
      <c r="K599" t="s">
        <v>2288</v>
      </c>
      <c r="L599" t="s">
        <v>2288</v>
      </c>
      <c r="M599" t="s">
        <v>2288</v>
      </c>
      <c r="N599" t="s">
        <v>1696</v>
      </c>
      <c r="O599" t="s">
        <v>1697</v>
      </c>
      <c r="P599" t="s">
        <v>1493</v>
      </c>
      <c r="Q599">
        <v>1</v>
      </c>
      <c r="R599">
        <v>1</v>
      </c>
      <c r="S599" t="b">
        <f t="shared" si="9"/>
        <v>1</v>
      </c>
    </row>
    <row r="600" spans="1:19" hidden="1" x14ac:dyDescent="0.25">
      <c r="A600" t="s">
        <v>1689</v>
      </c>
      <c r="B600" t="s">
        <v>1700</v>
      </c>
      <c r="C600" t="s">
        <v>1701</v>
      </c>
      <c r="D600" t="s">
        <v>1733</v>
      </c>
      <c r="E600" t="s">
        <v>1734</v>
      </c>
      <c r="F600" t="s">
        <v>2128</v>
      </c>
      <c r="G600" t="s">
        <v>2289</v>
      </c>
      <c r="H600" t="s">
        <v>2289</v>
      </c>
      <c r="I600" t="s">
        <v>2289</v>
      </c>
      <c r="J600" t="s">
        <v>2289</v>
      </c>
      <c r="K600" t="s">
        <v>2289</v>
      </c>
      <c r="L600" t="s">
        <v>2289</v>
      </c>
      <c r="M600" t="s">
        <v>2289</v>
      </c>
      <c r="N600" t="s">
        <v>1696</v>
      </c>
      <c r="O600" t="s">
        <v>1697</v>
      </c>
      <c r="P600" t="s">
        <v>1493</v>
      </c>
      <c r="Q600">
        <v>1</v>
      </c>
      <c r="R600">
        <v>1</v>
      </c>
      <c r="S600" t="b">
        <f t="shared" si="9"/>
        <v>1</v>
      </c>
    </row>
    <row r="601" spans="1:19" hidden="1" x14ac:dyDescent="0.25">
      <c r="A601" t="s">
        <v>1689</v>
      </c>
      <c r="B601" t="s">
        <v>1700</v>
      </c>
      <c r="C601" t="s">
        <v>1701</v>
      </c>
      <c r="D601" t="s">
        <v>1733</v>
      </c>
      <c r="E601" t="s">
        <v>1734</v>
      </c>
      <c r="F601" t="s">
        <v>2128</v>
      </c>
      <c r="G601" t="s">
        <v>2290</v>
      </c>
      <c r="H601" t="s">
        <v>2290</v>
      </c>
      <c r="I601" t="s">
        <v>2290</v>
      </c>
      <c r="J601" t="s">
        <v>2290</v>
      </c>
      <c r="K601" t="s">
        <v>2290</v>
      </c>
      <c r="L601" t="s">
        <v>2290</v>
      </c>
      <c r="M601" t="s">
        <v>2290</v>
      </c>
      <c r="N601" t="s">
        <v>1696</v>
      </c>
      <c r="O601" t="s">
        <v>1697</v>
      </c>
      <c r="P601" t="s">
        <v>1493</v>
      </c>
      <c r="Q601">
        <v>1</v>
      </c>
      <c r="R601">
        <v>1</v>
      </c>
      <c r="S601" t="b">
        <f t="shared" si="9"/>
        <v>1</v>
      </c>
    </row>
    <row r="602" spans="1:19" hidden="1" x14ac:dyDescent="0.25">
      <c r="A602" t="s">
        <v>1689</v>
      </c>
      <c r="B602" t="s">
        <v>1700</v>
      </c>
      <c r="C602" t="s">
        <v>1701</v>
      </c>
      <c r="D602" t="s">
        <v>1733</v>
      </c>
      <c r="E602" t="s">
        <v>1734</v>
      </c>
      <c r="F602" t="s">
        <v>2127</v>
      </c>
      <c r="G602" t="s">
        <v>2291</v>
      </c>
      <c r="H602" t="s">
        <v>2291</v>
      </c>
      <c r="I602" t="s">
        <v>2291</v>
      </c>
      <c r="J602" t="s">
        <v>2291</v>
      </c>
      <c r="K602" t="s">
        <v>2291</v>
      </c>
      <c r="L602" t="s">
        <v>2291</v>
      </c>
      <c r="M602" t="s">
        <v>2291</v>
      </c>
      <c r="N602" t="s">
        <v>1696</v>
      </c>
      <c r="O602" t="s">
        <v>1697</v>
      </c>
      <c r="P602" t="s">
        <v>1493</v>
      </c>
      <c r="Q602">
        <v>1</v>
      </c>
      <c r="R602">
        <v>1</v>
      </c>
      <c r="S602" t="b">
        <f t="shared" si="9"/>
        <v>1</v>
      </c>
    </row>
    <row r="603" spans="1:19" hidden="1" x14ac:dyDescent="0.25">
      <c r="A603" t="s">
        <v>1689</v>
      </c>
      <c r="B603" t="s">
        <v>1700</v>
      </c>
      <c r="C603" t="s">
        <v>1701</v>
      </c>
      <c r="D603" t="s">
        <v>1733</v>
      </c>
      <c r="E603" t="s">
        <v>1734</v>
      </c>
      <c r="F603" t="s">
        <v>2127</v>
      </c>
      <c r="G603" t="s">
        <v>2292</v>
      </c>
      <c r="H603" t="s">
        <v>2292</v>
      </c>
      <c r="I603" t="s">
        <v>2292</v>
      </c>
      <c r="J603" t="s">
        <v>2292</v>
      </c>
      <c r="K603" t="s">
        <v>2292</v>
      </c>
      <c r="L603" t="s">
        <v>2292</v>
      </c>
      <c r="M603" t="s">
        <v>2292</v>
      </c>
      <c r="N603" t="s">
        <v>1696</v>
      </c>
      <c r="O603" t="s">
        <v>1697</v>
      </c>
      <c r="P603" t="s">
        <v>1493</v>
      </c>
      <c r="Q603">
        <v>1</v>
      </c>
      <c r="R603">
        <v>1</v>
      </c>
      <c r="S603" t="b">
        <f t="shared" si="9"/>
        <v>1</v>
      </c>
    </row>
    <row r="604" spans="1:19" hidden="1" x14ac:dyDescent="0.25">
      <c r="A604" t="s">
        <v>1689</v>
      </c>
      <c r="B604" t="s">
        <v>1700</v>
      </c>
      <c r="C604" t="s">
        <v>1701</v>
      </c>
      <c r="D604" t="s">
        <v>1733</v>
      </c>
      <c r="E604" t="s">
        <v>1734</v>
      </c>
      <c r="F604" t="s">
        <v>2127</v>
      </c>
      <c r="G604" t="s">
        <v>2293</v>
      </c>
      <c r="H604" t="s">
        <v>2293</v>
      </c>
      <c r="I604" t="s">
        <v>2293</v>
      </c>
      <c r="J604" t="s">
        <v>2293</v>
      </c>
      <c r="K604" t="s">
        <v>2293</v>
      </c>
      <c r="L604" t="s">
        <v>2293</v>
      </c>
      <c r="M604" t="s">
        <v>2293</v>
      </c>
      <c r="N604" t="s">
        <v>1696</v>
      </c>
      <c r="O604" t="s">
        <v>1697</v>
      </c>
      <c r="P604" t="s">
        <v>1493</v>
      </c>
      <c r="Q604">
        <v>1</v>
      </c>
      <c r="R604">
        <v>1</v>
      </c>
      <c r="S604" t="b">
        <f t="shared" si="9"/>
        <v>1</v>
      </c>
    </row>
    <row r="605" spans="1:19" hidden="1" x14ac:dyDescent="0.25">
      <c r="A605" t="s">
        <v>1689</v>
      </c>
      <c r="B605" t="s">
        <v>1700</v>
      </c>
      <c r="C605" t="s">
        <v>1798</v>
      </c>
      <c r="D605" t="s">
        <v>1853</v>
      </c>
      <c r="E605" t="s">
        <v>1854</v>
      </c>
      <c r="F605" t="s">
        <v>2199</v>
      </c>
      <c r="G605" t="s">
        <v>2294</v>
      </c>
      <c r="H605" t="s">
        <v>2294</v>
      </c>
      <c r="I605" t="s">
        <v>2294</v>
      </c>
      <c r="J605" t="s">
        <v>2294</v>
      </c>
      <c r="K605" t="s">
        <v>2294</v>
      </c>
      <c r="L605" t="s">
        <v>2294</v>
      </c>
      <c r="M605" t="s">
        <v>2294</v>
      </c>
      <c r="N605" t="s">
        <v>1696</v>
      </c>
      <c r="O605" t="s">
        <v>1697</v>
      </c>
      <c r="P605" t="s">
        <v>1493</v>
      </c>
      <c r="Q605">
        <v>1</v>
      </c>
      <c r="R605">
        <v>1</v>
      </c>
      <c r="S605" t="b">
        <f t="shared" si="9"/>
        <v>1</v>
      </c>
    </row>
    <row r="606" spans="1:19" hidden="1" x14ac:dyDescent="0.25">
      <c r="A606" t="s">
        <v>1689</v>
      </c>
      <c r="B606" t="s">
        <v>1700</v>
      </c>
      <c r="C606" t="s">
        <v>1798</v>
      </c>
      <c r="D606" t="s">
        <v>1853</v>
      </c>
      <c r="E606" t="s">
        <v>1854</v>
      </c>
      <c r="F606" t="s">
        <v>2199</v>
      </c>
      <c r="G606" t="s">
        <v>2295</v>
      </c>
      <c r="H606" t="s">
        <v>2295</v>
      </c>
      <c r="I606" t="s">
        <v>2295</v>
      </c>
      <c r="J606" t="s">
        <v>2295</v>
      </c>
      <c r="K606" t="s">
        <v>2295</v>
      </c>
      <c r="L606" t="s">
        <v>2295</v>
      </c>
      <c r="M606" t="s">
        <v>2295</v>
      </c>
      <c r="N606" t="s">
        <v>1696</v>
      </c>
      <c r="O606" t="s">
        <v>1697</v>
      </c>
      <c r="P606" t="s">
        <v>1493</v>
      </c>
      <c r="Q606">
        <v>1</v>
      </c>
      <c r="R606">
        <v>1</v>
      </c>
      <c r="S606" t="b">
        <f t="shared" si="9"/>
        <v>1</v>
      </c>
    </row>
    <row r="607" spans="1:19" hidden="1" x14ac:dyDescent="0.25">
      <c r="A607" t="s">
        <v>1689</v>
      </c>
      <c r="B607" t="s">
        <v>1700</v>
      </c>
      <c r="C607" t="s">
        <v>1798</v>
      </c>
      <c r="D607" t="s">
        <v>1811</v>
      </c>
      <c r="E607" t="s">
        <v>1814</v>
      </c>
      <c r="F607" t="s">
        <v>2178</v>
      </c>
      <c r="G607" t="s">
        <v>2296</v>
      </c>
      <c r="H607" t="s">
        <v>2296</v>
      </c>
      <c r="I607" t="s">
        <v>2296</v>
      </c>
      <c r="J607" t="s">
        <v>2296</v>
      </c>
      <c r="K607" t="s">
        <v>2296</v>
      </c>
      <c r="L607" t="s">
        <v>2296</v>
      </c>
      <c r="M607" t="s">
        <v>2296</v>
      </c>
      <c r="N607" t="s">
        <v>1696</v>
      </c>
      <c r="O607" t="s">
        <v>1697</v>
      </c>
      <c r="P607" t="s">
        <v>1493</v>
      </c>
      <c r="Q607">
        <v>1</v>
      </c>
      <c r="R607">
        <v>1</v>
      </c>
      <c r="S607" t="b">
        <f t="shared" si="9"/>
        <v>1</v>
      </c>
    </row>
    <row r="608" spans="1:19" hidden="1" x14ac:dyDescent="0.25">
      <c r="A608" t="s">
        <v>1689</v>
      </c>
      <c r="B608" t="s">
        <v>1700</v>
      </c>
      <c r="C608" t="s">
        <v>1798</v>
      </c>
      <c r="D608" t="s">
        <v>1811</v>
      </c>
      <c r="E608" t="s">
        <v>1814</v>
      </c>
      <c r="F608" t="s">
        <v>2178</v>
      </c>
      <c r="G608" t="s">
        <v>2297</v>
      </c>
      <c r="H608" t="s">
        <v>2297</v>
      </c>
      <c r="I608" t="s">
        <v>2297</v>
      </c>
      <c r="J608" t="s">
        <v>2297</v>
      </c>
      <c r="K608" t="s">
        <v>2297</v>
      </c>
      <c r="L608" t="s">
        <v>2297</v>
      </c>
      <c r="M608" t="s">
        <v>2297</v>
      </c>
      <c r="N608" t="s">
        <v>1696</v>
      </c>
      <c r="O608" t="s">
        <v>1697</v>
      </c>
      <c r="P608" t="s">
        <v>1493</v>
      </c>
      <c r="Q608">
        <v>1</v>
      </c>
      <c r="R608">
        <v>1</v>
      </c>
      <c r="S608" t="b">
        <f t="shared" si="9"/>
        <v>1</v>
      </c>
    </row>
    <row r="609" spans="1:19" hidden="1" x14ac:dyDescent="0.25">
      <c r="A609" t="s">
        <v>1689</v>
      </c>
      <c r="B609" t="s">
        <v>1700</v>
      </c>
      <c r="C609" t="s">
        <v>1798</v>
      </c>
      <c r="D609" t="s">
        <v>1811</v>
      </c>
      <c r="E609" t="s">
        <v>1815</v>
      </c>
      <c r="F609" t="s">
        <v>2172</v>
      </c>
      <c r="G609" t="s">
        <v>2298</v>
      </c>
      <c r="H609" t="s">
        <v>2298</v>
      </c>
      <c r="I609" t="s">
        <v>2298</v>
      </c>
      <c r="J609" t="s">
        <v>2298</v>
      </c>
      <c r="K609" t="s">
        <v>2298</v>
      </c>
      <c r="L609" t="s">
        <v>2298</v>
      </c>
      <c r="M609" t="s">
        <v>2298</v>
      </c>
      <c r="N609" t="s">
        <v>1696</v>
      </c>
      <c r="O609" t="s">
        <v>1697</v>
      </c>
      <c r="P609" t="s">
        <v>1493</v>
      </c>
      <c r="Q609">
        <v>1</v>
      </c>
      <c r="R609">
        <v>1</v>
      </c>
      <c r="S609" t="b">
        <f t="shared" si="9"/>
        <v>1</v>
      </c>
    </row>
    <row r="610" spans="1:19" hidden="1" x14ac:dyDescent="0.25">
      <c r="A610" t="s">
        <v>1689</v>
      </c>
      <c r="B610" t="s">
        <v>1700</v>
      </c>
      <c r="C610" t="s">
        <v>1798</v>
      </c>
      <c r="D610" t="s">
        <v>1811</v>
      </c>
      <c r="E610" t="s">
        <v>1815</v>
      </c>
      <c r="F610" t="s">
        <v>2172</v>
      </c>
      <c r="G610" t="s">
        <v>2299</v>
      </c>
      <c r="H610" t="s">
        <v>2299</v>
      </c>
      <c r="I610" t="s">
        <v>2299</v>
      </c>
      <c r="J610" t="s">
        <v>2299</v>
      </c>
      <c r="K610" t="s">
        <v>2299</v>
      </c>
      <c r="L610" t="s">
        <v>2299</v>
      </c>
      <c r="M610" t="s">
        <v>2299</v>
      </c>
      <c r="N610" t="s">
        <v>1696</v>
      </c>
      <c r="O610" t="s">
        <v>1697</v>
      </c>
      <c r="P610" t="s">
        <v>1493</v>
      </c>
      <c r="Q610">
        <v>1</v>
      </c>
      <c r="R610">
        <v>1</v>
      </c>
      <c r="S610" t="b">
        <f t="shared" si="9"/>
        <v>1</v>
      </c>
    </row>
    <row r="611" spans="1:19" hidden="1" x14ac:dyDescent="0.25">
      <c r="A611" t="s">
        <v>1689</v>
      </c>
      <c r="B611" t="s">
        <v>1700</v>
      </c>
      <c r="C611" t="s">
        <v>1798</v>
      </c>
      <c r="D611" t="s">
        <v>1811</v>
      </c>
      <c r="E611" t="s">
        <v>1815</v>
      </c>
      <c r="F611" t="s">
        <v>2172</v>
      </c>
      <c r="G611" t="s">
        <v>2300</v>
      </c>
      <c r="H611" t="s">
        <v>2300</v>
      </c>
      <c r="I611" t="s">
        <v>2300</v>
      </c>
      <c r="J611" t="s">
        <v>2300</v>
      </c>
      <c r="K611" t="s">
        <v>2300</v>
      </c>
      <c r="L611" t="s">
        <v>2300</v>
      </c>
      <c r="M611" t="s">
        <v>2300</v>
      </c>
      <c r="N611" t="s">
        <v>1696</v>
      </c>
      <c r="O611" t="s">
        <v>1697</v>
      </c>
      <c r="P611" t="s">
        <v>1493</v>
      </c>
      <c r="Q611">
        <v>1</v>
      </c>
      <c r="R611">
        <v>1</v>
      </c>
      <c r="S611" t="b">
        <f t="shared" si="9"/>
        <v>1</v>
      </c>
    </row>
    <row r="612" spans="1:19" hidden="1" x14ac:dyDescent="0.25">
      <c r="A612" t="s">
        <v>1689</v>
      </c>
      <c r="B612" t="s">
        <v>1700</v>
      </c>
      <c r="C612" t="s">
        <v>1798</v>
      </c>
      <c r="D612" t="s">
        <v>1847</v>
      </c>
      <c r="E612" t="s">
        <v>1848</v>
      </c>
      <c r="F612" t="s">
        <v>2184</v>
      </c>
      <c r="G612" t="s">
        <v>2301</v>
      </c>
      <c r="H612" t="s">
        <v>2301</v>
      </c>
      <c r="I612" t="s">
        <v>2301</v>
      </c>
      <c r="J612" t="s">
        <v>2301</v>
      </c>
      <c r="K612" t="s">
        <v>2301</v>
      </c>
      <c r="L612" t="s">
        <v>2301</v>
      </c>
      <c r="M612" t="s">
        <v>2301</v>
      </c>
      <c r="N612" t="s">
        <v>1696</v>
      </c>
      <c r="O612" t="s">
        <v>1697</v>
      </c>
      <c r="P612" t="s">
        <v>1493</v>
      </c>
      <c r="Q612">
        <v>1</v>
      </c>
      <c r="R612">
        <v>1</v>
      </c>
      <c r="S612" t="b">
        <f t="shared" si="9"/>
        <v>1</v>
      </c>
    </row>
    <row r="613" spans="1:19" hidden="1" x14ac:dyDescent="0.25">
      <c r="A613" t="s">
        <v>1689</v>
      </c>
      <c r="B613" t="s">
        <v>1700</v>
      </c>
      <c r="C613" t="s">
        <v>1798</v>
      </c>
      <c r="D613" t="s">
        <v>1847</v>
      </c>
      <c r="E613" t="s">
        <v>1848</v>
      </c>
      <c r="F613" t="s">
        <v>2184</v>
      </c>
      <c r="G613" t="s">
        <v>2302</v>
      </c>
      <c r="H613" t="s">
        <v>2302</v>
      </c>
      <c r="I613" t="s">
        <v>2302</v>
      </c>
      <c r="J613" t="s">
        <v>2302</v>
      </c>
      <c r="K613" t="s">
        <v>2302</v>
      </c>
      <c r="L613" t="s">
        <v>2302</v>
      </c>
      <c r="M613" t="s">
        <v>2302</v>
      </c>
      <c r="N613" t="s">
        <v>1696</v>
      </c>
      <c r="O613" t="s">
        <v>1697</v>
      </c>
      <c r="P613" t="s">
        <v>1493</v>
      </c>
      <c r="Q613">
        <v>1</v>
      </c>
      <c r="R613">
        <v>1</v>
      </c>
      <c r="S613" t="b">
        <f t="shared" si="9"/>
        <v>1</v>
      </c>
    </row>
    <row r="614" spans="1:19" hidden="1" x14ac:dyDescent="0.25">
      <c r="A614" t="s">
        <v>1689</v>
      </c>
      <c r="B614" t="s">
        <v>1700</v>
      </c>
      <c r="C614" t="s">
        <v>1798</v>
      </c>
      <c r="D614" t="s">
        <v>1847</v>
      </c>
      <c r="E614" t="s">
        <v>1848</v>
      </c>
      <c r="F614" t="s">
        <v>2184</v>
      </c>
      <c r="G614" t="s">
        <v>2303</v>
      </c>
      <c r="H614" t="s">
        <v>2303</v>
      </c>
      <c r="I614" t="s">
        <v>2303</v>
      </c>
      <c r="J614" t="s">
        <v>2303</v>
      </c>
      <c r="K614" t="s">
        <v>2303</v>
      </c>
      <c r="L614" t="s">
        <v>2303</v>
      </c>
      <c r="M614" t="s">
        <v>2303</v>
      </c>
      <c r="N614" t="s">
        <v>1696</v>
      </c>
      <c r="O614" t="s">
        <v>1697</v>
      </c>
      <c r="P614" t="s">
        <v>1493</v>
      </c>
      <c r="Q614">
        <v>1</v>
      </c>
      <c r="R614">
        <v>1</v>
      </c>
      <c r="S614" t="b">
        <f t="shared" si="9"/>
        <v>1</v>
      </c>
    </row>
    <row r="615" spans="1:19" hidden="1" x14ac:dyDescent="0.25">
      <c r="A615" t="s">
        <v>1689</v>
      </c>
      <c r="B615" t="s">
        <v>1700</v>
      </c>
      <c r="C615" t="s">
        <v>1798</v>
      </c>
      <c r="D615" t="s">
        <v>1847</v>
      </c>
      <c r="E615" t="s">
        <v>1848</v>
      </c>
      <c r="F615" t="s">
        <v>2184</v>
      </c>
      <c r="G615" t="s">
        <v>2304</v>
      </c>
      <c r="H615" t="s">
        <v>2304</v>
      </c>
      <c r="I615" t="s">
        <v>2304</v>
      </c>
      <c r="J615" t="s">
        <v>2304</v>
      </c>
      <c r="K615" t="s">
        <v>2304</v>
      </c>
      <c r="L615" t="s">
        <v>2304</v>
      </c>
      <c r="M615" t="s">
        <v>2304</v>
      </c>
      <c r="N615" t="s">
        <v>1696</v>
      </c>
      <c r="O615" t="s">
        <v>1697</v>
      </c>
      <c r="P615" t="s">
        <v>1493</v>
      </c>
      <c r="Q615">
        <v>1</v>
      </c>
      <c r="R615">
        <v>1</v>
      </c>
      <c r="S615" t="b">
        <f t="shared" si="9"/>
        <v>1</v>
      </c>
    </row>
    <row r="616" spans="1:19" hidden="1" x14ac:dyDescent="0.25">
      <c r="A616" t="s">
        <v>1689</v>
      </c>
      <c r="B616" t="s">
        <v>1700</v>
      </c>
      <c r="C616" t="s">
        <v>1798</v>
      </c>
      <c r="D616" t="s">
        <v>1847</v>
      </c>
      <c r="E616" t="s">
        <v>1848</v>
      </c>
      <c r="F616" t="s">
        <v>2184</v>
      </c>
      <c r="G616" t="s">
        <v>2305</v>
      </c>
      <c r="H616" t="s">
        <v>2305</v>
      </c>
      <c r="I616" t="s">
        <v>2305</v>
      </c>
      <c r="J616" t="s">
        <v>2305</v>
      </c>
      <c r="K616" t="s">
        <v>2305</v>
      </c>
      <c r="L616" t="s">
        <v>2305</v>
      </c>
      <c r="M616" t="s">
        <v>2305</v>
      </c>
      <c r="N616" t="s">
        <v>1696</v>
      </c>
      <c r="O616" t="s">
        <v>1697</v>
      </c>
      <c r="P616" t="s">
        <v>1493</v>
      </c>
      <c r="Q616">
        <v>1</v>
      </c>
      <c r="R616">
        <v>1</v>
      </c>
      <c r="S616" t="b">
        <f t="shared" si="9"/>
        <v>1</v>
      </c>
    </row>
    <row r="617" spans="1:19" hidden="1" x14ac:dyDescent="0.25">
      <c r="A617" t="s">
        <v>1689</v>
      </c>
      <c r="B617" t="s">
        <v>1700</v>
      </c>
      <c r="C617" t="s">
        <v>1798</v>
      </c>
      <c r="D617" t="s">
        <v>1847</v>
      </c>
      <c r="E617" t="s">
        <v>1848</v>
      </c>
      <c r="F617" t="s">
        <v>2184</v>
      </c>
      <c r="G617" t="s">
        <v>2306</v>
      </c>
      <c r="H617" t="s">
        <v>2306</v>
      </c>
      <c r="I617" t="s">
        <v>2306</v>
      </c>
      <c r="J617" t="s">
        <v>2306</v>
      </c>
      <c r="K617" t="s">
        <v>2306</v>
      </c>
      <c r="L617" t="s">
        <v>2306</v>
      </c>
      <c r="M617" t="s">
        <v>2306</v>
      </c>
      <c r="N617" t="s">
        <v>1696</v>
      </c>
      <c r="O617" t="s">
        <v>1697</v>
      </c>
      <c r="P617" t="s">
        <v>1493</v>
      </c>
      <c r="Q617">
        <v>1</v>
      </c>
      <c r="R617">
        <v>1</v>
      </c>
      <c r="S617" t="b">
        <f t="shared" si="9"/>
        <v>1</v>
      </c>
    </row>
    <row r="618" spans="1:19" hidden="1" x14ac:dyDescent="0.25">
      <c r="A618" t="s">
        <v>1689</v>
      </c>
      <c r="B618" t="s">
        <v>1700</v>
      </c>
      <c r="C618" t="s">
        <v>1798</v>
      </c>
      <c r="D618" t="s">
        <v>1847</v>
      </c>
      <c r="E618" t="s">
        <v>1848</v>
      </c>
      <c r="F618" t="s">
        <v>2187</v>
      </c>
      <c r="G618" t="s">
        <v>2307</v>
      </c>
      <c r="H618" t="s">
        <v>2307</v>
      </c>
      <c r="I618" t="s">
        <v>2307</v>
      </c>
      <c r="J618" t="s">
        <v>2307</v>
      </c>
      <c r="K618" t="s">
        <v>2307</v>
      </c>
      <c r="L618" t="s">
        <v>2307</v>
      </c>
      <c r="M618" t="s">
        <v>2307</v>
      </c>
      <c r="N618" t="s">
        <v>1696</v>
      </c>
      <c r="O618" t="s">
        <v>1697</v>
      </c>
      <c r="P618" t="s">
        <v>1493</v>
      </c>
      <c r="Q618">
        <v>1</v>
      </c>
      <c r="R618">
        <v>1</v>
      </c>
      <c r="S618" t="b">
        <f t="shared" si="9"/>
        <v>1</v>
      </c>
    </row>
    <row r="619" spans="1:19" hidden="1" x14ac:dyDescent="0.25">
      <c r="A619" t="s">
        <v>1689</v>
      </c>
      <c r="B619" t="s">
        <v>1700</v>
      </c>
      <c r="C619" t="s">
        <v>1798</v>
      </c>
      <c r="D619" t="s">
        <v>1847</v>
      </c>
      <c r="E619" t="s">
        <v>1848</v>
      </c>
      <c r="F619" t="s">
        <v>2187</v>
      </c>
      <c r="G619" t="s">
        <v>2308</v>
      </c>
      <c r="H619" t="s">
        <v>2308</v>
      </c>
      <c r="I619" t="s">
        <v>2308</v>
      </c>
      <c r="J619" t="s">
        <v>2308</v>
      </c>
      <c r="K619" t="s">
        <v>2308</v>
      </c>
      <c r="L619" t="s">
        <v>2308</v>
      </c>
      <c r="M619" t="s">
        <v>2308</v>
      </c>
      <c r="N619" t="s">
        <v>1696</v>
      </c>
      <c r="O619" t="s">
        <v>1697</v>
      </c>
      <c r="P619" t="s">
        <v>1493</v>
      </c>
      <c r="Q619">
        <v>1</v>
      </c>
      <c r="R619">
        <v>1</v>
      </c>
      <c r="S619" t="b">
        <f t="shared" si="9"/>
        <v>1</v>
      </c>
    </row>
    <row r="620" spans="1:19" hidden="1" x14ac:dyDescent="0.25">
      <c r="A620" t="s">
        <v>1689</v>
      </c>
      <c r="B620" t="s">
        <v>1700</v>
      </c>
      <c r="C620" t="s">
        <v>1798</v>
      </c>
      <c r="D620" t="s">
        <v>1847</v>
      </c>
      <c r="E620" t="s">
        <v>1848</v>
      </c>
      <c r="F620" t="s">
        <v>2187</v>
      </c>
      <c r="G620" t="s">
        <v>2309</v>
      </c>
      <c r="H620" t="s">
        <v>2309</v>
      </c>
      <c r="I620" t="s">
        <v>2309</v>
      </c>
      <c r="J620" t="s">
        <v>2309</v>
      </c>
      <c r="K620" t="s">
        <v>2309</v>
      </c>
      <c r="L620" t="s">
        <v>2309</v>
      </c>
      <c r="M620" t="s">
        <v>2309</v>
      </c>
      <c r="N620" t="s">
        <v>1696</v>
      </c>
      <c r="O620" t="s">
        <v>1697</v>
      </c>
      <c r="P620" t="s">
        <v>1493</v>
      </c>
      <c r="Q620">
        <v>1</v>
      </c>
      <c r="R620">
        <v>1</v>
      </c>
      <c r="S620" t="b">
        <f t="shared" si="9"/>
        <v>1</v>
      </c>
    </row>
    <row r="621" spans="1:19" hidden="1" x14ac:dyDescent="0.25">
      <c r="A621" t="s">
        <v>1689</v>
      </c>
      <c r="B621" t="s">
        <v>1700</v>
      </c>
      <c r="C621" t="s">
        <v>1798</v>
      </c>
      <c r="D621" t="s">
        <v>1847</v>
      </c>
      <c r="E621" t="s">
        <v>1848</v>
      </c>
      <c r="F621" t="s">
        <v>2187</v>
      </c>
      <c r="G621" t="s">
        <v>2310</v>
      </c>
      <c r="H621" t="s">
        <v>2310</v>
      </c>
      <c r="I621" t="s">
        <v>2310</v>
      </c>
      <c r="J621" t="s">
        <v>2310</v>
      </c>
      <c r="K621" t="s">
        <v>2310</v>
      </c>
      <c r="L621" t="s">
        <v>2310</v>
      </c>
      <c r="M621" t="s">
        <v>2310</v>
      </c>
      <c r="N621" t="s">
        <v>1696</v>
      </c>
      <c r="O621" t="s">
        <v>1697</v>
      </c>
      <c r="P621" t="s">
        <v>1493</v>
      </c>
      <c r="Q621">
        <v>1</v>
      </c>
      <c r="R621">
        <v>1</v>
      </c>
      <c r="S621" t="b">
        <f t="shared" si="9"/>
        <v>1</v>
      </c>
    </row>
    <row r="622" spans="1:19" hidden="1" x14ac:dyDescent="0.25">
      <c r="A622" t="s">
        <v>1689</v>
      </c>
      <c r="B622" t="s">
        <v>1700</v>
      </c>
      <c r="C622" t="s">
        <v>1798</v>
      </c>
      <c r="D622" t="s">
        <v>1847</v>
      </c>
      <c r="E622" t="s">
        <v>1848</v>
      </c>
      <c r="F622" t="s">
        <v>2187</v>
      </c>
      <c r="G622" t="s">
        <v>2311</v>
      </c>
      <c r="H622" t="s">
        <v>2311</v>
      </c>
      <c r="I622" t="s">
        <v>2311</v>
      </c>
      <c r="J622" t="s">
        <v>2311</v>
      </c>
      <c r="K622" t="s">
        <v>2311</v>
      </c>
      <c r="L622" t="s">
        <v>2311</v>
      </c>
      <c r="M622" t="s">
        <v>2311</v>
      </c>
      <c r="N622" t="s">
        <v>1696</v>
      </c>
      <c r="O622" t="s">
        <v>1697</v>
      </c>
      <c r="P622" t="s">
        <v>1493</v>
      </c>
      <c r="Q622">
        <v>1</v>
      </c>
      <c r="R622">
        <v>1</v>
      </c>
      <c r="S622" t="b">
        <f t="shared" si="9"/>
        <v>1</v>
      </c>
    </row>
    <row r="623" spans="1:19" hidden="1" x14ac:dyDescent="0.25">
      <c r="A623" t="s">
        <v>1689</v>
      </c>
      <c r="B623" t="s">
        <v>1700</v>
      </c>
      <c r="C623" t="s">
        <v>1798</v>
      </c>
      <c r="D623" t="s">
        <v>1847</v>
      </c>
      <c r="E623" t="s">
        <v>1848</v>
      </c>
      <c r="F623" t="s">
        <v>2183</v>
      </c>
      <c r="G623" t="s">
        <v>2312</v>
      </c>
      <c r="H623" t="s">
        <v>2312</v>
      </c>
      <c r="I623" t="s">
        <v>2312</v>
      </c>
      <c r="J623" t="s">
        <v>2312</v>
      </c>
      <c r="K623" t="s">
        <v>2312</v>
      </c>
      <c r="L623" t="s">
        <v>2312</v>
      </c>
      <c r="M623" t="s">
        <v>2312</v>
      </c>
      <c r="N623" t="s">
        <v>1696</v>
      </c>
      <c r="O623" t="s">
        <v>1697</v>
      </c>
      <c r="P623" t="s">
        <v>1493</v>
      </c>
      <c r="Q623">
        <v>1</v>
      </c>
      <c r="R623">
        <v>1</v>
      </c>
      <c r="S623" t="b">
        <f t="shared" si="9"/>
        <v>1</v>
      </c>
    </row>
    <row r="624" spans="1:19" hidden="1" x14ac:dyDescent="0.25">
      <c r="A624" t="s">
        <v>1689</v>
      </c>
      <c r="B624" t="s">
        <v>1700</v>
      </c>
      <c r="C624" t="s">
        <v>1798</v>
      </c>
      <c r="D624" t="s">
        <v>1847</v>
      </c>
      <c r="E624" t="s">
        <v>1848</v>
      </c>
      <c r="F624" t="s">
        <v>2183</v>
      </c>
      <c r="G624" t="s">
        <v>2313</v>
      </c>
      <c r="H624" t="s">
        <v>2313</v>
      </c>
      <c r="I624" t="s">
        <v>2313</v>
      </c>
      <c r="J624" t="s">
        <v>2313</v>
      </c>
      <c r="K624" t="s">
        <v>2313</v>
      </c>
      <c r="L624" t="s">
        <v>2313</v>
      </c>
      <c r="M624" t="s">
        <v>2313</v>
      </c>
      <c r="N624" t="s">
        <v>1696</v>
      </c>
      <c r="O624" t="s">
        <v>1697</v>
      </c>
      <c r="P624" t="s">
        <v>1493</v>
      </c>
      <c r="Q624">
        <v>1</v>
      </c>
      <c r="R624">
        <v>1</v>
      </c>
      <c r="S624" t="b">
        <f t="shared" si="9"/>
        <v>1</v>
      </c>
    </row>
    <row r="625" spans="1:19" hidden="1" x14ac:dyDescent="0.25">
      <c r="A625" t="s">
        <v>1689</v>
      </c>
      <c r="B625" t="s">
        <v>1700</v>
      </c>
      <c r="C625" t="s">
        <v>1798</v>
      </c>
      <c r="D625" t="s">
        <v>1847</v>
      </c>
      <c r="E625" t="s">
        <v>1848</v>
      </c>
      <c r="F625" t="s">
        <v>2183</v>
      </c>
      <c r="G625" t="s">
        <v>2314</v>
      </c>
      <c r="H625" t="s">
        <v>2314</v>
      </c>
      <c r="I625" t="s">
        <v>2314</v>
      </c>
      <c r="J625" t="s">
        <v>2314</v>
      </c>
      <c r="K625" t="s">
        <v>2314</v>
      </c>
      <c r="L625" t="s">
        <v>2314</v>
      </c>
      <c r="M625" t="s">
        <v>2314</v>
      </c>
      <c r="N625" t="s">
        <v>1696</v>
      </c>
      <c r="O625" t="s">
        <v>1697</v>
      </c>
      <c r="P625" t="s">
        <v>1493</v>
      </c>
      <c r="Q625">
        <v>1</v>
      </c>
      <c r="R625">
        <v>1</v>
      </c>
      <c r="S625" t="b">
        <f t="shared" si="9"/>
        <v>1</v>
      </c>
    </row>
    <row r="626" spans="1:19" hidden="1" x14ac:dyDescent="0.25">
      <c r="A626" t="s">
        <v>1689</v>
      </c>
      <c r="B626" t="s">
        <v>1700</v>
      </c>
      <c r="C626" t="s">
        <v>1798</v>
      </c>
      <c r="D626" t="s">
        <v>1847</v>
      </c>
      <c r="E626" t="s">
        <v>1852</v>
      </c>
      <c r="F626" t="s">
        <v>2190</v>
      </c>
      <c r="G626" t="s">
        <v>2315</v>
      </c>
      <c r="H626" t="s">
        <v>2315</v>
      </c>
      <c r="I626" t="s">
        <v>2315</v>
      </c>
      <c r="J626" t="s">
        <v>2315</v>
      </c>
      <c r="K626" t="s">
        <v>2315</v>
      </c>
      <c r="L626" t="s">
        <v>2315</v>
      </c>
      <c r="M626" t="s">
        <v>2315</v>
      </c>
      <c r="N626" t="s">
        <v>1696</v>
      </c>
      <c r="O626" t="s">
        <v>1697</v>
      </c>
      <c r="P626" t="s">
        <v>1493</v>
      </c>
      <c r="Q626">
        <v>1</v>
      </c>
      <c r="R626">
        <v>1</v>
      </c>
      <c r="S626" t="b">
        <f t="shared" si="9"/>
        <v>1</v>
      </c>
    </row>
    <row r="627" spans="1:19" hidden="1" x14ac:dyDescent="0.25">
      <c r="A627" t="s">
        <v>1689</v>
      </c>
      <c r="B627" t="s">
        <v>1700</v>
      </c>
      <c r="C627" t="s">
        <v>1798</v>
      </c>
      <c r="D627" t="s">
        <v>1847</v>
      </c>
      <c r="E627" t="s">
        <v>1852</v>
      </c>
      <c r="F627" t="s">
        <v>2190</v>
      </c>
      <c r="G627" t="s">
        <v>2316</v>
      </c>
      <c r="H627" t="s">
        <v>2316</v>
      </c>
      <c r="I627" t="s">
        <v>2316</v>
      </c>
      <c r="J627" t="s">
        <v>2316</v>
      </c>
      <c r="K627" t="s">
        <v>2316</v>
      </c>
      <c r="L627" t="s">
        <v>2316</v>
      </c>
      <c r="M627" t="s">
        <v>2316</v>
      </c>
      <c r="N627" t="s">
        <v>1696</v>
      </c>
      <c r="O627" t="s">
        <v>1697</v>
      </c>
      <c r="P627" t="s">
        <v>1493</v>
      </c>
      <c r="Q627">
        <v>1</v>
      </c>
      <c r="R627">
        <v>1</v>
      </c>
      <c r="S627" t="b">
        <f t="shared" si="9"/>
        <v>1</v>
      </c>
    </row>
    <row r="628" spans="1:19" hidden="1" x14ac:dyDescent="0.25">
      <c r="A628" t="s">
        <v>1689</v>
      </c>
      <c r="B628" t="s">
        <v>1700</v>
      </c>
      <c r="C628" t="s">
        <v>1798</v>
      </c>
      <c r="D628" t="s">
        <v>1847</v>
      </c>
      <c r="E628" t="s">
        <v>1852</v>
      </c>
      <c r="F628" t="s">
        <v>2190</v>
      </c>
      <c r="G628" t="s">
        <v>2317</v>
      </c>
      <c r="H628" t="s">
        <v>2317</v>
      </c>
      <c r="I628" t="s">
        <v>2317</v>
      </c>
      <c r="J628" t="s">
        <v>2317</v>
      </c>
      <c r="K628" t="s">
        <v>2317</v>
      </c>
      <c r="L628" t="s">
        <v>2317</v>
      </c>
      <c r="M628" t="s">
        <v>2317</v>
      </c>
      <c r="N628" t="s">
        <v>1696</v>
      </c>
      <c r="O628" t="s">
        <v>1697</v>
      </c>
      <c r="P628" t="s">
        <v>1493</v>
      </c>
      <c r="Q628">
        <v>1</v>
      </c>
      <c r="R628">
        <v>1</v>
      </c>
      <c r="S628" t="b">
        <f t="shared" si="9"/>
        <v>1</v>
      </c>
    </row>
    <row r="629" spans="1:19" hidden="1" x14ac:dyDescent="0.25">
      <c r="A629" t="s">
        <v>1689</v>
      </c>
      <c r="B629" t="s">
        <v>1700</v>
      </c>
      <c r="C629" t="s">
        <v>1798</v>
      </c>
      <c r="D629" t="s">
        <v>1799</v>
      </c>
      <c r="E629" t="s">
        <v>1808</v>
      </c>
      <c r="F629" t="s">
        <v>2205</v>
      </c>
      <c r="G629" t="s">
        <v>2318</v>
      </c>
      <c r="H629" t="s">
        <v>2318</v>
      </c>
      <c r="I629" t="s">
        <v>2318</v>
      </c>
      <c r="J629" t="s">
        <v>2318</v>
      </c>
      <c r="K629" t="s">
        <v>2318</v>
      </c>
      <c r="L629" t="s">
        <v>2318</v>
      </c>
      <c r="M629" t="s">
        <v>2318</v>
      </c>
      <c r="N629" t="s">
        <v>1696</v>
      </c>
      <c r="O629" t="s">
        <v>1697</v>
      </c>
      <c r="P629" t="s">
        <v>1493</v>
      </c>
      <c r="Q629">
        <v>1</v>
      </c>
      <c r="R629">
        <v>1</v>
      </c>
      <c r="S629" t="b">
        <f t="shared" si="9"/>
        <v>1</v>
      </c>
    </row>
    <row r="630" spans="1:19" hidden="1" x14ac:dyDescent="0.25">
      <c r="A630" t="s">
        <v>1689</v>
      </c>
      <c r="B630" t="s">
        <v>1700</v>
      </c>
      <c r="C630" t="s">
        <v>1798</v>
      </c>
      <c r="D630" t="s">
        <v>1799</v>
      </c>
      <c r="E630" t="s">
        <v>1808</v>
      </c>
      <c r="F630" t="s">
        <v>2205</v>
      </c>
      <c r="G630" t="s">
        <v>2319</v>
      </c>
      <c r="H630" t="s">
        <v>2319</v>
      </c>
      <c r="I630" t="s">
        <v>2319</v>
      </c>
      <c r="J630" t="s">
        <v>2319</v>
      </c>
      <c r="K630" t="s">
        <v>2319</v>
      </c>
      <c r="L630" t="s">
        <v>2319</v>
      </c>
      <c r="M630" t="s">
        <v>2319</v>
      </c>
      <c r="N630" t="s">
        <v>1696</v>
      </c>
      <c r="O630" t="s">
        <v>1697</v>
      </c>
      <c r="P630" t="s">
        <v>1493</v>
      </c>
      <c r="Q630">
        <v>1</v>
      </c>
      <c r="R630">
        <v>1</v>
      </c>
      <c r="S630" t="b">
        <f t="shared" si="9"/>
        <v>1</v>
      </c>
    </row>
    <row r="631" spans="1:19" x14ac:dyDescent="0.25">
      <c r="A631" t="s">
        <v>1689</v>
      </c>
      <c r="B631" t="s">
        <v>1700</v>
      </c>
      <c r="C631" t="s">
        <v>1701</v>
      </c>
      <c r="D631" t="s">
        <v>1733</v>
      </c>
      <c r="E631" t="s">
        <v>1735</v>
      </c>
      <c r="F631" t="s">
        <v>2130</v>
      </c>
      <c r="G631" t="s">
        <v>2275</v>
      </c>
      <c r="H631" t="s">
        <v>2320</v>
      </c>
      <c r="I631" t="s">
        <v>2320</v>
      </c>
      <c r="J631" t="s">
        <v>2320</v>
      </c>
      <c r="K631" t="s">
        <v>2320</v>
      </c>
      <c r="L631" t="s">
        <v>2320</v>
      </c>
      <c r="M631" t="s">
        <v>2320</v>
      </c>
      <c r="N631" t="s">
        <v>1696</v>
      </c>
      <c r="O631" t="s">
        <v>1697</v>
      </c>
      <c r="P631" t="s">
        <v>1493</v>
      </c>
      <c r="Q631">
        <v>1</v>
      </c>
      <c r="R631">
        <v>1</v>
      </c>
      <c r="S631" t="b">
        <f t="shared" si="9"/>
        <v>1</v>
      </c>
    </row>
    <row r="632" spans="1:19" x14ac:dyDescent="0.25">
      <c r="A632" t="s">
        <v>1689</v>
      </c>
      <c r="B632" t="s">
        <v>1700</v>
      </c>
      <c r="C632" t="s">
        <v>1701</v>
      </c>
      <c r="D632" t="s">
        <v>1733</v>
      </c>
      <c r="E632" t="s">
        <v>1735</v>
      </c>
      <c r="F632" t="s">
        <v>2130</v>
      </c>
      <c r="G632" t="s">
        <v>2275</v>
      </c>
      <c r="H632" t="s">
        <v>2321</v>
      </c>
      <c r="I632" t="s">
        <v>2321</v>
      </c>
      <c r="J632" t="s">
        <v>2321</v>
      </c>
      <c r="K632" t="s">
        <v>2321</v>
      </c>
      <c r="L632" t="s">
        <v>2321</v>
      </c>
      <c r="M632" t="s">
        <v>2321</v>
      </c>
      <c r="N632" t="s">
        <v>1696</v>
      </c>
      <c r="O632" t="s">
        <v>1697</v>
      </c>
      <c r="P632" t="s">
        <v>1493</v>
      </c>
      <c r="Q632">
        <v>1</v>
      </c>
      <c r="R632">
        <v>1</v>
      </c>
      <c r="S632" t="b">
        <f t="shared" si="9"/>
        <v>1</v>
      </c>
    </row>
    <row r="633" spans="1:19" x14ac:dyDescent="0.25">
      <c r="A633" t="s">
        <v>1689</v>
      </c>
      <c r="B633" t="s">
        <v>1700</v>
      </c>
      <c r="C633" t="s">
        <v>1701</v>
      </c>
      <c r="D633" t="s">
        <v>1733</v>
      </c>
      <c r="E633" t="s">
        <v>1735</v>
      </c>
      <c r="F633" t="s">
        <v>2130</v>
      </c>
      <c r="G633" t="s">
        <v>2275</v>
      </c>
      <c r="H633" t="s">
        <v>2322</v>
      </c>
      <c r="I633" t="s">
        <v>2322</v>
      </c>
      <c r="J633" t="s">
        <v>2322</v>
      </c>
      <c r="K633" t="s">
        <v>2322</v>
      </c>
      <c r="L633" t="s">
        <v>2322</v>
      </c>
      <c r="M633" t="s">
        <v>2322</v>
      </c>
      <c r="N633" t="s">
        <v>1696</v>
      </c>
      <c r="O633" t="s">
        <v>1697</v>
      </c>
      <c r="P633" t="s">
        <v>1493</v>
      </c>
      <c r="Q633">
        <v>1</v>
      </c>
      <c r="R633">
        <v>1</v>
      </c>
      <c r="S633" t="b">
        <f t="shared" si="9"/>
        <v>1</v>
      </c>
    </row>
    <row r="634" spans="1:19" x14ac:dyDescent="0.25">
      <c r="A634" t="s">
        <v>1689</v>
      </c>
      <c r="B634" t="s">
        <v>1700</v>
      </c>
      <c r="C634" t="s">
        <v>1701</v>
      </c>
      <c r="D634" t="s">
        <v>1733</v>
      </c>
      <c r="E634" t="s">
        <v>1735</v>
      </c>
      <c r="F634" t="s">
        <v>2130</v>
      </c>
      <c r="G634" t="s">
        <v>2275</v>
      </c>
      <c r="H634" t="s">
        <v>2323</v>
      </c>
      <c r="I634" t="s">
        <v>2323</v>
      </c>
      <c r="J634" t="s">
        <v>2323</v>
      </c>
      <c r="K634" t="s">
        <v>2323</v>
      </c>
      <c r="L634" t="s">
        <v>2323</v>
      </c>
      <c r="M634" t="s">
        <v>2323</v>
      </c>
      <c r="N634" t="s">
        <v>1696</v>
      </c>
      <c r="O634" t="s">
        <v>1697</v>
      </c>
      <c r="P634" t="s">
        <v>1493</v>
      </c>
      <c r="Q634">
        <v>1</v>
      </c>
      <c r="R634">
        <v>1</v>
      </c>
      <c r="S634" t="b">
        <f t="shared" si="9"/>
        <v>1</v>
      </c>
    </row>
    <row r="635" spans="1:19" x14ac:dyDescent="0.25">
      <c r="A635" t="s">
        <v>1689</v>
      </c>
      <c r="B635" t="s">
        <v>1700</v>
      </c>
      <c r="C635" t="s">
        <v>1701</v>
      </c>
      <c r="D635" t="s">
        <v>1733</v>
      </c>
      <c r="E635" t="s">
        <v>1735</v>
      </c>
      <c r="F635" t="s">
        <v>2130</v>
      </c>
      <c r="G635" t="s">
        <v>2275</v>
      </c>
      <c r="H635" t="s">
        <v>2324</v>
      </c>
      <c r="I635" t="s">
        <v>2324</v>
      </c>
      <c r="J635" t="s">
        <v>2324</v>
      </c>
      <c r="K635" t="s">
        <v>2324</v>
      </c>
      <c r="L635" t="s">
        <v>2324</v>
      </c>
      <c r="M635" t="s">
        <v>2324</v>
      </c>
      <c r="N635" t="s">
        <v>1696</v>
      </c>
      <c r="O635" t="s">
        <v>1697</v>
      </c>
      <c r="P635" t="s">
        <v>1493</v>
      </c>
      <c r="Q635">
        <v>1</v>
      </c>
      <c r="R635">
        <v>1</v>
      </c>
      <c r="S635" t="b">
        <f t="shared" si="9"/>
        <v>1</v>
      </c>
    </row>
    <row r="636" spans="1:19" x14ac:dyDescent="0.25">
      <c r="A636" t="s">
        <v>1689</v>
      </c>
      <c r="B636" t="s">
        <v>1700</v>
      </c>
      <c r="C636" t="s">
        <v>1701</v>
      </c>
      <c r="D636" t="s">
        <v>1733</v>
      </c>
      <c r="E636" t="s">
        <v>1735</v>
      </c>
      <c r="F636" t="s">
        <v>2130</v>
      </c>
      <c r="G636" t="s">
        <v>2275</v>
      </c>
      <c r="H636" t="s">
        <v>2325</v>
      </c>
      <c r="I636" t="s">
        <v>2325</v>
      </c>
      <c r="J636" t="s">
        <v>2325</v>
      </c>
      <c r="K636" t="s">
        <v>2325</v>
      </c>
      <c r="L636" t="s">
        <v>2325</v>
      </c>
      <c r="M636" t="s">
        <v>2325</v>
      </c>
      <c r="N636" t="s">
        <v>1696</v>
      </c>
      <c r="O636" t="s">
        <v>1697</v>
      </c>
      <c r="P636" t="s">
        <v>1493</v>
      </c>
      <c r="Q636">
        <v>1</v>
      </c>
      <c r="R636">
        <v>1</v>
      </c>
      <c r="S636" t="b">
        <f t="shared" si="9"/>
        <v>1</v>
      </c>
    </row>
    <row r="637" spans="1:19" x14ac:dyDescent="0.25">
      <c r="A637" t="s">
        <v>1689</v>
      </c>
      <c r="B637" t="s">
        <v>1700</v>
      </c>
      <c r="C637" t="s">
        <v>1701</v>
      </c>
      <c r="D637" t="s">
        <v>1733</v>
      </c>
      <c r="E637" t="s">
        <v>1735</v>
      </c>
      <c r="F637" t="s">
        <v>2130</v>
      </c>
      <c r="G637" t="s">
        <v>2276</v>
      </c>
      <c r="H637" t="s">
        <v>2326</v>
      </c>
      <c r="I637" t="s">
        <v>2326</v>
      </c>
      <c r="J637" t="s">
        <v>2326</v>
      </c>
      <c r="K637" t="s">
        <v>2326</v>
      </c>
      <c r="L637" t="s">
        <v>2326</v>
      </c>
      <c r="M637" t="s">
        <v>2326</v>
      </c>
      <c r="N637" t="s">
        <v>1696</v>
      </c>
      <c r="O637" t="s">
        <v>1697</v>
      </c>
      <c r="P637" t="s">
        <v>1493</v>
      </c>
      <c r="Q637">
        <v>1</v>
      </c>
      <c r="R637">
        <v>1</v>
      </c>
      <c r="S637" t="b">
        <f t="shared" si="9"/>
        <v>1</v>
      </c>
    </row>
    <row r="638" spans="1:19" x14ac:dyDescent="0.25">
      <c r="A638" t="s">
        <v>1689</v>
      </c>
      <c r="B638" t="s">
        <v>1700</v>
      </c>
      <c r="C638" t="s">
        <v>1701</v>
      </c>
      <c r="D638" t="s">
        <v>1733</v>
      </c>
      <c r="E638" t="s">
        <v>1735</v>
      </c>
      <c r="F638" t="s">
        <v>2130</v>
      </c>
      <c r="G638" t="s">
        <v>2276</v>
      </c>
      <c r="H638" t="s">
        <v>2327</v>
      </c>
      <c r="I638" t="s">
        <v>2327</v>
      </c>
      <c r="J638" t="s">
        <v>2327</v>
      </c>
      <c r="K638" t="s">
        <v>2327</v>
      </c>
      <c r="L638" t="s">
        <v>2327</v>
      </c>
      <c r="M638" t="s">
        <v>2327</v>
      </c>
      <c r="N638" t="s">
        <v>1696</v>
      </c>
      <c r="O638" t="s">
        <v>1697</v>
      </c>
      <c r="P638" t="s">
        <v>1493</v>
      </c>
      <c r="Q638">
        <v>1</v>
      </c>
      <c r="R638">
        <v>1</v>
      </c>
      <c r="S638" t="b">
        <f t="shared" si="9"/>
        <v>1</v>
      </c>
    </row>
    <row r="639" spans="1:19" x14ac:dyDescent="0.25">
      <c r="A639" t="s">
        <v>1689</v>
      </c>
      <c r="B639" t="s">
        <v>1700</v>
      </c>
      <c r="C639" t="s">
        <v>1701</v>
      </c>
      <c r="D639" t="s">
        <v>1733</v>
      </c>
      <c r="E639" t="s">
        <v>1735</v>
      </c>
      <c r="F639" t="s">
        <v>2130</v>
      </c>
      <c r="G639" t="s">
        <v>2276</v>
      </c>
      <c r="H639" t="s">
        <v>2328</v>
      </c>
      <c r="I639" t="s">
        <v>2328</v>
      </c>
      <c r="J639" t="s">
        <v>2328</v>
      </c>
      <c r="K639" t="s">
        <v>2328</v>
      </c>
      <c r="L639" t="s">
        <v>2328</v>
      </c>
      <c r="M639" t="s">
        <v>2328</v>
      </c>
      <c r="N639" t="s">
        <v>1696</v>
      </c>
      <c r="O639" t="s">
        <v>1697</v>
      </c>
      <c r="P639" t="s">
        <v>1493</v>
      </c>
      <c r="Q639">
        <v>1</v>
      </c>
      <c r="R639">
        <v>1</v>
      </c>
      <c r="S639" t="b">
        <f t="shared" si="9"/>
        <v>1</v>
      </c>
    </row>
    <row r="640" spans="1:19" x14ac:dyDescent="0.25">
      <c r="A640" t="s">
        <v>1689</v>
      </c>
      <c r="B640" t="s">
        <v>1700</v>
      </c>
      <c r="C640" t="s">
        <v>1701</v>
      </c>
      <c r="D640" t="s">
        <v>1733</v>
      </c>
      <c r="E640" t="s">
        <v>1735</v>
      </c>
      <c r="F640" t="s">
        <v>2130</v>
      </c>
      <c r="G640" t="s">
        <v>2276</v>
      </c>
      <c r="H640" t="s">
        <v>2329</v>
      </c>
      <c r="I640" t="s">
        <v>2329</v>
      </c>
      <c r="J640" t="s">
        <v>2329</v>
      </c>
      <c r="K640" t="s">
        <v>2329</v>
      </c>
      <c r="L640" t="s">
        <v>2329</v>
      </c>
      <c r="M640" t="s">
        <v>2329</v>
      </c>
      <c r="N640" t="s">
        <v>1696</v>
      </c>
      <c r="O640" t="s">
        <v>1697</v>
      </c>
      <c r="P640" t="s">
        <v>1493</v>
      </c>
      <c r="Q640">
        <v>1</v>
      </c>
      <c r="R640">
        <v>1</v>
      </c>
      <c r="S640" t="b">
        <f t="shared" si="9"/>
        <v>1</v>
      </c>
    </row>
    <row r="641" spans="1:19" x14ac:dyDescent="0.25">
      <c r="A641" t="s">
        <v>1689</v>
      </c>
      <c r="B641" t="s">
        <v>1700</v>
      </c>
      <c r="C641" t="s">
        <v>1701</v>
      </c>
      <c r="D641" t="s">
        <v>1733</v>
      </c>
      <c r="E641" t="s">
        <v>1735</v>
      </c>
      <c r="F641" t="s">
        <v>2130</v>
      </c>
      <c r="G641" t="s">
        <v>2276</v>
      </c>
      <c r="H641" t="s">
        <v>2330</v>
      </c>
      <c r="I641" t="s">
        <v>2330</v>
      </c>
      <c r="J641" t="s">
        <v>2330</v>
      </c>
      <c r="K641" t="s">
        <v>2330</v>
      </c>
      <c r="L641" t="s">
        <v>2330</v>
      </c>
      <c r="M641" t="s">
        <v>2330</v>
      </c>
      <c r="N641" t="s">
        <v>1696</v>
      </c>
      <c r="O641" t="s">
        <v>1697</v>
      </c>
      <c r="P641" t="s">
        <v>1493</v>
      </c>
      <c r="Q641">
        <v>1</v>
      </c>
      <c r="R641">
        <v>1</v>
      </c>
      <c r="S641" t="b">
        <f t="shared" si="9"/>
        <v>1</v>
      </c>
    </row>
    <row r="642" spans="1:19" hidden="1" x14ac:dyDescent="0.25">
      <c r="A642" t="s">
        <v>1689</v>
      </c>
      <c r="B642" t="s">
        <v>1700</v>
      </c>
      <c r="C642" t="s">
        <v>1701</v>
      </c>
      <c r="D642" t="s">
        <v>1733</v>
      </c>
      <c r="E642" t="s">
        <v>1735</v>
      </c>
      <c r="F642" t="s">
        <v>2129</v>
      </c>
      <c r="G642" t="s">
        <v>2280</v>
      </c>
      <c r="H642" t="s">
        <v>2331</v>
      </c>
      <c r="I642" t="s">
        <v>2331</v>
      </c>
      <c r="J642" t="s">
        <v>2331</v>
      </c>
      <c r="K642" t="s">
        <v>2331</v>
      </c>
      <c r="L642" t="s">
        <v>2331</v>
      </c>
      <c r="M642" t="s">
        <v>2331</v>
      </c>
      <c r="N642" t="s">
        <v>1696</v>
      </c>
      <c r="O642" t="s">
        <v>1697</v>
      </c>
      <c r="P642" t="s">
        <v>1493</v>
      </c>
      <c r="Q642">
        <v>1</v>
      </c>
      <c r="R642">
        <v>1</v>
      </c>
      <c r="S642" t="b">
        <f t="shared" si="9"/>
        <v>1</v>
      </c>
    </row>
    <row r="643" spans="1:19" hidden="1" x14ac:dyDescent="0.25">
      <c r="A643" t="s">
        <v>1689</v>
      </c>
      <c r="B643" t="s">
        <v>1700</v>
      </c>
      <c r="C643" t="s">
        <v>1701</v>
      </c>
      <c r="D643" t="s">
        <v>1733</v>
      </c>
      <c r="E643" t="s">
        <v>1735</v>
      </c>
      <c r="F643" t="s">
        <v>2129</v>
      </c>
      <c r="G643" t="s">
        <v>2280</v>
      </c>
      <c r="H643" t="s">
        <v>2332</v>
      </c>
      <c r="I643" t="s">
        <v>2332</v>
      </c>
      <c r="J643" t="s">
        <v>2332</v>
      </c>
      <c r="K643" t="s">
        <v>2332</v>
      </c>
      <c r="L643" t="s">
        <v>2332</v>
      </c>
      <c r="M643" t="s">
        <v>2332</v>
      </c>
      <c r="N643" t="s">
        <v>1696</v>
      </c>
      <c r="O643" t="s">
        <v>1697</v>
      </c>
      <c r="P643" t="s">
        <v>1493</v>
      </c>
      <c r="Q643">
        <v>1</v>
      </c>
      <c r="R643">
        <v>1</v>
      </c>
      <c r="S643" t="b">
        <f t="shared" ref="S643:S678" si="10">H643=M643</f>
        <v>1</v>
      </c>
    </row>
    <row r="644" spans="1:19" hidden="1" x14ac:dyDescent="0.25">
      <c r="A644" t="s">
        <v>1689</v>
      </c>
      <c r="B644" t="s">
        <v>1700</v>
      </c>
      <c r="C644" t="s">
        <v>1701</v>
      </c>
      <c r="D644" t="s">
        <v>1733</v>
      </c>
      <c r="E644" t="s">
        <v>1735</v>
      </c>
      <c r="F644" t="s">
        <v>2129</v>
      </c>
      <c r="G644" t="s">
        <v>2278</v>
      </c>
      <c r="H644" t="s">
        <v>2333</v>
      </c>
      <c r="I644" t="s">
        <v>2333</v>
      </c>
      <c r="J644" t="s">
        <v>2333</v>
      </c>
      <c r="K644" t="s">
        <v>2333</v>
      </c>
      <c r="L644" t="s">
        <v>2333</v>
      </c>
      <c r="M644" t="s">
        <v>2333</v>
      </c>
      <c r="N644" t="s">
        <v>1696</v>
      </c>
      <c r="O644" t="s">
        <v>1697</v>
      </c>
      <c r="P644" t="s">
        <v>1493</v>
      </c>
      <c r="Q644">
        <v>1</v>
      </c>
      <c r="R644">
        <v>1</v>
      </c>
      <c r="S644" t="b">
        <f t="shared" si="10"/>
        <v>1</v>
      </c>
    </row>
    <row r="645" spans="1:19" hidden="1" x14ac:dyDescent="0.25">
      <c r="A645" t="s">
        <v>1689</v>
      </c>
      <c r="B645" t="s">
        <v>1700</v>
      </c>
      <c r="C645" t="s">
        <v>1701</v>
      </c>
      <c r="D645" t="s">
        <v>1733</v>
      </c>
      <c r="E645" t="s">
        <v>1735</v>
      </c>
      <c r="F645" t="s">
        <v>2129</v>
      </c>
      <c r="G645" t="s">
        <v>2278</v>
      </c>
      <c r="H645" t="s">
        <v>2334</v>
      </c>
      <c r="I645" t="s">
        <v>2334</v>
      </c>
      <c r="J645" t="s">
        <v>2334</v>
      </c>
      <c r="K645" t="s">
        <v>2334</v>
      </c>
      <c r="L645" t="s">
        <v>2334</v>
      </c>
      <c r="M645" t="s">
        <v>2334</v>
      </c>
      <c r="N645" t="s">
        <v>1696</v>
      </c>
      <c r="O645" t="s">
        <v>1697</v>
      </c>
      <c r="P645" t="s">
        <v>1493</v>
      </c>
      <c r="Q645">
        <v>1</v>
      </c>
      <c r="R645">
        <v>1</v>
      </c>
      <c r="S645" t="b">
        <f t="shared" si="10"/>
        <v>1</v>
      </c>
    </row>
    <row r="646" spans="1:19" hidden="1" x14ac:dyDescent="0.25">
      <c r="A646" t="s">
        <v>1689</v>
      </c>
      <c r="B646" t="s">
        <v>1700</v>
      </c>
      <c r="C646" t="s">
        <v>1701</v>
      </c>
      <c r="D646" t="s">
        <v>1733</v>
      </c>
      <c r="E646" t="s">
        <v>1734</v>
      </c>
      <c r="F646" t="s">
        <v>2126</v>
      </c>
      <c r="G646" t="s">
        <v>2285</v>
      </c>
      <c r="H646" t="s">
        <v>2335</v>
      </c>
      <c r="I646" t="s">
        <v>2335</v>
      </c>
      <c r="J646" t="s">
        <v>2335</v>
      </c>
      <c r="K646" t="s">
        <v>2335</v>
      </c>
      <c r="L646" t="s">
        <v>2335</v>
      </c>
      <c r="M646" t="s">
        <v>2335</v>
      </c>
      <c r="N646" t="s">
        <v>1696</v>
      </c>
      <c r="O646" t="s">
        <v>1697</v>
      </c>
      <c r="P646" t="s">
        <v>1493</v>
      </c>
      <c r="Q646">
        <v>1</v>
      </c>
      <c r="R646">
        <v>1</v>
      </c>
      <c r="S646" t="b">
        <f t="shared" si="10"/>
        <v>1</v>
      </c>
    </row>
    <row r="647" spans="1:19" hidden="1" x14ac:dyDescent="0.25">
      <c r="A647" t="s">
        <v>1689</v>
      </c>
      <c r="B647" t="s">
        <v>1700</v>
      </c>
      <c r="C647" t="s">
        <v>1701</v>
      </c>
      <c r="D647" t="s">
        <v>1733</v>
      </c>
      <c r="E647" t="s">
        <v>1734</v>
      </c>
      <c r="F647" t="s">
        <v>2126</v>
      </c>
      <c r="G647" t="s">
        <v>2285</v>
      </c>
      <c r="H647" t="s">
        <v>2336</v>
      </c>
      <c r="I647" t="s">
        <v>2336</v>
      </c>
      <c r="J647" t="s">
        <v>2336</v>
      </c>
      <c r="K647" t="s">
        <v>2336</v>
      </c>
      <c r="L647" t="s">
        <v>2336</v>
      </c>
      <c r="M647" t="s">
        <v>2336</v>
      </c>
      <c r="N647" t="s">
        <v>1696</v>
      </c>
      <c r="O647" t="s">
        <v>1697</v>
      </c>
      <c r="P647" t="s">
        <v>1493</v>
      </c>
      <c r="Q647">
        <v>1</v>
      </c>
      <c r="R647">
        <v>1</v>
      </c>
      <c r="S647" t="b">
        <f t="shared" si="10"/>
        <v>1</v>
      </c>
    </row>
    <row r="648" spans="1:19" hidden="1" x14ac:dyDescent="0.25">
      <c r="A648" t="s">
        <v>1689</v>
      </c>
      <c r="B648" t="s">
        <v>1700</v>
      </c>
      <c r="C648" t="s">
        <v>1701</v>
      </c>
      <c r="D648" t="s">
        <v>1733</v>
      </c>
      <c r="E648" t="s">
        <v>1734</v>
      </c>
      <c r="F648" t="s">
        <v>2126</v>
      </c>
      <c r="G648" t="s">
        <v>2286</v>
      </c>
      <c r="H648" t="s">
        <v>2337</v>
      </c>
      <c r="I648" t="s">
        <v>2337</v>
      </c>
      <c r="J648" t="s">
        <v>2337</v>
      </c>
      <c r="K648" t="s">
        <v>2337</v>
      </c>
      <c r="L648" t="s">
        <v>2337</v>
      </c>
      <c r="M648" t="s">
        <v>2337</v>
      </c>
      <c r="N648" t="s">
        <v>1696</v>
      </c>
      <c r="O648" t="s">
        <v>1697</v>
      </c>
      <c r="P648" t="s">
        <v>1493</v>
      </c>
      <c r="Q648">
        <v>1</v>
      </c>
      <c r="R648">
        <v>1</v>
      </c>
      <c r="S648" t="b">
        <f t="shared" si="10"/>
        <v>1</v>
      </c>
    </row>
    <row r="649" spans="1:19" hidden="1" x14ac:dyDescent="0.25">
      <c r="A649" t="s">
        <v>1689</v>
      </c>
      <c r="B649" t="s">
        <v>1700</v>
      </c>
      <c r="C649" t="s">
        <v>1701</v>
      </c>
      <c r="D649" t="s">
        <v>1733</v>
      </c>
      <c r="E649" t="s">
        <v>1734</v>
      </c>
      <c r="F649" t="s">
        <v>2126</v>
      </c>
      <c r="G649" t="s">
        <v>2286</v>
      </c>
      <c r="H649" t="s">
        <v>2338</v>
      </c>
      <c r="I649" t="s">
        <v>2338</v>
      </c>
      <c r="J649" t="s">
        <v>2338</v>
      </c>
      <c r="K649" t="s">
        <v>2338</v>
      </c>
      <c r="L649" t="s">
        <v>2338</v>
      </c>
      <c r="M649" t="s">
        <v>2338</v>
      </c>
      <c r="N649" t="s">
        <v>1696</v>
      </c>
      <c r="O649" t="s">
        <v>1697</v>
      </c>
      <c r="P649" t="s">
        <v>1493</v>
      </c>
      <c r="Q649">
        <v>1</v>
      </c>
      <c r="R649">
        <v>1</v>
      </c>
      <c r="S649" t="b">
        <f t="shared" si="10"/>
        <v>1</v>
      </c>
    </row>
    <row r="650" spans="1:19" hidden="1" x14ac:dyDescent="0.25">
      <c r="A650" t="s">
        <v>1689</v>
      </c>
      <c r="B650" t="s">
        <v>1700</v>
      </c>
      <c r="C650" t="s">
        <v>1701</v>
      </c>
      <c r="D650" t="s">
        <v>1733</v>
      </c>
      <c r="E650" t="s">
        <v>1734</v>
      </c>
      <c r="F650" t="s">
        <v>2126</v>
      </c>
      <c r="G650" t="s">
        <v>2287</v>
      </c>
      <c r="H650" t="s">
        <v>2339</v>
      </c>
      <c r="I650" t="s">
        <v>2339</v>
      </c>
      <c r="J650" t="s">
        <v>2339</v>
      </c>
      <c r="K650" t="s">
        <v>2339</v>
      </c>
      <c r="L650" t="s">
        <v>2339</v>
      </c>
      <c r="M650" t="s">
        <v>2339</v>
      </c>
      <c r="N650" t="s">
        <v>1696</v>
      </c>
      <c r="O650" t="s">
        <v>1697</v>
      </c>
      <c r="P650" t="s">
        <v>1493</v>
      </c>
      <c r="Q650">
        <v>1</v>
      </c>
      <c r="R650">
        <v>1</v>
      </c>
      <c r="S650" t="b">
        <f t="shared" si="10"/>
        <v>1</v>
      </c>
    </row>
    <row r="651" spans="1:19" hidden="1" x14ac:dyDescent="0.25">
      <c r="A651" t="s">
        <v>1689</v>
      </c>
      <c r="B651" t="s">
        <v>1700</v>
      </c>
      <c r="C651" t="s">
        <v>1701</v>
      </c>
      <c r="D651" t="s">
        <v>1733</v>
      </c>
      <c r="E651" t="s">
        <v>1734</v>
      </c>
      <c r="F651" t="s">
        <v>2126</v>
      </c>
      <c r="G651" t="s">
        <v>2287</v>
      </c>
      <c r="H651" t="s">
        <v>2340</v>
      </c>
      <c r="I651" t="s">
        <v>2340</v>
      </c>
      <c r="J651" t="s">
        <v>2340</v>
      </c>
      <c r="K651" t="s">
        <v>2340</v>
      </c>
      <c r="L651" t="s">
        <v>2340</v>
      </c>
      <c r="M651" t="s">
        <v>2340</v>
      </c>
      <c r="N651" t="s">
        <v>1696</v>
      </c>
      <c r="O651" t="s">
        <v>1697</v>
      </c>
      <c r="P651" t="s">
        <v>1493</v>
      </c>
      <c r="Q651">
        <v>1</v>
      </c>
      <c r="R651">
        <v>1</v>
      </c>
      <c r="S651" t="b">
        <f t="shared" si="10"/>
        <v>1</v>
      </c>
    </row>
    <row r="652" spans="1:19" hidden="1" x14ac:dyDescent="0.25">
      <c r="A652" t="s">
        <v>1689</v>
      </c>
      <c r="B652" t="s">
        <v>1700</v>
      </c>
      <c r="C652" t="s">
        <v>1701</v>
      </c>
      <c r="D652" t="s">
        <v>1733</v>
      </c>
      <c r="E652" t="s">
        <v>1734</v>
      </c>
      <c r="F652" t="s">
        <v>2126</v>
      </c>
      <c r="G652" t="s">
        <v>2287</v>
      </c>
      <c r="H652" t="s">
        <v>2341</v>
      </c>
      <c r="I652" t="s">
        <v>2341</v>
      </c>
      <c r="J652" t="s">
        <v>2341</v>
      </c>
      <c r="K652" t="s">
        <v>2341</v>
      </c>
      <c r="L652" t="s">
        <v>2341</v>
      </c>
      <c r="M652" t="s">
        <v>2341</v>
      </c>
      <c r="N652" t="s">
        <v>1696</v>
      </c>
      <c r="O652" t="s">
        <v>1697</v>
      </c>
      <c r="P652" t="s">
        <v>1493</v>
      </c>
      <c r="Q652">
        <v>1</v>
      </c>
      <c r="R652">
        <v>1</v>
      </c>
      <c r="S652" t="b">
        <f t="shared" si="10"/>
        <v>1</v>
      </c>
    </row>
    <row r="653" spans="1:19" hidden="1" x14ac:dyDescent="0.25">
      <c r="A653" t="s">
        <v>1689</v>
      </c>
      <c r="B653" t="s">
        <v>1700</v>
      </c>
      <c r="C653" t="s">
        <v>1701</v>
      </c>
      <c r="D653" t="s">
        <v>1733</v>
      </c>
      <c r="E653" t="s">
        <v>1734</v>
      </c>
      <c r="F653" t="s">
        <v>2127</v>
      </c>
      <c r="G653" t="s">
        <v>2291</v>
      </c>
      <c r="H653" t="s">
        <v>2342</v>
      </c>
      <c r="I653" t="s">
        <v>2342</v>
      </c>
      <c r="J653" t="s">
        <v>2342</v>
      </c>
      <c r="K653" t="s">
        <v>2342</v>
      </c>
      <c r="L653" t="s">
        <v>2342</v>
      </c>
      <c r="M653" t="s">
        <v>2342</v>
      </c>
      <c r="N653" t="s">
        <v>1696</v>
      </c>
      <c r="O653" t="s">
        <v>1697</v>
      </c>
      <c r="P653" t="s">
        <v>1493</v>
      </c>
      <c r="Q653">
        <v>1</v>
      </c>
      <c r="R653">
        <v>1</v>
      </c>
      <c r="S653" t="b">
        <f t="shared" si="10"/>
        <v>1</v>
      </c>
    </row>
    <row r="654" spans="1:19" hidden="1" x14ac:dyDescent="0.25">
      <c r="A654" t="s">
        <v>1689</v>
      </c>
      <c r="B654" t="s">
        <v>1700</v>
      </c>
      <c r="C654" t="s">
        <v>1701</v>
      </c>
      <c r="D654" t="s">
        <v>1733</v>
      </c>
      <c r="E654" t="s">
        <v>1734</v>
      </c>
      <c r="F654" t="s">
        <v>2127</v>
      </c>
      <c r="G654" t="s">
        <v>2292</v>
      </c>
      <c r="H654" t="s">
        <v>2343</v>
      </c>
      <c r="I654" t="s">
        <v>2343</v>
      </c>
      <c r="J654" t="s">
        <v>2343</v>
      </c>
      <c r="K654" t="s">
        <v>2343</v>
      </c>
      <c r="L654" t="s">
        <v>2343</v>
      </c>
      <c r="M654" t="s">
        <v>2343</v>
      </c>
      <c r="N654" t="s">
        <v>1696</v>
      </c>
      <c r="O654" t="s">
        <v>1697</v>
      </c>
      <c r="P654" t="s">
        <v>1493</v>
      </c>
      <c r="Q654">
        <v>1</v>
      </c>
      <c r="R654">
        <v>1</v>
      </c>
      <c r="S654" t="b">
        <f t="shared" si="10"/>
        <v>1</v>
      </c>
    </row>
    <row r="655" spans="1:19" hidden="1" x14ac:dyDescent="0.25">
      <c r="A655" t="s">
        <v>1689</v>
      </c>
      <c r="B655" t="s">
        <v>1700</v>
      </c>
      <c r="C655" t="s">
        <v>1701</v>
      </c>
      <c r="D655" t="s">
        <v>1733</v>
      </c>
      <c r="E655" t="s">
        <v>1734</v>
      </c>
      <c r="F655" t="s">
        <v>2127</v>
      </c>
      <c r="G655" t="s">
        <v>2293</v>
      </c>
      <c r="H655" t="s">
        <v>2344</v>
      </c>
      <c r="I655" t="s">
        <v>2344</v>
      </c>
      <c r="J655" t="s">
        <v>2344</v>
      </c>
      <c r="K655" t="s">
        <v>2344</v>
      </c>
      <c r="L655" t="s">
        <v>2344</v>
      </c>
      <c r="M655" t="s">
        <v>2344</v>
      </c>
      <c r="N655" t="s">
        <v>1696</v>
      </c>
      <c r="O655" t="s">
        <v>1697</v>
      </c>
      <c r="P655" t="s">
        <v>1493</v>
      </c>
      <c r="Q655">
        <v>1</v>
      </c>
      <c r="R655">
        <v>1</v>
      </c>
      <c r="S655" t="b">
        <f t="shared" si="10"/>
        <v>1</v>
      </c>
    </row>
    <row r="656" spans="1:19" hidden="1" x14ac:dyDescent="0.25">
      <c r="A656" t="s">
        <v>1689</v>
      </c>
      <c r="B656" t="s">
        <v>1700</v>
      </c>
      <c r="C656" t="s">
        <v>1701</v>
      </c>
      <c r="D656" t="s">
        <v>1733</v>
      </c>
      <c r="E656" t="s">
        <v>1734</v>
      </c>
      <c r="F656" t="s">
        <v>2127</v>
      </c>
      <c r="G656" t="s">
        <v>2293</v>
      </c>
      <c r="H656" t="s">
        <v>2345</v>
      </c>
      <c r="I656" t="s">
        <v>2345</v>
      </c>
      <c r="J656" t="s">
        <v>2345</v>
      </c>
      <c r="K656" t="s">
        <v>2345</v>
      </c>
      <c r="L656" t="s">
        <v>2345</v>
      </c>
      <c r="M656" t="s">
        <v>2345</v>
      </c>
      <c r="N656" t="s">
        <v>1696</v>
      </c>
      <c r="O656" t="s">
        <v>1697</v>
      </c>
      <c r="P656" t="s">
        <v>1493</v>
      </c>
      <c r="Q656">
        <v>1</v>
      </c>
      <c r="R656">
        <v>1</v>
      </c>
      <c r="S656" t="b">
        <f t="shared" si="10"/>
        <v>1</v>
      </c>
    </row>
    <row r="657" spans="1:19" hidden="1" x14ac:dyDescent="0.25">
      <c r="A657" t="s">
        <v>1689</v>
      </c>
      <c r="B657" t="s">
        <v>1700</v>
      </c>
      <c r="C657" t="s">
        <v>1701</v>
      </c>
      <c r="D657" t="s">
        <v>1733</v>
      </c>
      <c r="E657" t="s">
        <v>1734</v>
      </c>
      <c r="F657" t="s">
        <v>2127</v>
      </c>
      <c r="G657" t="s">
        <v>2293</v>
      </c>
      <c r="H657" t="s">
        <v>2346</v>
      </c>
      <c r="I657" t="s">
        <v>2346</v>
      </c>
      <c r="J657" t="s">
        <v>2346</v>
      </c>
      <c r="K657" t="s">
        <v>2346</v>
      </c>
      <c r="L657" t="s">
        <v>2346</v>
      </c>
      <c r="M657" t="s">
        <v>2346</v>
      </c>
      <c r="N657" t="s">
        <v>1696</v>
      </c>
      <c r="O657" t="s">
        <v>1697</v>
      </c>
      <c r="P657" t="s">
        <v>1493</v>
      </c>
      <c r="Q657">
        <v>1</v>
      </c>
      <c r="R657">
        <v>1</v>
      </c>
      <c r="S657" t="b">
        <f t="shared" si="10"/>
        <v>1</v>
      </c>
    </row>
    <row r="658" spans="1:19" x14ac:dyDescent="0.25">
      <c r="A658" t="s">
        <v>1689</v>
      </c>
      <c r="B658" t="s">
        <v>1700</v>
      </c>
      <c r="C658" t="s">
        <v>1701</v>
      </c>
      <c r="D658" t="s">
        <v>1733</v>
      </c>
      <c r="E658" t="s">
        <v>1735</v>
      </c>
      <c r="F658" s="26" t="s">
        <v>2130</v>
      </c>
      <c r="G658" s="27" t="s">
        <v>2276</v>
      </c>
      <c r="H658" s="27" t="s">
        <v>2330</v>
      </c>
      <c r="I658" s="27" t="s">
        <v>2347</v>
      </c>
      <c r="J658" s="27" t="s">
        <v>2347</v>
      </c>
      <c r="K658" s="27" t="s">
        <v>2347</v>
      </c>
      <c r="L658" s="27" t="s">
        <v>2347</v>
      </c>
      <c r="M658" s="27" t="s">
        <v>2347</v>
      </c>
      <c r="N658" t="s">
        <v>1696</v>
      </c>
      <c r="O658" t="s">
        <v>1697</v>
      </c>
      <c r="P658" t="s">
        <v>1493</v>
      </c>
      <c r="Q658">
        <v>1</v>
      </c>
      <c r="R658">
        <v>1</v>
      </c>
      <c r="S658" t="b">
        <f t="shared" si="10"/>
        <v>0</v>
      </c>
    </row>
    <row r="659" spans="1:19" x14ac:dyDescent="0.25">
      <c r="A659" t="s">
        <v>1689</v>
      </c>
      <c r="B659" t="s">
        <v>1700</v>
      </c>
      <c r="C659" t="s">
        <v>1701</v>
      </c>
      <c r="D659" t="s">
        <v>1733</v>
      </c>
      <c r="E659" t="s">
        <v>1735</v>
      </c>
      <c r="F659" s="29" t="s">
        <v>2130</v>
      </c>
      <c r="G659" s="28" t="s">
        <v>2276</v>
      </c>
      <c r="H659" s="28" t="s">
        <v>2330</v>
      </c>
      <c r="I659" s="28" t="s">
        <v>2348</v>
      </c>
      <c r="J659" s="28" t="s">
        <v>2348</v>
      </c>
      <c r="K659" s="28" t="s">
        <v>2348</v>
      </c>
      <c r="L659" s="28" t="s">
        <v>2348</v>
      </c>
      <c r="M659" s="28" t="s">
        <v>2348</v>
      </c>
      <c r="N659" t="s">
        <v>1696</v>
      </c>
      <c r="O659" t="s">
        <v>1697</v>
      </c>
      <c r="P659" t="s">
        <v>1493</v>
      </c>
      <c r="Q659">
        <v>1</v>
      </c>
      <c r="R659">
        <v>1</v>
      </c>
      <c r="S659" t="b">
        <f t="shared" si="10"/>
        <v>0</v>
      </c>
    </row>
    <row r="660" spans="1:19" x14ac:dyDescent="0.25">
      <c r="A660" t="s">
        <v>1689</v>
      </c>
      <c r="B660" t="s">
        <v>1700</v>
      </c>
      <c r="C660" t="s">
        <v>1701</v>
      </c>
      <c r="D660" t="s">
        <v>1733</v>
      </c>
      <c r="E660" t="s">
        <v>1735</v>
      </c>
      <c r="F660" s="29" t="s">
        <v>2130</v>
      </c>
      <c r="G660" s="28" t="s">
        <v>2276</v>
      </c>
      <c r="H660" s="28" t="s">
        <v>2326</v>
      </c>
      <c r="I660" s="28" t="s">
        <v>2349</v>
      </c>
      <c r="J660" s="28" t="s">
        <v>2349</v>
      </c>
      <c r="K660" s="28" t="s">
        <v>2349</v>
      </c>
      <c r="L660" s="28" t="s">
        <v>2349</v>
      </c>
      <c r="M660" s="28" t="s">
        <v>2349</v>
      </c>
      <c r="N660" t="s">
        <v>1696</v>
      </c>
      <c r="O660" t="s">
        <v>1697</v>
      </c>
      <c r="P660" t="s">
        <v>1493</v>
      </c>
      <c r="Q660">
        <v>1</v>
      </c>
      <c r="R660">
        <v>1</v>
      </c>
      <c r="S660" t="b">
        <f t="shared" si="10"/>
        <v>0</v>
      </c>
    </row>
    <row r="661" spans="1:19" x14ac:dyDescent="0.25">
      <c r="A661" t="s">
        <v>1689</v>
      </c>
      <c r="B661" t="s">
        <v>1700</v>
      </c>
      <c r="C661" t="s">
        <v>1701</v>
      </c>
      <c r="D661" t="s">
        <v>1733</v>
      </c>
      <c r="E661" t="s">
        <v>1735</v>
      </c>
      <c r="F661" s="29" t="s">
        <v>2130</v>
      </c>
      <c r="G661" s="28" t="s">
        <v>2276</v>
      </c>
      <c r="H661" s="28" t="s">
        <v>2326</v>
      </c>
      <c r="I661" s="28" t="s">
        <v>2350</v>
      </c>
      <c r="J661" s="28" t="s">
        <v>2350</v>
      </c>
      <c r="K661" s="28" t="s">
        <v>2350</v>
      </c>
      <c r="L661" s="28" t="s">
        <v>2350</v>
      </c>
      <c r="M661" s="28" t="s">
        <v>2350</v>
      </c>
      <c r="N661" t="s">
        <v>1696</v>
      </c>
      <c r="O661" t="s">
        <v>1697</v>
      </c>
      <c r="P661" t="s">
        <v>1493</v>
      </c>
      <c r="Q661">
        <v>1</v>
      </c>
      <c r="R661">
        <v>1</v>
      </c>
      <c r="S661" t="b">
        <f t="shared" si="10"/>
        <v>0</v>
      </c>
    </row>
    <row r="662" spans="1:19" x14ac:dyDescent="0.25">
      <c r="A662" t="s">
        <v>1689</v>
      </c>
      <c r="B662" t="s">
        <v>1700</v>
      </c>
      <c r="C662" t="s">
        <v>1701</v>
      </c>
      <c r="D662" t="s">
        <v>1733</v>
      </c>
      <c r="E662" t="s">
        <v>1735</v>
      </c>
      <c r="F662" s="29" t="s">
        <v>2130</v>
      </c>
      <c r="G662" s="28" t="s">
        <v>2276</v>
      </c>
      <c r="H662" s="28" t="s">
        <v>2329</v>
      </c>
      <c r="I662" s="28" t="s">
        <v>2351</v>
      </c>
      <c r="J662" s="28" t="s">
        <v>2351</v>
      </c>
      <c r="K662" s="28" t="s">
        <v>2351</v>
      </c>
      <c r="L662" s="28" t="s">
        <v>2351</v>
      </c>
      <c r="M662" s="28" t="s">
        <v>2351</v>
      </c>
      <c r="N662" t="s">
        <v>1696</v>
      </c>
      <c r="O662" t="s">
        <v>1697</v>
      </c>
      <c r="P662" t="s">
        <v>1493</v>
      </c>
      <c r="Q662">
        <v>1</v>
      </c>
      <c r="R662">
        <v>1</v>
      </c>
      <c r="S662" t="b">
        <f t="shared" si="10"/>
        <v>0</v>
      </c>
    </row>
    <row r="663" spans="1:19" x14ac:dyDescent="0.25">
      <c r="A663" t="s">
        <v>1689</v>
      </c>
      <c r="B663" t="s">
        <v>1700</v>
      </c>
      <c r="C663" t="s">
        <v>1701</v>
      </c>
      <c r="D663" t="s">
        <v>1733</v>
      </c>
      <c r="E663" t="s">
        <v>1735</v>
      </c>
      <c r="F663" s="29" t="s">
        <v>2130</v>
      </c>
      <c r="G663" s="28" t="s">
        <v>2276</v>
      </c>
      <c r="H663" s="28" t="s">
        <v>2329</v>
      </c>
      <c r="I663" s="28" t="s">
        <v>2352</v>
      </c>
      <c r="J663" s="28" t="s">
        <v>2352</v>
      </c>
      <c r="K663" s="28" t="s">
        <v>2352</v>
      </c>
      <c r="L663" s="28" t="s">
        <v>2352</v>
      </c>
      <c r="M663" s="28" t="s">
        <v>2352</v>
      </c>
      <c r="N663" t="s">
        <v>1696</v>
      </c>
      <c r="O663" t="s">
        <v>1697</v>
      </c>
      <c r="P663" t="s">
        <v>1493</v>
      </c>
      <c r="Q663">
        <v>1</v>
      </c>
      <c r="R663">
        <v>1</v>
      </c>
      <c r="S663" t="b">
        <f t="shared" si="10"/>
        <v>0</v>
      </c>
    </row>
    <row r="664" spans="1:19" x14ac:dyDescent="0.25">
      <c r="A664" t="s">
        <v>1689</v>
      </c>
      <c r="B664" t="s">
        <v>1700</v>
      </c>
      <c r="C664" t="s">
        <v>1701</v>
      </c>
      <c r="D664" t="s">
        <v>1733</v>
      </c>
      <c r="E664" t="s">
        <v>1735</v>
      </c>
      <c r="F664" t="s">
        <v>2130</v>
      </c>
      <c r="G664" t="s">
        <v>2275</v>
      </c>
      <c r="H664" t="s">
        <v>2320</v>
      </c>
      <c r="I664" t="s">
        <v>2353</v>
      </c>
      <c r="J664" t="s">
        <v>2353</v>
      </c>
      <c r="K664" t="s">
        <v>2353</v>
      </c>
      <c r="L664" t="s">
        <v>2353</v>
      </c>
      <c r="M664" t="s">
        <v>2353</v>
      </c>
      <c r="N664" t="s">
        <v>1696</v>
      </c>
      <c r="O664" t="s">
        <v>1697</v>
      </c>
      <c r="P664" t="s">
        <v>1493</v>
      </c>
      <c r="Q664">
        <v>1</v>
      </c>
      <c r="R664">
        <v>1</v>
      </c>
      <c r="S664" t="b">
        <f t="shared" si="10"/>
        <v>0</v>
      </c>
    </row>
    <row r="665" spans="1:19" x14ac:dyDescent="0.25">
      <c r="A665" t="s">
        <v>1689</v>
      </c>
      <c r="B665" t="s">
        <v>1700</v>
      </c>
      <c r="C665" t="s">
        <v>1701</v>
      </c>
      <c r="D665" t="s">
        <v>1733</v>
      </c>
      <c r="E665" t="s">
        <v>1735</v>
      </c>
      <c r="F665" t="s">
        <v>2130</v>
      </c>
      <c r="G665" t="s">
        <v>2275</v>
      </c>
      <c r="H665" t="s">
        <v>2320</v>
      </c>
      <c r="I665" t="s">
        <v>2354</v>
      </c>
      <c r="J665" t="s">
        <v>2354</v>
      </c>
      <c r="K665" t="s">
        <v>2354</v>
      </c>
      <c r="L665" t="s">
        <v>2354</v>
      </c>
      <c r="M665" t="s">
        <v>2354</v>
      </c>
      <c r="N665" t="s">
        <v>1696</v>
      </c>
      <c r="O665" t="s">
        <v>1697</v>
      </c>
      <c r="P665" t="s">
        <v>1493</v>
      </c>
      <c r="Q665">
        <v>1</v>
      </c>
      <c r="R665">
        <v>1</v>
      </c>
      <c r="S665" t="b">
        <f t="shared" si="10"/>
        <v>0</v>
      </c>
    </row>
    <row r="666" spans="1:19" x14ac:dyDescent="0.25">
      <c r="A666" t="s">
        <v>1689</v>
      </c>
      <c r="B666" t="s">
        <v>1700</v>
      </c>
      <c r="C666" t="s">
        <v>1701</v>
      </c>
      <c r="D666" t="s">
        <v>1733</v>
      </c>
      <c r="E666" t="s">
        <v>1735</v>
      </c>
      <c r="F666" t="s">
        <v>2130</v>
      </c>
      <c r="G666" t="s">
        <v>2275</v>
      </c>
      <c r="H666" t="s">
        <v>2322</v>
      </c>
      <c r="I666" t="s">
        <v>2355</v>
      </c>
      <c r="J666" t="s">
        <v>2355</v>
      </c>
      <c r="K666" t="s">
        <v>2355</v>
      </c>
      <c r="L666" t="s">
        <v>2355</v>
      </c>
      <c r="M666" t="s">
        <v>2355</v>
      </c>
      <c r="N666" t="s">
        <v>1696</v>
      </c>
      <c r="O666" t="s">
        <v>1697</v>
      </c>
      <c r="P666" t="s">
        <v>1493</v>
      </c>
      <c r="Q666">
        <v>1</v>
      </c>
      <c r="R666">
        <v>1</v>
      </c>
      <c r="S666" t="b">
        <f t="shared" si="10"/>
        <v>0</v>
      </c>
    </row>
    <row r="667" spans="1:19" x14ac:dyDescent="0.25">
      <c r="A667" t="s">
        <v>1689</v>
      </c>
      <c r="B667" t="s">
        <v>1700</v>
      </c>
      <c r="C667" t="s">
        <v>1701</v>
      </c>
      <c r="D667" t="s">
        <v>1733</v>
      </c>
      <c r="E667" t="s">
        <v>1735</v>
      </c>
      <c r="F667" t="s">
        <v>2130</v>
      </c>
      <c r="G667" t="s">
        <v>2275</v>
      </c>
      <c r="H667" t="s">
        <v>2322</v>
      </c>
      <c r="I667" t="s">
        <v>2356</v>
      </c>
      <c r="J667" t="s">
        <v>2356</v>
      </c>
      <c r="K667" t="s">
        <v>2356</v>
      </c>
      <c r="L667" t="s">
        <v>2356</v>
      </c>
      <c r="M667" t="s">
        <v>2356</v>
      </c>
      <c r="N667" t="s">
        <v>1696</v>
      </c>
      <c r="O667" t="s">
        <v>1697</v>
      </c>
      <c r="P667" t="s">
        <v>1493</v>
      </c>
      <c r="Q667">
        <v>1</v>
      </c>
      <c r="R667">
        <v>1</v>
      </c>
      <c r="S667" t="b">
        <f t="shared" si="10"/>
        <v>0</v>
      </c>
    </row>
    <row r="668" spans="1:19" x14ac:dyDescent="0.25">
      <c r="A668" t="s">
        <v>1689</v>
      </c>
      <c r="B668" t="s">
        <v>1700</v>
      </c>
      <c r="C668" t="s">
        <v>1701</v>
      </c>
      <c r="D668" t="s">
        <v>1733</v>
      </c>
      <c r="E668" t="s">
        <v>1735</v>
      </c>
      <c r="F668" t="s">
        <v>2130</v>
      </c>
      <c r="G668" t="s">
        <v>2275</v>
      </c>
      <c r="H668" t="s">
        <v>2324</v>
      </c>
      <c r="I668" t="s">
        <v>2357</v>
      </c>
      <c r="J668" t="s">
        <v>2357</v>
      </c>
      <c r="K668" t="s">
        <v>2357</v>
      </c>
      <c r="L668" t="s">
        <v>2357</v>
      </c>
      <c r="M668" t="s">
        <v>2357</v>
      </c>
      <c r="N668" t="s">
        <v>1696</v>
      </c>
      <c r="O668" t="s">
        <v>1697</v>
      </c>
      <c r="P668" t="s">
        <v>1493</v>
      </c>
      <c r="Q668">
        <v>1</v>
      </c>
      <c r="R668">
        <v>1</v>
      </c>
      <c r="S668" t="b">
        <f t="shared" si="10"/>
        <v>0</v>
      </c>
    </row>
    <row r="669" spans="1:19" x14ac:dyDescent="0.25">
      <c r="A669" t="s">
        <v>1689</v>
      </c>
      <c r="B669" t="s">
        <v>1700</v>
      </c>
      <c r="C669" t="s">
        <v>1701</v>
      </c>
      <c r="D669" t="s">
        <v>1733</v>
      </c>
      <c r="E669" t="s">
        <v>1735</v>
      </c>
      <c r="F669" t="s">
        <v>2130</v>
      </c>
      <c r="G669" t="s">
        <v>2275</v>
      </c>
      <c r="H669" t="s">
        <v>2324</v>
      </c>
      <c r="I669" t="s">
        <v>2358</v>
      </c>
      <c r="J669" t="s">
        <v>2358</v>
      </c>
      <c r="K669" t="s">
        <v>2358</v>
      </c>
      <c r="L669" t="s">
        <v>2358</v>
      </c>
      <c r="M669" t="s">
        <v>2358</v>
      </c>
      <c r="N669" t="s">
        <v>1696</v>
      </c>
      <c r="O669" t="s">
        <v>1697</v>
      </c>
      <c r="P669" t="s">
        <v>1493</v>
      </c>
      <c r="Q669">
        <v>1</v>
      </c>
      <c r="R669">
        <v>1</v>
      </c>
      <c r="S669" t="b">
        <f t="shared" si="10"/>
        <v>0</v>
      </c>
    </row>
    <row r="670" spans="1:19" hidden="1" x14ac:dyDescent="0.25">
      <c r="A670" t="s">
        <v>1689</v>
      </c>
      <c r="B670" t="s">
        <v>1700</v>
      </c>
      <c r="C670" t="s">
        <v>1701</v>
      </c>
      <c r="D670" t="s">
        <v>1733</v>
      </c>
      <c r="E670" t="s">
        <v>1734</v>
      </c>
      <c r="F670" t="s">
        <v>2126</v>
      </c>
      <c r="G670" t="s">
        <v>2285</v>
      </c>
      <c r="H670" t="s">
        <v>2336</v>
      </c>
      <c r="I670" t="s">
        <v>2359</v>
      </c>
      <c r="J670" t="s">
        <v>2359</v>
      </c>
      <c r="K670" t="s">
        <v>2359</v>
      </c>
      <c r="L670" t="s">
        <v>2359</v>
      </c>
      <c r="M670" t="s">
        <v>2359</v>
      </c>
      <c r="N670" t="s">
        <v>1696</v>
      </c>
      <c r="O670" t="s">
        <v>1697</v>
      </c>
      <c r="P670" t="s">
        <v>1493</v>
      </c>
      <c r="Q670">
        <v>1</v>
      </c>
      <c r="R670">
        <v>1</v>
      </c>
      <c r="S670" t="b">
        <f t="shared" si="10"/>
        <v>0</v>
      </c>
    </row>
    <row r="671" spans="1:19" hidden="1" x14ac:dyDescent="0.25">
      <c r="A671" t="s">
        <v>1689</v>
      </c>
      <c r="B671" t="s">
        <v>1700</v>
      </c>
      <c r="C671" t="s">
        <v>1701</v>
      </c>
      <c r="D671" t="s">
        <v>1733</v>
      </c>
      <c r="E671" t="s">
        <v>1734</v>
      </c>
      <c r="F671" t="s">
        <v>2126</v>
      </c>
      <c r="G671" t="s">
        <v>2285</v>
      </c>
      <c r="H671" t="s">
        <v>2336</v>
      </c>
      <c r="I671" t="s">
        <v>2360</v>
      </c>
      <c r="J671" t="s">
        <v>2360</v>
      </c>
      <c r="K671" t="s">
        <v>2360</v>
      </c>
      <c r="L671" t="s">
        <v>2360</v>
      </c>
      <c r="M671" t="s">
        <v>2360</v>
      </c>
      <c r="N671" t="s">
        <v>1696</v>
      </c>
      <c r="O671" t="s">
        <v>1697</v>
      </c>
      <c r="P671" t="s">
        <v>1493</v>
      </c>
      <c r="Q671">
        <v>1</v>
      </c>
      <c r="R671">
        <v>1</v>
      </c>
      <c r="S671" t="b">
        <f t="shared" si="10"/>
        <v>0</v>
      </c>
    </row>
    <row r="672" spans="1:19" hidden="1" x14ac:dyDescent="0.25">
      <c r="A672" t="s">
        <v>1689</v>
      </c>
      <c r="B672" t="s">
        <v>1700</v>
      </c>
      <c r="C672" t="s">
        <v>1701</v>
      </c>
      <c r="D672" t="s">
        <v>1733</v>
      </c>
      <c r="E672" t="s">
        <v>1734</v>
      </c>
      <c r="F672" t="s">
        <v>2126</v>
      </c>
      <c r="G672" t="s">
        <v>2285</v>
      </c>
      <c r="H672" t="s">
        <v>2336</v>
      </c>
      <c r="I672" t="s">
        <v>2361</v>
      </c>
      <c r="J672" t="s">
        <v>2361</v>
      </c>
      <c r="K672" t="s">
        <v>2361</v>
      </c>
      <c r="L672" t="s">
        <v>2361</v>
      </c>
      <c r="M672" t="s">
        <v>2361</v>
      </c>
      <c r="N672" t="s">
        <v>1696</v>
      </c>
      <c r="O672" t="s">
        <v>1697</v>
      </c>
      <c r="P672" t="s">
        <v>1493</v>
      </c>
      <c r="Q672">
        <v>1</v>
      </c>
      <c r="R672">
        <v>1</v>
      </c>
      <c r="S672" t="b">
        <f t="shared" si="10"/>
        <v>0</v>
      </c>
    </row>
    <row r="673" spans="1:19" hidden="1" x14ac:dyDescent="0.25">
      <c r="A673" t="s">
        <v>1689</v>
      </c>
      <c r="B673" t="s">
        <v>1700</v>
      </c>
      <c r="C673" t="s">
        <v>1701</v>
      </c>
      <c r="D673" t="s">
        <v>1733</v>
      </c>
      <c r="E673" t="s">
        <v>1734</v>
      </c>
      <c r="F673" t="s">
        <v>2126</v>
      </c>
      <c r="G673" t="s">
        <v>2285</v>
      </c>
      <c r="H673" t="s">
        <v>2335</v>
      </c>
      <c r="I673" t="s">
        <v>2362</v>
      </c>
      <c r="J673" t="s">
        <v>2362</v>
      </c>
      <c r="K673" t="s">
        <v>2362</v>
      </c>
      <c r="L673" t="s">
        <v>2362</v>
      </c>
      <c r="M673" t="s">
        <v>2362</v>
      </c>
      <c r="N673" t="s">
        <v>1696</v>
      </c>
      <c r="O673" t="s">
        <v>1697</v>
      </c>
      <c r="P673" t="s">
        <v>1493</v>
      </c>
      <c r="Q673">
        <v>1</v>
      </c>
      <c r="R673">
        <v>1</v>
      </c>
      <c r="S673" t="b">
        <f t="shared" si="10"/>
        <v>0</v>
      </c>
    </row>
    <row r="674" spans="1:19" hidden="1" x14ac:dyDescent="0.25">
      <c r="A674" t="s">
        <v>1689</v>
      </c>
      <c r="B674" t="s">
        <v>1700</v>
      </c>
      <c r="C674" t="s">
        <v>1701</v>
      </c>
      <c r="D674" t="s">
        <v>1733</v>
      </c>
      <c r="E674" t="s">
        <v>1734</v>
      </c>
      <c r="F674" t="s">
        <v>2126</v>
      </c>
      <c r="G674" t="s">
        <v>2285</v>
      </c>
      <c r="H674" t="s">
        <v>2335</v>
      </c>
      <c r="I674" t="s">
        <v>2363</v>
      </c>
      <c r="J674" t="s">
        <v>2363</v>
      </c>
      <c r="K674" t="s">
        <v>2363</v>
      </c>
      <c r="L674" t="s">
        <v>2363</v>
      </c>
      <c r="M674" t="s">
        <v>2363</v>
      </c>
      <c r="N674" t="s">
        <v>1696</v>
      </c>
      <c r="O674" t="s">
        <v>1697</v>
      </c>
      <c r="P674" t="s">
        <v>1493</v>
      </c>
      <c r="Q674">
        <v>1</v>
      </c>
      <c r="R674">
        <v>1</v>
      </c>
      <c r="S674" t="b">
        <f t="shared" si="10"/>
        <v>0</v>
      </c>
    </row>
    <row r="675" spans="1:19" x14ac:dyDescent="0.25">
      <c r="A675" t="s">
        <v>1689</v>
      </c>
      <c r="B675" t="s">
        <v>1700</v>
      </c>
      <c r="C675" t="s">
        <v>1701</v>
      </c>
      <c r="D675" t="s">
        <v>1733</v>
      </c>
      <c r="E675" t="s">
        <v>1735</v>
      </c>
      <c r="F675" t="s">
        <v>2130</v>
      </c>
      <c r="G675" t="s">
        <v>2275</v>
      </c>
      <c r="H675" t="s">
        <v>2324</v>
      </c>
      <c r="I675" t="s">
        <v>2358</v>
      </c>
      <c r="J675" t="s">
        <v>2364</v>
      </c>
      <c r="K675" t="s">
        <v>2364</v>
      </c>
      <c r="L675" t="s">
        <v>2364</v>
      </c>
      <c r="M675" t="s">
        <v>2364</v>
      </c>
      <c r="N675" t="s">
        <v>1696</v>
      </c>
      <c r="O675" t="s">
        <v>1697</v>
      </c>
      <c r="P675" t="s">
        <v>1493</v>
      </c>
      <c r="Q675">
        <v>1</v>
      </c>
      <c r="R675">
        <v>1</v>
      </c>
      <c r="S675" t="b">
        <f t="shared" si="10"/>
        <v>0</v>
      </c>
    </row>
    <row r="676" spans="1:19" x14ac:dyDescent="0.25">
      <c r="A676" t="s">
        <v>1689</v>
      </c>
      <c r="B676" t="s">
        <v>1700</v>
      </c>
      <c r="C676" t="s">
        <v>1701</v>
      </c>
      <c r="D676" t="s">
        <v>1733</v>
      </c>
      <c r="E676" t="s">
        <v>1735</v>
      </c>
      <c r="F676" t="s">
        <v>2130</v>
      </c>
      <c r="G676" t="s">
        <v>2275</v>
      </c>
      <c r="H676" t="s">
        <v>2324</v>
      </c>
      <c r="I676" t="s">
        <v>2358</v>
      </c>
      <c r="J676" t="s">
        <v>2365</v>
      </c>
      <c r="K676" t="s">
        <v>2365</v>
      </c>
      <c r="L676" t="s">
        <v>2365</v>
      </c>
      <c r="M676" t="s">
        <v>2365</v>
      </c>
      <c r="N676" t="s">
        <v>1696</v>
      </c>
      <c r="O676" t="s">
        <v>1697</v>
      </c>
      <c r="P676" t="s">
        <v>1493</v>
      </c>
      <c r="Q676">
        <v>1</v>
      </c>
      <c r="R676">
        <v>1</v>
      </c>
      <c r="S676" t="b">
        <f t="shared" si="10"/>
        <v>0</v>
      </c>
    </row>
    <row r="677" spans="1:19" x14ac:dyDescent="0.25">
      <c r="A677" t="s">
        <v>1689</v>
      </c>
      <c r="B677" t="s">
        <v>1700</v>
      </c>
      <c r="C677" t="s">
        <v>1701</v>
      </c>
      <c r="D677" t="s">
        <v>1733</v>
      </c>
      <c r="E677" t="s">
        <v>1735</v>
      </c>
      <c r="F677" t="s">
        <v>2130</v>
      </c>
      <c r="G677" t="s">
        <v>2275</v>
      </c>
      <c r="H677" t="s">
        <v>2324</v>
      </c>
      <c r="I677" t="s">
        <v>2357</v>
      </c>
      <c r="J677" t="s">
        <v>2366</v>
      </c>
      <c r="K677" t="s">
        <v>2366</v>
      </c>
      <c r="L677" t="s">
        <v>2366</v>
      </c>
      <c r="M677" t="s">
        <v>2366</v>
      </c>
      <c r="N677" t="s">
        <v>1696</v>
      </c>
      <c r="O677" t="s">
        <v>1697</v>
      </c>
      <c r="P677" t="s">
        <v>1493</v>
      </c>
      <c r="Q677">
        <v>1</v>
      </c>
      <c r="R677">
        <v>1</v>
      </c>
      <c r="S677" t="b">
        <f t="shared" si="10"/>
        <v>0</v>
      </c>
    </row>
    <row r="678" spans="1:19" x14ac:dyDescent="0.25">
      <c r="A678" t="s">
        <v>1689</v>
      </c>
      <c r="B678" t="s">
        <v>1700</v>
      </c>
      <c r="C678" t="s">
        <v>1701</v>
      </c>
      <c r="D678" t="s">
        <v>1733</v>
      </c>
      <c r="E678" t="s">
        <v>1735</v>
      </c>
      <c r="F678" t="s">
        <v>2130</v>
      </c>
      <c r="G678" t="s">
        <v>2275</v>
      </c>
      <c r="H678" t="s">
        <v>2324</v>
      </c>
      <c r="I678" t="s">
        <v>2357</v>
      </c>
      <c r="J678" t="s">
        <v>2367</v>
      </c>
      <c r="K678" t="s">
        <v>2367</v>
      </c>
      <c r="L678" t="s">
        <v>2367</v>
      </c>
      <c r="M678" t="s">
        <v>2367</v>
      </c>
      <c r="N678" t="s">
        <v>1696</v>
      </c>
      <c r="O678" t="s">
        <v>1697</v>
      </c>
      <c r="P678" t="s">
        <v>1493</v>
      </c>
      <c r="Q678">
        <v>1</v>
      </c>
      <c r="R678">
        <v>1</v>
      </c>
      <c r="S678" t="b">
        <f t="shared" si="10"/>
        <v>0</v>
      </c>
    </row>
  </sheetData>
  <autoFilter ref="A1:S678">
    <filterColumn colId="5">
      <filters>
        <filter val="AO03"/>
      </filters>
    </filterColumn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E4" sqref="E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70"/>
  <sheetViews>
    <sheetView showGridLines="0" topLeftCell="AK2" workbookViewId="0">
      <selection activeCell="AO2" sqref="AO2:AR69"/>
    </sheetView>
  </sheetViews>
  <sheetFormatPr defaultRowHeight="15" x14ac:dyDescent="0.25"/>
  <cols>
    <col min="1" max="1" width="3.7109375" customWidth="1"/>
    <col min="39" max="39" width="16.140625" bestFit="1" customWidth="1"/>
    <col min="40" max="40" width="31.5703125" bestFit="1" customWidth="1"/>
    <col min="41" max="41" width="30.42578125" bestFit="1" customWidth="1"/>
    <col min="42" max="42" width="32.85546875" bestFit="1" customWidth="1"/>
    <col min="43" max="43" width="24.28515625" bestFit="1" customWidth="1"/>
    <col min="44" max="44" width="27.85546875" bestFit="1" customWidth="1"/>
    <col min="45" max="45" width="3.7109375" customWidth="1"/>
    <col min="46" max="46" width="73.140625" bestFit="1" customWidth="1"/>
    <col min="47" max="47" width="83.140625" bestFit="1" customWidth="1"/>
    <col min="48" max="48" width="21.140625" bestFit="1" customWidth="1"/>
    <col min="49" max="49" width="23.140625" bestFit="1" customWidth="1"/>
    <col min="50" max="50" width="31.5703125" bestFit="1" customWidth="1"/>
    <col min="51" max="51" width="84.85546875" bestFit="1" customWidth="1"/>
    <col min="52" max="52" width="36.85546875" bestFit="1" customWidth="1"/>
    <col min="53" max="53" width="18.140625" bestFit="1" customWidth="1"/>
    <col min="54" max="54" width="57.42578125" bestFit="1" customWidth="1"/>
    <col min="55" max="55" width="23.28515625" bestFit="1" customWidth="1"/>
    <col min="56" max="56" width="113.5703125" bestFit="1" customWidth="1"/>
    <col min="57" max="57" width="19.5703125" bestFit="1" customWidth="1"/>
    <col min="58" max="58" width="39" bestFit="1" customWidth="1"/>
    <col min="59" max="59" width="32.28515625" bestFit="1" customWidth="1"/>
    <col min="60" max="60" width="31.28515625" bestFit="1" customWidth="1"/>
    <col min="61" max="61" width="48" bestFit="1" customWidth="1"/>
    <col min="62" max="62" width="34.5703125" bestFit="1" customWidth="1"/>
    <col min="63" max="63" width="148" bestFit="1" customWidth="1"/>
    <col min="64" max="64" width="51" bestFit="1" customWidth="1"/>
    <col min="65" max="65" width="54.7109375" bestFit="1" customWidth="1"/>
    <col min="66" max="66" width="45.5703125" bestFit="1" customWidth="1"/>
    <col min="67" max="67" width="34.5703125" bestFit="1" customWidth="1"/>
    <col min="68" max="68" width="26.5703125" bestFit="1" customWidth="1"/>
    <col min="69" max="69" width="143.5703125" bestFit="1" customWidth="1"/>
  </cols>
  <sheetData>
    <row r="1" spans="1:79" x14ac:dyDescent="0.25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S1" s="5" t="s">
        <v>1670</v>
      </c>
      <c r="AT1" s="31" t="str">
        <f>+" AND TRIM("&amp;AT2&amp;")"</f>
        <v xml:space="preserve"> AND TRIM(ckmetamis)</v>
      </c>
      <c r="AU1" s="31" t="str">
        <f t="shared" ref="AU1:BB1" si="0">+" AND TRIM("&amp;AU2&amp;")"</f>
        <v xml:space="preserve"> AND TRIM(ckprodmi)</v>
      </c>
      <c r="AV1" s="31" t="str">
        <f t="shared" si="0"/>
        <v xml:space="preserve"> AND TRIM(cmetanseg)</v>
      </c>
      <c r="AW1" s="31" t="str">
        <f t="shared" si="0"/>
        <v xml:space="preserve"> AND TRIM(cgarant_bem)</v>
      </c>
      <c r="AX1" s="31" t="str">
        <f t="shared" si="0"/>
        <v xml:space="preserve"> AND TRIM(epc)</v>
      </c>
      <c r="AY1" s="31" t="str">
        <f t="shared" si="0"/>
        <v xml:space="preserve"> AND TRIM(contraparte)</v>
      </c>
      <c r="AZ1" s="31" t="str">
        <f>+" AND "&amp;AZ2</f>
        <v xml:space="preserve"> AND flag_project_finance</v>
      </c>
      <c r="BA1" s="31" t="str">
        <f t="shared" si="0"/>
        <v xml:space="preserve"> AND TRIM(cfinalid)</v>
      </c>
      <c r="BB1" s="31" t="str">
        <f t="shared" si="0"/>
        <v xml:space="preserve"> AND TRIM(prdt_sprdt)</v>
      </c>
      <c r="BC1" s="31" t="str">
        <f>+" AND "&amp;BC2</f>
        <v xml:space="preserve"> AND flg_csrd</v>
      </c>
      <c r="BD1" s="31" t="str">
        <f>+" AND TRIM("&amp;BD2&amp;")"</f>
        <v xml:space="preserve"> AND TRIM(combustivel)</v>
      </c>
      <c r="BE1" s="32" t="s">
        <v>2505</v>
      </c>
      <c r="BF1" s="31" t="str">
        <f>+" AND TRIM("&amp;BF2&amp;")"</f>
        <v xml:space="preserve"> AND TRIM(cfamilia)</v>
      </c>
      <c r="BG1" s="31" t="str">
        <f>+" AND "&amp;BG2</f>
        <v xml:space="preserve"> AND flg_rsc_fsc_crnc_TRAT</v>
      </c>
      <c r="BH1" s="31" t="str">
        <f>+" AND "&amp;BH2</f>
        <v xml:space="preserve"> AND flg_rsc_fsc_agd_TRAT</v>
      </c>
      <c r="BI1" s="31" t="str">
        <f>+" AND TRIM("&amp;BI2&amp;")"</f>
        <v xml:space="preserve"> AND TRIM(property_purpose_code)</v>
      </c>
      <c r="BJ1" s="31" t="str">
        <f t="shared" ref="BJ1:BM1" si="1">+" AND TRIM("&amp;BJ2&amp;")"</f>
        <v xml:space="preserve"> AND TRIM(dabertur)</v>
      </c>
      <c r="BK1" s="31" t="str">
        <f t="shared" si="1"/>
        <v xml:space="preserve"> AND TRIM(tipo_eqp)</v>
      </c>
      <c r="BL1" s="31" t="str">
        <f t="shared" si="1"/>
        <v xml:space="preserve"> AND TRIM(construction_year)</v>
      </c>
      <c r="BM1" s="31" t="str">
        <f t="shared" si="1"/>
        <v xml:space="preserve"> AND TRIM(quality_score)</v>
      </c>
      <c r="BN1" s="31" t="str">
        <f>+" AND "&amp;BN2</f>
        <v xml:space="preserve"> AND primary_energy_req_value</v>
      </c>
      <c r="BO1" s="31" t="str">
        <f>+" AND "&amp;BO2</f>
        <v xml:space="preserve"> AND net_floor_area </v>
      </c>
      <c r="BP1" s="31" t="str">
        <f>+" AND "&amp;BP2</f>
        <v xml:space="preserve"> AND montante_pndrc</v>
      </c>
      <c r="BQ1" s="31" t="str">
        <f>+" AND TRIM("&amp;BQ2&amp;")"</f>
        <v xml:space="preserve"> AND TRIM(nome_ctgr_sfics)</v>
      </c>
    </row>
    <row r="2" spans="1:7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30" t="s">
        <v>37</v>
      </c>
      <c r="AN2" s="30" t="s">
        <v>38</v>
      </c>
      <c r="AO2" s="30" t="s">
        <v>39</v>
      </c>
      <c r="AP2" s="30" t="s">
        <v>40</v>
      </c>
      <c r="AQ2" s="30" t="s">
        <v>41</v>
      </c>
      <c r="AR2" s="30" t="s">
        <v>42</v>
      </c>
      <c r="AS2" s="5"/>
      <c r="AT2" s="2" t="s">
        <v>13</v>
      </c>
      <c r="AU2" s="2" t="s">
        <v>14</v>
      </c>
      <c r="AV2" s="2" t="s">
        <v>15</v>
      </c>
      <c r="AW2" s="2" t="s">
        <v>16</v>
      </c>
      <c r="AX2" s="2" t="s">
        <v>17</v>
      </c>
      <c r="AY2" s="2" t="s">
        <v>18</v>
      </c>
      <c r="AZ2" s="2" t="s">
        <v>19</v>
      </c>
      <c r="BA2" s="2" t="s">
        <v>20</v>
      </c>
      <c r="BB2" s="2" t="s">
        <v>21</v>
      </c>
      <c r="BC2" s="2" t="s">
        <v>22</v>
      </c>
      <c r="BD2" s="2" t="s">
        <v>23</v>
      </c>
      <c r="BE2" s="2" t="s">
        <v>24</v>
      </c>
      <c r="BF2" s="2" t="s">
        <v>25</v>
      </c>
      <c r="BG2" s="2" t="s">
        <v>2554</v>
      </c>
      <c r="BH2" s="2" t="s">
        <v>2555</v>
      </c>
      <c r="BI2" s="2" t="s">
        <v>28</v>
      </c>
      <c r="BJ2" s="2" t="s">
        <v>29</v>
      </c>
      <c r="BK2" s="2" t="s">
        <v>30</v>
      </c>
      <c r="BL2" s="2" t="s">
        <v>31</v>
      </c>
      <c r="BM2" s="2" t="s">
        <v>32</v>
      </c>
      <c r="BN2" s="2" t="s">
        <v>33</v>
      </c>
      <c r="BO2" s="2" t="s">
        <v>34</v>
      </c>
      <c r="BP2" s="2" t="s">
        <v>35</v>
      </c>
      <c r="BQ2" s="2" t="s">
        <v>36</v>
      </c>
      <c r="BR2" s="35" t="s">
        <v>37</v>
      </c>
      <c r="BS2" s="30" t="s">
        <v>38</v>
      </c>
      <c r="BT2" s="30" t="s">
        <v>39</v>
      </c>
      <c r="BU2" s="30" t="s">
        <v>40</v>
      </c>
      <c r="BV2" s="30" t="s">
        <v>41</v>
      </c>
      <c r="BW2" s="30" t="s">
        <v>42</v>
      </c>
      <c r="BX2" s="33" t="s">
        <v>2523</v>
      </c>
      <c r="BY2" s="34" t="s">
        <v>2522</v>
      </c>
      <c r="BZ2" s="34"/>
    </row>
    <row r="3" spans="1:79" hidden="1" x14ac:dyDescent="0.25">
      <c r="A3" s="31">
        <v>1</v>
      </c>
      <c r="B3" s="1" t="s">
        <v>1574</v>
      </c>
      <c r="C3" s="1">
        <v>3</v>
      </c>
      <c r="D3" s="1" t="s">
        <v>1585</v>
      </c>
      <c r="E3" s="1" t="s">
        <v>1576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1586</v>
      </c>
      <c r="U3" s="1"/>
      <c r="V3" s="1"/>
      <c r="W3" s="1" t="s">
        <v>1578</v>
      </c>
      <c r="X3" s="1" t="s">
        <v>1587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1588</v>
      </c>
      <c r="AM3" s="1"/>
      <c r="AN3" s="1"/>
      <c r="AO3" s="1" t="s">
        <v>1579</v>
      </c>
      <c r="AP3" s="1" t="s">
        <v>1580</v>
      </c>
      <c r="AQ3" s="1" t="s">
        <v>1581</v>
      </c>
      <c r="AR3" s="1" t="s">
        <v>1589</v>
      </c>
      <c r="AS3" s="5" t="s">
        <v>1670</v>
      </c>
      <c r="AT3" t="str">
        <f>+IF(LEN(TRIM(O3))&gt;0,
IF(OR(LEFT(O3,2)="IN",LEFT(O3,3)="NOT",LEFT(O3,4)="LIKE",LEFT(O3,1)="&lt;",LEFT(O3,1)="&gt;"),UPPER($AT$1)&amp;" "&amp;TRIM(O3),UPPER($AT$1)&amp;" = "&amp;TRIM(O3)),"")</f>
        <v/>
      </c>
      <c r="AU3" t="str">
        <f>+IF(LEN(TRIM(P3))&gt;0,
IF(OR(LEFT(P3,2)="IN",LEFT(P3,3)="NOT",LEFT(P3,4)="LIKE",LEFT(P3,1)="&lt;",LEFT(P3,1)="&gt;"),UPPER($AU$1)&amp;" "&amp;TRIM(P3),UPPER($AU$1)&amp;" = "&amp;TRIM(P3)),"")</f>
        <v/>
      </c>
      <c r="AV3" t="str">
        <f>+IF(LEN(TRIM(Q3))&gt;0,
IF(OR(LEFT(Q3,2)="IN",LEFT(Q3,3)="NOT",LEFT(Q3,4)="LIKE",LEFT(Q3,1)="&lt;",LEFT(Q3,1)="&gt;"),UPPER($AV$1)&amp;" "&amp;TRIM(Q3),UPPER($AV$1)&amp;" = "&amp;TRIM(Q3)),"")</f>
        <v/>
      </c>
      <c r="AW3" t="str">
        <f>+IF(LEN(TRIM(R3))&gt;0,
IF(OR(LEFT(R3,2)="IN",LEFT(R3,3)="NOT",LEFT(R3,4)="LIKE",LEFT(R3,1)="&lt;",LEFT(R3,1)="&gt;"),UPPER($AW$1)&amp;" "&amp;TRIM(R3),UPPER($AW$1)&amp;" = "&amp;TRIM(R3)),"")</f>
        <v/>
      </c>
      <c r="AX3" t="str">
        <f>+IF(LEN(TRIM(S3))&gt;0,
IF(OR(LEFT(S3,2)="IN",LEFT(S3,3)="NOT",LEFT(S3,4)="LIKE",LEFT(S3,1)="&lt;",LEFT(S3,1)="&gt;"),UPPER($AX$1)&amp;" "&amp;TRIM(S3),UPPER($AX$1)&amp;" = "&amp;TRIM(S3)),"")</f>
        <v/>
      </c>
      <c r="AY3" t="str">
        <f>+IF(LEN(TRIM(T3))&gt;0,
IF(OR(LEFT(T3,2)="IN",LEFT(T3,3)="NOT",LEFT(T3,4)="LIKE",LEFT(T3,1)="&lt;",LEFT(T3,1)="&gt;"),UPPER($AY$1)&amp;" "&amp;TRIM(T3),UPPER($AY$1)&amp;" = "&amp;TRIM(T3)),"")</f>
        <v xml:space="preserve"> AND TRIM(CONTRAPARTE) IN('outras empresas nao financeiras')</v>
      </c>
      <c r="AZ3" t="str">
        <f>+IF(LEN(TRIM(U3))&gt;0,
IF(OR(LEFT(U3,2)="IN",LEFT(U3,3)="NOT",LEFT(U3,4)="LIKE",LEFT(U3,1)="&lt;",LEFT(U3,1)="&gt;"),UPPER($AZ$1)&amp;" "&amp;TRIM(U3),UPPER($AZ$1)&amp;" = "&amp;TRIM(U3)),"")</f>
        <v/>
      </c>
      <c r="BA3" t="str">
        <f>+IF(LEN(TRIM(V3))&gt;0,
IF(OR(LEFT(V3,2)="IN",LEFT(V3,3)="NOT",LEFT(V3,4)="LIKE",LEFT(V3,1)="&lt;",LEFT(V3,1)="&gt;"),UPPER($BA$1)&amp;" "&amp;TRIM(V3),UPPER($BA$1)&amp;" = "&amp;TRIM(V3)),"")</f>
        <v/>
      </c>
      <c r="BB3" t="str">
        <f>+IF(LEN(TRIM(W3))&gt;0,
IF(OR(LEFT(W3,2)="IN",LEFT(W3,3)="NOT",LEFT(W3,4)="LIKE",LEFT(W3,1)="&lt;",LEFT(W3,1)="&gt;"),UPPER($BB$1)&amp;" "&amp;TRIM(W3),UPPER($BB$1)&amp;" = "&amp;TRIM(W3)),"")</f>
        <v xml:space="preserve"> AND TRIM(PRDT_SPRDT) IN ('096HGP','0960H8','096065')</v>
      </c>
      <c r="BC3" t="str">
        <f>+IF(LEN(TRIM(X3))&gt;0,
IF(OR(LEFT(X3,2)="IN",LEFT(X3,3)="NOT",LEFT(X3,4)="LIKE",LEFT(X3,1)="&lt;",LEFT(X3,1)="&gt;"),UPPER($BC$1)&amp;" "&amp;TRIM(X3),UPPER($BC$1)&amp;" = "&amp;TRIM(X3)),"")</f>
        <v xml:space="preserve"> AND FLG_CSRD = 0</v>
      </c>
      <c r="BD3" t="str">
        <f>+IF(LEN(TRIM(Y3))&gt;0,
IF(OR(LEFT(Y3,2)="IN",LEFT(Y3,3)="NOT",LEFT(Y3,4)="LIKE",LEFT(Y3,1)="&lt;",LEFT(Y3,1)="&gt;"),UPPER($BD$1)&amp;" "&amp;TRIM(Y3),UPPER($BD$1)&amp;" = "&amp;TRIM(Y3)),"")</f>
        <v/>
      </c>
      <c r="BE3" t="str">
        <f>+IF(LEN(TRIM(Z3))&gt;0,
IF(OR(LEFT(Z3,2)="IN",LEFT(Z3,3)="NOT",LEFT(Z3,4)="LIKE",LEFT(Z3,1)="&lt;",LEFT(Z3,1)="&gt;",LEFT(Z3,1)="="),UPPER($BE$1)&amp;" "&amp;TRIM(Z3),UPPER($BE$1)&amp;" = "&amp;TRIM(Z3)),"")</f>
        <v/>
      </c>
      <c r="BF3" t="str">
        <f>+IF(LEN(TRIM(AA3))&gt;0,
IF(OR(LEFT(AA3,2)="IN",LEFT(AA3,3)="NOT",LEFT(AA3,4)="LIKE",LEFT(AA3,1)="&lt;",LEFT(AA3,1)="&gt;"),UPPER($BF$1)&amp;" "&amp;TRIM(AA3),UPPER($BF$1)&amp;" = "&amp;TRIM(AA3)),"")</f>
        <v/>
      </c>
      <c r="BG3" t="str">
        <f>+IF(LEN(TRIM(AB3))&gt;0,
IF(OR(LEFT(AB3,2)="IN",LEFT(AB3,3)="NOT",LEFT(AB3,4)="LIKE",LEFT(AB3,1)="&lt;",LEFT(AB3,1)="&gt;"),UPPER($BG$1)&amp;" "&amp;TRIM(AB3),UPPER($BG$1)&amp;" = "&amp;TRIM(AB3)),"")</f>
        <v/>
      </c>
      <c r="BH3" t="str">
        <f>+IF(LEN(TRIM(AC3))&gt;0,
IF(OR(LEFT(AC3,2)="IN",LEFT(AC3,3)="NOT",LEFT(AC3,4)="LIKE",LEFT(AC3,1)="&lt;",LEFT(AC3,1)="&gt;"),UPPER($BH$1)&amp;" "&amp;TRIM(AC3),UPPER($BH$1)&amp;" = "&amp;TRIM(AC3)),"")</f>
        <v/>
      </c>
      <c r="BI3" t="str">
        <f>+IF(LEN(TRIM(AD3))&gt;0,
IF(OR(LEFT(AD3,2)="IN",LEFT(AD3,3)="NOT",LEFT(AD3,4)="LIKE",LEFT(AD3,1)="&lt;",LEFT(AD3,1)="&gt;"),UPPER($BI$1)&amp;" "&amp;TRIM(AD3),UPPER($BI$1)&amp;" = "&amp;TRIM(AD3)),"")</f>
        <v/>
      </c>
      <c r="BJ3" t="str">
        <f>+IF(LEN(TRIM(AE3))&gt;0,
IF(OR(LEFT(AE3,2)="IN",LEFT(AE3,3)="NOT",LEFT(AE3,4)="LIKE",LEFT(AE3,1)="&lt;",LEFT(AE3,1)="&gt;"),UPPER($BJ$1)&amp;" "&amp;TRIM(AE3),UPPER($BJ$1)&amp;" = "&amp;TRIM(AE3)),"")</f>
        <v/>
      </c>
      <c r="BK3" t="str">
        <f>+IF(LEN(TRIM(AF3))&gt;0,
IF(OR(LEFT(AF3,2)="IN",LEFT(AF3,3)="NOT",LEFT(AF3,4)="LIKE",LEFT(AF3,1)="&lt;",LEFT(AF3,1)="&gt;"),UPPER($BK$1)&amp;" "&amp;TRIM(AF3),UPPER($BK$1)&amp;" = "&amp;TRIM(AF3)),"")</f>
        <v/>
      </c>
      <c r="BL3" t="str">
        <f>+IF(LEN(TRIM(AG3))&gt;0,
IF(OR(LEFT(AG3,2)="IN",LEFT(AG3,3)="NOT",LEFT(AG3,4)="LIKE",LEFT(AG3,1)="&lt;",LEFT(AG3,1)="&gt;"),UPPER($BL$1)&amp;" "&amp;TRIM(AG3),UPPER($BL$1)&amp;" = "&amp;TRIM(AG3)),"")</f>
        <v/>
      </c>
      <c r="BM3" t="str">
        <f>+IF(LEN(TRIM(AH3))&gt;0,
IF(OR(LEFT(AH3,2)="IN",LEFT(AH3,3)="NOT",LEFT(AH3,4)="LIKE",LEFT(AH3,1)="&lt;",LEFT(AH3,1)="&gt;"),UPPER($BM$1)&amp;" "&amp;TRIM(AH3),UPPER($BM$1)&amp;" = "&amp;TRIM(AH3)),"")</f>
        <v/>
      </c>
      <c r="BN3" t="str">
        <f>+IF(LEN(TRIM(AI3))&gt;0,
IF(OR(LEFT(AI3,2)="IN",LEFT(AI3,3)="NOT",LEFT(AI3,4)="LIKE",LEFT(AI3,1)="&lt;",LEFT(AI3,1)="&gt;"),UPPER($BN$1)&amp;" "&amp;TRIM(AI3),UPPER($BN$1)&amp;" = "&amp;TRIM(AI3)),"")</f>
        <v/>
      </c>
      <c r="BO3" t="str">
        <f>+IF(LEN(TRIM(AJ3))&gt;0,
IF(OR(LEFT(AJ3,2)="IN",LEFT(AJ3,3)="NOT",LEFT(AJ3,4)="LIKE",LEFT(AJ3,1)="&lt;",LEFT(AJ3,1)="&gt;"),UPPER($BO$1)&amp;" "&amp;TRIM(AJ3),UPPER($BO$1)&amp;" = "&amp;TRIM(AJ3)),"")</f>
        <v/>
      </c>
      <c r="BP3" t="str">
        <f>+IF(LEN(TRIM(AK3))&gt;0,
IF(OR(LEFT(AK3,2)="IN",LEFT(AK3,3)="NOT",LEFT(AK3,4)="LIKE",LEFT(AK3,1)="&lt;",LEFT(AK3,1)="&gt;"),UPPER($BP$1)&amp;" "&amp;TRIM(AK3),UPPER($BP$1)&amp;" = "&amp;TRIM(AK3)),"")</f>
        <v/>
      </c>
      <c r="BQ3" t="str">
        <f>+IF(LEN(TRIM(AL3))&gt;0,
IF(OR(LEFT(AL3,2)="IN",LEFT(AL3,3)="NOT",LEFT(AL3,4)="LIKE",LEFT(AL3,1)="&lt;",LEFT(AL3,1)="&gt;"),UPPER($BQ$1)&amp;" "&amp;TRIM(AL3),UPPER($BQ$1)&amp;" = "&amp;TRIM(AL3)),"")</f>
        <v xml:space="preserve"> AND TRIM(NOME_CTGR_SFICS) IN ('A.3.2.','A.3.3.','A.3.4.','A.3.5.','A.3.6.')</v>
      </c>
      <c r="BR3" t="str">
        <f>+"WHEN "&amp;CONCATENATE(AT3,AU3,AV3,AW3,AX3,AY3,AZ3,BA3,BB3,BC3,BD3,BE3,BF3,BG3,BH3,BI3,BJ3,BK3,BL3,BM3,BN3,BO3,BP3,BQ3)&amp;" THEN "&amp;IF(LEN(TRIM(AM3))&gt;0,AM3,"'Nao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S3" t="str">
        <f>+"WHEN "&amp;CONCATENATE(AT3,AU3,AV3,AW3,AX3,AY3,AZ3,BA3,BB3,BC3,BD3,BE3,BF3,BG3,BH3,BI3,BJ3,BK3,BL3,BM3,BN3,BO3,BP3,BQ3)&amp;" THEN "&amp;IF(LEN(TRIM(AN3))&gt;0,AN3,"'Nao Aplicavel'")</f>
        <v>WHEN  AND TRIM(CONTRAPARTE) IN('outras empresas nao financeiras') AND TRIM(PRDT_SPRDT) IN ('096HGP','0960H8','096065') AND FLG_CSRD = 0 AND TRIM(NOME_CTGR_SFICS) IN ('A.3.2.','A.3.3.','A.3.4.','A.3.5.','A.3.6.') THEN 'Nao Aplicavel'</v>
      </c>
      <c r="BT3" t="str">
        <f>+"WHEN "&amp;CONCATENATE(AT3,AU3,AV3,AW3,AX3,AY3,AZ3,BA3,BB3,BC3,BD3,BE3,BF3,BG3,BH3,BI3,BJ3,BK3,BL3,BM3,BN3,BO3,BP3,BQ3)&amp;" THEN "&amp;IF(LEN(TRIM(AO3))&gt;0,AO3,"'Nao Aplicavel'")</f>
        <v>WHEN  AND TRIM(CONTRAPARTE) IN('outras empresas nao financeiras') AND TRIM(PRDT_SPRDT) IN ('096HGP','0960H8','096065') AND FLG_CSRD = 0 AND TRIM(NOME_CTGR_SFICS) IN ('A.3.2.','A.3.3.','A.3.4.','A.3.5.','A.3.6.') THEN 'Building renovation loans'</v>
      </c>
      <c r="BU3" t="str">
        <f>+"WHEN "&amp;CONCATENATE(AT3,AU3,AV3,AW3,AX3,AY3,AZ3,BA3,BB3,BC3,BD3,BE3,BF3,BG3,BH3,BI3,BJ3,BK3,BL3,BM3,BN3,BO3,BP3,BQ3)&amp;" THEN "&amp;IF(LEN(TRIM(AP3))&gt;0,AP3,"'Nao Aplicavel'")</f>
        <v>WHEN  AND TRIM(CONTRAPARTE) IN('outras empresas nao financeiras') AND TRIM(PRDT_SPRDT) IN ('096HGP','0960H8','096065') AND FLG_CSRD = 0 AND TRIM(NOME_CTGR_SFICS) IN ('A.3.2.','A.3.3.','A.3.4.','A.3.5.','A.3.6.') THEN 'Specific purpose'</v>
      </c>
      <c r="BV3" t="str">
        <f>+"WHEN "&amp;CONCATENATE(AT3,AU3,AV3,AW3,AX3,AY3,AZ3,BA3,BB3,BC3,BD3,BE3,BF3,BG3,BH3,BI3,BJ3,BK3,BL3,BM3,BN3,BO3,BP3,BQ3)&amp;" THEN "&amp;IF(LEN(TRIM(AQ3))&gt;0,AQ3,"'Nao Aplicavel'")</f>
        <v>WHEN  AND TRIM(CONTRAPARTE) IN('outras empresas nao financeiras') AND TRIM(PRDT_SPRDT) IN ('096HGP','0960H8','096065') AND FLG_CSRD = 0 AND TRIM(NOME_CTGR_SFICS) IN ('A.3.2.','A.3.3.','A.3.4.','A.3.5.','A.3.6.') THEN 'CCM'</v>
      </c>
      <c r="BW3" t="str">
        <f>+"WHEN "&amp;CONCATENATE(AT3,AU3,AV3,AW3,AX3,AY3,AZ3,BA3,BB3,BC3,BD3,BE3,BF3,BG3,BH3,BI3,BJ3,BK3,BL3,BM3,BN3,BO3,BP3,BQ3)&amp;" THEN "&amp;IF(LEN(TRIM(AR3))&gt;0,AR3,"'Nao Aplicavel'")</f>
        <v>WHEN  AND TRIM(CONTRAPARTE) IN('outras empresas nao financeiras') AND TRIM(PRDT_SPRDT) IN ('096HGP','0960H8','096065') AND FLG_CSRD = 0 AND TRIM(NOME_CTGR_SFICS) IN ('A.3.2.','A.3.3.','A.3.4.','A.3.5.','A.3.6.') THEN 'Enabling'</v>
      </c>
      <c r="BX3" t="str">
        <f>+",CASE WHEN "&amp;CONCATENATE(AT3,AU3,AV3,AW3,AX3,AY3,AZ3,BA3,BB3,BC3,BD3,BE3,BF3,BG3,BH3,BI3,BJ3,BK3,BL3,BM3,BN3,BO3,BP3,BQ3)&amp;" THEN 1 ELSE 0 END AS FLAG_"&amp;A3</f>
        <v>,CASE WHEN  AND TRIM(CONTRAPARTE) IN('outras empresas nao financeiras') AND TRIM(PRDT_SPRDT) IN ('096HGP','0960H8','096065') AND FLG_CSRD = 0 AND TRIM(NOME_CTGR_SFICS) IN ('A.3.2.','A.3.3.','A.3.4.','A.3.5.','A.3.6.') THEN 1 ELSE 0 END AS FLAG_1</v>
      </c>
      <c r="BY3" t="str">
        <f>+"WHEN "&amp;CONCATENATE(AT3,AU3,AV3,AW3,AX3,AY3,AZ3,BA3,BB3,BC3,BD3,BE3,BF3,BG3,BH3,BI3,BJ3,BK3,BL3,BM3,BN3,BO3,BP3,BQ3)&amp;" THEN "&amp;A3</f>
        <v>WHEN  AND TRIM(CONTRAPARTE) IN('outras empresas nao financeiras') AND TRIM(PRDT_SPRDT) IN ('096HGP','0960H8','096065') AND FLG_CSRD = 0 AND TRIM(NOME_CTGR_SFICS) IN ('A.3.2.','A.3.3.','A.3.4.','A.3.5.','A.3.6.') THEN 1</v>
      </c>
      <c r="BZ3" s="5" t="str">
        <f>+"+ CASE WHEN "&amp;CONCATENATE(AT3,AU3,AV3,AW3,AX3,AY3,AZ3,BA3,BB3,BC3,BD3,BE3,BF3,BG3,BH3,BI3,BJ3,BK3,BL3,BM3,BN3,BO3,BP3,BQ3)&amp;" THEN 1 ELSE 0 END"</f>
        <v>+ CASE WHEN  AND TRIM(CONTRAPARTE) IN('outras empresas nao financeiras') AND TRIM(PRDT_SPRDT) IN ('096HGP','0960H8','096065') AND FLG_CSRD = 0 AND TRIM(NOME_CTGR_SFICS) IN ('A.3.2.','A.3.3.','A.3.4.','A.3.5.','A.3.6.') THEN 1 ELSE 0 END</v>
      </c>
      <c r="CA3" s="5" t="str">
        <f>+",FLAG_"&amp;A3</f>
        <v>,FLAG_1</v>
      </c>
    </row>
    <row r="4" spans="1:79" hidden="1" x14ac:dyDescent="0.25">
      <c r="A4" s="31">
        <f>+A3+1</f>
        <v>2</v>
      </c>
      <c r="B4" s="1" t="s">
        <v>1574</v>
      </c>
      <c r="C4" s="1">
        <v>6</v>
      </c>
      <c r="D4" s="1" t="s">
        <v>1585</v>
      </c>
      <c r="E4" s="1" t="s">
        <v>1590</v>
      </c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1595</v>
      </c>
      <c r="Q4" s="1"/>
      <c r="R4" s="1"/>
      <c r="S4" s="1"/>
      <c r="T4" s="1" t="s">
        <v>1596</v>
      </c>
      <c r="U4" s="1"/>
      <c r="V4" s="1"/>
      <c r="W4" s="1"/>
      <c r="X4" s="1" t="s">
        <v>1587</v>
      </c>
      <c r="Y4" s="1" t="s">
        <v>1552</v>
      </c>
      <c r="Z4" s="1"/>
      <c r="AA4" s="1"/>
      <c r="AB4" s="1"/>
      <c r="AC4" s="1"/>
      <c r="AD4" s="1"/>
      <c r="AE4" s="1"/>
      <c r="AF4" s="1" t="s">
        <v>1597</v>
      </c>
      <c r="AG4" s="1"/>
      <c r="AH4" s="1"/>
      <c r="AI4" s="1"/>
      <c r="AJ4" s="1"/>
      <c r="AK4" s="1"/>
      <c r="AL4" s="1" t="s">
        <v>1598</v>
      </c>
      <c r="AM4" s="1"/>
      <c r="AN4" s="1"/>
      <c r="AO4" s="1" t="s">
        <v>1592</v>
      </c>
      <c r="AP4" s="1" t="s">
        <v>1580</v>
      </c>
      <c r="AQ4" s="1" t="s">
        <v>1581</v>
      </c>
      <c r="AR4" s="1" t="s">
        <v>1599</v>
      </c>
      <c r="AS4" s="5" t="s">
        <v>1670</v>
      </c>
      <c r="AT4" t="str">
        <f t="shared" ref="AT4:AT67" si="2">+IF(LEN(TRIM(O4))&gt;0,
IF(OR(LEFT(O4,2)="IN",LEFT(O4,3)="NOT",LEFT(O4,4)="LIKE",LEFT(O4,1)="&lt;",LEFT(O4,1)="&gt;"),UPPER($AT$1)&amp;" "&amp;TRIM(O4),UPPER($AT$1)&amp;" = "&amp;TRIM(O4)),"")</f>
        <v/>
      </c>
      <c r="AU4" t="str">
        <f t="shared" ref="AU4:AU67" si="3">+IF(LEN(TRIM(P4))&gt;0,
IF(OR(LEFT(P4,2)="IN",LEFT(P4,3)="NOT",LEFT(P4,4)="LIKE",LEFT(P4,1)="&lt;",LEFT(P4,1)="&gt;"),UPPER($AU$1)&amp;" "&amp;TRIM(P4),UPPER($AU$1)&amp;" = "&amp;TRIM(P4)),"")</f>
        <v xml:space="preserve"> AND TRIM(CKPRODMI) IN ('000042','000045','000051','000053')</v>
      </c>
      <c r="AV4" t="str">
        <f t="shared" ref="AV4:AV67" si="4">+IF(LEN(TRIM(Q4))&gt;0,
IF(OR(LEFT(Q4,2)="IN",LEFT(Q4,3)="NOT",LEFT(Q4,4)="LIKE",LEFT(Q4,1)="&lt;",LEFT(Q4,1)="&gt;"),UPPER($AV$1)&amp;" "&amp;TRIM(Q4),UPPER($AV$1)&amp;" = "&amp;TRIM(Q4)),"")</f>
        <v/>
      </c>
      <c r="AW4" t="str">
        <f t="shared" ref="AW4:AW67" si="5">+IF(LEN(TRIM(R4))&gt;0,
IF(OR(LEFT(R4,2)="IN",LEFT(R4,3)="NOT",LEFT(R4,4)="LIKE",LEFT(R4,1)="&lt;",LEFT(R4,1)="&gt;"),UPPER($AW$1)&amp;" "&amp;TRIM(R4),UPPER($AW$1)&amp;" = "&amp;TRIM(R4)),"")</f>
        <v/>
      </c>
      <c r="AX4" t="str">
        <f t="shared" ref="AX4:AX67" si="6">+IF(LEN(TRIM(S4))&gt;0,
IF(OR(LEFT(S4,2)="IN",LEFT(S4,3)="NOT",LEFT(S4,4)="LIKE",LEFT(S4,1)="&lt;",LEFT(S4,1)="&gt;"),UPPER($AX$1)&amp;" "&amp;TRIM(S4),UPPER($AX$1)&amp;" = "&amp;TRIM(S4)),"")</f>
        <v/>
      </c>
      <c r="AY4" t="str">
        <f t="shared" ref="AY4:AY67" si="7">+IF(LEN(TRIM(T4))&gt;0,
IF(OR(LEFT(T4,2)="IN",LEFT(T4,3)="NOT",LEFT(T4,4)="LIKE",LEFT(T4,1)="&lt;",LEFT(T4,1)="&gt;"),UPPER($AY$1)&amp;" "&amp;TRIM(T4),UPPER($AY$1)&amp;" = "&amp;TRIM(T4)),"")</f>
        <v xml:space="preserve"> AND TRIM(CONTRAPARTE) = 'outras empresas nao financeiras'</v>
      </c>
      <c r="AZ4" t="str">
        <f t="shared" ref="AZ4:AZ67" si="8">+IF(LEN(TRIM(U4))&gt;0,
IF(OR(LEFT(U4,2)="IN",LEFT(U4,3)="NOT",LEFT(U4,4)="LIKE",LEFT(U4,1)="&lt;",LEFT(U4,1)="&gt;"),UPPER($AZ$1)&amp;" "&amp;TRIM(U4),UPPER($AZ$1)&amp;" = "&amp;TRIM(U4)),"")</f>
        <v/>
      </c>
      <c r="BA4" t="str">
        <f t="shared" ref="BA4:BA67" si="9">+IF(LEN(TRIM(V4))&gt;0,
IF(OR(LEFT(V4,2)="IN",LEFT(V4,3)="NOT",LEFT(V4,4)="LIKE",LEFT(V4,1)="&lt;",LEFT(V4,1)="&gt;"),UPPER($BA$1)&amp;" "&amp;TRIM(V4),UPPER($BA$1)&amp;" = "&amp;TRIM(V4)),"")</f>
        <v/>
      </c>
      <c r="BB4" t="str">
        <f t="shared" ref="BB4:BB67" si="10">+IF(LEN(TRIM(W4))&gt;0,
IF(OR(LEFT(W4,2)="IN",LEFT(W4,3)="NOT",LEFT(W4,4)="LIKE",LEFT(W4,1)="&lt;",LEFT(W4,1)="&gt;"),UPPER($BB$1)&amp;" "&amp;TRIM(W4),UPPER($BB$1)&amp;" = "&amp;TRIM(W4)),"")</f>
        <v/>
      </c>
      <c r="BC4" t="str">
        <f t="shared" ref="BC4:BC67" si="11">+IF(LEN(TRIM(X4))&gt;0,
IF(OR(LEFT(X4,2)="IN",LEFT(X4,3)="NOT",LEFT(X4,4)="LIKE",LEFT(X4,1)="&lt;",LEFT(X4,1)="&gt;"),UPPER($BC$1)&amp;" "&amp;TRIM(X4),UPPER($BC$1)&amp;" = "&amp;TRIM(X4)),"")</f>
        <v xml:space="preserve"> AND FLG_CSRD = 0</v>
      </c>
      <c r="BD4" t="str">
        <f t="shared" ref="BD4:BD67" si="12">+IF(LEN(TRIM(Y4))&gt;0,
IF(OR(LEFT(Y4,2)="IN",LEFT(Y4,3)="NOT",LEFT(Y4,4)="LIKE",LEFT(Y4,1)="&lt;",LEFT(Y4,1)="&gt;"),UPPER($BD$1)&amp;" "&amp;TRIM(Y4),UPPER($BD$1)&amp;" = "&amp;TRIM(Y4)),"")</f>
        <v xml:space="preserve"> AND TRIM(COMBUSTIVEL) = 'ELECTRICO'</v>
      </c>
      <c r="BE4" t="str">
        <f t="shared" ref="BE4:BE67" si="13">+IF(LEN(TRIM(Z4))&gt;0,
IF(OR(LEFT(Z4,2)="IN",LEFT(Z4,3)="NOT",LEFT(Z4,4)="LIKE",LEFT(Z4,1)="&lt;",LEFT(Z4,1)="&gt;",LEFT(Z4,1)="="),UPPER($BE$1)&amp;" "&amp;TRIM(Z4),UPPER($BE$1)&amp;" = "&amp;TRIM(Z4)),"")</f>
        <v/>
      </c>
      <c r="BF4" t="str">
        <f t="shared" ref="BF4:BF67" si="14">+IF(LEN(TRIM(AA4))&gt;0,
IF(OR(LEFT(AA4,2)="IN",LEFT(AA4,3)="NOT",LEFT(AA4,4)="LIKE",LEFT(AA4,1)="&lt;",LEFT(AA4,1)="&gt;"),UPPER($BF$1)&amp;" "&amp;TRIM(AA4),UPPER($BF$1)&amp;" = "&amp;TRIM(AA4)),"")</f>
        <v/>
      </c>
      <c r="BG4" t="str">
        <f t="shared" ref="BG4:BG67" si="15">+IF(LEN(TRIM(AB4))&gt;0,
IF(OR(LEFT(AB4,2)="IN",LEFT(AB4,3)="NOT",LEFT(AB4,4)="LIKE",LEFT(AB4,1)="&lt;",LEFT(AB4,1)="&gt;"),UPPER($BG$1)&amp;" "&amp;TRIM(AB4),UPPER($BG$1)&amp;" = "&amp;TRIM(AB4)),"")</f>
        <v/>
      </c>
      <c r="BH4" t="str">
        <f t="shared" ref="BH4:BH67" si="16">+IF(LEN(TRIM(AC4))&gt;0,
IF(OR(LEFT(AC4,2)="IN",LEFT(AC4,3)="NOT",LEFT(AC4,4)="LIKE",LEFT(AC4,1)="&lt;",LEFT(AC4,1)="&gt;"),UPPER($BH$1)&amp;" "&amp;TRIM(AC4),UPPER($BH$1)&amp;" = "&amp;TRIM(AC4)),"")</f>
        <v/>
      </c>
      <c r="BI4" t="str">
        <f t="shared" ref="BI4:BI67" si="17">+IF(LEN(TRIM(AD4))&gt;0,
IF(OR(LEFT(AD4,2)="IN",LEFT(AD4,3)="NOT",LEFT(AD4,4)="LIKE",LEFT(AD4,1)="&lt;",LEFT(AD4,1)="&gt;"),UPPER($BI$1)&amp;" "&amp;TRIM(AD4),UPPER($BI$1)&amp;" = "&amp;TRIM(AD4)),"")</f>
        <v/>
      </c>
      <c r="BJ4" t="str">
        <f t="shared" ref="BJ4:BJ67" si="18">+IF(LEN(TRIM(AE4))&gt;0,
IF(OR(LEFT(AE4,2)="IN",LEFT(AE4,3)="NOT",LEFT(AE4,4)="LIKE",LEFT(AE4,1)="&lt;",LEFT(AE4,1)="&gt;"),UPPER($BJ$1)&amp;" "&amp;TRIM(AE4),UPPER($BJ$1)&amp;" = "&amp;TRIM(AE4)),"")</f>
        <v/>
      </c>
      <c r="BK4" t="str">
        <f t="shared" ref="BK4:BK67" si="19">+IF(LEN(TRIM(AF4))&gt;0,
IF(OR(LEFT(AF4,2)="IN",LEFT(AF4,3)="NOT",LEFT(AF4,4)="LIKE",LEFT(AF4,1)="&lt;",LEFT(AF4,1)="&gt;"),UPPER($BK$1)&amp;" "&amp;TRIM(AF4),UPPER($BK$1)&amp;" = "&amp;TRIM(AF4)),"")</f>
        <v xml:space="preserve"> AND TRIM(TIPO_EQP) IN ('141','241','251','252','253','254','255','256','257')</v>
      </c>
      <c r="BL4" t="str">
        <f t="shared" ref="BL4:BL67" si="20">+IF(LEN(TRIM(AG4))&gt;0,
IF(OR(LEFT(AG4,2)="IN",LEFT(AG4,3)="NOT",LEFT(AG4,4)="LIKE",LEFT(AG4,1)="&lt;",LEFT(AG4,1)="&gt;"),UPPER($BL$1)&amp;" "&amp;TRIM(AG4),UPPER($BL$1)&amp;" = "&amp;TRIM(AG4)),"")</f>
        <v/>
      </c>
      <c r="BM4" t="str">
        <f t="shared" ref="BM4:BM67" si="21">+IF(LEN(TRIM(AH4))&gt;0,
IF(OR(LEFT(AH4,2)="IN",LEFT(AH4,3)="NOT",LEFT(AH4,4)="LIKE",LEFT(AH4,1)="&lt;",LEFT(AH4,1)="&gt;"),UPPER($BM$1)&amp;" "&amp;TRIM(AH4),UPPER($BM$1)&amp;" = "&amp;TRIM(AH4)),"")</f>
        <v/>
      </c>
      <c r="BN4" t="str">
        <f t="shared" ref="BN4:BN67" si="22">+IF(LEN(TRIM(AI4))&gt;0,
IF(OR(LEFT(AI4,2)="IN",LEFT(AI4,3)="NOT",LEFT(AI4,4)="LIKE",LEFT(AI4,1)="&lt;",LEFT(AI4,1)="&gt;"),UPPER($BN$1)&amp;" "&amp;TRIM(AI4),UPPER($BN$1)&amp;" = "&amp;TRIM(AI4)),"")</f>
        <v/>
      </c>
      <c r="BO4" t="str">
        <f t="shared" ref="BO4:BO67" si="23">+IF(LEN(TRIM(AJ4))&gt;0,
IF(OR(LEFT(AJ4,2)="IN",LEFT(AJ4,3)="NOT",LEFT(AJ4,4)="LIKE",LEFT(AJ4,1)="&lt;",LEFT(AJ4,1)="&gt;"),UPPER($BO$1)&amp;" "&amp;TRIM(AJ4),UPPER($BO$1)&amp;" = "&amp;TRIM(AJ4)),"")</f>
        <v/>
      </c>
      <c r="BP4" t="str">
        <f t="shared" ref="BP4:BP67" si="24">+IF(LEN(TRIM(AK4))&gt;0,
IF(OR(LEFT(AK4,2)="IN",LEFT(AK4,3)="NOT",LEFT(AK4,4)="LIKE",LEFT(AK4,1)="&lt;",LEFT(AK4,1)="&gt;"),UPPER($BP$1)&amp;" "&amp;TRIM(AK4),UPPER($BP$1)&amp;" = "&amp;TRIM(AK4)),"")</f>
        <v/>
      </c>
      <c r="BQ4" t="str">
        <f t="shared" ref="BQ4:BQ67" si="25">+IF(LEN(TRIM(AL4))&gt;0,
IF(OR(LEFT(AL4,2)="IN",LEFT(AL4,3)="NOT",LEFT(AL4,4)="LIKE",LEFT(AL4,1)="&lt;",LEFT(AL4,1)="&gt;"),UPPER($BQ$1)&amp;" "&amp;TRIM(AL4),UPPER($BQ$1)&amp;" = "&amp;TRIM(AL4)),"")</f>
        <v xml:space="preserve"> AND TRIM(NOME_CTGR_SFICS) = 'A.2.'</v>
      </c>
      <c r="BS4" t="str">
        <f t="shared" ref="BS4:BS67" si="26">+"WHEN "&amp;CONCATENATE(AT4,AU4,AV4,AW4,AX4,AY4,AZ4,BA4,BB4,BC4,BD4,BE4,BF4,BG4,BH4,BI4,BJ4,BK4,BL4,BM4,BN4,BO4,BP4,BQ4)&amp;" THEN "&amp;IF(LEN(TRIM(AN4))&gt;0,AN4,"'Nao Aplicavel'")</f>
        <v>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'Nao Aplicavel'</v>
      </c>
      <c r="BT4" t="str">
        <f t="shared" ref="BT4:BT67" si="27">+"WHEN "&amp;CONCATENATE(AT4,AU4,AV4,AW4,AX4,AY4,AZ4,BA4,BB4,BC4,BD4,BE4,BF4,BG4,BH4,BI4,BJ4,BK4,BL4,BM4,BN4,BO4,BP4,BQ4)&amp;" THEN "&amp;IF(LEN(TRIM(AO4))&gt;0,AO4,"'Nao Aplicavel'")</f>
        <v>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'Motor vehicle loans'</v>
      </c>
      <c r="BU4" t="str">
        <f t="shared" ref="BU4:BU67" si="28">+"WHEN "&amp;CONCATENATE(AT4,AU4,AV4,AW4,AX4,AY4,AZ4,BA4,BB4,BC4,BD4,BE4,BF4,BG4,BH4,BI4,BJ4,BK4,BL4,BM4,BN4,BO4,BP4,BQ4)&amp;" THEN "&amp;IF(LEN(TRIM(AP4))&gt;0,AP4,"'Nao Aplicavel'")</f>
        <v>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'Specific purpose'</v>
      </c>
      <c r="BV4" t="str">
        <f t="shared" ref="BV4:BV67" si="29">+"WHEN "&amp;CONCATENATE(AT4,AU4,AV4,AW4,AX4,AY4,AZ4,BA4,BB4,BC4,BD4,BE4,BF4,BG4,BH4,BI4,BJ4,BK4,BL4,BM4,BN4,BO4,BP4,BQ4)&amp;" THEN "&amp;IF(LEN(TRIM(AQ4))&gt;0,AQ4,"'Nao Aplicavel'")</f>
        <v>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'CCM'</v>
      </c>
      <c r="BW4" t="str">
        <f t="shared" ref="BW4:BW67" si="30">+"WHEN "&amp;CONCATENATE(AT4,AU4,AV4,AW4,AX4,AY4,AZ4,BA4,BB4,BC4,BD4,BE4,BF4,BG4,BH4,BI4,BJ4,BK4,BL4,BM4,BN4,BO4,BP4,BQ4)&amp;" THEN "&amp;IF(LEN(TRIM(AR4))&gt;0,AR4,"'Nao Aplicavel'")</f>
        <v>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'Transitional'</v>
      </c>
      <c r="BX4" t="str">
        <f t="shared" ref="BX4:BX67" si="31">+",CASE WHEN "&amp;CONCATENATE(AT4,AU4,AV4,AW4,AX4,AY4,AZ4,BA4,BB4,BC4,BD4,BE4,BF4,BG4,BH4,BI4,BJ4,BK4,BL4,BM4,BN4,BO4,BP4,BQ4)&amp;" THEN 1 ELSE 0 END AS FLAG_"&amp;A4</f>
        <v>,CASE 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1 ELSE 0 END AS FLAG_2</v>
      </c>
      <c r="BY4" t="str">
        <f t="shared" ref="BY4:BY67" si="32">+"WHEN "&amp;CONCATENATE(AT4,AU4,AV4,AW4,AX4,AY4,AZ4,BA4,BB4,BC4,BD4,BE4,BF4,BG4,BH4,BI4,BJ4,BK4,BL4,BM4,BN4,BO4,BP4,BQ4)&amp;" THEN "&amp;A4</f>
        <v>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2</v>
      </c>
      <c r="BZ4" s="5" t="str">
        <f t="shared" ref="BZ4:BZ67" si="33">+"+ CASE WHEN "&amp;CONCATENATE(AT4,AU4,AV4,AW4,AX4,AY4,AZ4,BA4,BB4,BC4,BD4,BE4,BF4,BG4,BH4,BI4,BJ4,BK4,BL4,BM4,BN4,BO4,BP4,BQ4)&amp;" THEN 1 ELSE 0 END"</f>
        <v>+ CASE WHEN  AND TRIM(CKPRODMI) IN ('000042','000045','000051','000053') AND TRIM(CONTRAPARTE) = 'outras empresas nao financeiras' AND FLG_CSRD = 0 AND TRIM(COMBUSTIVEL) = 'ELECTRICO' AND TRIM(TIPO_EQP) IN ('141','241','251','252','253','254','255','256','257') AND TRIM(NOME_CTGR_SFICS) = 'A.2.' THEN 1 ELSE 0 END</v>
      </c>
      <c r="CA4" s="5" t="str">
        <f t="shared" ref="CA4:CA67" si="34">+",FLAG_"&amp;A4</f>
        <v>,FLAG_2</v>
      </c>
    </row>
    <row r="5" spans="1:79" hidden="1" x14ac:dyDescent="0.25">
      <c r="A5" s="31">
        <f t="shared" ref="A5:A68" si="35">+A4+1</f>
        <v>3</v>
      </c>
      <c r="B5" s="1" t="s">
        <v>1574</v>
      </c>
      <c r="C5" s="1">
        <v>7</v>
      </c>
      <c r="D5" s="1" t="s">
        <v>1585</v>
      </c>
      <c r="E5" s="1" t="s">
        <v>1590</v>
      </c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1595</v>
      </c>
      <c r="Q5" s="1"/>
      <c r="R5" s="1"/>
      <c r="S5" s="1"/>
      <c r="T5" s="1" t="s">
        <v>1596</v>
      </c>
      <c r="U5" s="1"/>
      <c r="V5" s="1"/>
      <c r="W5" s="1"/>
      <c r="X5" s="1" t="s">
        <v>1587</v>
      </c>
      <c r="Y5" s="1" t="s">
        <v>1600</v>
      </c>
      <c r="Z5" s="1" t="s">
        <v>1601</v>
      </c>
      <c r="AA5" s="1"/>
      <c r="AB5" s="1"/>
      <c r="AC5" s="1"/>
      <c r="AD5" s="1"/>
      <c r="AE5" s="1"/>
      <c r="AF5" s="1" t="s">
        <v>1597</v>
      </c>
      <c r="AG5" s="1"/>
      <c r="AH5" s="1"/>
      <c r="AI5" s="1"/>
      <c r="AJ5" s="1"/>
      <c r="AK5" s="1"/>
      <c r="AL5" s="1" t="s">
        <v>1598</v>
      </c>
      <c r="AM5" s="1"/>
      <c r="AN5" s="1"/>
      <c r="AO5" s="1" t="s">
        <v>1592</v>
      </c>
      <c r="AP5" s="1" t="s">
        <v>1580</v>
      </c>
      <c r="AQ5" s="1" t="s">
        <v>1581</v>
      </c>
      <c r="AR5" s="1" t="s">
        <v>1599</v>
      </c>
      <c r="AS5" s="5" t="s">
        <v>1670</v>
      </c>
      <c r="AT5" t="str">
        <f t="shared" si="2"/>
        <v/>
      </c>
      <c r="AU5" t="str">
        <f t="shared" si="3"/>
        <v xml:space="preserve"> AND TRIM(CKPRODMI) IN ('000042','000045','000051','000053')</v>
      </c>
      <c r="AV5" t="str">
        <f t="shared" si="4"/>
        <v/>
      </c>
      <c r="AW5" t="str">
        <f t="shared" si="5"/>
        <v/>
      </c>
      <c r="AX5" t="str">
        <f t="shared" si="6"/>
        <v/>
      </c>
      <c r="AY5" t="str">
        <f t="shared" si="7"/>
        <v xml:space="preserve"> AND TRIM(CONTRAPARTE) = 'outras empresas nao financeiras'</v>
      </c>
      <c r="AZ5" t="str">
        <f t="shared" si="8"/>
        <v/>
      </c>
      <c r="BA5" t="str">
        <f t="shared" si="9"/>
        <v/>
      </c>
      <c r="BB5" t="str">
        <f t="shared" si="10"/>
        <v/>
      </c>
      <c r="BC5" t="str">
        <f t="shared" si="11"/>
        <v xml:space="preserve"> AND FLG_CSRD = 0</v>
      </c>
      <c r="BD5" t="str">
        <f t="shared" si="12"/>
        <v xml:space="preserve"> AND TRIM(COMBUSTIVEL) IN ('HIBRIDO', 'HIBRIDO/GASOLINA', 'HIBRIDO/GASOLEO','GASOLINA','GASOLEO','GAZ')</v>
      </c>
      <c r="BE5" s="9" t="s">
        <v>2511</v>
      </c>
      <c r="BF5" t="str">
        <f t="shared" si="14"/>
        <v/>
      </c>
      <c r="BG5" t="str">
        <f t="shared" si="15"/>
        <v/>
      </c>
      <c r="BH5" t="str">
        <f t="shared" si="16"/>
        <v/>
      </c>
      <c r="BI5" t="str">
        <f t="shared" si="17"/>
        <v/>
      </c>
      <c r="BJ5" t="str">
        <f t="shared" si="18"/>
        <v/>
      </c>
      <c r="BK5" t="str">
        <f t="shared" si="19"/>
        <v xml:space="preserve"> AND TRIM(TIPO_EQP) IN ('141','241','251','252','253','254','255','256','257')</v>
      </c>
      <c r="BL5" t="str">
        <f t="shared" si="20"/>
        <v/>
      </c>
      <c r="BM5" t="str">
        <f t="shared" si="21"/>
        <v/>
      </c>
      <c r="BN5" t="str">
        <f t="shared" si="22"/>
        <v/>
      </c>
      <c r="BO5" t="str">
        <f t="shared" si="23"/>
        <v/>
      </c>
      <c r="BP5" t="str">
        <f t="shared" si="24"/>
        <v/>
      </c>
      <c r="BQ5" t="str">
        <f t="shared" si="25"/>
        <v xml:space="preserve"> AND TRIM(NOME_CTGR_SFICS) = 'A.2.'</v>
      </c>
      <c r="BS5" t="str">
        <f t="shared" si="26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'Nao Aplicavel'</v>
      </c>
      <c r="BT5" t="str">
        <f t="shared" si="27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'Motor vehicle loans'</v>
      </c>
      <c r="BU5" t="str">
        <f t="shared" si="28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'Specific purpose'</v>
      </c>
      <c r="BV5" t="str">
        <f t="shared" si="29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'CCM'</v>
      </c>
      <c r="BW5" t="str">
        <f t="shared" si="30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'Transitional'</v>
      </c>
      <c r="BX5" t="str">
        <f t="shared" si="31"/>
        <v>,CASE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1 ELSE 0 END AS FLAG_3</v>
      </c>
      <c r="BY5" t="str">
        <f t="shared" si="32"/>
        <v>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3</v>
      </c>
      <c r="BZ5" s="5" t="str">
        <f t="shared" si="33"/>
        <v>+ CASE WHEN  AND TRIM(CKPRODMI) IN ('000042','000045','000051','000053') AND TRIM(CONTRAPARTE) = 'outras empresas nao financeiras' AND FLG_CSRD = 0 AND TRIM(COMBUSTIVEL) IN ('HIBRIDO', 'HIBRIDO/GASOLINA', 'HIBRIDO/GASOLEO','GASOLINA','GASOLEO','GAZ') AND CO2_MOD &lt;50 AND CO2_MOD IS NOT NULL AND TRIM(TIPO_EQP) IN ('141','241','251','252','253','254','255','256','257') AND TRIM(NOME_CTGR_SFICS) = 'A.2.' THEN 1 ELSE 0 END</v>
      </c>
      <c r="CA5" s="5" t="str">
        <f t="shared" si="34"/>
        <v>,FLAG_3</v>
      </c>
    </row>
    <row r="6" spans="1:79" hidden="1" x14ac:dyDescent="0.25">
      <c r="A6" s="31">
        <f t="shared" si="35"/>
        <v>4</v>
      </c>
      <c r="B6" s="1" t="s">
        <v>1574</v>
      </c>
      <c r="C6" s="1">
        <v>8</v>
      </c>
      <c r="D6" s="1" t="s">
        <v>1585</v>
      </c>
      <c r="E6" s="1" t="s">
        <v>1590</v>
      </c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1595</v>
      </c>
      <c r="Q6" s="1"/>
      <c r="R6" s="1"/>
      <c r="S6" s="1"/>
      <c r="T6" s="1" t="s">
        <v>1596</v>
      </c>
      <c r="U6" s="1"/>
      <c r="V6" s="1"/>
      <c r="W6" s="1"/>
      <c r="X6" s="1" t="s">
        <v>1587</v>
      </c>
      <c r="Y6" s="1"/>
      <c r="Z6" s="1" t="s">
        <v>1602</v>
      </c>
      <c r="AA6" s="1"/>
      <c r="AB6" s="1"/>
      <c r="AC6" s="1"/>
      <c r="AD6" s="1"/>
      <c r="AE6" s="1"/>
      <c r="AF6" s="1" t="s">
        <v>1603</v>
      </c>
      <c r="AG6" s="1"/>
      <c r="AH6" s="1"/>
      <c r="AI6" s="1"/>
      <c r="AJ6" s="1"/>
      <c r="AK6" s="1"/>
      <c r="AL6" s="1" t="s">
        <v>1598</v>
      </c>
      <c r="AM6" s="1"/>
      <c r="AN6" s="1"/>
      <c r="AO6" s="1" t="s">
        <v>1592</v>
      </c>
      <c r="AP6" s="1" t="s">
        <v>1580</v>
      </c>
      <c r="AQ6" s="1" t="s">
        <v>1581</v>
      </c>
      <c r="AR6" s="1" t="s">
        <v>1599</v>
      </c>
      <c r="AS6" s="5" t="s">
        <v>1670</v>
      </c>
      <c r="AT6" t="str">
        <f t="shared" si="2"/>
        <v/>
      </c>
      <c r="AU6" t="str">
        <f t="shared" si="3"/>
        <v xml:space="preserve"> AND TRIM(CKPRODMI) IN ('000042','000045','000051','000053')</v>
      </c>
      <c r="AV6" t="str">
        <f t="shared" si="4"/>
        <v/>
      </c>
      <c r="AW6" t="str">
        <f t="shared" si="5"/>
        <v/>
      </c>
      <c r="AX6" t="str">
        <f t="shared" si="6"/>
        <v/>
      </c>
      <c r="AY6" t="str">
        <f t="shared" si="7"/>
        <v xml:space="preserve"> AND TRIM(CONTRAPARTE) = 'outras empresas nao financeiras'</v>
      </c>
      <c r="AZ6" t="str">
        <f t="shared" si="8"/>
        <v/>
      </c>
      <c r="BA6" t="str">
        <f t="shared" si="9"/>
        <v/>
      </c>
      <c r="BB6" t="str">
        <f t="shared" si="10"/>
        <v/>
      </c>
      <c r="BC6" t="str">
        <f t="shared" si="11"/>
        <v xml:space="preserve"> AND FLG_CSRD = 0</v>
      </c>
      <c r="BD6" t="str">
        <f t="shared" si="12"/>
        <v/>
      </c>
      <c r="BE6" t="str">
        <f t="shared" si="13"/>
        <v xml:space="preserve"> AND CO2_MOD =0</v>
      </c>
      <c r="BF6" t="str">
        <f t="shared" si="14"/>
        <v/>
      </c>
      <c r="BG6" t="str">
        <f t="shared" si="15"/>
        <v/>
      </c>
      <c r="BH6" t="str">
        <f t="shared" si="16"/>
        <v/>
      </c>
      <c r="BI6" t="str">
        <f t="shared" si="17"/>
        <v/>
      </c>
      <c r="BJ6" t="str">
        <f t="shared" si="18"/>
        <v/>
      </c>
      <c r="BK6" t="str">
        <f t="shared" si="19"/>
        <v xml:space="preserve"> AND TRIM(TIPO_EQP) IN ('146','180')</v>
      </c>
      <c r="BL6" t="str">
        <f t="shared" si="20"/>
        <v/>
      </c>
      <c r="BM6" t="str">
        <f t="shared" si="21"/>
        <v/>
      </c>
      <c r="BN6" t="str">
        <f t="shared" si="22"/>
        <v/>
      </c>
      <c r="BO6" t="str">
        <f t="shared" si="23"/>
        <v/>
      </c>
      <c r="BP6" t="str">
        <f t="shared" si="24"/>
        <v/>
      </c>
      <c r="BQ6" t="str">
        <f t="shared" si="25"/>
        <v xml:space="preserve"> AND TRIM(NOME_CTGR_SFICS) = 'A.2.'</v>
      </c>
      <c r="BS6" t="str">
        <f t="shared" si="26"/>
        <v>WHEN  AND TRIM(CKPRODMI) IN ('000042','000045','000051','000053') AND TRIM(CONTRAPARTE) = 'outras empresas nao financeiras' AND FLG_CSRD = 0 AND CO2_MOD =0 AND TRIM(TIPO_EQP) IN ('146','180') AND TRIM(NOME_CTGR_SFICS) = 'A.2.' THEN 'Nao Aplicavel'</v>
      </c>
      <c r="BT6" t="str">
        <f t="shared" si="27"/>
        <v>WHEN  AND TRIM(CKPRODMI) IN ('000042','000045','000051','000053') AND TRIM(CONTRAPARTE) = 'outras empresas nao financeiras' AND FLG_CSRD = 0 AND CO2_MOD =0 AND TRIM(TIPO_EQP) IN ('146','180') AND TRIM(NOME_CTGR_SFICS) = 'A.2.' THEN 'Motor vehicle loans'</v>
      </c>
      <c r="BU6" t="str">
        <f t="shared" si="28"/>
        <v>WHEN  AND TRIM(CKPRODMI) IN ('000042','000045','000051','000053') AND TRIM(CONTRAPARTE) = 'outras empresas nao financeiras' AND FLG_CSRD = 0 AND CO2_MOD =0 AND TRIM(TIPO_EQP) IN ('146','180') AND TRIM(NOME_CTGR_SFICS) = 'A.2.' THEN 'Specific purpose'</v>
      </c>
      <c r="BV6" t="str">
        <f t="shared" si="29"/>
        <v>WHEN  AND TRIM(CKPRODMI) IN ('000042','000045','000051','000053') AND TRIM(CONTRAPARTE) = 'outras empresas nao financeiras' AND FLG_CSRD = 0 AND CO2_MOD =0 AND TRIM(TIPO_EQP) IN ('146','180') AND TRIM(NOME_CTGR_SFICS) = 'A.2.' THEN 'CCM'</v>
      </c>
      <c r="BW6" t="str">
        <f t="shared" si="30"/>
        <v>WHEN  AND TRIM(CKPRODMI) IN ('000042','000045','000051','000053') AND TRIM(CONTRAPARTE) = 'outras empresas nao financeiras' AND FLG_CSRD = 0 AND CO2_MOD =0 AND TRIM(TIPO_EQP) IN ('146','180') AND TRIM(NOME_CTGR_SFICS) = 'A.2.' THEN 'Transitional'</v>
      </c>
      <c r="BX6" t="str">
        <f t="shared" si="31"/>
        <v>,CASE WHEN  AND TRIM(CKPRODMI) IN ('000042','000045','000051','000053') AND TRIM(CONTRAPARTE) = 'outras empresas nao financeiras' AND FLG_CSRD = 0 AND CO2_MOD =0 AND TRIM(TIPO_EQP) IN ('146','180') AND TRIM(NOME_CTGR_SFICS) = 'A.2.' THEN 1 ELSE 0 END AS FLAG_4</v>
      </c>
      <c r="BY6" t="str">
        <f t="shared" si="32"/>
        <v>WHEN  AND TRIM(CKPRODMI) IN ('000042','000045','000051','000053') AND TRIM(CONTRAPARTE) = 'outras empresas nao financeiras' AND FLG_CSRD = 0 AND CO2_MOD =0 AND TRIM(TIPO_EQP) IN ('146','180') AND TRIM(NOME_CTGR_SFICS) = 'A.2.' THEN 4</v>
      </c>
      <c r="BZ6" s="5" t="str">
        <f t="shared" si="33"/>
        <v>+ CASE WHEN  AND TRIM(CKPRODMI) IN ('000042','000045','000051','000053') AND TRIM(CONTRAPARTE) = 'outras empresas nao financeiras' AND FLG_CSRD = 0 AND CO2_MOD =0 AND TRIM(TIPO_EQP) IN ('146','180') AND TRIM(NOME_CTGR_SFICS) = 'A.2.' THEN 1 ELSE 0 END</v>
      </c>
      <c r="CA6" s="5" t="str">
        <f t="shared" si="34"/>
        <v>,FLAG_4</v>
      </c>
    </row>
    <row r="7" spans="1:79" hidden="1" x14ac:dyDescent="0.25">
      <c r="A7" s="31">
        <f t="shared" si="35"/>
        <v>5</v>
      </c>
      <c r="B7" s="1" t="s">
        <v>1574</v>
      </c>
      <c r="C7" s="1">
        <v>9</v>
      </c>
      <c r="D7" s="1" t="s">
        <v>1585</v>
      </c>
      <c r="E7" s="1" t="s">
        <v>1590</v>
      </c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1595</v>
      </c>
      <c r="Q7" s="1"/>
      <c r="R7" s="1"/>
      <c r="S7" s="1"/>
      <c r="T7" s="1" t="s">
        <v>1604</v>
      </c>
      <c r="U7" s="1"/>
      <c r="V7" s="1"/>
      <c r="W7" s="1"/>
      <c r="X7" s="1"/>
      <c r="Y7" s="1" t="s">
        <v>1552</v>
      </c>
      <c r="Z7" s="1"/>
      <c r="AA7" s="1"/>
      <c r="AB7" s="1"/>
      <c r="AC7" s="1"/>
      <c r="AD7" s="1"/>
      <c r="AE7" s="1" t="s">
        <v>1605</v>
      </c>
      <c r="AF7" s="1" t="s">
        <v>1597</v>
      </c>
      <c r="AG7" s="1"/>
      <c r="AH7" s="1"/>
      <c r="AI7" s="1"/>
      <c r="AJ7" s="1"/>
      <c r="AK7" s="1"/>
      <c r="AL7" s="1" t="s">
        <v>1598</v>
      </c>
      <c r="AM7" s="1"/>
      <c r="AN7" s="1"/>
      <c r="AO7" s="1" t="s">
        <v>1592</v>
      </c>
      <c r="AP7" s="1" t="s">
        <v>1580</v>
      </c>
      <c r="AQ7" s="1" t="s">
        <v>1581</v>
      </c>
      <c r="AR7" s="1" t="s">
        <v>1599</v>
      </c>
      <c r="AS7" s="5" t="s">
        <v>1670</v>
      </c>
      <c r="AT7" t="str">
        <f t="shared" si="2"/>
        <v/>
      </c>
      <c r="AU7" t="str">
        <f t="shared" si="3"/>
        <v xml:space="preserve"> AND TRIM(CKPRODMI) IN ('000042','000045','000051','000053')</v>
      </c>
      <c r="AV7" t="str">
        <f t="shared" si="4"/>
        <v/>
      </c>
      <c r="AW7" t="str">
        <f t="shared" si="5"/>
        <v/>
      </c>
      <c r="AX7" t="str">
        <f t="shared" si="6"/>
        <v/>
      </c>
      <c r="AY7" t="str">
        <f t="shared" si="7"/>
        <v xml:space="preserve"> AND TRIM(CONTRAPARTE) = 'particulares'</v>
      </c>
      <c r="AZ7" t="str">
        <f t="shared" si="8"/>
        <v/>
      </c>
      <c r="BA7" t="str">
        <f t="shared" si="9"/>
        <v/>
      </c>
      <c r="BB7" t="str">
        <f t="shared" si="10"/>
        <v/>
      </c>
      <c r="BC7" t="str">
        <f t="shared" si="11"/>
        <v/>
      </c>
      <c r="BD7" t="str">
        <f t="shared" si="12"/>
        <v xml:space="preserve"> AND TRIM(COMBUSTIVEL) = 'ELECTRICO'</v>
      </c>
      <c r="BE7" t="str">
        <f t="shared" si="13"/>
        <v/>
      </c>
      <c r="BF7" t="str">
        <f t="shared" si="14"/>
        <v/>
      </c>
      <c r="BG7" t="str">
        <f t="shared" si="15"/>
        <v/>
      </c>
      <c r="BH7" t="str">
        <f t="shared" si="16"/>
        <v/>
      </c>
      <c r="BI7" t="str">
        <f t="shared" si="17"/>
        <v/>
      </c>
      <c r="BJ7" s="9" t="s">
        <v>2515</v>
      </c>
      <c r="BK7" t="str">
        <f t="shared" si="19"/>
        <v xml:space="preserve"> AND TRIM(TIPO_EQP) IN ('141','241','251','252','253','254','255','256','257')</v>
      </c>
      <c r="BL7" t="str">
        <f t="shared" si="20"/>
        <v/>
      </c>
      <c r="BM7" t="str">
        <f t="shared" si="21"/>
        <v/>
      </c>
      <c r="BN7" t="str">
        <f t="shared" si="22"/>
        <v/>
      </c>
      <c r="BO7" t="str">
        <f t="shared" si="23"/>
        <v/>
      </c>
      <c r="BP7" t="str">
        <f t="shared" si="24"/>
        <v/>
      </c>
      <c r="BQ7" t="str">
        <f t="shared" si="25"/>
        <v xml:space="preserve"> AND TRIM(NOME_CTGR_SFICS) = 'A.2.'</v>
      </c>
      <c r="BS7" t="str">
        <f t="shared" si="26"/>
        <v>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'Nao Aplicavel'</v>
      </c>
      <c r="BT7" t="str">
        <f t="shared" si="27"/>
        <v>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'Motor vehicle loans'</v>
      </c>
      <c r="BU7" t="str">
        <f t="shared" si="28"/>
        <v>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'Specific purpose'</v>
      </c>
      <c r="BV7" t="str">
        <f t="shared" si="29"/>
        <v>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'CCM'</v>
      </c>
      <c r="BW7" t="str">
        <f t="shared" si="30"/>
        <v>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'Transitional'</v>
      </c>
      <c r="BX7" t="str">
        <f t="shared" si="31"/>
        <v>,CASE 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1 ELSE 0 END AS FLAG_5</v>
      </c>
      <c r="BY7" t="str">
        <f t="shared" si="32"/>
        <v>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5</v>
      </c>
      <c r="BZ7" s="5" t="str">
        <f t="shared" si="33"/>
        <v>+ CASE WHEN  AND TRIM(CKPRODMI) IN ('000042','000045','000051','000053') AND TRIM(CONTRAPARTE) = 'particulares' AND TRIM(COMBUSTIVEL) = 'ELECTRICO' AND TRIM(DABERTUR) &gt;= '2022-01-01' AND DABERTUR IS NOT NULL AND TRIM(TIPO_EQP) IN ('141','241','251','252','253','254','255','256','257') AND TRIM(NOME_CTGR_SFICS) = 'A.2.' THEN 1 ELSE 0 END</v>
      </c>
      <c r="CA7" s="5" t="str">
        <f t="shared" si="34"/>
        <v>,FLAG_5</v>
      </c>
    </row>
    <row r="8" spans="1:79" hidden="1" x14ac:dyDescent="0.25">
      <c r="A8" s="31">
        <f t="shared" si="35"/>
        <v>6</v>
      </c>
      <c r="B8" s="1" t="s">
        <v>1574</v>
      </c>
      <c r="C8" s="1">
        <v>10</v>
      </c>
      <c r="D8" s="1" t="s">
        <v>1585</v>
      </c>
      <c r="E8" s="1" t="s">
        <v>1590</v>
      </c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1595</v>
      </c>
      <c r="Q8" s="1"/>
      <c r="R8" s="1"/>
      <c r="S8" s="1"/>
      <c r="T8" s="1" t="s">
        <v>1604</v>
      </c>
      <c r="U8" s="1"/>
      <c r="V8" s="1"/>
      <c r="W8" s="1"/>
      <c r="X8" s="1"/>
      <c r="Y8" s="1" t="s">
        <v>1600</v>
      </c>
      <c r="Z8" s="1" t="s">
        <v>1601</v>
      </c>
      <c r="AA8" s="1"/>
      <c r="AB8" s="1"/>
      <c r="AC8" s="1"/>
      <c r="AD8" s="1"/>
      <c r="AE8" s="1" t="s">
        <v>1605</v>
      </c>
      <c r="AF8" s="1" t="s">
        <v>1597</v>
      </c>
      <c r="AG8" s="1"/>
      <c r="AH8" s="1"/>
      <c r="AI8" s="1"/>
      <c r="AJ8" s="1"/>
      <c r="AK8" s="1"/>
      <c r="AL8" s="1" t="s">
        <v>1598</v>
      </c>
      <c r="AM8" s="1"/>
      <c r="AN8" s="1"/>
      <c r="AO8" s="1" t="s">
        <v>1592</v>
      </c>
      <c r="AP8" s="1" t="s">
        <v>1580</v>
      </c>
      <c r="AQ8" s="1" t="s">
        <v>1581</v>
      </c>
      <c r="AR8" s="1" t="s">
        <v>1599</v>
      </c>
      <c r="AS8" s="5" t="s">
        <v>1670</v>
      </c>
      <c r="AT8" t="str">
        <f t="shared" si="2"/>
        <v/>
      </c>
      <c r="AU8" t="str">
        <f t="shared" si="3"/>
        <v xml:space="preserve"> AND TRIM(CKPRODMI) IN ('000042','000045','000051','000053')</v>
      </c>
      <c r="AV8" t="str">
        <f t="shared" si="4"/>
        <v/>
      </c>
      <c r="AW8" t="str">
        <f t="shared" si="5"/>
        <v/>
      </c>
      <c r="AX8" t="str">
        <f t="shared" si="6"/>
        <v/>
      </c>
      <c r="AY8" t="str">
        <f t="shared" si="7"/>
        <v xml:space="preserve"> AND TRIM(CONTRAPARTE) = 'particulares'</v>
      </c>
      <c r="AZ8" t="str">
        <f t="shared" si="8"/>
        <v/>
      </c>
      <c r="BA8" t="str">
        <f t="shared" si="9"/>
        <v/>
      </c>
      <c r="BB8" t="str">
        <f t="shared" si="10"/>
        <v/>
      </c>
      <c r="BC8" t="str">
        <f t="shared" si="11"/>
        <v/>
      </c>
      <c r="BD8" t="str">
        <f t="shared" si="12"/>
        <v xml:space="preserve"> AND TRIM(COMBUSTIVEL) IN ('HIBRIDO', 'HIBRIDO/GASOLINA', 'HIBRIDO/GASOLEO','GASOLINA','GASOLEO','GAZ')</v>
      </c>
      <c r="BE8" s="9" t="s">
        <v>2511</v>
      </c>
      <c r="BF8" t="str">
        <f t="shared" si="14"/>
        <v/>
      </c>
      <c r="BG8" t="str">
        <f t="shared" si="15"/>
        <v/>
      </c>
      <c r="BH8" t="str">
        <f t="shared" si="16"/>
        <v/>
      </c>
      <c r="BI8" t="str">
        <f t="shared" si="17"/>
        <v/>
      </c>
      <c r="BJ8" s="9" t="s">
        <v>2515</v>
      </c>
      <c r="BK8" t="str">
        <f t="shared" si="19"/>
        <v xml:space="preserve"> AND TRIM(TIPO_EQP) IN ('141','241','251','252','253','254','255','256','257')</v>
      </c>
      <c r="BL8" t="str">
        <f t="shared" si="20"/>
        <v/>
      </c>
      <c r="BM8" t="str">
        <f t="shared" si="21"/>
        <v/>
      </c>
      <c r="BN8" t="str">
        <f t="shared" si="22"/>
        <v/>
      </c>
      <c r="BO8" t="str">
        <f t="shared" si="23"/>
        <v/>
      </c>
      <c r="BP8" t="str">
        <f t="shared" si="24"/>
        <v/>
      </c>
      <c r="BQ8" t="str">
        <f t="shared" si="25"/>
        <v xml:space="preserve"> AND TRIM(NOME_CTGR_SFICS) = 'A.2.'</v>
      </c>
      <c r="BS8" t="str">
        <f t="shared" si="26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'Nao Aplicavel'</v>
      </c>
      <c r="BT8" t="str">
        <f t="shared" si="27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'Motor vehicle loans'</v>
      </c>
      <c r="BU8" t="str">
        <f t="shared" si="28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'Specific purpose'</v>
      </c>
      <c r="BV8" t="str">
        <f t="shared" si="29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'CCM'</v>
      </c>
      <c r="BW8" t="str">
        <f t="shared" si="30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'Transitional'</v>
      </c>
      <c r="BX8" t="str">
        <f t="shared" si="31"/>
        <v>,CASE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1 ELSE 0 END AS FLAG_6</v>
      </c>
      <c r="BY8" t="str">
        <f t="shared" si="32"/>
        <v>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6</v>
      </c>
      <c r="BZ8" s="5" t="str">
        <f t="shared" si="33"/>
        <v>+ CASE WHEN  AND TRIM(CKPRODMI) IN ('000042','000045','000051','000053') AND TRIM(CONTRAPARTE) = 'particulares' AND TRIM(COMBUSTIVEL) IN ('HIBRIDO', 'HIBRIDO/GASOLINA', 'HIBRIDO/GASOLEO','GASOLINA','GASOLEO','GAZ') AND CO2_MOD &lt;50 AND CO2_MOD IS NOT NULL AND TRIM(DABERTUR) &gt;= '2022-01-01' AND DABERTUR IS NOT NULL AND TRIM(TIPO_EQP) IN ('141','241','251','252','253','254','255','256','257') AND TRIM(NOME_CTGR_SFICS) = 'A.2.' THEN 1 ELSE 0 END</v>
      </c>
      <c r="CA8" s="5" t="str">
        <f t="shared" si="34"/>
        <v>,FLAG_6</v>
      </c>
    </row>
    <row r="9" spans="1:79" hidden="1" x14ac:dyDescent="0.25">
      <c r="A9" s="31">
        <f t="shared" si="35"/>
        <v>7</v>
      </c>
      <c r="B9" s="1" t="s">
        <v>1574</v>
      </c>
      <c r="C9" s="1">
        <v>11</v>
      </c>
      <c r="D9" s="1" t="s">
        <v>1585</v>
      </c>
      <c r="E9" s="1" t="s">
        <v>1590</v>
      </c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1595</v>
      </c>
      <c r="Q9" s="1"/>
      <c r="R9" s="1"/>
      <c r="S9" s="1"/>
      <c r="T9" s="1" t="s">
        <v>1604</v>
      </c>
      <c r="U9" s="1"/>
      <c r="V9" s="1"/>
      <c r="W9" s="1"/>
      <c r="X9" s="1"/>
      <c r="Y9" s="1"/>
      <c r="Z9" s="1" t="s">
        <v>1602</v>
      </c>
      <c r="AA9" s="1"/>
      <c r="AB9" s="1"/>
      <c r="AC9" s="1"/>
      <c r="AD9" s="1"/>
      <c r="AE9" s="1" t="s">
        <v>1605</v>
      </c>
      <c r="AF9" s="1" t="s">
        <v>1603</v>
      </c>
      <c r="AG9" s="1"/>
      <c r="AH9" s="1"/>
      <c r="AI9" s="1"/>
      <c r="AJ9" s="1"/>
      <c r="AK9" s="1"/>
      <c r="AL9" s="1" t="s">
        <v>1598</v>
      </c>
      <c r="AM9" s="1"/>
      <c r="AN9" s="1"/>
      <c r="AO9" s="1" t="s">
        <v>1592</v>
      </c>
      <c r="AP9" s="1" t="s">
        <v>1580</v>
      </c>
      <c r="AQ9" s="1" t="s">
        <v>1581</v>
      </c>
      <c r="AR9" s="1" t="s">
        <v>1599</v>
      </c>
      <c r="AS9" s="5" t="s">
        <v>1670</v>
      </c>
      <c r="AT9" t="str">
        <f t="shared" si="2"/>
        <v/>
      </c>
      <c r="AU9" t="str">
        <f t="shared" si="3"/>
        <v xml:space="preserve"> AND TRIM(CKPRODMI) IN ('000042','000045','000051','000053')</v>
      </c>
      <c r="AV9" t="str">
        <f t="shared" si="4"/>
        <v/>
      </c>
      <c r="AW9" t="str">
        <f t="shared" si="5"/>
        <v/>
      </c>
      <c r="AX9" t="str">
        <f t="shared" si="6"/>
        <v/>
      </c>
      <c r="AY9" t="str">
        <f t="shared" si="7"/>
        <v xml:space="preserve"> AND TRIM(CONTRAPARTE) = 'particulares'</v>
      </c>
      <c r="AZ9" t="str">
        <f t="shared" si="8"/>
        <v/>
      </c>
      <c r="BA9" t="str">
        <f t="shared" si="9"/>
        <v/>
      </c>
      <c r="BB9" t="str">
        <f t="shared" si="10"/>
        <v/>
      </c>
      <c r="BC9" t="str">
        <f t="shared" si="11"/>
        <v/>
      </c>
      <c r="BD9" t="str">
        <f t="shared" si="12"/>
        <v/>
      </c>
      <c r="BE9" t="str">
        <f t="shared" si="13"/>
        <v xml:space="preserve"> AND CO2_MOD =0</v>
      </c>
      <c r="BF9" t="str">
        <f t="shared" si="14"/>
        <v/>
      </c>
      <c r="BG9" t="str">
        <f t="shared" si="15"/>
        <v/>
      </c>
      <c r="BH9" t="str">
        <f t="shared" si="16"/>
        <v/>
      </c>
      <c r="BI9" t="str">
        <f t="shared" si="17"/>
        <v/>
      </c>
      <c r="BJ9" s="9" t="s">
        <v>2515</v>
      </c>
      <c r="BK9" t="str">
        <f t="shared" si="19"/>
        <v xml:space="preserve"> AND TRIM(TIPO_EQP) IN ('146','180')</v>
      </c>
      <c r="BL9" t="str">
        <f t="shared" si="20"/>
        <v/>
      </c>
      <c r="BM9" t="str">
        <f t="shared" si="21"/>
        <v/>
      </c>
      <c r="BN9" t="str">
        <f t="shared" si="22"/>
        <v/>
      </c>
      <c r="BO9" t="str">
        <f t="shared" si="23"/>
        <v/>
      </c>
      <c r="BP9" t="str">
        <f t="shared" si="24"/>
        <v/>
      </c>
      <c r="BQ9" t="str">
        <f t="shared" si="25"/>
        <v xml:space="preserve"> AND TRIM(NOME_CTGR_SFICS) = 'A.2.'</v>
      </c>
      <c r="BS9" t="str">
        <f t="shared" si="26"/>
        <v>WHEN  AND TRIM(CKPRODMI) IN ('000042','000045','000051','000053') AND TRIM(CONTRAPARTE) = 'particulares' AND CO2_MOD =0 AND TRIM(DABERTUR) &gt;= '2022-01-01' AND DABERTUR IS NOT NULL AND TRIM(TIPO_EQP) IN ('146','180') AND TRIM(NOME_CTGR_SFICS) = 'A.2.' THEN 'Nao Aplicavel'</v>
      </c>
      <c r="BT9" t="str">
        <f t="shared" si="27"/>
        <v>WHEN  AND TRIM(CKPRODMI) IN ('000042','000045','000051','000053') AND TRIM(CONTRAPARTE) = 'particulares' AND CO2_MOD =0 AND TRIM(DABERTUR) &gt;= '2022-01-01' AND DABERTUR IS NOT NULL AND TRIM(TIPO_EQP) IN ('146','180') AND TRIM(NOME_CTGR_SFICS) = 'A.2.' THEN 'Motor vehicle loans'</v>
      </c>
      <c r="BU9" t="str">
        <f t="shared" si="28"/>
        <v>WHEN  AND TRIM(CKPRODMI) IN ('000042','000045','000051','000053') AND TRIM(CONTRAPARTE) = 'particulares' AND CO2_MOD =0 AND TRIM(DABERTUR) &gt;= '2022-01-01' AND DABERTUR IS NOT NULL AND TRIM(TIPO_EQP) IN ('146','180') AND TRIM(NOME_CTGR_SFICS) = 'A.2.' THEN 'Specific purpose'</v>
      </c>
      <c r="BV9" t="str">
        <f t="shared" si="29"/>
        <v>WHEN  AND TRIM(CKPRODMI) IN ('000042','000045','000051','000053') AND TRIM(CONTRAPARTE) = 'particulares' AND CO2_MOD =0 AND TRIM(DABERTUR) &gt;= '2022-01-01' AND DABERTUR IS NOT NULL AND TRIM(TIPO_EQP) IN ('146','180') AND TRIM(NOME_CTGR_SFICS) = 'A.2.' THEN 'CCM'</v>
      </c>
      <c r="BW9" t="str">
        <f t="shared" si="30"/>
        <v>WHEN  AND TRIM(CKPRODMI) IN ('000042','000045','000051','000053') AND TRIM(CONTRAPARTE) = 'particulares' AND CO2_MOD =0 AND TRIM(DABERTUR) &gt;= '2022-01-01' AND DABERTUR IS NOT NULL AND TRIM(TIPO_EQP) IN ('146','180') AND TRIM(NOME_CTGR_SFICS) = 'A.2.' THEN 'Transitional'</v>
      </c>
      <c r="BX9" t="str">
        <f t="shared" si="31"/>
        <v>,CASE WHEN  AND TRIM(CKPRODMI) IN ('000042','000045','000051','000053') AND TRIM(CONTRAPARTE) = 'particulares' AND CO2_MOD =0 AND TRIM(DABERTUR) &gt;= '2022-01-01' AND DABERTUR IS NOT NULL AND TRIM(TIPO_EQP) IN ('146','180') AND TRIM(NOME_CTGR_SFICS) = 'A.2.' THEN 1 ELSE 0 END AS FLAG_7</v>
      </c>
      <c r="BY9" t="str">
        <f t="shared" si="32"/>
        <v>WHEN  AND TRIM(CKPRODMI) IN ('000042','000045','000051','000053') AND TRIM(CONTRAPARTE) = 'particulares' AND CO2_MOD =0 AND TRIM(DABERTUR) &gt;= '2022-01-01' AND DABERTUR IS NOT NULL AND TRIM(TIPO_EQP) IN ('146','180') AND TRIM(NOME_CTGR_SFICS) = 'A.2.' THEN 7</v>
      </c>
      <c r="BZ9" s="5" t="str">
        <f t="shared" si="33"/>
        <v>+ CASE WHEN  AND TRIM(CKPRODMI) IN ('000042','000045','000051','000053') AND TRIM(CONTRAPARTE) = 'particulares' AND CO2_MOD =0 AND TRIM(DABERTUR) &gt;= '2022-01-01' AND DABERTUR IS NOT NULL AND TRIM(TIPO_EQP) IN ('146','180') AND TRIM(NOME_CTGR_SFICS) = 'A.2.' THEN 1 ELSE 0 END</v>
      </c>
      <c r="CA9" s="5" t="str">
        <f t="shared" si="34"/>
        <v>,FLAG_7</v>
      </c>
    </row>
    <row r="10" spans="1:79" hidden="1" x14ac:dyDescent="0.25">
      <c r="A10" s="31">
        <f t="shared" si="35"/>
        <v>8</v>
      </c>
      <c r="B10" s="1" t="s">
        <v>1574</v>
      </c>
      <c r="C10" s="1">
        <v>14</v>
      </c>
      <c r="D10" s="1" t="s">
        <v>1585</v>
      </c>
      <c r="E10" s="1" t="s">
        <v>1606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 t="s">
        <v>1613</v>
      </c>
      <c r="T10" s="1" t="s">
        <v>1604</v>
      </c>
      <c r="U10" s="1"/>
      <c r="V10" s="1"/>
      <c r="W10" s="1" t="s">
        <v>1608</v>
      </c>
      <c r="X10" s="1"/>
      <c r="Y10" s="1"/>
      <c r="Z10" s="1"/>
      <c r="AA10" s="1" t="s">
        <v>1609</v>
      </c>
      <c r="AB10" s="1"/>
      <c r="AC10" s="1"/>
      <c r="AD10" s="1" t="s">
        <v>1610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1611</v>
      </c>
      <c r="AP10" s="1" t="s">
        <v>1580</v>
      </c>
      <c r="AQ10" s="1" t="s">
        <v>1582</v>
      </c>
      <c r="AR10" s="8"/>
      <c r="AS10" s="5" t="s">
        <v>1670</v>
      </c>
      <c r="AT10" t="str">
        <f t="shared" si="2"/>
        <v/>
      </c>
      <c r="AU10" t="str">
        <f t="shared" si="3"/>
        <v/>
      </c>
      <c r="AV10" t="str">
        <f t="shared" si="4"/>
        <v/>
      </c>
      <c r="AW10" t="str">
        <f t="shared" si="5"/>
        <v/>
      </c>
      <c r="AX10" t="str">
        <f t="shared" si="6"/>
        <v xml:space="preserve"> AND TRIM(EPC) = ''</v>
      </c>
      <c r="AY10" t="str">
        <f t="shared" si="7"/>
        <v xml:space="preserve"> AND TRIM(CONTRAPARTE) = 'particulares'</v>
      </c>
      <c r="AZ10" t="str">
        <f t="shared" si="8"/>
        <v/>
      </c>
      <c r="BA10" t="str">
        <f t="shared" si="9"/>
        <v/>
      </c>
      <c r="BB10" t="str">
        <f t="shared" si="10"/>
        <v xml:space="preserve"> AND TRIM(PRDT_SPRDT) NOT IN ('096HGP','0960H8','096065')</v>
      </c>
      <c r="BC10" t="str">
        <f t="shared" si="11"/>
        <v/>
      </c>
      <c r="BD10" t="str">
        <f t="shared" si="12"/>
        <v/>
      </c>
      <c r="BE10" t="str">
        <f t="shared" si="13"/>
        <v/>
      </c>
      <c r="BF10" t="str">
        <f t="shared" si="14"/>
        <v xml:space="preserve"> AND TRIM(CFAMILIA) IN ('02', '03', '04')</v>
      </c>
      <c r="BG10" t="str">
        <f t="shared" si="15"/>
        <v/>
      </c>
      <c r="BH10" t="str">
        <f t="shared" si="16"/>
        <v/>
      </c>
      <c r="BI10" t="str">
        <f t="shared" si="17"/>
        <v xml:space="preserve"> AND TRIM(PROPERTY_PURPOSE_CODE) = '01'</v>
      </c>
      <c r="BJ10" t="str">
        <f t="shared" si="18"/>
        <v/>
      </c>
      <c r="BK10" t="str">
        <f t="shared" si="19"/>
        <v/>
      </c>
      <c r="BL10" t="str">
        <f t="shared" si="20"/>
        <v/>
      </c>
      <c r="BM10" t="str">
        <f t="shared" si="21"/>
        <v/>
      </c>
      <c r="BN10" t="str">
        <f t="shared" si="22"/>
        <v/>
      </c>
      <c r="BO10" t="str">
        <f t="shared" si="23"/>
        <v/>
      </c>
      <c r="BP10" t="str">
        <f t="shared" si="24"/>
        <v/>
      </c>
      <c r="BQ10" t="str">
        <f t="shared" si="25"/>
        <v/>
      </c>
      <c r="BS10" t="str">
        <f t="shared" si="26"/>
        <v>WHEN  AND TRIM(EPC) = '' AND TRIM(CONTRAPARTE) = 'particulares' AND TRIM(PRDT_SPRDT) NOT IN ('096HGP','0960H8','096065') AND TRIM(CFAMILIA) IN ('02', '03', '04') AND TRIM(PROPERTY_PURPOSE_CODE) = '01' THEN 'Nao Aplicavel'</v>
      </c>
      <c r="BT10" t="str">
        <f t="shared" si="27"/>
        <v>WHEN  AND TRIM(EPC) = '' AND TRIM(CONTRAPARTE) = 'particulares' AND TRIM(PRDT_SPRDT) NOT IN ('096HGP','0960H8','096065') AND TRIM(CFAMILIA) IN ('02', '03', '04') AND TRIM(PROPERTY_PURPOSE_CODE) = '01' THEN 'Building acquisition'</v>
      </c>
      <c r="BU10" t="str">
        <f t="shared" si="28"/>
        <v>WHEN  AND TRIM(EPC) = '' AND TRIM(CONTRAPARTE) = 'particulares' AND TRIM(PRDT_SPRDT) NOT IN ('096HGP','0960H8','096065') AND TRIM(CFAMILIA) IN ('02', '03', '04') AND TRIM(PROPERTY_PURPOSE_CODE) = '01' THEN 'Specific purpose'</v>
      </c>
      <c r="BV10" t="str">
        <f t="shared" si="29"/>
        <v>WHEN  AND TRIM(EPC) = '' AND TRIM(CONTRAPARTE) = 'particulares' AND TRIM(PRDT_SPRDT) NOT IN ('096HGP','0960H8','096065') AND TRIM(CFAMILIA) IN ('02', '03', '04') AND TRIM(PROPERTY_PURPOSE_CODE) = '01' THEN 'No'</v>
      </c>
      <c r="BW10" t="str">
        <f t="shared" si="30"/>
        <v>WHEN  AND TRIM(EPC) = '' AND TRIM(CONTRAPARTE) = 'particulares' AND TRIM(PRDT_SPRDT) NOT IN ('096HGP','0960H8','096065') AND TRIM(CFAMILIA) IN ('02', '03', '04') AND TRIM(PROPERTY_PURPOSE_CODE) = '01' THEN 'Nao Aplicavel'</v>
      </c>
      <c r="BX10" t="str">
        <f t="shared" si="31"/>
        <v>,CASE WHEN  AND TRIM(EPC) = '' AND TRIM(CONTRAPARTE) = 'particulares' AND TRIM(PRDT_SPRDT) NOT IN ('096HGP','0960H8','096065') AND TRIM(CFAMILIA) IN ('02', '03', '04') AND TRIM(PROPERTY_PURPOSE_CODE) = '01' THEN 1 ELSE 0 END AS FLAG_8</v>
      </c>
      <c r="BY10" t="str">
        <f t="shared" si="32"/>
        <v>WHEN  AND TRIM(EPC) = '' AND TRIM(CONTRAPARTE) = 'particulares' AND TRIM(PRDT_SPRDT) NOT IN ('096HGP','0960H8','096065') AND TRIM(CFAMILIA) IN ('02', '03', '04') AND TRIM(PROPERTY_PURPOSE_CODE) = '01' THEN 8</v>
      </c>
      <c r="BZ10" s="5" t="str">
        <f t="shared" si="33"/>
        <v>+ CASE WHEN  AND TRIM(EPC) = '' AND TRIM(CONTRAPARTE) = 'particulares' AND TRIM(PRDT_SPRDT) NOT IN ('096HGP','0960H8','096065') AND TRIM(CFAMILIA) IN ('02', '03', '04') AND TRIM(PROPERTY_PURPOSE_CODE) = '01' THEN 1 ELSE 0 END</v>
      </c>
      <c r="CA10" s="5" t="str">
        <f t="shared" si="34"/>
        <v>,FLAG_8</v>
      </c>
    </row>
    <row r="11" spans="1:79" hidden="1" x14ac:dyDescent="0.25">
      <c r="A11" s="31">
        <f t="shared" si="35"/>
        <v>9</v>
      </c>
      <c r="B11" s="1" t="s">
        <v>1574</v>
      </c>
      <c r="C11" s="1">
        <v>15</v>
      </c>
      <c r="D11" s="1" t="s">
        <v>1585</v>
      </c>
      <c r="E11" s="1" t="s">
        <v>1606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1613</v>
      </c>
      <c r="T11" s="1" t="s">
        <v>1612</v>
      </c>
      <c r="U11" s="1"/>
      <c r="V11" s="1"/>
      <c r="W11" s="1" t="s">
        <v>1608</v>
      </c>
      <c r="X11" s="1"/>
      <c r="Y11" s="1"/>
      <c r="Z11" s="1"/>
      <c r="AA11" s="1" t="s">
        <v>1609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1611</v>
      </c>
      <c r="AP11" s="1" t="s">
        <v>1580</v>
      </c>
      <c r="AQ11" s="1" t="s">
        <v>1582</v>
      </c>
      <c r="AR11" s="8"/>
      <c r="AS11" s="5" t="s">
        <v>1670</v>
      </c>
      <c r="AT11" t="str">
        <f t="shared" si="2"/>
        <v/>
      </c>
      <c r="AU11" t="str">
        <f t="shared" si="3"/>
        <v/>
      </c>
      <c r="AV11" t="str">
        <f t="shared" si="4"/>
        <v/>
      </c>
      <c r="AW11" t="str">
        <f t="shared" si="5"/>
        <v/>
      </c>
      <c r="AX11" t="str">
        <f t="shared" si="6"/>
        <v xml:space="preserve"> AND TRIM(EPC) = ''</v>
      </c>
      <c r="AY11" t="str">
        <f t="shared" si="7"/>
        <v xml:space="preserve"> AND TRIM(CONTRAPARTE) IN ('outras empresas nao financeiras','setor publico')</v>
      </c>
      <c r="AZ11" t="str">
        <f t="shared" si="8"/>
        <v/>
      </c>
      <c r="BA11" t="str">
        <f t="shared" si="9"/>
        <v/>
      </c>
      <c r="BB11" t="str">
        <f t="shared" si="10"/>
        <v xml:space="preserve"> AND TRIM(PRDT_SPRDT) NOT IN ('096HGP','0960H8','096065')</v>
      </c>
      <c r="BC11" t="str">
        <f t="shared" si="11"/>
        <v/>
      </c>
      <c r="BD11" t="str">
        <f t="shared" si="12"/>
        <v/>
      </c>
      <c r="BE11" t="str">
        <f t="shared" si="13"/>
        <v/>
      </c>
      <c r="BF11" t="str">
        <f t="shared" si="14"/>
        <v xml:space="preserve"> AND TRIM(CFAMILIA) IN ('02', '03', '04')</v>
      </c>
      <c r="BG11" t="str">
        <f t="shared" si="15"/>
        <v/>
      </c>
      <c r="BH11" t="str">
        <f t="shared" si="16"/>
        <v/>
      </c>
      <c r="BI11" t="str">
        <f t="shared" si="17"/>
        <v/>
      </c>
      <c r="BJ11" t="str">
        <f t="shared" si="18"/>
        <v/>
      </c>
      <c r="BK11" t="str">
        <f t="shared" si="19"/>
        <v/>
      </c>
      <c r="BL11" t="str">
        <f t="shared" si="20"/>
        <v/>
      </c>
      <c r="BM11" t="str">
        <f t="shared" si="21"/>
        <v/>
      </c>
      <c r="BN11" t="str">
        <f t="shared" si="22"/>
        <v/>
      </c>
      <c r="BO11" t="str">
        <f t="shared" si="23"/>
        <v/>
      </c>
      <c r="BP11" t="str">
        <f t="shared" si="24"/>
        <v/>
      </c>
      <c r="BQ11" t="str">
        <f t="shared" si="25"/>
        <v/>
      </c>
      <c r="BS11" t="str">
        <f t="shared" si="26"/>
        <v>WHEN  AND TRIM(EPC) = '' AND TRIM(CONTRAPARTE) IN ('outras empresas nao financeiras','setor publico') AND TRIM(PRDT_SPRDT) NOT IN ('096HGP','0960H8','096065') AND TRIM(CFAMILIA) IN ('02', '03', '04') THEN 'Nao Aplicavel'</v>
      </c>
      <c r="BT11" t="str">
        <f t="shared" si="27"/>
        <v>WHEN  AND TRIM(EPC) = '' AND TRIM(CONTRAPARTE) IN ('outras empresas nao financeiras','setor publico') AND TRIM(PRDT_SPRDT) NOT IN ('096HGP','0960H8','096065') AND TRIM(CFAMILIA) IN ('02', '03', '04') THEN 'Building acquisition'</v>
      </c>
      <c r="BU11" t="str">
        <f t="shared" si="28"/>
        <v>WHEN  AND TRIM(EPC) = '' AND TRIM(CONTRAPARTE) IN ('outras empresas nao financeiras','setor publico') AND TRIM(PRDT_SPRDT) NOT IN ('096HGP','0960H8','096065') AND TRIM(CFAMILIA) IN ('02', '03', '04') THEN 'Specific purpose'</v>
      </c>
      <c r="BV11" t="str">
        <f t="shared" si="29"/>
        <v>WHEN  AND TRIM(EPC) = '' AND TRIM(CONTRAPARTE) IN ('outras empresas nao financeiras','setor publico') AND TRIM(PRDT_SPRDT) NOT IN ('096HGP','0960H8','096065') AND TRIM(CFAMILIA) IN ('02', '03', '04') THEN 'No'</v>
      </c>
      <c r="BW11" t="str">
        <f t="shared" si="30"/>
        <v>WHEN  AND TRIM(EPC) = '' AND TRIM(CONTRAPARTE) IN ('outras empresas nao financeiras','setor publico') AND TRIM(PRDT_SPRDT) NOT IN ('096HGP','0960H8','096065') AND TRIM(CFAMILIA) IN ('02', '03', '04') THEN 'Nao Aplicavel'</v>
      </c>
      <c r="BX11" t="str">
        <f t="shared" si="31"/>
        <v>,CASE WHEN  AND TRIM(EPC) = '' AND TRIM(CONTRAPARTE) IN ('outras empresas nao financeiras','setor publico') AND TRIM(PRDT_SPRDT) NOT IN ('096HGP','0960H8','096065') AND TRIM(CFAMILIA) IN ('02', '03', '04') THEN 1 ELSE 0 END AS FLAG_9</v>
      </c>
      <c r="BY11" t="str">
        <f t="shared" si="32"/>
        <v>WHEN  AND TRIM(EPC) = '' AND TRIM(CONTRAPARTE) IN ('outras empresas nao financeiras','setor publico') AND TRIM(PRDT_SPRDT) NOT IN ('096HGP','0960H8','096065') AND TRIM(CFAMILIA) IN ('02', '03', '04') THEN 9</v>
      </c>
      <c r="BZ11" s="5" t="str">
        <f t="shared" si="33"/>
        <v>+ CASE WHEN  AND TRIM(EPC) = '' AND TRIM(CONTRAPARTE) IN ('outras empresas nao financeiras','setor publico') AND TRIM(PRDT_SPRDT) NOT IN ('096HGP','0960H8','096065') AND TRIM(CFAMILIA) IN ('02', '03', '04') THEN 1 ELSE 0 END</v>
      </c>
      <c r="CA11" s="5" t="str">
        <f t="shared" si="34"/>
        <v>,FLAG_9</v>
      </c>
    </row>
    <row r="12" spans="1:79" hidden="1" x14ac:dyDescent="0.25">
      <c r="A12" s="31">
        <f t="shared" si="35"/>
        <v>10</v>
      </c>
      <c r="B12" s="1" t="s">
        <v>1574</v>
      </c>
      <c r="C12" s="1">
        <v>16</v>
      </c>
      <c r="D12" s="1" t="s">
        <v>1585</v>
      </c>
      <c r="E12" s="1" t="s">
        <v>1590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1604</v>
      </c>
      <c r="U12" s="1"/>
      <c r="V12" s="1"/>
      <c r="W12" s="1" t="s">
        <v>1595</v>
      </c>
      <c r="X12" s="1"/>
      <c r="Y12" s="1" t="s">
        <v>1614</v>
      </c>
      <c r="Z12" s="1"/>
      <c r="AA12" s="1"/>
      <c r="AB12" s="1"/>
      <c r="AC12" s="1"/>
      <c r="AD12" s="1"/>
      <c r="AE12" s="1" t="s">
        <v>1605</v>
      </c>
      <c r="AF12" s="1" t="s">
        <v>1615</v>
      </c>
      <c r="AG12" s="1"/>
      <c r="AH12" s="1"/>
      <c r="AI12" s="1"/>
      <c r="AJ12" s="1"/>
      <c r="AK12" s="1"/>
      <c r="AL12" s="1" t="s">
        <v>1598</v>
      </c>
      <c r="AM12" s="1"/>
      <c r="AN12" s="1" t="s">
        <v>1616</v>
      </c>
      <c r="AO12" s="1"/>
      <c r="AP12" s="1"/>
      <c r="AQ12" s="1"/>
      <c r="AR12" s="1"/>
      <c r="AS12" s="5" t="s">
        <v>1670</v>
      </c>
      <c r="AT12" t="str">
        <f t="shared" si="2"/>
        <v/>
      </c>
      <c r="AU12" t="str">
        <f t="shared" si="3"/>
        <v/>
      </c>
      <c r="AV12" t="str">
        <f t="shared" si="4"/>
        <v/>
      </c>
      <c r="AW12" t="str">
        <f t="shared" si="5"/>
        <v/>
      </c>
      <c r="AX12" t="str">
        <f t="shared" si="6"/>
        <v/>
      </c>
      <c r="AY12" t="str">
        <f t="shared" si="7"/>
        <v xml:space="preserve"> AND TRIM(CONTRAPARTE) = 'particulares'</v>
      </c>
      <c r="AZ12" t="str">
        <f t="shared" si="8"/>
        <v/>
      </c>
      <c r="BA12" t="str">
        <f t="shared" si="9"/>
        <v/>
      </c>
      <c r="BB12" t="str">
        <f t="shared" si="10"/>
        <v xml:space="preserve"> AND TRIM(PRDT_SPRDT) IN ('000042','000045','000051','000053')</v>
      </c>
      <c r="BC12" t="str">
        <f t="shared" si="11"/>
        <v/>
      </c>
      <c r="BD12" t="str">
        <f t="shared" si="12"/>
        <v xml:space="preserve"> AND TRIM(COMBUSTIVEL) IN ('HIBRIDO', 'HIBRIDO/GASOLINA', 'HIBRIDO/GASOLEO','GASOLINA','GASOLEO','GAZ','ELECTRICO')</v>
      </c>
      <c r="BE12" t="str">
        <f t="shared" si="13"/>
        <v/>
      </c>
      <c r="BF12" t="str">
        <f t="shared" si="14"/>
        <v/>
      </c>
      <c r="BG12" t="str">
        <f t="shared" si="15"/>
        <v/>
      </c>
      <c r="BH12" t="str">
        <f t="shared" si="16"/>
        <v/>
      </c>
      <c r="BI12" t="str">
        <f t="shared" si="17"/>
        <v/>
      </c>
      <c r="BJ12" s="9" t="s">
        <v>2515</v>
      </c>
      <c r="BK12" s="9" t="s">
        <v>2517</v>
      </c>
      <c r="BL12" t="str">
        <f t="shared" si="20"/>
        <v/>
      </c>
      <c r="BM12" t="str">
        <f t="shared" si="21"/>
        <v/>
      </c>
      <c r="BN12" t="str">
        <f t="shared" si="22"/>
        <v/>
      </c>
      <c r="BO12" t="str">
        <f t="shared" si="23"/>
        <v/>
      </c>
      <c r="BP12" t="str">
        <f t="shared" si="24"/>
        <v/>
      </c>
      <c r="BQ12" t="str">
        <f t="shared" si="25"/>
        <v xml:space="preserve"> AND TRIM(NOME_CTGR_SFICS) = 'A.2.'</v>
      </c>
      <c r="BS12" t="str">
        <f t="shared" si="26"/>
        <v>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'Motor Vehicle Loans'</v>
      </c>
      <c r="BT12" t="str">
        <f t="shared" si="27"/>
        <v>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'Nao Aplicavel'</v>
      </c>
      <c r="BU12" t="str">
        <f t="shared" si="28"/>
        <v>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'Nao Aplicavel'</v>
      </c>
      <c r="BV12" t="str">
        <f t="shared" si="29"/>
        <v>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'Nao Aplicavel'</v>
      </c>
      <c r="BW12" t="str">
        <f t="shared" si="30"/>
        <v>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'Nao Aplicavel'</v>
      </c>
      <c r="BX12" t="str">
        <f t="shared" si="31"/>
        <v>,CASE 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1 ELSE 0 END AS FLAG_10</v>
      </c>
      <c r="BY12" t="str">
        <f t="shared" si="32"/>
        <v>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10</v>
      </c>
      <c r="BZ12" s="5" t="str">
        <f t="shared" si="33"/>
        <v>+ CASE WHEN  AND TRIM(CONTRAPARTE) = 'particulares' AND TRIM(PRDT_SPRDT) IN ('000042','000045','000051','000053') AND TRIM(COMBUSTIVEL) IN ('HIBRIDO', 'HIBRIDO/GASOLINA', 'HIBRIDO/GASOLEO','GASOLINA','GASOLEO','GAZ','ELECTRICO') AND TRIM(DABERTUR) &gt;= '2022-01-01' AND DABERTUR IS NOT NULL AND TRIM(TIPO_EQP) NOT IN ('141','241','251','252','253','254','255','256','257','146','180') AND TIPO_EQP IS NOT NULL AND TRIM(NOME_CTGR_SFICS) = 'A.2.' THEN 1 ELSE 0 END</v>
      </c>
      <c r="CA12" s="5" t="str">
        <f t="shared" si="34"/>
        <v>,FLAG_10</v>
      </c>
    </row>
    <row r="13" spans="1:79" hidden="1" x14ac:dyDescent="0.25">
      <c r="A13" s="31">
        <f t="shared" si="35"/>
        <v>11</v>
      </c>
      <c r="B13" s="1" t="s">
        <v>1574</v>
      </c>
      <c r="C13" s="1">
        <v>17</v>
      </c>
      <c r="D13" s="1" t="s">
        <v>1585</v>
      </c>
      <c r="E13" s="1" t="s">
        <v>1590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1617</v>
      </c>
      <c r="U13" s="1"/>
      <c r="V13" s="1"/>
      <c r="W13" s="1" t="s">
        <v>1595</v>
      </c>
      <c r="X13" s="1"/>
      <c r="Y13" s="1" t="s">
        <v>1600</v>
      </c>
      <c r="Z13" s="1" t="s">
        <v>1618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1598</v>
      </c>
      <c r="AM13" s="1"/>
      <c r="AN13" s="1" t="s">
        <v>1616</v>
      </c>
      <c r="AO13" s="1"/>
      <c r="AP13" s="1"/>
      <c r="AQ13" s="1"/>
      <c r="AR13" s="1"/>
      <c r="AS13" s="5" t="s">
        <v>1670</v>
      </c>
      <c r="AT13" t="str">
        <f t="shared" si="2"/>
        <v/>
      </c>
      <c r="AU13" t="str">
        <f t="shared" si="3"/>
        <v/>
      </c>
      <c r="AV13" t="str">
        <f t="shared" si="4"/>
        <v/>
      </c>
      <c r="AW13" t="str">
        <f t="shared" si="5"/>
        <v/>
      </c>
      <c r="AX13" t="str">
        <f t="shared" si="6"/>
        <v/>
      </c>
      <c r="AY13" t="str">
        <f t="shared" si="7"/>
        <v xml:space="preserve"> AND TRIM(CONTRAPARTE) IN ('particulares','outras empresas nao financeiras')</v>
      </c>
      <c r="AZ13" t="str">
        <f t="shared" si="8"/>
        <v/>
      </c>
      <c r="BA13" t="str">
        <f t="shared" si="9"/>
        <v/>
      </c>
      <c r="BB13" t="str">
        <f t="shared" si="10"/>
        <v xml:space="preserve"> AND TRIM(PRDT_SPRDT) IN ('000042','000045','000051','000053')</v>
      </c>
      <c r="BC13" t="str">
        <f t="shared" si="11"/>
        <v/>
      </c>
      <c r="BD13" t="str">
        <f t="shared" si="12"/>
        <v xml:space="preserve"> AND TRIM(COMBUSTIVEL) IN ('HIBRIDO', 'HIBRIDO/GASOLINA', 'HIBRIDO/GASOLEO','GASOLINA','GASOLEO','GAZ')</v>
      </c>
      <c r="BE13" s="9" t="s">
        <v>2512</v>
      </c>
      <c r="BF13" t="str">
        <f t="shared" si="14"/>
        <v/>
      </c>
      <c r="BG13" t="str">
        <f t="shared" si="15"/>
        <v/>
      </c>
      <c r="BH13" t="str">
        <f t="shared" si="16"/>
        <v/>
      </c>
      <c r="BI13" t="str">
        <f t="shared" si="17"/>
        <v/>
      </c>
      <c r="BJ13" t="str">
        <f t="shared" si="18"/>
        <v/>
      </c>
      <c r="BK13" t="str">
        <f t="shared" si="19"/>
        <v/>
      </c>
      <c r="BL13" t="str">
        <f t="shared" si="20"/>
        <v/>
      </c>
      <c r="BM13" t="str">
        <f t="shared" si="21"/>
        <v/>
      </c>
      <c r="BN13" t="str">
        <f t="shared" si="22"/>
        <v/>
      </c>
      <c r="BO13" t="str">
        <f t="shared" si="23"/>
        <v/>
      </c>
      <c r="BP13" t="str">
        <f t="shared" si="24"/>
        <v/>
      </c>
      <c r="BQ13" t="str">
        <f t="shared" si="25"/>
        <v xml:space="preserve"> AND TRIM(NOME_CTGR_SFICS) = 'A.2.'</v>
      </c>
      <c r="BS13" t="str">
        <f t="shared" si="26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'Motor Vehicle Loans'</v>
      </c>
      <c r="BT13" t="str">
        <f t="shared" si="27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'Nao Aplicavel'</v>
      </c>
      <c r="BU13" t="str">
        <f t="shared" si="28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'Nao Aplicavel'</v>
      </c>
      <c r="BV13" t="str">
        <f t="shared" si="29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'Nao Aplicavel'</v>
      </c>
      <c r="BW13" t="str">
        <f t="shared" si="30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'Nao Aplicavel'</v>
      </c>
      <c r="BX13" t="str">
        <f t="shared" si="31"/>
        <v>,CASE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1 ELSE 0 END AS FLAG_11</v>
      </c>
      <c r="BY13" t="str">
        <f t="shared" si="32"/>
        <v>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11</v>
      </c>
      <c r="BZ13" s="5" t="str">
        <f t="shared" si="33"/>
        <v>+ CASE WHEN  AND TRIM(CONTRAPARTE) IN ('particulares','outras empresas nao financeiras') AND TRIM(PRDT_SPRDT) IN ('000042','000045','000051','000053') AND TRIM(COMBUSTIVEL) IN ('HIBRIDO', 'HIBRIDO/GASOLINA', 'HIBRIDO/GASOLEO','GASOLINA','GASOLEO','GAZ') AND CO2_MOD &gt;=50 AND CO2_MOD IS NOT NULL AND TRIM(NOME_CTGR_SFICS) = 'A.2.' THEN 1 ELSE 0 END</v>
      </c>
      <c r="CA13" s="5" t="str">
        <f t="shared" si="34"/>
        <v>,FLAG_11</v>
      </c>
    </row>
    <row r="14" spans="1:79" hidden="1" x14ac:dyDescent="0.25">
      <c r="A14" s="31">
        <f t="shared" si="35"/>
        <v>12</v>
      </c>
      <c r="B14" s="1" t="s">
        <v>1574</v>
      </c>
      <c r="C14" s="1">
        <v>18</v>
      </c>
      <c r="D14" s="1" t="s">
        <v>1585</v>
      </c>
      <c r="E14" s="1" t="s">
        <v>1606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1619</v>
      </c>
      <c r="T14" s="1" t="s">
        <v>1604</v>
      </c>
      <c r="U14" s="1"/>
      <c r="V14" s="1"/>
      <c r="W14" s="1" t="s">
        <v>1608</v>
      </c>
      <c r="X14" s="1"/>
      <c r="Y14" s="1"/>
      <c r="Z14" s="1"/>
      <c r="AA14" s="1" t="s">
        <v>1609</v>
      </c>
      <c r="AB14" s="1" t="s">
        <v>1587</v>
      </c>
      <c r="AC14" s="1" t="s">
        <v>1587</v>
      </c>
      <c r="AD14" s="1" t="s">
        <v>1610</v>
      </c>
      <c r="AE14" s="1"/>
      <c r="AF14" s="1"/>
      <c r="AG14" s="1" t="s">
        <v>1620</v>
      </c>
      <c r="AH14" s="1" t="s">
        <v>1621</v>
      </c>
      <c r="AI14" s="1"/>
      <c r="AJ14" s="1"/>
      <c r="AK14" s="1"/>
      <c r="AL14" s="1"/>
      <c r="AM14" s="1"/>
      <c r="AN14" s="1"/>
      <c r="AO14" s="1" t="s">
        <v>1611</v>
      </c>
      <c r="AP14" s="1" t="s">
        <v>1580</v>
      </c>
      <c r="AQ14" s="1" t="s">
        <v>1581</v>
      </c>
      <c r="AR14" s="1" t="s">
        <v>1622</v>
      </c>
      <c r="AS14" s="5" t="s">
        <v>1670</v>
      </c>
      <c r="AT14" t="str">
        <f t="shared" si="2"/>
        <v/>
      </c>
      <c r="AU14" t="str">
        <f t="shared" si="3"/>
        <v/>
      </c>
      <c r="AV14" t="str">
        <f t="shared" si="4"/>
        <v/>
      </c>
      <c r="AW14" t="str">
        <f t="shared" si="5"/>
        <v/>
      </c>
      <c r="AX14" t="str">
        <f t="shared" si="6"/>
        <v xml:space="preserve"> AND TRIM(EPC) LIKE 'A%'</v>
      </c>
      <c r="AY14" t="str">
        <f t="shared" si="7"/>
        <v xml:space="preserve"> AND TRIM(CONTRAPARTE) = 'particulares'</v>
      </c>
      <c r="AZ14" t="str">
        <f t="shared" si="8"/>
        <v/>
      </c>
      <c r="BA14" t="str">
        <f t="shared" si="9"/>
        <v/>
      </c>
      <c r="BB14" t="str">
        <f t="shared" si="10"/>
        <v xml:space="preserve"> AND TRIM(PRDT_SPRDT) NOT IN ('096HGP','0960H8','096065')</v>
      </c>
      <c r="BC14" t="str">
        <f t="shared" si="11"/>
        <v/>
      </c>
      <c r="BD14" t="str">
        <f t="shared" si="12"/>
        <v/>
      </c>
      <c r="BE14" t="str">
        <f t="shared" si="13"/>
        <v/>
      </c>
      <c r="BF14" t="str">
        <f t="shared" si="14"/>
        <v xml:space="preserve"> AND TRIM(CFAMILIA) IN ('02', '03', '04')</v>
      </c>
      <c r="BG14" t="str">
        <f t="shared" si="15"/>
        <v xml:space="preserve"> AND FLG_RSC_FSC_CRNC_TRAT = 0</v>
      </c>
      <c r="BH14" t="str">
        <f t="shared" si="16"/>
        <v xml:space="preserve"> AND FLG_RSC_FSC_AGD_TRAT = 0</v>
      </c>
      <c r="BI14" t="str">
        <f t="shared" si="17"/>
        <v xml:space="preserve"> AND TRIM(PROPERTY_PURPOSE_CODE) = '01'</v>
      </c>
      <c r="BJ14" t="str">
        <f t="shared" si="18"/>
        <v/>
      </c>
      <c r="BK14" t="str">
        <f t="shared" si="19"/>
        <v/>
      </c>
      <c r="BL14" t="str">
        <f t="shared" si="20"/>
        <v xml:space="preserve"> AND TRIM(CONSTRUCTION_YEAR) = '9999'</v>
      </c>
      <c r="BM14" t="str">
        <f t="shared" si="21"/>
        <v xml:space="preserve"> AND TRIM(QUALITY_SCORE) IN ('1-REAL','SANTANDER')</v>
      </c>
      <c r="BN14" t="str">
        <f t="shared" si="22"/>
        <v/>
      </c>
      <c r="BO14" t="str">
        <f t="shared" si="23"/>
        <v/>
      </c>
      <c r="BP14" t="str">
        <f t="shared" si="24"/>
        <v/>
      </c>
      <c r="BQ14" t="str">
        <f t="shared" si="25"/>
        <v/>
      </c>
      <c r="BS14" t="str">
        <f t="shared" si="26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'Nao Aplicavel'</v>
      </c>
      <c r="BT14" t="str">
        <f t="shared" si="27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'Building acquisition'</v>
      </c>
      <c r="BU14" t="str">
        <f t="shared" si="28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'Specific purpose'</v>
      </c>
      <c r="BV14" t="str">
        <f t="shared" si="29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'CCM'</v>
      </c>
      <c r="BW14" t="str">
        <f t="shared" si="30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'Pure'</v>
      </c>
      <c r="BX14" t="str">
        <f t="shared" si="31"/>
        <v>,CASE 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1 ELSE 0 END AS FLAG_12</v>
      </c>
      <c r="BY14" t="str">
        <f t="shared" si="32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12</v>
      </c>
      <c r="BZ14" s="5" t="str">
        <f t="shared" si="33"/>
        <v>+ CASE 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1 ELSE 0 END</v>
      </c>
      <c r="CA14" s="5" t="str">
        <f t="shared" si="34"/>
        <v>,FLAG_12</v>
      </c>
    </row>
    <row r="15" spans="1:79" hidden="1" x14ac:dyDescent="0.25">
      <c r="A15" s="31">
        <f t="shared" si="35"/>
        <v>13</v>
      </c>
      <c r="B15" s="1" t="s">
        <v>1574</v>
      </c>
      <c r="C15" s="1">
        <v>19</v>
      </c>
      <c r="D15" s="1" t="s">
        <v>1585</v>
      </c>
      <c r="E15" s="1" t="s">
        <v>1606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1619</v>
      </c>
      <c r="T15" s="1" t="s">
        <v>1604</v>
      </c>
      <c r="U15" s="1"/>
      <c r="V15" s="1"/>
      <c r="W15" s="1" t="s">
        <v>1608</v>
      </c>
      <c r="X15" s="1"/>
      <c r="Y15" s="1"/>
      <c r="Z15" s="1"/>
      <c r="AA15" s="1" t="s">
        <v>1609</v>
      </c>
      <c r="AB15" s="1" t="s">
        <v>1587</v>
      </c>
      <c r="AC15" s="1" t="s">
        <v>1587</v>
      </c>
      <c r="AD15" s="1" t="s">
        <v>1610</v>
      </c>
      <c r="AE15" s="1"/>
      <c r="AF15" s="1"/>
      <c r="AG15" s="1" t="s">
        <v>1623</v>
      </c>
      <c r="AH15" s="1" t="s">
        <v>1621</v>
      </c>
      <c r="AI15" s="1"/>
      <c r="AJ15" s="1"/>
      <c r="AK15" s="1"/>
      <c r="AL15" s="1"/>
      <c r="AM15" s="1"/>
      <c r="AN15" s="1"/>
      <c r="AO15" s="1" t="s">
        <v>1611</v>
      </c>
      <c r="AP15" s="1" t="s">
        <v>1580</v>
      </c>
      <c r="AQ15" s="1" t="s">
        <v>1581</v>
      </c>
      <c r="AR15" s="1" t="s">
        <v>1622</v>
      </c>
      <c r="AS15" s="5" t="s">
        <v>1670</v>
      </c>
      <c r="AT15" t="str">
        <f t="shared" si="2"/>
        <v/>
      </c>
      <c r="AU15" t="str">
        <f t="shared" si="3"/>
        <v/>
      </c>
      <c r="AV15" t="str">
        <f t="shared" si="4"/>
        <v/>
      </c>
      <c r="AW15" t="str">
        <f t="shared" si="5"/>
        <v/>
      </c>
      <c r="AX15" t="str">
        <f t="shared" si="6"/>
        <v xml:space="preserve"> AND TRIM(EPC) LIKE 'A%'</v>
      </c>
      <c r="AY15" t="str">
        <f t="shared" si="7"/>
        <v xml:space="preserve"> AND TRIM(CONTRAPARTE) = 'particulares'</v>
      </c>
      <c r="AZ15" t="str">
        <f t="shared" si="8"/>
        <v/>
      </c>
      <c r="BA15" t="str">
        <f t="shared" si="9"/>
        <v/>
      </c>
      <c r="BB15" t="str">
        <f t="shared" si="10"/>
        <v xml:space="preserve"> AND TRIM(PRDT_SPRDT) NOT IN ('096HGP','0960H8','096065')</v>
      </c>
      <c r="BC15" t="str">
        <f t="shared" si="11"/>
        <v/>
      </c>
      <c r="BD15" t="str">
        <f t="shared" si="12"/>
        <v/>
      </c>
      <c r="BE15" t="str">
        <f t="shared" si="13"/>
        <v/>
      </c>
      <c r="BF15" t="str">
        <f t="shared" si="14"/>
        <v xml:space="preserve"> AND TRIM(CFAMILIA) IN ('02', '03', '04')</v>
      </c>
      <c r="BG15" t="str">
        <f t="shared" si="15"/>
        <v xml:space="preserve"> AND FLG_RSC_FSC_CRNC_TRAT = 0</v>
      </c>
      <c r="BH15" t="str">
        <f t="shared" si="16"/>
        <v xml:space="preserve"> AND FLG_RSC_FSC_AGD_TRAT = 0</v>
      </c>
      <c r="BI15" t="str">
        <f t="shared" si="17"/>
        <v xml:space="preserve"> AND TRIM(PROPERTY_PURPOSE_CODE) = '01'</v>
      </c>
      <c r="BJ15" t="str">
        <f t="shared" si="18"/>
        <v/>
      </c>
      <c r="BK15" t="str">
        <f t="shared" si="19"/>
        <v/>
      </c>
      <c r="BL15" s="9" t="s">
        <v>2536</v>
      </c>
      <c r="BM15" t="str">
        <f t="shared" si="21"/>
        <v xml:space="preserve"> AND TRIM(QUALITY_SCORE) IN ('1-REAL','SANTANDER')</v>
      </c>
      <c r="BN15" t="str">
        <f t="shared" si="22"/>
        <v/>
      </c>
      <c r="BO15" t="str">
        <f t="shared" si="23"/>
        <v/>
      </c>
      <c r="BP15" t="str">
        <f t="shared" si="24"/>
        <v/>
      </c>
      <c r="BQ15" t="str">
        <f t="shared" si="25"/>
        <v/>
      </c>
      <c r="BS15" t="str">
        <f t="shared" si="26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'Nao Aplicavel'</v>
      </c>
      <c r="BT15" t="str">
        <f t="shared" si="27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'Building acquisition'</v>
      </c>
      <c r="BU15" t="str">
        <f t="shared" si="28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'Specific purpose'</v>
      </c>
      <c r="BV15" t="str">
        <f t="shared" si="29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'CCM'</v>
      </c>
      <c r="BW15" t="str">
        <f t="shared" si="30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'Pure'</v>
      </c>
      <c r="BX15" t="str">
        <f t="shared" si="31"/>
        <v>,CASE 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1 ELSE 0 END AS FLAG_13</v>
      </c>
      <c r="BY15" t="str">
        <f t="shared" si="32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13</v>
      </c>
      <c r="BZ15" s="5" t="str">
        <f t="shared" si="33"/>
        <v>+ CASE WHEN  AND TRIM(EPC) LIKE 'A%'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1 ELSE 0 END</v>
      </c>
      <c r="CA15" s="5" t="str">
        <f t="shared" si="34"/>
        <v>,FLAG_13</v>
      </c>
    </row>
    <row r="16" spans="1:79" hidden="1" x14ac:dyDescent="0.25">
      <c r="A16" s="31">
        <f t="shared" si="35"/>
        <v>14</v>
      </c>
      <c r="B16" s="1" t="s">
        <v>1574</v>
      </c>
      <c r="C16" s="1">
        <v>20</v>
      </c>
      <c r="D16" s="1" t="s">
        <v>1585</v>
      </c>
      <c r="E16" s="1" t="s">
        <v>1606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1624</v>
      </c>
      <c r="T16" s="1" t="s">
        <v>1604</v>
      </c>
      <c r="U16" s="1"/>
      <c r="V16" s="1"/>
      <c r="W16" s="1" t="s">
        <v>1608</v>
      </c>
      <c r="X16" s="1"/>
      <c r="Y16" s="1"/>
      <c r="Z16" s="1"/>
      <c r="AA16" s="1" t="s">
        <v>1609</v>
      </c>
      <c r="AB16" s="1" t="s">
        <v>1587</v>
      </c>
      <c r="AC16" s="1" t="s">
        <v>1587</v>
      </c>
      <c r="AD16" s="1" t="s">
        <v>1610</v>
      </c>
      <c r="AE16" s="1"/>
      <c r="AF16" s="1"/>
      <c r="AG16" s="1" t="s">
        <v>1620</v>
      </c>
      <c r="AH16" s="1" t="s">
        <v>1621</v>
      </c>
      <c r="AI16" s="1"/>
      <c r="AJ16" s="1"/>
      <c r="AK16" s="1"/>
      <c r="AL16" s="1"/>
      <c r="AM16" s="1"/>
      <c r="AN16" s="1"/>
      <c r="AO16" s="1" t="s">
        <v>1611</v>
      </c>
      <c r="AP16" s="1" t="s">
        <v>1580</v>
      </c>
      <c r="AQ16" s="1" t="s">
        <v>1581</v>
      </c>
      <c r="AR16" s="1" t="s">
        <v>1622</v>
      </c>
      <c r="AS16" s="5" t="s">
        <v>1670</v>
      </c>
      <c r="AT16" t="str">
        <f t="shared" si="2"/>
        <v/>
      </c>
      <c r="AU16" t="str">
        <f t="shared" si="3"/>
        <v/>
      </c>
      <c r="AV16" t="str">
        <f t="shared" si="4"/>
        <v/>
      </c>
      <c r="AW16" t="str">
        <f t="shared" si="5"/>
        <v/>
      </c>
      <c r="AX16" t="str">
        <f t="shared" si="6"/>
        <v xml:space="preserve"> AND TRIM(EPC) = 'B'</v>
      </c>
      <c r="AY16" t="str">
        <f t="shared" si="7"/>
        <v xml:space="preserve"> AND TRIM(CONTRAPARTE) = 'particulares'</v>
      </c>
      <c r="AZ16" t="str">
        <f t="shared" si="8"/>
        <v/>
      </c>
      <c r="BA16" t="str">
        <f t="shared" si="9"/>
        <v/>
      </c>
      <c r="BB16" t="str">
        <f t="shared" si="10"/>
        <v xml:space="preserve"> AND TRIM(PRDT_SPRDT) NOT IN ('096HGP','0960H8','096065')</v>
      </c>
      <c r="BC16" t="str">
        <f t="shared" si="11"/>
        <v/>
      </c>
      <c r="BD16" t="str">
        <f t="shared" si="12"/>
        <v/>
      </c>
      <c r="BE16" t="str">
        <f t="shared" si="13"/>
        <v/>
      </c>
      <c r="BF16" t="str">
        <f t="shared" si="14"/>
        <v xml:space="preserve"> AND TRIM(CFAMILIA) IN ('02', '03', '04')</v>
      </c>
      <c r="BG16" t="str">
        <f t="shared" si="15"/>
        <v xml:space="preserve"> AND FLG_RSC_FSC_CRNC_TRAT = 0</v>
      </c>
      <c r="BH16" t="str">
        <f t="shared" si="16"/>
        <v xml:space="preserve"> AND FLG_RSC_FSC_AGD_TRAT = 0</v>
      </c>
      <c r="BI16" t="str">
        <f t="shared" si="17"/>
        <v xml:space="preserve"> AND TRIM(PROPERTY_PURPOSE_CODE) = '01'</v>
      </c>
      <c r="BJ16" t="str">
        <f t="shared" si="18"/>
        <v/>
      </c>
      <c r="BK16" t="str">
        <f t="shared" si="19"/>
        <v/>
      </c>
      <c r="BL16" t="str">
        <f t="shared" si="20"/>
        <v xml:space="preserve"> AND TRIM(CONSTRUCTION_YEAR) = '9999'</v>
      </c>
      <c r="BM16" t="str">
        <f t="shared" si="21"/>
        <v xml:space="preserve"> AND TRIM(QUALITY_SCORE) IN ('1-REAL','SANTANDER')</v>
      </c>
      <c r="BN16" t="str">
        <f t="shared" si="22"/>
        <v/>
      </c>
      <c r="BO16" t="str">
        <f t="shared" si="23"/>
        <v/>
      </c>
      <c r="BP16" t="str">
        <f t="shared" si="24"/>
        <v/>
      </c>
      <c r="BQ16" t="str">
        <f t="shared" si="25"/>
        <v/>
      </c>
      <c r="BS16" t="str">
        <f t="shared" si="26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'Nao Aplicavel'</v>
      </c>
      <c r="BT16" t="str">
        <f t="shared" si="27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'Building acquisition'</v>
      </c>
      <c r="BU16" t="str">
        <f t="shared" si="28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'Specific purpose'</v>
      </c>
      <c r="BV16" t="str">
        <f t="shared" si="29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'CCM'</v>
      </c>
      <c r="BW16" t="str">
        <f t="shared" si="30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'Pure'</v>
      </c>
      <c r="BX16" t="str">
        <f t="shared" si="31"/>
        <v>,CASE 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1 ELSE 0 END AS FLAG_14</v>
      </c>
      <c r="BY16" t="str">
        <f t="shared" si="32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14</v>
      </c>
      <c r="BZ16" s="5" t="str">
        <f t="shared" si="33"/>
        <v>+ CASE 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= '9999' AND TRIM(QUALITY_SCORE) IN ('1-REAL','SANTANDER') THEN 1 ELSE 0 END</v>
      </c>
      <c r="CA16" s="5" t="str">
        <f t="shared" si="34"/>
        <v>,FLAG_14</v>
      </c>
    </row>
    <row r="17" spans="1:79" hidden="1" x14ac:dyDescent="0.25">
      <c r="A17" s="31">
        <f t="shared" si="35"/>
        <v>15</v>
      </c>
      <c r="B17" s="1" t="s">
        <v>1574</v>
      </c>
      <c r="C17" s="1">
        <v>21</v>
      </c>
      <c r="D17" s="1" t="s">
        <v>1585</v>
      </c>
      <c r="E17" s="1" t="s">
        <v>1606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1624</v>
      </c>
      <c r="T17" s="1" t="s">
        <v>1604</v>
      </c>
      <c r="U17" s="1"/>
      <c r="V17" s="1"/>
      <c r="W17" s="1" t="s">
        <v>1608</v>
      </c>
      <c r="X17" s="1"/>
      <c r="Y17" s="1"/>
      <c r="Z17" s="1"/>
      <c r="AA17" s="1" t="s">
        <v>1609</v>
      </c>
      <c r="AB17" s="1" t="s">
        <v>1587</v>
      </c>
      <c r="AC17" s="1" t="s">
        <v>1587</v>
      </c>
      <c r="AD17" s="1" t="s">
        <v>1610</v>
      </c>
      <c r="AE17" s="1"/>
      <c r="AF17" s="1"/>
      <c r="AG17" s="1" t="s">
        <v>1623</v>
      </c>
      <c r="AH17" s="1" t="s">
        <v>1621</v>
      </c>
      <c r="AI17" s="1"/>
      <c r="AJ17" s="1"/>
      <c r="AK17" s="1"/>
      <c r="AL17" s="1"/>
      <c r="AM17" s="1"/>
      <c r="AN17" s="1"/>
      <c r="AO17" s="1" t="s">
        <v>1611</v>
      </c>
      <c r="AP17" s="1" t="s">
        <v>1580</v>
      </c>
      <c r="AQ17" s="1" t="s">
        <v>1581</v>
      </c>
      <c r="AR17" s="1" t="s">
        <v>1622</v>
      </c>
      <c r="AS17" s="5" t="s">
        <v>1670</v>
      </c>
      <c r="AT17" t="str">
        <f t="shared" si="2"/>
        <v/>
      </c>
      <c r="AU17" t="str">
        <f t="shared" si="3"/>
        <v/>
      </c>
      <c r="AV17" t="str">
        <f t="shared" si="4"/>
        <v/>
      </c>
      <c r="AW17" t="str">
        <f t="shared" si="5"/>
        <v/>
      </c>
      <c r="AX17" t="str">
        <f t="shared" si="6"/>
        <v xml:space="preserve"> AND TRIM(EPC) = 'B'</v>
      </c>
      <c r="AY17" t="str">
        <f t="shared" si="7"/>
        <v xml:space="preserve"> AND TRIM(CONTRAPARTE) = 'particulares'</v>
      </c>
      <c r="AZ17" t="str">
        <f t="shared" si="8"/>
        <v/>
      </c>
      <c r="BA17" t="str">
        <f t="shared" si="9"/>
        <v/>
      </c>
      <c r="BB17" t="str">
        <f t="shared" si="10"/>
        <v xml:space="preserve"> AND TRIM(PRDT_SPRDT) NOT IN ('096HGP','0960H8','096065')</v>
      </c>
      <c r="BC17" t="str">
        <f t="shared" si="11"/>
        <v/>
      </c>
      <c r="BD17" t="str">
        <f t="shared" si="12"/>
        <v/>
      </c>
      <c r="BE17" t="str">
        <f t="shared" si="13"/>
        <v/>
      </c>
      <c r="BF17" t="str">
        <f t="shared" si="14"/>
        <v xml:space="preserve"> AND TRIM(CFAMILIA) IN ('02', '03', '04')</v>
      </c>
      <c r="BG17" t="str">
        <f t="shared" si="15"/>
        <v xml:space="preserve"> AND FLG_RSC_FSC_CRNC_TRAT = 0</v>
      </c>
      <c r="BH17" t="str">
        <f t="shared" si="16"/>
        <v xml:space="preserve"> AND FLG_RSC_FSC_AGD_TRAT = 0</v>
      </c>
      <c r="BI17" t="str">
        <f t="shared" si="17"/>
        <v xml:space="preserve"> AND TRIM(PROPERTY_PURPOSE_CODE) = '01'</v>
      </c>
      <c r="BJ17" t="str">
        <f t="shared" si="18"/>
        <v/>
      </c>
      <c r="BK17" t="str">
        <f t="shared" si="19"/>
        <v/>
      </c>
      <c r="BL17" s="9" t="s">
        <v>2536</v>
      </c>
      <c r="BM17" t="str">
        <f t="shared" si="21"/>
        <v xml:space="preserve"> AND TRIM(QUALITY_SCORE) IN ('1-REAL','SANTANDER')</v>
      </c>
      <c r="BN17" t="str">
        <f t="shared" si="22"/>
        <v/>
      </c>
      <c r="BO17" t="str">
        <f t="shared" si="23"/>
        <v/>
      </c>
      <c r="BP17" t="str">
        <f t="shared" si="24"/>
        <v/>
      </c>
      <c r="BQ17" t="str">
        <f t="shared" si="25"/>
        <v/>
      </c>
      <c r="BS17" t="str">
        <f t="shared" si="26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'Nao Aplicavel'</v>
      </c>
      <c r="BT17" t="str">
        <f t="shared" si="27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'Building acquisition'</v>
      </c>
      <c r="BU17" t="str">
        <f t="shared" si="28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'Specific purpose'</v>
      </c>
      <c r="BV17" t="str">
        <f t="shared" si="29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'CCM'</v>
      </c>
      <c r="BW17" t="str">
        <f t="shared" si="30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'Pure'</v>
      </c>
      <c r="BX17" t="str">
        <f t="shared" si="31"/>
        <v>,CASE 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1 ELSE 0 END AS FLAG_15</v>
      </c>
      <c r="BY17" t="str">
        <f t="shared" si="32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15</v>
      </c>
      <c r="BZ17" s="5" t="str">
        <f t="shared" si="33"/>
        <v>+ CASE WHEN  AND TRIM(EPC) = 'B' AND TRIM(CONTRAPARTE) = 'particulares' AND TRIM(PRDT_SPRDT) NOT IN ('096HGP','0960H8','096065') AND TRIM(CFAMILIA) IN ('02', '03', '04') AND FLG_RSC_FSC_CRNC_TRAT = 0 AND FLG_RSC_FSC_AGD_TRAT = 0 AND TRIM(PROPERTY_PURPOSE_CODE) = '01' AND TRIM(CONSTRUCTION_YEAR) &lt; '2020' AND CONSTRUCTION_YEAR IS NOT NULL AND TRIM(CONSTRUCTION_YEAR)&lt;&gt;'' AND TRIM(QUALITY_SCORE) IN ('1-REAL','SANTANDER') THEN 1 ELSE 0 END</v>
      </c>
      <c r="CA17" s="5" t="str">
        <f t="shared" si="34"/>
        <v>,FLAG_15</v>
      </c>
    </row>
    <row r="18" spans="1:79" hidden="1" x14ac:dyDescent="0.25">
      <c r="A18" s="31">
        <f t="shared" si="35"/>
        <v>16</v>
      </c>
      <c r="B18" s="1" t="s">
        <v>1574</v>
      </c>
      <c r="C18" s="1">
        <v>22</v>
      </c>
      <c r="D18" s="1" t="s">
        <v>1585</v>
      </c>
      <c r="E18" s="1" t="s">
        <v>1606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1604</v>
      </c>
      <c r="U18" s="1"/>
      <c r="V18" s="1"/>
      <c r="W18" s="1" t="s">
        <v>1608</v>
      </c>
      <c r="X18" s="1"/>
      <c r="Y18" s="1"/>
      <c r="Z18" s="1"/>
      <c r="AA18" s="1" t="s">
        <v>1609</v>
      </c>
      <c r="AB18" s="1" t="s">
        <v>1587</v>
      </c>
      <c r="AC18" s="1" t="s">
        <v>1587</v>
      </c>
      <c r="AD18" s="1" t="s">
        <v>1610</v>
      </c>
      <c r="AE18" s="1"/>
      <c r="AF18" s="1"/>
      <c r="AG18" s="1" t="s">
        <v>1625</v>
      </c>
      <c r="AH18" s="1" t="s">
        <v>1621</v>
      </c>
      <c r="AI18" s="1" t="s">
        <v>1626</v>
      </c>
      <c r="AJ18" s="1" t="s">
        <v>1627</v>
      </c>
      <c r="AK18" s="1"/>
      <c r="AL18" s="1"/>
      <c r="AM18" s="1"/>
      <c r="AN18" s="1"/>
      <c r="AO18" s="1" t="s">
        <v>1611</v>
      </c>
      <c r="AP18" s="1" t="s">
        <v>1580</v>
      </c>
      <c r="AQ18" s="1" t="s">
        <v>1581</v>
      </c>
      <c r="AR18" s="1" t="s">
        <v>1622</v>
      </c>
      <c r="AS18" s="5" t="s">
        <v>1670</v>
      </c>
      <c r="AT18" t="str">
        <f t="shared" si="2"/>
        <v/>
      </c>
      <c r="AU18" t="str">
        <f t="shared" si="3"/>
        <v/>
      </c>
      <c r="AV18" t="str">
        <f t="shared" si="4"/>
        <v/>
      </c>
      <c r="AW18" t="str">
        <f t="shared" si="5"/>
        <v/>
      </c>
      <c r="AX18" t="str">
        <f t="shared" si="6"/>
        <v/>
      </c>
      <c r="AY18" t="str">
        <f t="shared" si="7"/>
        <v xml:space="preserve"> AND TRIM(CONTRAPARTE) = 'particulares'</v>
      </c>
      <c r="AZ18" t="str">
        <f t="shared" si="8"/>
        <v/>
      </c>
      <c r="BA18" t="str">
        <f t="shared" si="9"/>
        <v/>
      </c>
      <c r="BB18" t="str">
        <f t="shared" si="10"/>
        <v xml:space="preserve"> AND TRIM(PRDT_SPRDT) NOT IN ('096HGP','0960H8','096065')</v>
      </c>
      <c r="BC18" t="str">
        <f t="shared" si="11"/>
        <v/>
      </c>
      <c r="BD18" t="str">
        <f t="shared" si="12"/>
        <v/>
      </c>
      <c r="BE18" t="str">
        <f t="shared" si="13"/>
        <v/>
      </c>
      <c r="BF18" t="str">
        <f t="shared" si="14"/>
        <v xml:space="preserve"> AND TRIM(CFAMILIA) IN ('02', '03', '04')</v>
      </c>
      <c r="BG18" t="str">
        <f t="shared" si="15"/>
        <v xml:space="preserve"> AND FLG_RSC_FSC_CRNC_TRAT = 0</v>
      </c>
      <c r="BH18" t="str">
        <f t="shared" si="16"/>
        <v xml:space="preserve"> AND FLG_RSC_FSC_AGD_TRAT = 0</v>
      </c>
      <c r="BI18" t="str">
        <f t="shared" si="17"/>
        <v xml:space="preserve"> AND TRIM(PROPERTY_PURPOSE_CODE) = '01'</v>
      </c>
      <c r="BJ18" t="str">
        <f t="shared" si="18"/>
        <v/>
      </c>
      <c r="BK18" t="str">
        <f t="shared" si="19"/>
        <v/>
      </c>
      <c r="BL18" s="9" t="s">
        <v>2537</v>
      </c>
      <c r="BM18" t="str">
        <f t="shared" si="21"/>
        <v xml:space="preserve"> AND TRIM(QUALITY_SCORE) IN ('1-REAL','SANTANDER')</v>
      </c>
      <c r="BN18" s="9" t="s">
        <v>2519</v>
      </c>
      <c r="BO18" s="9" t="s">
        <v>2521</v>
      </c>
      <c r="BP18" t="str">
        <f t="shared" si="24"/>
        <v/>
      </c>
      <c r="BQ18" t="str">
        <f t="shared" si="25"/>
        <v/>
      </c>
      <c r="BS18" t="str">
        <f t="shared" si="26"/>
        <v>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'Nao Aplicavel'</v>
      </c>
      <c r="BT18" t="str">
        <f t="shared" si="27"/>
        <v>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'Building acquisition'</v>
      </c>
      <c r="BU18" t="str">
        <f t="shared" si="28"/>
        <v>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'Specific purpose'</v>
      </c>
      <c r="BV18" t="str">
        <f t="shared" si="29"/>
        <v>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'CCM'</v>
      </c>
      <c r="BW18" t="str">
        <f t="shared" si="30"/>
        <v>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'Pure'</v>
      </c>
      <c r="BX18" t="str">
        <f t="shared" si="31"/>
        <v>,CASE 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1 ELSE 0 END AS FLAG_16</v>
      </c>
      <c r="BY18" t="str">
        <f t="shared" si="32"/>
        <v>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16</v>
      </c>
      <c r="BZ18" s="5" t="str">
        <f t="shared" si="33"/>
        <v>+ CASE WHEN 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&lt;0.45 AND PRIMARY_ENERGY_REQ_VALUE IS NOT NULL AND NET_FLOOR_AREA  &lt;5.000 AND NET_FLOOR_AREA IS NOT NULL THEN 1 ELSE 0 END</v>
      </c>
      <c r="CA18" s="5" t="str">
        <f t="shared" si="34"/>
        <v>,FLAG_16</v>
      </c>
    </row>
    <row r="19" spans="1:79" hidden="1" x14ac:dyDescent="0.25">
      <c r="A19" s="31">
        <f t="shared" si="35"/>
        <v>17</v>
      </c>
      <c r="B19" s="1" t="s">
        <v>1574</v>
      </c>
      <c r="C19" s="1">
        <v>23</v>
      </c>
      <c r="D19" s="1" t="s">
        <v>1585</v>
      </c>
      <c r="E19" s="1" t="s">
        <v>1606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1619</v>
      </c>
      <c r="T19" s="1" t="s">
        <v>1596</v>
      </c>
      <c r="U19" s="1"/>
      <c r="V19" s="1"/>
      <c r="W19" s="1" t="s">
        <v>1608</v>
      </c>
      <c r="X19" s="1" t="s">
        <v>1587</v>
      </c>
      <c r="Y19" s="1"/>
      <c r="Z19" s="1"/>
      <c r="AA19" s="1" t="s">
        <v>1609</v>
      </c>
      <c r="AB19" s="1" t="s">
        <v>1587</v>
      </c>
      <c r="AC19" s="1" t="s">
        <v>1587</v>
      </c>
      <c r="AD19" s="1"/>
      <c r="AE19" s="1"/>
      <c r="AF19" s="1"/>
      <c r="AG19" s="1" t="s">
        <v>1620</v>
      </c>
      <c r="AH19" s="1" t="s">
        <v>1621</v>
      </c>
      <c r="AI19" s="1"/>
      <c r="AJ19" s="1"/>
      <c r="AK19" s="1"/>
      <c r="AL19" s="1"/>
      <c r="AM19" s="1"/>
      <c r="AN19" s="1"/>
      <c r="AO19" s="1" t="s">
        <v>1611</v>
      </c>
      <c r="AP19" s="1" t="s">
        <v>1580</v>
      </c>
      <c r="AQ19" s="1" t="s">
        <v>1581</v>
      </c>
      <c r="AR19" s="1" t="s">
        <v>1622</v>
      </c>
      <c r="AS19" s="5" t="s">
        <v>1670</v>
      </c>
      <c r="AT19" t="str">
        <f t="shared" si="2"/>
        <v/>
      </c>
      <c r="AU19" t="str">
        <f t="shared" si="3"/>
        <v/>
      </c>
      <c r="AV19" t="str">
        <f t="shared" si="4"/>
        <v/>
      </c>
      <c r="AW19" t="str">
        <f t="shared" si="5"/>
        <v/>
      </c>
      <c r="AX19" t="str">
        <f t="shared" si="6"/>
        <v xml:space="preserve"> AND TRIM(EPC) LIKE 'A%'</v>
      </c>
      <c r="AY19" t="str">
        <f t="shared" si="7"/>
        <v xml:space="preserve"> AND TRIM(CONTRAPARTE) = 'outras empresas nao financeiras'</v>
      </c>
      <c r="AZ19" t="str">
        <f t="shared" si="8"/>
        <v/>
      </c>
      <c r="BA19" t="str">
        <f t="shared" si="9"/>
        <v/>
      </c>
      <c r="BB19" t="str">
        <f t="shared" si="10"/>
        <v xml:space="preserve"> AND TRIM(PRDT_SPRDT) NOT IN ('096HGP','0960H8','096065')</v>
      </c>
      <c r="BC19" t="str">
        <f t="shared" si="11"/>
        <v xml:space="preserve"> AND FLG_CSRD = 0</v>
      </c>
      <c r="BD19" t="str">
        <f t="shared" si="12"/>
        <v/>
      </c>
      <c r="BE19" t="str">
        <f t="shared" si="13"/>
        <v/>
      </c>
      <c r="BF19" t="str">
        <f t="shared" si="14"/>
        <v xml:space="preserve"> AND TRIM(CFAMILIA) IN ('02', '03', '04')</v>
      </c>
      <c r="BG19" t="str">
        <f t="shared" si="15"/>
        <v xml:space="preserve"> AND FLG_RSC_FSC_CRNC_TRAT = 0</v>
      </c>
      <c r="BH19" t="str">
        <f t="shared" si="16"/>
        <v xml:space="preserve"> AND FLG_RSC_FSC_AGD_TRAT = 0</v>
      </c>
      <c r="BI19" t="str">
        <f t="shared" si="17"/>
        <v/>
      </c>
      <c r="BJ19" t="str">
        <f t="shared" si="18"/>
        <v/>
      </c>
      <c r="BK19" t="str">
        <f t="shared" si="19"/>
        <v/>
      </c>
      <c r="BL19" t="str">
        <f t="shared" si="20"/>
        <v xml:space="preserve"> AND TRIM(CONSTRUCTION_YEAR) = '9999'</v>
      </c>
      <c r="BM19" t="str">
        <f t="shared" si="21"/>
        <v xml:space="preserve"> AND TRIM(QUALITY_SCORE) IN ('1-REAL','SANTANDER')</v>
      </c>
      <c r="BN19" t="str">
        <f t="shared" si="22"/>
        <v/>
      </c>
      <c r="BO19" t="str">
        <f t="shared" si="23"/>
        <v/>
      </c>
      <c r="BP19" t="str">
        <f t="shared" si="24"/>
        <v/>
      </c>
      <c r="BQ19" t="str">
        <f t="shared" si="25"/>
        <v/>
      </c>
      <c r="BS19" t="str">
        <f t="shared" si="26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'Nao Aplicavel'</v>
      </c>
      <c r="BT19" t="str">
        <f t="shared" si="27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'Building acquisition'</v>
      </c>
      <c r="BU19" t="str">
        <f t="shared" si="28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'Specific purpose'</v>
      </c>
      <c r="BV19" t="str">
        <f t="shared" si="29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'CCM'</v>
      </c>
      <c r="BW19" t="str">
        <f t="shared" si="30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'Pure'</v>
      </c>
      <c r="BX19" t="str">
        <f t="shared" si="31"/>
        <v>,CASE 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1 ELSE 0 END AS FLAG_17</v>
      </c>
      <c r="BY19" t="str">
        <f t="shared" si="32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17</v>
      </c>
      <c r="BZ19" s="5" t="str">
        <f t="shared" si="33"/>
        <v>+ CASE 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1 ELSE 0 END</v>
      </c>
      <c r="CA19" s="5" t="str">
        <f t="shared" si="34"/>
        <v>,FLAG_17</v>
      </c>
    </row>
    <row r="20" spans="1:79" hidden="1" x14ac:dyDescent="0.25">
      <c r="A20" s="31">
        <f t="shared" si="35"/>
        <v>18</v>
      </c>
      <c r="B20" s="1" t="s">
        <v>1574</v>
      </c>
      <c r="C20" s="1">
        <v>24</v>
      </c>
      <c r="D20" s="1" t="s">
        <v>1585</v>
      </c>
      <c r="E20" s="1" t="s">
        <v>1606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1619</v>
      </c>
      <c r="T20" s="1" t="s">
        <v>1596</v>
      </c>
      <c r="U20" s="1"/>
      <c r="V20" s="1"/>
      <c r="W20" s="1" t="s">
        <v>1608</v>
      </c>
      <c r="X20" s="1" t="s">
        <v>1587</v>
      </c>
      <c r="Y20" s="1"/>
      <c r="Z20" s="1"/>
      <c r="AA20" s="1" t="s">
        <v>1609</v>
      </c>
      <c r="AB20" s="1" t="s">
        <v>1587</v>
      </c>
      <c r="AC20" s="1" t="s">
        <v>1587</v>
      </c>
      <c r="AD20" s="1"/>
      <c r="AE20" s="1"/>
      <c r="AF20" s="1"/>
      <c r="AG20" s="1" t="s">
        <v>1623</v>
      </c>
      <c r="AH20" s="1" t="s">
        <v>1621</v>
      </c>
      <c r="AI20" s="1"/>
      <c r="AJ20" s="1"/>
      <c r="AK20" s="1"/>
      <c r="AL20" s="1"/>
      <c r="AM20" s="1"/>
      <c r="AN20" s="1"/>
      <c r="AO20" s="1" t="s">
        <v>1611</v>
      </c>
      <c r="AP20" s="1" t="s">
        <v>1580</v>
      </c>
      <c r="AQ20" s="1" t="s">
        <v>1581</v>
      </c>
      <c r="AR20" s="1" t="s">
        <v>1622</v>
      </c>
      <c r="AS20" s="5" t="s">
        <v>1670</v>
      </c>
      <c r="AT20" t="str">
        <f t="shared" si="2"/>
        <v/>
      </c>
      <c r="AU20" t="str">
        <f t="shared" si="3"/>
        <v/>
      </c>
      <c r="AV20" t="str">
        <f t="shared" si="4"/>
        <v/>
      </c>
      <c r="AW20" t="str">
        <f t="shared" si="5"/>
        <v/>
      </c>
      <c r="AX20" t="str">
        <f t="shared" si="6"/>
        <v xml:space="preserve"> AND TRIM(EPC) LIKE 'A%'</v>
      </c>
      <c r="AY20" t="str">
        <f t="shared" si="7"/>
        <v xml:space="preserve"> AND TRIM(CONTRAPARTE) = 'outras empresas nao financeiras'</v>
      </c>
      <c r="AZ20" t="str">
        <f t="shared" si="8"/>
        <v/>
      </c>
      <c r="BA20" t="str">
        <f t="shared" si="9"/>
        <v/>
      </c>
      <c r="BB20" t="str">
        <f t="shared" si="10"/>
        <v xml:space="preserve"> AND TRIM(PRDT_SPRDT) NOT IN ('096HGP','0960H8','096065')</v>
      </c>
      <c r="BC20" t="str">
        <f t="shared" si="11"/>
        <v xml:space="preserve"> AND FLG_CSRD = 0</v>
      </c>
      <c r="BD20" t="str">
        <f t="shared" si="12"/>
        <v/>
      </c>
      <c r="BE20" t="str">
        <f t="shared" si="13"/>
        <v/>
      </c>
      <c r="BF20" t="str">
        <f t="shared" si="14"/>
        <v xml:space="preserve"> AND TRIM(CFAMILIA) IN ('02', '03', '04')</v>
      </c>
      <c r="BG20" t="str">
        <f t="shared" si="15"/>
        <v xml:space="preserve"> AND FLG_RSC_FSC_CRNC_TRAT = 0</v>
      </c>
      <c r="BH20" t="str">
        <f t="shared" si="16"/>
        <v xml:space="preserve"> AND FLG_RSC_FSC_AGD_TRAT = 0</v>
      </c>
      <c r="BI20" t="str">
        <f t="shared" si="17"/>
        <v/>
      </c>
      <c r="BJ20" t="str">
        <f t="shared" si="18"/>
        <v/>
      </c>
      <c r="BK20" t="str">
        <f t="shared" si="19"/>
        <v/>
      </c>
      <c r="BL20" s="9" t="s">
        <v>2536</v>
      </c>
      <c r="BM20" t="str">
        <f t="shared" si="21"/>
        <v xml:space="preserve"> AND TRIM(QUALITY_SCORE) IN ('1-REAL','SANTANDER')</v>
      </c>
      <c r="BN20" t="str">
        <f t="shared" si="22"/>
        <v/>
      </c>
      <c r="BO20" t="str">
        <f t="shared" si="23"/>
        <v/>
      </c>
      <c r="BP20" t="str">
        <f t="shared" si="24"/>
        <v/>
      </c>
      <c r="BQ20" t="str">
        <f t="shared" si="25"/>
        <v/>
      </c>
      <c r="BS20" t="str">
        <f t="shared" si="26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'Nao Aplicavel'</v>
      </c>
      <c r="BT20" t="str">
        <f t="shared" si="27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'Building acquisition'</v>
      </c>
      <c r="BU20" t="str">
        <f t="shared" si="28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'Specific purpose'</v>
      </c>
      <c r="BV20" t="str">
        <f t="shared" si="29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'CCM'</v>
      </c>
      <c r="BW20" t="str">
        <f t="shared" si="30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'Pure'</v>
      </c>
      <c r="BX20" t="str">
        <f t="shared" si="31"/>
        <v>,CASE 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1 ELSE 0 END AS FLAG_18</v>
      </c>
      <c r="BY20" t="str">
        <f t="shared" si="32"/>
        <v>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18</v>
      </c>
      <c r="BZ20" s="5" t="str">
        <f t="shared" si="33"/>
        <v>+ CASE WHEN  AND TRIM(EPC) LIKE 'A%'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1 ELSE 0 END</v>
      </c>
      <c r="CA20" s="5" t="str">
        <f t="shared" si="34"/>
        <v>,FLAG_18</v>
      </c>
    </row>
    <row r="21" spans="1:79" hidden="1" x14ac:dyDescent="0.25">
      <c r="A21" s="31">
        <f t="shared" si="35"/>
        <v>19</v>
      </c>
      <c r="B21" s="1" t="s">
        <v>1574</v>
      </c>
      <c r="C21" s="1">
        <v>25</v>
      </c>
      <c r="D21" s="1" t="s">
        <v>1585</v>
      </c>
      <c r="E21" s="1" t="s">
        <v>1606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1624</v>
      </c>
      <c r="T21" s="1" t="s">
        <v>1596</v>
      </c>
      <c r="U21" s="1"/>
      <c r="V21" s="1"/>
      <c r="W21" s="1" t="s">
        <v>1608</v>
      </c>
      <c r="X21" s="1" t="s">
        <v>1587</v>
      </c>
      <c r="Y21" s="1"/>
      <c r="Z21" s="1"/>
      <c r="AA21" s="1" t="s">
        <v>1609</v>
      </c>
      <c r="AB21" s="1" t="s">
        <v>1587</v>
      </c>
      <c r="AC21" s="1" t="s">
        <v>1587</v>
      </c>
      <c r="AD21" s="1"/>
      <c r="AE21" s="1"/>
      <c r="AF21" s="1"/>
      <c r="AG21" s="1" t="s">
        <v>1620</v>
      </c>
      <c r="AH21" s="1" t="s">
        <v>1621</v>
      </c>
      <c r="AI21" s="1"/>
      <c r="AJ21" s="1"/>
      <c r="AK21" s="1"/>
      <c r="AL21" s="1"/>
      <c r="AM21" s="1"/>
      <c r="AN21" s="1"/>
      <c r="AO21" s="1" t="s">
        <v>1611</v>
      </c>
      <c r="AP21" s="1" t="s">
        <v>1580</v>
      </c>
      <c r="AQ21" s="1" t="s">
        <v>1581</v>
      </c>
      <c r="AR21" s="1" t="s">
        <v>1622</v>
      </c>
      <c r="AS21" s="5" t="s">
        <v>1670</v>
      </c>
      <c r="AT21" t="str">
        <f t="shared" si="2"/>
        <v/>
      </c>
      <c r="AU21" t="str">
        <f t="shared" si="3"/>
        <v/>
      </c>
      <c r="AV21" t="str">
        <f t="shared" si="4"/>
        <v/>
      </c>
      <c r="AW21" t="str">
        <f t="shared" si="5"/>
        <v/>
      </c>
      <c r="AX21" t="str">
        <f t="shared" si="6"/>
        <v xml:space="preserve"> AND TRIM(EPC) = 'B'</v>
      </c>
      <c r="AY21" t="str">
        <f t="shared" si="7"/>
        <v xml:space="preserve"> AND TRIM(CONTRAPARTE) = 'outras empresas nao financeiras'</v>
      </c>
      <c r="AZ21" t="str">
        <f t="shared" si="8"/>
        <v/>
      </c>
      <c r="BA21" t="str">
        <f t="shared" si="9"/>
        <v/>
      </c>
      <c r="BB21" t="str">
        <f t="shared" si="10"/>
        <v xml:space="preserve"> AND TRIM(PRDT_SPRDT) NOT IN ('096HGP','0960H8','096065')</v>
      </c>
      <c r="BC21" t="str">
        <f t="shared" si="11"/>
        <v xml:space="preserve"> AND FLG_CSRD = 0</v>
      </c>
      <c r="BD21" t="str">
        <f t="shared" si="12"/>
        <v/>
      </c>
      <c r="BE21" t="str">
        <f t="shared" si="13"/>
        <v/>
      </c>
      <c r="BF21" t="str">
        <f t="shared" si="14"/>
        <v xml:space="preserve"> AND TRIM(CFAMILIA) IN ('02', '03', '04')</v>
      </c>
      <c r="BG21" t="str">
        <f t="shared" si="15"/>
        <v xml:space="preserve"> AND FLG_RSC_FSC_CRNC_TRAT = 0</v>
      </c>
      <c r="BH21" t="str">
        <f t="shared" si="16"/>
        <v xml:space="preserve"> AND FLG_RSC_FSC_AGD_TRAT = 0</v>
      </c>
      <c r="BI21" t="str">
        <f t="shared" si="17"/>
        <v/>
      </c>
      <c r="BJ21" t="str">
        <f t="shared" si="18"/>
        <v/>
      </c>
      <c r="BK21" t="str">
        <f t="shared" si="19"/>
        <v/>
      </c>
      <c r="BL21" t="str">
        <f t="shared" si="20"/>
        <v xml:space="preserve"> AND TRIM(CONSTRUCTION_YEAR) = '9999'</v>
      </c>
      <c r="BM21" t="str">
        <f t="shared" si="21"/>
        <v xml:space="preserve"> AND TRIM(QUALITY_SCORE) IN ('1-REAL','SANTANDER')</v>
      </c>
      <c r="BN21" t="str">
        <f t="shared" si="22"/>
        <v/>
      </c>
      <c r="BO21" t="str">
        <f t="shared" si="23"/>
        <v/>
      </c>
      <c r="BP21" t="str">
        <f t="shared" si="24"/>
        <v/>
      </c>
      <c r="BQ21" t="str">
        <f t="shared" si="25"/>
        <v/>
      </c>
      <c r="BS21" t="str">
        <f t="shared" si="26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'Nao Aplicavel'</v>
      </c>
      <c r="BT21" t="str">
        <f t="shared" si="27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'Building acquisition'</v>
      </c>
      <c r="BU21" t="str">
        <f t="shared" si="28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'Specific purpose'</v>
      </c>
      <c r="BV21" t="str">
        <f t="shared" si="29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'CCM'</v>
      </c>
      <c r="BW21" t="str">
        <f t="shared" si="30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'Pure'</v>
      </c>
      <c r="BX21" t="str">
        <f t="shared" si="31"/>
        <v>,CASE 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1 ELSE 0 END AS FLAG_19</v>
      </c>
      <c r="BY21" t="str">
        <f t="shared" si="32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19</v>
      </c>
      <c r="BZ21" s="5" t="str">
        <f t="shared" si="33"/>
        <v>+ CASE 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= '9999' AND TRIM(QUALITY_SCORE) IN ('1-REAL','SANTANDER') THEN 1 ELSE 0 END</v>
      </c>
      <c r="CA21" s="5" t="str">
        <f t="shared" si="34"/>
        <v>,FLAG_19</v>
      </c>
    </row>
    <row r="22" spans="1:79" hidden="1" x14ac:dyDescent="0.25">
      <c r="A22" s="31">
        <f t="shared" si="35"/>
        <v>20</v>
      </c>
      <c r="B22" s="1" t="s">
        <v>1574</v>
      </c>
      <c r="C22" s="1">
        <v>26</v>
      </c>
      <c r="D22" s="1" t="s">
        <v>1585</v>
      </c>
      <c r="E22" s="1" t="s">
        <v>1606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1624</v>
      </c>
      <c r="T22" s="1" t="s">
        <v>1596</v>
      </c>
      <c r="U22" s="1"/>
      <c r="V22" s="1"/>
      <c r="W22" s="1" t="s">
        <v>1608</v>
      </c>
      <c r="X22" s="1" t="s">
        <v>1587</v>
      </c>
      <c r="Y22" s="1"/>
      <c r="Z22" s="1"/>
      <c r="AA22" s="1" t="s">
        <v>1609</v>
      </c>
      <c r="AB22" s="1" t="s">
        <v>1587</v>
      </c>
      <c r="AC22" s="1" t="s">
        <v>1587</v>
      </c>
      <c r="AD22" s="1"/>
      <c r="AE22" s="1"/>
      <c r="AF22" s="1"/>
      <c r="AG22" s="1" t="s">
        <v>1623</v>
      </c>
      <c r="AH22" s="1" t="s">
        <v>1621</v>
      </c>
      <c r="AI22" s="1"/>
      <c r="AJ22" s="1"/>
      <c r="AK22" s="1"/>
      <c r="AL22" s="1"/>
      <c r="AM22" s="1"/>
      <c r="AN22" s="1"/>
      <c r="AO22" s="1" t="s">
        <v>1611</v>
      </c>
      <c r="AP22" s="1" t="s">
        <v>1580</v>
      </c>
      <c r="AQ22" s="1" t="s">
        <v>1581</v>
      </c>
      <c r="AR22" s="1" t="s">
        <v>1622</v>
      </c>
      <c r="AS22" s="5" t="s">
        <v>1670</v>
      </c>
      <c r="AT22" t="str">
        <f t="shared" si="2"/>
        <v/>
      </c>
      <c r="AU22" t="str">
        <f t="shared" si="3"/>
        <v/>
      </c>
      <c r="AV22" t="str">
        <f t="shared" si="4"/>
        <v/>
      </c>
      <c r="AW22" t="str">
        <f t="shared" si="5"/>
        <v/>
      </c>
      <c r="AX22" t="str">
        <f t="shared" si="6"/>
        <v xml:space="preserve"> AND TRIM(EPC) = 'B'</v>
      </c>
      <c r="AY22" t="str">
        <f t="shared" si="7"/>
        <v xml:space="preserve"> AND TRIM(CONTRAPARTE) = 'outras empresas nao financeiras'</v>
      </c>
      <c r="AZ22" t="str">
        <f t="shared" si="8"/>
        <v/>
      </c>
      <c r="BA22" t="str">
        <f t="shared" si="9"/>
        <v/>
      </c>
      <c r="BB22" t="str">
        <f t="shared" si="10"/>
        <v xml:space="preserve"> AND TRIM(PRDT_SPRDT) NOT IN ('096HGP','0960H8','096065')</v>
      </c>
      <c r="BC22" t="str">
        <f t="shared" si="11"/>
        <v xml:space="preserve"> AND FLG_CSRD = 0</v>
      </c>
      <c r="BD22" t="str">
        <f t="shared" si="12"/>
        <v/>
      </c>
      <c r="BE22" t="str">
        <f t="shared" si="13"/>
        <v/>
      </c>
      <c r="BF22" t="str">
        <f t="shared" si="14"/>
        <v xml:space="preserve"> AND TRIM(CFAMILIA) IN ('02', '03', '04')</v>
      </c>
      <c r="BG22" t="str">
        <f t="shared" si="15"/>
        <v xml:space="preserve"> AND FLG_RSC_FSC_CRNC_TRAT = 0</v>
      </c>
      <c r="BH22" t="str">
        <f t="shared" si="16"/>
        <v xml:space="preserve"> AND FLG_RSC_FSC_AGD_TRAT = 0</v>
      </c>
      <c r="BI22" t="str">
        <f t="shared" si="17"/>
        <v/>
      </c>
      <c r="BJ22" t="str">
        <f t="shared" si="18"/>
        <v/>
      </c>
      <c r="BK22" t="str">
        <f t="shared" si="19"/>
        <v/>
      </c>
      <c r="BL22" s="9" t="s">
        <v>2536</v>
      </c>
      <c r="BM22" t="str">
        <f t="shared" si="21"/>
        <v xml:space="preserve"> AND TRIM(QUALITY_SCORE) IN ('1-REAL','SANTANDER')</v>
      </c>
      <c r="BN22" t="str">
        <f t="shared" si="22"/>
        <v/>
      </c>
      <c r="BO22" t="str">
        <f t="shared" si="23"/>
        <v/>
      </c>
      <c r="BP22" t="str">
        <f t="shared" si="24"/>
        <v/>
      </c>
      <c r="BQ22" t="str">
        <f t="shared" si="25"/>
        <v/>
      </c>
      <c r="BS22" t="str">
        <f t="shared" si="26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'Nao Aplicavel'</v>
      </c>
      <c r="BT22" t="str">
        <f t="shared" si="27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'Building acquisition'</v>
      </c>
      <c r="BU22" t="str">
        <f t="shared" si="28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'Specific purpose'</v>
      </c>
      <c r="BV22" t="str">
        <f t="shared" si="29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'CCM'</v>
      </c>
      <c r="BW22" t="str">
        <f t="shared" si="30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'Pure'</v>
      </c>
      <c r="BX22" t="str">
        <f t="shared" si="31"/>
        <v>,CASE 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1 ELSE 0 END AS FLAG_20</v>
      </c>
      <c r="BY22" t="str">
        <f t="shared" si="32"/>
        <v>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20</v>
      </c>
      <c r="BZ22" s="5" t="str">
        <f t="shared" si="33"/>
        <v>+ CASE WHEN  AND TRIM(EPC) = 'B' AND TRIM(CONTRAPARTE) = 'outras empresas nao financeiras' AND TRIM(PRDT_SPRDT) NOT IN ('096HGP','0960H8','096065') AND FLG_CSRD = 0 AND TRIM(CFAMILIA) IN ('02', '03', '04') AND FLG_RSC_FSC_CRNC_TRAT = 0 AND FLG_RSC_FSC_AGD_TRAT = 0 AND TRIM(CONSTRUCTION_YEAR) &lt; '2020' AND CONSTRUCTION_YEAR IS NOT NULL AND TRIM(CONSTRUCTION_YEAR)&lt;&gt;'' AND TRIM(QUALITY_SCORE) IN ('1-REAL','SANTANDER') THEN 1 ELSE 0 END</v>
      </c>
      <c r="CA22" s="5" t="str">
        <f t="shared" si="34"/>
        <v>,FLAG_20</v>
      </c>
    </row>
    <row r="23" spans="1:79" hidden="1" x14ac:dyDescent="0.25">
      <c r="A23" s="31">
        <f t="shared" si="35"/>
        <v>21</v>
      </c>
      <c r="B23" s="1" t="s">
        <v>1574</v>
      </c>
      <c r="C23" s="1">
        <v>28</v>
      </c>
      <c r="D23" s="1" t="s">
        <v>1585</v>
      </c>
      <c r="E23" s="1" t="s">
        <v>1628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 t="s">
        <v>1632</v>
      </c>
      <c r="AM23" s="1"/>
      <c r="AN23" s="1" t="s">
        <v>1631</v>
      </c>
      <c r="AO23" s="1"/>
      <c r="AP23" s="1"/>
      <c r="AQ23" s="1"/>
      <c r="AR23" s="1"/>
      <c r="AS23" s="5" t="s">
        <v>1670</v>
      </c>
      <c r="AT23" t="str">
        <f t="shared" si="2"/>
        <v/>
      </c>
      <c r="AU23" t="str">
        <f t="shared" si="3"/>
        <v/>
      </c>
      <c r="AV23" t="str">
        <f t="shared" si="4"/>
        <v/>
      </c>
      <c r="AW23" t="str">
        <f t="shared" si="5"/>
        <v/>
      </c>
      <c r="AX23" t="str">
        <f t="shared" si="6"/>
        <v/>
      </c>
      <c r="AY23" t="str">
        <f t="shared" si="7"/>
        <v/>
      </c>
      <c r="AZ23" t="str">
        <f t="shared" si="8"/>
        <v/>
      </c>
      <c r="BA23" t="str">
        <f t="shared" si="9"/>
        <v/>
      </c>
      <c r="BB23" t="str">
        <f t="shared" si="10"/>
        <v/>
      </c>
      <c r="BC23" t="str">
        <f t="shared" si="11"/>
        <v/>
      </c>
      <c r="BD23" t="str">
        <f t="shared" si="12"/>
        <v/>
      </c>
      <c r="BE23" t="str">
        <f t="shared" si="13"/>
        <v/>
      </c>
      <c r="BF23" t="str">
        <f t="shared" si="14"/>
        <v/>
      </c>
      <c r="BG23" t="str">
        <f t="shared" si="15"/>
        <v/>
      </c>
      <c r="BH23" t="str">
        <f t="shared" si="16"/>
        <v/>
      </c>
      <c r="BI23" t="str">
        <f t="shared" si="17"/>
        <v/>
      </c>
      <c r="BJ23" t="str">
        <f t="shared" si="18"/>
        <v/>
      </c>
      <c r="BK23" t="str">
        <f t="shared" si="19"/>
        <v/>
      </c>
      <c r="BL23" t="str">
        <f t="shared" si="20"/>
        <v/>
      </c>
      <c r="BM23" t="str">
        <f t="shared" si="21"/>
        <v/>
      </c>
      <c r="BN23" t="str">
        <f t="shared" si="22"/>
        <v/>
      </c>
      <c r="BO23" t="str">
        <f t="shared" si="23"/>
        <v/>
      </c>
      <c r="BP23" t="str">
        <f t="shared" si="24"/>
        <v/>
      </c>
      <c r="BQ23" t="str">
        <f t="shared" si="25"/>
        <v xml:space="preserve"> AND TRIM(NOME_CTGR_SFICS) LIKE '%Linked%'</v>
      </c>
      <c r="BS23" t="str">
        <f t="shared" si="26"/>
        <v>WHEN  AND TRIM(NOME_CTGR_SFICS) LIKE '%Linked%' THEN 'Other purpose'</v>
      </c>
      <c r="BT23" t="str">
        <f t="shared" si="27"/>
        <v>WHEN  AND TRIM(NOME_CTGR_SFICS) LIKE '%Linked%' THEN 'Nao Aplicavel'</v>
      </c>
      <c r="BU23" t="str">
        <f t="shared" si="28"/>
        <v>WHEN  AND TRIM(NOME_CTGR_SFICS) LIKE '%Linked%' THEN 'Nao Aplicavel'</v>
      </c>
      <c r="BV23" t="str">
        <f t="shared" si="29"/>
        <v>WHEN  AND TRIM(NOME_CTGR_SFICS) LIKE '%Linked%' THEN 'Nao Aplicavel'</v>
      </c>
      <c r="BW23" t="str">
        <f t="shared" si="30"/>
        <v>WHEN  AND TRIM(NOME_CTGR_SFICS) LIKE '%Linked%' THEN 'Nao Aplicavel'</v>
      </c>
      <c r="BX23" t="str">
        <f t="shared" si="31"/>
        <v>,CASE WHEN  AND TRIM(NOME_CTGR_SFICS) LIKE '%Linked%' THEN 1 ELSE 0 END AS FLAG_21</v>
      </c>
      <c r="BY23" t="str">
        <f t="shared" si="32"/>
        <v>WHEN  AND TRIM(NOME_CTGR_SFICS) LIKE '%Linked%' THEN 21</v>
      </c>
      <c r="BZ23" s="5" t="str">
        <f t="shared" si="33"/>
        <v>+ CASE WHEN  AND TRIM(NOME_CTGR_SFICS) LIKE '%Linked%' THEN 1 ELSE 0 END</v>
      </c>
      <c r="CA23" s="5" t="str">
        <f t="shared" si="34"/>
        <v>,FLAG_21</v>
      </c>
    </row>
    <row r="24" spans="1:79" hidden="1" x14ac:dyDescent="0.25">
      <c r="A24" s="31">
        <f t="shared" si="35"/>
        <v>22</v>
      </c>
      <c r="B24" s="1" t="s">
        <v>1574</v>
      </c>
      <c r="C24" s="1">
        <v>29</v>
      </c>
      <c r="D24" s="1" t="s">
        <v>1585</v>
      </c>
      <c r="E24" s="1" t="s">
        <v>1628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 t="s">
        <v>1633</v>
      </c>
      <c r="AM24" s="1"/>
      <c r="AN24" s="1" t="s">
        <v>1631</v>
      </c>
      <c r="AO24" s="1"/>
      <c r="AP24" s="1"/>
      <c r="AQ24" s="1"/>
      <c r="AR24" s="1"/>
      <c r="AS24" s="5" t="s">
        <v>1670</v>
      </c>
      <c r="AT24" t="str">
        <f t="shared" si="2"/>
        <v/>
      </c>
      <c r="AU24" t="str">
        <f t="shared" si="3"/>
        <v/>
      </c>
      <c r="AV24" t="str">
        <f t="shared" si="4"/>
        <v/>
      </c>
      <c r="AW24" t="str">
        <f t="shared" si="5"/>
        <v/>
      </c>
      <c r="AX24" t="str">
        <f t="shared" si="6"/>
        <v/>
      </c>
      <c r="AY24" t="str">
        <f t="shared" si="7"/>
        <v/>
      </c>
      <c r="AZ24" t="str">
        <f t="shared" si="8"/>
        <v/>
      </c>
      <c r="BA24" t="str">
        <f t="shared" si="9"/>
        <v/>
      </c>
      <c r="BB24" t="str">
        <f t="shared" si="10"/>
        <v/>
      </c>
      <c r="BC24" t="str">
        <f t="shared" si="11"/>
        <v/>
      </c>
      <c r="BD24" t="str">
        <f t="shared" si="12"/>
        <v/>
      </c>
      <c r="BE24" t="str">
        <f t="shared" si="13"/>
        <v/>
      </c>
      <c r="BF24" t="str">
        <f t="shared" si="14"/>
        <v/>
      </c>
      <c r="BG24" t="str">
        <f t="shared" si="15"/>
        <v/>
      </c>
      <c r="BH24" t="str">
        <f t="shared" si="16"/>
        <v/>
      </c>
      <c r="BI24" t="str">
        <f t="shared" si="17"/>
        <v/>
      </c>
      <c r="BJ24" t="str">
        <f t="shared" si="18"/>
        <v/>
      </c>
      <c r="BK24" t="str">
        <f t="shared" si="19"/>
        <v/>
      </c>
      <c r="BL24" t="str">
        <f t="shared" si="20"/>
        <v/>
      </c>
      <c r="BM24" t="str">
        <f t="shared" si="21"/>
        <v/>
      </c>
      <c r="BN24" t="str">
        <f t="shared" si="22"/>
        <v/>
      </c>
      <c r="BO24" t="str">
        <f t="shared" si="23"/>
        <v/>
      </c>
      <c r="BP24" t="str">
        <f t="shared" si="24"/>
        <v/>
      </c>
      <c r="BQ24" t="str">
        <f t="shared" si="25"/>
        <v xml:space="preserve"> AND TRIM(NOME_CTGR_SFICS) LIKE '%Pure Green%'</v>
      </c>
      <c r="BS24" t="str">
        <f t="shared" si="26"/>
        <v>WHEN  AND TRIM(NOME_CTGR_SFICS) LIKE '%Pure Green%' THEN 'Other purpose'</v>
      </c>
      <c r="BT24" t="str">
        <f t="shared" si="27"/>
        <v>WHEN  AND TRIM(NOME_CTGR_SFICS) LIKE '%Pure Green%' THEN 'Nao Aplicavel'</v>
      </c>
      <c r="BU24" t="str">
        <f t="shared" si="28"/>
        <v>WHEN  AND TRIM(NOME_CTGR_SFICS) LIKE '%Pure Green%' THEN 'Nao Aplicavel'</v>
      </c>
      <c r="BV24" t="str">
        <f t="shared" si="29"/>
        <v>WHEN  AND TRIM(NOME_CTGR_SFICS) LIKE '%Pure Green%' THEN 'Nao Aplicavel'</v>
      </c>
      <c r="BW24" t="str">
        <f t="shared" si="30"/>
        <v>WHEN  AND TRIM(NOME_CTGR_SFICS) LIKE '%Pure Green%' THEN 'Nao Aplicavel'</v>
      </c>
      <c r="BX24" t="str">
        <f t="shared" si="31"/>
        <v>,CASE WHEN  AND TRIM(NOME_CTGR_SFICS) LIKE '%Pure Green%' THEN 1 ELSE 0 END AS FLAG_22</v>
      </c>
      <c r="BY24" t="str">
        <f t="shared" si="32"/>
        <v>WHEN  AND TRIM(NOME_CTGR_SFICS) LIKE '%Pure Green%' THEN 22</v>
      </c>
      <c r="BZ24" s="5" t="str">
        <f t="shared" si="33"/>
        <v>+ CASE WHEN  AND TRIM(NOME_CTGR_SFICS) LIKE '%Pure Green%' THEN 1 ELSE 0 END</v>
      </c>
      <c r="CA24" s="5" t="str">
        <f t="shared" si="34"/>
        <v>,FLAG_22</v>
      </c>
    </row>
    <row r="25" spans="1:79" hidden="1" x14ac:dyDescent="0.25">
      <c r="A25" s="31">
        <f t="shared" si="35"/>
        <v>23</v>
      </c>
      <c r="B25" s="1" t="s">
        <v>1574</v>
      </c>
      <c r="C25" s="1">
        <v>30</v>
      </c>
      <c r="D25" s="1" t="s">
        <v>1585</v>
      </c>
      <c r="E25" s="1" t="s">
        <v>1628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1629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1634</v>
      </c>
      <c r="AM25" s="1"/>
      <c r="AN25" s="1"/>
      <c r="AO25" s="1" t="s">
        <v>1631</v>
      </c>
      <c r="AP25" s="1" t="s">
        <v>1580</v>
      </c>
      <c r="AQ25" s="1" t="s">
        <v>1582</v>
      </c>
      <c r="AR25" s="1"/>
      <c r="AS25" s="5" t="s">
        <v>1670</v>
      </c>
      <c r="AT25" t="str">
        <f t="shared" si="2"/>
        <v/>
      </c>
      <c r="AU25" t="str">
        <f t="shared" si="3"/>
        <v/>
      </c>
      <c r="AV25" t="str">
        <f t="shared" si="4"/>
        <v/>
      </c>
      <c r="AW25" t="str">
        <f t="shared" si="5"/>
        <v/>
      </c>
      <c r="AX25" t="str">
        <f t="shared" si="6"/>
        <v/>
      </c>
      <c r="AY25" t="str">
        <f t="shared" si="7"/>
        <v xml:space="preserve"> AND TRIM(CONTRAPARTE) IN('outras empresas nao financeiras','setor publico','particulares')</v>
      </c>
      <c r="AZ25" t="str">
        <f t="shared" si="8"/>
        <v/>
      </c>
      <c r="BA25" t="str">
        <f t="shared" si="9"/>
        <v/>
      </c>
      <c r="BB25" t="str">
        <f t="shared" si="10"/>
        <v/>
      </c>
      <c r="BC25" t="str">
        <f t="shared" si="11"/>
        <v/>
      </c>
      <c r="BD25" t="str">
        <f t="shared" si="12"/>
        <v/>
      </c>
      <c r="BE25" t="str">
        <f t="shared" si="13"/>
        <v/>
      </c>
      <c r="BF25" t="str">
        <f t="shared" si="14"/>
        <v/>
      </c>
      <c r="BG25" t="str">
        <f t="shared" si="15"/>
        <v/>
      </c>
      <c r="BH25" t="str">
        <f t="shared" si="16"/>
        <v/>
      </c>
      <c r="BI25" t="str">
        <f t="shared" si="17"/>
        <v/>
      </c>
      <c r="BJ25" t="str">
        <f t="shared" si="18"/>
        <v/>
      </c>
      <c r="BK25" t="str">
        <f t="shared" si="19"/>
        <v/>
      </c>
      <c r="BL25" t="str">
        <f t="shared" si="20"/>
        <v/>
      </c>
      <c r="BM25" t="str">
        <f t="shared" si="21"/>
        <v/>
      </c>
      <c r="BN25" t="str">
        <f t="shared" si="22"/>
        <v/>
      </c>
      <c r="BO25" t="str">
        <f t="shared" si="23"/>
        <v/>
      </c>
      <c r="BP25" t="str">
        <f t="shared" si="24"/>
        <v/>
      </c>
      <c r="BQ25" t="str">
        <f t="shared" si="25"/>
        <v xml:space="preserve"> AND TRIM(NOME_CTGR_SFICS) IN ('A.7.12.','A.7.18.','A.7.7.')</v>
      </c>
      <c r="BS25" t="str">
        <f t="shared" si="26"/>
        <v>WHEN  AND TRIM(CONTRAPARTE) IN('outras empresas nao financeiras','setor publico','particulares') AND TRIM(NOME_CTGR_SFICS) IN ('A.7.12.','A.7.18.','A.7.7.') THEN 'Nao Aplicavel'</v>
      </c>
      <c r="BT25" t="str">
        <f t="shared" si="27"/>
        <v>WHEN  AND TRIM(CONTRAPARTE) IN('outras empresas nao financeiras','setor publico','particulares') AND TRIM(NOME_CTGR_SFICS) IN ('A.7.12.','A.7.18.','A.7.7.') THEN 'Other purpose'</v>
      </c>
      <c r="BU25" t="str">
        <f t="shared" si="28"/>
        <v>WHEN  AND TRIM(CONTRAPARTE) IN('outras empresas nao financeiras','setor publico','particulares') AND TRIM(NOME_CTGR_SFICS) IN ('A.7.12.','A.7.18.','A.7.7.') THEN 'Specific purpose'</v>
      </c>
      <c r="BV25" t="str">
        <f t="shared" si="29"/>
        <v>WHEN  AND TRIM(CONTRAPARTE) IN('outras empresas nao financeiras','setor publico','particulares') AND TRIM(NOME_CTGR_SFICS) IN ('A.7.12.','A.7.18.','A.7.7.') THEN 'No'</v>
      </c>
      <c r="BW25" t="str">
        <f t="shared" si="30"/>
        <v>WHEN  AND TRIM(CONTRAPARTE) IN('outras empresas nao financeiras','setor publico','particulares') AND TRIM(NOME_CTGR_SFICS) IN ('A.7.12.','A.7.18.','A.7.7.') THEN 'Nao Aplicavel'</v>
      </c>
      <c r="BX25" t="str">
        <f t="shared" si="31"/>
        <v>,CASE WHEN  AND TRIM(CONTRAPARTE) IN('outras empresas nao financeiras','setor publico','particulares') AND TRIM(NOME_CTGR_SFICS) IN ('A.7.12.','A.7.18.','A.7.7.') THEN 1 ELSE 0 END AS FLAG_23</v>
      </c>
      <c r="BY25" t="str">
        <f t="shared" si="32"/>
        <v>WHEN  AND TRIM(CONTRAPARTE) IN('outras empresas nao financeiras','setor publico','particulares') AND TRIM(NOME_CTGR_SFICS) IN ('A.7.12.','A.7.18.','A.7.7.') THEN 23</v>
      </c>
      <c r="BZ25" s="5" t="str">
        <f t="shared" si="33"/>
        <v>+ CASE WHEN  AND TRIM(CONTRAPARTE) IN('outras empresas nao financeiras','setor publico','particulares') AND TRIM(NOME_CTGR_SFICS) IN ('A.7.12.','A.7.18.','A.7.7.') THEN 1 ELSE 0 END</v>
      </c>
      <c r="CA25" s="5" t="str">
        <f t="shared" si="34"/>
        <v>,FLAG_23</v>
      </c>
    </row>
    <row r="26" spans="1:79" hidden="1" x14ac:dyDescent="0.25">
      <c r="A26" s="31">
        <f t="shared" si="35"/>
        <v>24</v>
      </c>
      <c r="B26" s="1" t="s">
        <v>1574</v>
      </c>
      <c r="C26" s="1">
        <v>32</v>
      </c>
      <c r="D26" s="1" t="s">
        <v>1585</v>
      </c>
      <c r="E26" s="1" t="s">
        <v>1628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1596</v>
      </c>
      <c r="U26" s="1"/>
      <c r="V26" s="1"/>
      <c r="W26" s="1"/>
      <c r="X26" s="1" t="s">
        <v>1587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 t="s">
        <v>1636</v>
      </c>
      <c r="AM26" s="1"/>
      <c r="AN26" s="1"/>
      <c r="AO26" s="1" t="s">
        <v>1631</v>
      </c>
      <c r="AP26" s="1" t="s">
        <v>1580</v>
      </c>
      <c r="AQ26" s="1" t="s">
        <v>1581</v>
      </c>
      <c r="AR26" s="1" t="s">
        <v>1622</v>
      </c>
      <c r="AS26" s="5" t="s">
        <v>1670</v>
      </c>
      <c r="AT26" t="str">
        <f t="shared" si="2"/>
        <v/>
      </c>
      <c r="AU26" t="str">
        <f t="shared" si="3"/>
        <v/>
      </c>
      <c r="AV26" t="str">
        <f t="shared" si="4"/>
        <v/>
      </c>
      <c r="AW26" t="str">
        <f t="shared" si="5"/>
        <v/>
      </c>
      <c r="AX26" t="str">
        <f t="shared" si="6"/>
        <v/>
      </c>
      <c r="AY26" t="str">
        <f t="shared" si="7"/>
        <v xml:space="preserve"> AND TRIM(CONTRAPARTE) = 'outras empresas nao financeiras'</v>
      </c>
      <c r="AZ26" t="str">
        <f t="shared" si="8"/>
        <v/>
      </c>
      <c r="BA26" t="str">
        <f t="shared" si="9"/>
        <v/>
      </c>
      <c r="BB26" t="str">
        <f t="shared" si="10"/>
        <v/>
      </c>
      <c r="BC26" t="str">
        <f t="shared" si="11"/>
        <v xml:space="preserve"> AND FLG_CSRD = 0</v>
      </c>
      <c r="BD26" t="str">
        <f t="shared" si="12"/>
        <v/>
      </c>
      <c r="BE26" t="str">
        <f t="shared" si="13"/>
        <v/>
      </c>
      <c r="BF26" t="str">
        <f t="shared" si="14"/>
        <v/>
      </c>
      <c r="BG26" t="str">
        <f t="shared" si="15"/>
        <v/>
      </c>
      <c r="BH26" t="str">
        <f t="shared" si="16"/>
        <v/>
      </c>
      <c r="BI26" t="str">
        <f t="shared" si="17"/>
        <v/>
      </c>
      <c r="BJ26" t="str">
        <f t="shared" si="18"/>
        <v/>
      </c>
      <c r="BK26" t="str">
        <f t="shared" si="19"/>
        <v/>
      </c>
      <c r="BL26" t="str">
        <f t="shared" si="20"/>
        <v/>
      </c>
      <c r="BM26" t="str">
        <f t="shared" si="21"/>
        <v/>
      </c>
      <c r="BN26" t="str">
        <f t="shared" si="22"/>
        <v/>
      </c>
      <c r="BO26" t="str">
        <f t="shared" si="23"/>
        <v/>
      </c>
      <c r="BP26" t="str">
        <f t="shared" si="24"/>
        <v/>
      </c>
      <c r="BQ26" t="str">
        <f t="shared" si="25"/>
        <v xml:space="preserve"> AND TRIM(NOME_CTGR_SFICS) = 'A.1.'</v>
      </c>
      <c r="BS26" t="str">
        <f t="shared" si="26"/>
        <v>WHEN  AND TRIM(CONTRAPARTE) = 'outras empresas nao financeiras' AND FLG_CSRD = 0 AND TRIM(NOME_CTGR_SFICS) = 'A.1.' THEN 'Nao Aplicavel'</v>
      </c>
      <c r="BT26" t="str">
        <f t="shared" si="27"/>
        <v>WHEN  AND TRIM(CONTRAPARTE) = 'outras empresas nao financeiras' AND FLG_CSRD = 0 AND TRIM(NOME_CTGR_SFICS) = 'A.1.' THEN 'Other purpose'</v>
      </c>
      <c r="BU26" t="str">
        <f t="shared" si="28"/>
        <v>WHEN  AND TRIM(CONTRAPARTE) = 'outras empresas nao financeiras' AND FLG_CSRD = 0 AND TRIM(NOME_CTGR_SFICS) = 'A.1.' THEN 'Specific purpose'</v>
      </c>
      <c r="BV26" t="str">
        <f t="shared" si="29"/>
        <v>WHEN  AND TRIM(CONTRAPARTE) = 'outras empresas nao financeiras' AND FLG_CSRD = 0 AND TRIM(NOME_CTGR_SFICS) = 'A.1.' THEN 'CCM'</v>
      </c>
      <c r="BW26" t="str">
        <f t="shared" si="30"/>
        <v>WHEN  AND TRIM(CONTRAPARTE) = 'outras empresas nao financeiras' AND FLG_CSRD = 0 AND TRIM(NOME_CTGR_SFICS) = 'A.1.' THEN 'Pure'</v>
      </c>
      <c r="BX26" t="str">
        <f t="shared" si="31"/>
        <v>,CASE WHEN  AND TRIM(CONTRAPARTE) = 'outras empresas nao financeiras' AND FLG_CSRD = 0 AND TRIM(NOME_CTGR_SFICS) = 'A.1.' THEN 1 ELSE 0 END AS FLAG_24</v>
      </c>
      <c r="BY26" t="str">
        <f t="shared" si="32"/>
        <v>WHEN  AND TRIM(CONTRAPARTE) = 'outras empresas nao financeiras' AND FLG_CSRD = 0 AND TRIM(NOME_CTGR_SFICS) = 'A.1.' THEN 24</v>
      </c>
      <c r="BZ26" s="5" t="str">
        <f t="shared" si="33"/>
        <v>+ CASE WHEN  AND TRIM(CONTRAPARTE) = 'outras empresas nao financeiras' AND FLG_CSRD = 0 AND TRIM(NOME_CTGR_SFICS) = 'A.1.' THEN 1 ELSE 0 END</v>
      </c>
      <c r="CA26" s="5" t="str">
        <f t="shared" si="34"/>
        <v>,FLAG_24</v>
      </c>
    </row>
    <row r="27" spans="1:79" hidden="1" x14ac:dyDescent="0.25">
      <c r="A27" s="31">
        <f t="shared" si="35"/>
        <v>25</v>
      </c>
      <c r="B27" s="1" t="s">
        <v>1574</v>
      </c>
      <c r="C27" s="1">
        <v>34</v>
      </c>
      <c r="D27" s="1" t="s">
        <v>1585</v>
      </c>
      <c r="E27" s="1" t="s">
        <v>1606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s">
        <v>1619</v>
      </c>
      <c r="T27" s="1" t="s">
        <v>1604</v>
      </c>
      <c r="U27" s="1"/>
      <c r="V27" s="1"/>
      <c r="W27" s="1" t="s">
        <v>1608</v>
      </c>
      <c r="X27" s="1"/>
      <c r="Y27" s="1"/>
      <c r="Z27" s="1"/>
      <c r="AA27" s="1" t="s">
        <v>1609</v>
      </c>
      <c r="AB27" s="1" t="s">
        <v>44</v>
      </c>
      <c r="AC27" s="1"/>
      <c r="AD27" s="1" t="s">
        <v>1610</v>
      </c>
      <c r="AE27" s="1"/>
      <c r="AF27" s="1"/>
      <c r="AG27" s="1"/>
      <c r="AH27" s="1"/>
      <c r="AI27" s="1"/>
      <c r="AJ27" s="1"/>
      <c r="AK27" s="1"/>
      <c r="AL27" s="1"/>
      <c r="AM27" s="1"/>
      <c r="AN27" s="1" t="s">
        <v>1611</v>
      </c>
      <c r="AO27" s="1"/>
      <c r="AP27" s="1"/>
      <c r="AQ27" s="1"/>
      <c r="AR27" s="1"/>
      <c r="AS27" s="5" t="s">
        <v>1670</v>
      </c>
      <c r="AT27" t="str">
        <f t="shared" si="2"/>
        <v/>
      </c>
      <c r="AU27" t="str">
        <f t="shared" si="3"/>
        <v/>
      </c>
      <c r="AV27" t="str">
        <f t="shared" si="4"/>
        <v/>
      </c>
      <c r="AW27" t="str">
        <f t="shared" si="5"/>
        <v/>
      </c>
      <c r="AX27" t="str">
        <f t="shared" si="6"/>
        <v xml:space="preserve"> AND TRIM(EPC) LIKE 'A%'</v>
      </c>
      <c r="AY27" t="str">
        <f t="shared" si="7"/>
        <v xml:space="preserve"> AND TRIM(CONTRAPARTE) = 'particulares'</v>
      </c>
      <c r="AZ27" t="str">
        <f t="shared" si="8"/>
        <v/>
      </c>
      <c r="BA27" t="str">
        <f t="shared" si="9"/>
        <v/>
      </c>
      <c r="BB27" t="str">
        <f t="shared" si="10"/>
        <v xml:space="preserve"> AND TRIM(PRDT_SPRDT) NOT IN ('096HGP','0960H8','096065')</v>
      </c>
      <c r="BC27" t="str">
        <f t="shared" si="11"/>
        <v/>
      </c>
      <c r="BD27" t="str">
        <f t="shared" si="12"/>
        <v/>
      </c>
      <c r="BE27" t="str">
        <f t="shared" si="13"/>
        <v/>
      </c>
      <c r="BF27" t="str">
        <f t="shared" si="14"/>
        <v xml:space="preserve"> AND TRIM(CFAMILIA) IN ('02', '03', '04')</v>
      </c>
      <c r="BG27" t="str">
        <f t="shared" si="15"/>
        <v xml:space="preserve"> AND FLG_RSC_FSC_CRNC_TRAT = 1</v>
      </c>
      <c r="BH27" t="str">
        <f t="shared" si="16"/>
        <v/>
      </c>
      <c r="BI27" t="str">
        <f t="shared" si="17"/>
        <v xml:space="preserve"> AND TRIM(PROPERTY_PURPOSE_CODE) = '01'</v>
      </c>
      <c r="BJ27" t="str">
        <f t="shared" si="18"/>
        <v/>
      </c>
      <c r="BK27" t="str">
        <f t="shared" si="19"/>
        <v/>
      </c>
      <c r="BL27" t="str">
        <f t="shared" si="20"/>
        <v/>
      </c>
      <c r="BM27" t="str">
        <f t="shared" si="21"/>
        <v/>
      </c>
      <c r="BN27" t="str">
        <f t="shared" si="22"/>
        <v/>
      </c>
      <c r="BO27" t="str">
        <f t="shared" si="23"/>
        <v/>
      </c>
      <c r="BP27" t="str">
        <f t="shared" si="24"/>
        <v/>
      </c>
      <c r="BQ27" t="str">
        <f t="shared" si="25"/>
        <v/>
      </c>
      <c r="BS27" t="str">
        <f t="shared" si="26"/>
        <v>WHEN  AND TRIM(EPC) LIKE 'A%' AND TRIM(CONTRAPARTE) = 'particulares' AND TRIM(PRDT_SPRDT) NOT IN ('096HGP','0960H8','096065') AND TRIM(CFAMILIA) IN ('02', '03', '04') AND FLG_RSC_FSC_CRNC_TRAT = 1 AND TRIM(PROPERTY_PURPOSE_CODE) = '01' THEN 'Building acquisition'</v>
      </c>
      <c r="BT27" t="str">
        <f t="shared" si="27"/>
        <v>WHEN  AND TRIM(EPC) LIKE 'A%' AND TRIM(CONTRAPARTE) = 'particulares' AND TRIM(PRDT_SPRDT) NOT IN ('096HGP','0960H8','096065') AND TRIM(CFAMILIA) IN ('02', '03', '04') AND FLG_RSC_FSC_CRNC_TRAT = 1 AND TRIM(PROPERTY_PURPOSE_CODE) = '01' THEN 'Nao Aplicavel'</v>
      </c>
      <c r="BU27" t="str">
        <f t="shared" si="28"/>
        <v>WHEN  AND TRIM(EPC) LIKE 'A%' AND TRIM(CONTRAPARTE) = 'particulares' AND TRIM(PRDT_SPRDT) NOT IN ('096HGP','0960H8','096065') AND TRIM(CFAMILIA) IN ('02', '03', '04') AND FLG_RSC_FSC_CRNC_TRAT = 1 AND TRIM(PROPERTY_PURPOSE_CODE) = '01' THEN 'Nao Aplicavel'</v>
      </c>
      <c r="BV27" t="str">
        <f t="shared" si="29"/>
        <v>WHEN  AND TRIM(EPC) LIKE 'A%' AND TRIM(CONTRAPARTE) = 'particulares' AND TRIM(PRDT_SPRDT) NOT IN ('096HGP','0960H8','096065') AND TRIM(CFAMILIA) IN ('02', '03', '04') AND FLG_RSC_FSC_CRNC_TRAT = 1 AND TRIM(PROPERTY_PURPOSE_CODE) = '01' THEN 'Nao Aplicavel'</v>
      </c>
      <c r="BW27" t="str">
        <f t="shared" si="30"/>
        <v>WHEN  AND TRIM(EPC) LIKE 'A%' AND TRIM(CONTRAPARTE) = 'particulares' AND TRIM(PRDT_SPRDT) NOT IN ('096HGP','0960H8','096065') AND TRIM(CFAMILIA) IN ('02', '03', '04') AND FLG_RSC_FSC_CRNC_TRAT = 1 AND TRIM(PROPERTY_PURPOSE_CODE) = '01' THEN 'Nao Aplicavel'</v>
      </c>
      <c r="BX27" t="str">
        <f t="shared" si="31"/>
        <v>,CASE WHEN  AND TRIM(EPC) LIKE 'A%' AND TRIM(CONTRAPARTE) = 'particulares' AND TRIM(PRDT_SPRDT) NOT IN ('096HGP','0960H8','096065') AND TRIM(CFAMILIA) IN ('02', '03', '04') AND FLG_RSC_FSC_CRNC_TRAT = 1 AND TRIM(PROPERTY_PURPOSE_CODE) = '01' THEN 1 ELSE 0 END AS FLAG_25</v>
      </c>
      <c r="BY27" t="str">
        <f t="shared" si="32"/>
        <v>WHEN  AND TRIM(EPC) LIKE 'A%' AND TRIM(CONTRAPARTE) = 'particulares' AND TRIM(PRDT_SPRDT) NOT IN ('096HGP','0960H8','096065') AND TRIM(CFAMILIA) IN ('02', '03', '04') AND FLG_RSC_FSC_CRNC_TRAT = 1 AND TRIM(PROPERTY_PURPOSE_CODE) = '01' THEN 25</v>
      </c>
      <c r="BZ27" s="5" t="str">
        <f t="shared" si="33"/>
        <v>+ CASE WHEN  AND TRIM(EPC) LIKE 'A%' AND TRIM(CONTRAPARTE) = 'particulares' AND TRIM(PRDT_SPRDT) NOT IN ('096HGP','0960H8','096065') AND TRIM(CFAMILIA) IN ('02', '03', '04') AND FLG_RSC_FSC_CRNC_TRAT = 1 AND TRIM(PROPERTY_PURPOSE_CODE) = '01' THEN 1 ELSE 0 END</v>
      </c>
      <c r="CA27" s="5" t="str">
        <f t="shared" si="34"/>
        <v>,FLAG_25</v>
      </c>
    </row>
    <row r="28" spans="1:79" hidden="1" x14ac:dyDescent="0.25">
      <c r="A28" s="31">
        <f t="shared" si="35"/>
        <v>26</v>
      </c>
      <c r="B28" s="1" t="s">
        <v>1574</v>
      </c>
      <c r="C28" s="1">
        <v>35</v>
      </c>
      <c r="D28" s="1" t="s">
        <v>1585</v>
      </c>
      <c r="E28" s="1" t="s">
        <v>1606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1624</v>
      </c>
      <c r="T28" s="1" t="s">
        <v>1604</v>
      </c>
      <c r="U28" s="1"/>
      <c r="V28" s="1"/>
      <c r="W28" s="1" t="s">
        <v>1608</v>
      </c>
      <c r="X28" s="1"/>
      <c r="Y28" s="1"/>
      <c r="Z28" s="1"/>
      <c r="AA28" s="1" t="s">
        <v>1609</v>
      </c>
      <c r="AB28" s="1" t="s">
        <v>44</v>
      </c>
      <c r="AC28" s="1"/>
      <c r="AD28" s="1" t="s">
        <v>1610</v>
      </c>
      <c r="AE28" s="1"/>
      <c r="AF28" s="1"/>
      <c r="AG28" s="1"/>
      <c r="AH28" s="1"/>
      <c r="AI28" s="1"/>
      <c r="AJ28" s="1"/>
      <c r="AK28" s="1"/>
      <c r="AL28" s="1"/>
      <c r="AM28" s="1"/>
      <c r="AN28" s="1" t="s">
        <v>1611</v>
      </c>
      <c r="AO28" s="1"/>
      <c r="AP28" s="1"/>
      <c r="AQ28" s="1"/>
      <c r="AR28" s="1"/>
      <c r="AS28" s="5" t="s">
        <v>1670</v>
      </c>
      <c r="AT28" t="str">
        <f t="shared" si="2"/>
        <v/>
      </c>
      <c r="AU28" t="str">
        <f t="shared" si="3"/>
        <v/>
      </c>
      <c r="AV28" t="str">
        <f t="shared" si="4"/>
        <v/>
      </c>
      <c r="AW28" t="str">
        <f t="shared" si="5"/>
        <v/>
      </c>
      <c r="AX28" t="str">
        <f t="shared" si="6"/>
        <v xml:space="preserve"> AND TRIM(EPC) = 'B'</v>
      </c>
      <c r="AY28" t="str">
        <f t="shared" si="7"/>
        <v xml:space="preserve"> AND TRIM(CONTRAPARTE) = 'particulares'</v>
      </c>
      <c r="AZ28" t="str">
        <f t="shared" si="8"/>
        <v/>
      </c>
      <c r="BA28" t="str">
        <f t="shared" si="9"/>
        <v/>
      </c>
      <c r="BB28" t="str">
        <f t="shared" si="10"/>
        <v xml:space="preserve"> AND TRIM(PRDT_SPRDT) NOT IN ('096HGP','0960H8','096065')</v>
      </c>
      <c r="BC28" t="str">
        <f t="shared" si="11"/>
        <v/>
      </c>
      <c r="BD28" t="str">
        <f t="shared" si="12"/>
        <v/>
      </c>
      <c r="BE28" t="str">
        <f t="shared" si="13"/>
        <v/>
      </c>
      <c r="BF28" t="str">
        <f t="shared" si="14"/>
        <v xml:space="preserve"> AND TRIM(CFAMILIA) IN ('02', '03', '04')</v>
      </c>
      <c r="BG28" t="str">
        <f t="shared" si="15"/>
        <v xml:space="preserve"> AND FLG_RSC_FSC_CRNC_TRAT = 1</v>
      </c>
      <c r="BH28" t="str">
        <f t="shared" si="16"/>
        <v/>
      </c>
      <c r="BI28" t="str">
        <f t="shared" si="17"/>
        <v xml:space="preserve"> AND TRIM(PROPERTY_PURPOSE_CODE) = '01'</v>
      </c>
      <c r="BJ28" t="str">
        <f t="shared" si="18"/>
        <v/>
      </c>
      <c r="BK28" t="str">
        <f t="shared" si="19"/>
        <v/>
      </c>
      <c r="BL28" t="str">
        <f t="shared" si="20"/>
        <v/>
      </c>
      <c r="BM28" t="str">
        <f t="shared" si="21"/>
        <v/>
      </c>
      <c r="BN28" t="str">
        <f t="shared" si="22"/>
        <v/>
      </c>
      <c r="BO28" t="str">
        <f t="shared" si="23"/>
        <v/>
      </c>
      <c r="BP28" t="str">
        <f t="shared" si="24"/>
        <v/>
      </c>
      <c r="BQ28" t="str">
        <f t="shared" si="25"/>
        <v/>
      </c>
      <c r="BS28" t="str">
        <f t="shared" si="26"/>
        <v>WHEN  AND TRIM(EPC) = 'B' AND TRIM(CONTRAPARTE) = 'particulares' AND TRIM(PRDT_SPRDT) NOT IN ('096HGP','0960H8','096065') AND TRIM(CFAMILIA) IN ('02', '03', '04') AND FLG_RSC_FSC_CRNC_TRAT = 1 AND TRIM(PROPERTY_PURPOSE_CODE) = '01' THEN 'Building acquisition'</v>
      </c>
      <c r="BT28" t="str">
        <f t="shared" si="27"/>
        <v>WHEN  AND TRIM(EPC) = 'B' AND TRIM(CONTRAPARTE) = 'particulares' AND TRIM(PRDT_SPRDT) NOT IN ('096HGP','0960H8','096065') AND TRIM(CFAMILIA) IN ('02', '03', '04') AND FLG_RSC_FSC_CRNC_TRAT = 1 AND TRIM(PROPERTY_PURPOSE_CODE) = '01' THEN 'Nao Aplicavel'</v>
      </c>
      <c r="BU28" t="str">
        <f t="shared" si="28"/>
        <v>WHEN  AND TRIM(EPC) = 'B' AND TRIM(CONTRAPARTE) = 'particulares' AND TRIM(PRDT_SPRDT) NOT IN ('096HGP','0960H8','096065') AND TRIM(CFAMILIA) IN ('02', '03', '04') AND FLG_RSC_FSC_CRNC_TRAT = 1 AND TRIM(PROPERTY_PURPOSE_CODE) = '01' THEN 'Nao Aplicavel'</v>
      </c>
      <c r="BV28" t="str">
        <f t="shared" si="29"/>
        <v>WHEN  AND TRIM(EPC) = 'B' AND TRIM(CONTRAPARTE) = 'particulares' AND TRIM(PRDT_SPRDT) NOT IN ('096HGP','0960H8','096065') AND TRIM(CFAMILIA) IN ('02', '03', '04') AND FLG_RSC_FSC_CRNC_TRAT = 1 AND TRIM(PROPERTY_PURPOSE_CODE) = '01' THEN 'Nao Aplicavel'</v>
      </c>
      <c r="BW28" t="str">
        <f t="shared" si="30"/>
        <v>WHEN  AND TRIM(EPC) = 'B' AND TRIM(CONTRAPARTE) = 'particulares' AND TRIM(PRDT_SPRDT) NOT IN ('096HGP','0960H8','096065') AND TRIM(CFAMILIA) IN ('02', '03', '04') AND FLG_RSC_FSC_CRNC_TRAT = 1 AND TRIM(PROPERTY_PURPOSE_CODE) = '01' THEN 'Nao Aplicavel'</v>
      </c>
      <c r="BX28" t="str">
        <f t="shared" si="31"/>
        <v>,CASE WHEN  AND TRIM(EPC) = 'B' AND TRIM(CONTRAPARTE) = 'particulares' AND TRIM(PRDT_SPRDT) NOT IN ('096HGP','0960H8','096065') AND TRIM(CFAMILIA) IN ('02', '03', '04') AND FLG_RSC_FSC_CRNC_TRAT = 1 AND TRIM(PROPERTY_PURPOSE_CODE) = '01' THEN 1 ELSE 0 END AS FLAG_26</v>
      </c>
      <c r="BY28" t="str">
        <f t="shared" si="32"/>
        <v>WHEN  AND TRIM(EPC) = 'B' AND TRIM(CONTRAPARTE) = 'particulares' AND TRIM(PRDT_SPRDT) NOT IN ('096HGP','0960H8','096065') AND TRIM(CFAMILIA) IN ('02', '03', '04') AND FLG_RSC_FSC_CRNC_TRAT = 1 AND TRIM(PROPERTY_PURPOSE_CODE) = '01' THEN 26</v>
      </c>
      <c r="BZ28" s="5" t="str">
        <f t="shared" si="33"/>
        <v>+ CASE WHEN  AND TRIM(EPC) = 'B' AND TRIM(CONTRAPARTE) = 'particulares' AND TRIM(PRDT_SPRDT) NOT IN ('096HGP','0960H8','096065') AND TRIM(CFAMILIA) IN ('02', '03', '04') AND FLG_RSC_FSC_CRNC_TRAT = 1 AND TRIM(PROPERTY_PURPOSE_CODE) = '01' THEN 1 ELSE 0 END</v>
      </c>
      <c r="CA28" s="5" t="str">
        <f t="shared" si="34"/>
        <v>,FLAG_26</v>
      </c>
    </row>
    <row r="29" spans="1:79" hidden="1" x14ac:dyDescent="0.25">
      <c r="A29" s="31">
        <f t="shared" si="35"/>
        <v>27</v>
      </c>
      <c r="B29" s="1" t="s">
        <v>1574</v>
      </c>
      <c r="C29" s="1">
        <v>36</v>
      </c>
      <c r="D29" s="1" t="s">
        <v>1585</v>
      </c>
      <c r="E29" s="1" t="s">
        <v>1606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s">
        <v>1619</v>
      </c>
      <c r="T29" s="1" t="s">
        <v>1612</v>
      </c>
      <c r="U29" s="1"/>
      <c r="V29" s="1"/>
      <c r="W29" s="1" t="s">
        <v>1608</v>
      </c>
      <c r="X29" s="1"/>
      <c r="Y29" s="1"/>
      <c r="Z29" s="1"/>
      <c r="AA29" s="1" t="s">
        <v>1609</v>
      </c>
      <c r="AB29" s="1" t="s">
        <v>44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1611</v>
      </c>
      <c r="AO29" s="1"/>
      <c r="AP29" s="1"/>
      <c r="AQ29" s="1"/>
      <c r="AR29" s="1"/>
      <c r="AS29" s="5" t="s">
        <v>1670</v>
      </c>
      <c r="AT29" t="str">
        <f t="shared" si="2"/>
        <v/>
      </c>
      <c r="AU29" t="str">
        <f t="shared" si="3"/>
        <v/>
      </c>
      <c r="AV29" t="str">
        <f t="shared" si="4"/>
        <v/>
      </c>
      <c r="AW29" t="str">
        <f t="shared" si="5"/>
        <v/>
      </c>
      <c r="AX29" t="str">
        <f t="shared" si="6"/>
        <v xml:space="preserve"> AND TRIM(EPC) LIKE 'A%'</v>
      </c>
      <c r="AY29" t="str">
        <f t="shared" si="7"/>
        <v xml:space="preserve"> AND TRIM(CONTRAPARTE) IN ('outras empresas nao financeiras','setor publico')</v>
      </c>
      <c r="AZ29" t="str">
        <f t="shared" si="8"/>
        <v/>
      </c>
      <c r="BA29" t="str">
        <f t="shared" si="9"/>
        <v/>
      </c>
      <c r="BB29" t="str">
        <f t="shared" si="10"/>
        <v xml:space="preserve"> AND TRIM(PRDT_SPRDT) NOT IN ('096HGP','0960H8','096065')</v>
      </c>
      <c r="BC29" t="str">
        <f t="shared" si="11"/>
        <v/>
      </c>
      <c r="BD29" t="str">
        <f t="shared" si="12"/>
        <v/>
      </c>
      <c r="BE29" t="str">
        <f t="shared" si="13"/>
        <v/>
      </c>
      <c r="BF29" t="str">
        <f t="shared" si="14"/>
        <v xml:space="preserve"> AND TRIM(CFAMILIA) IN ('02', '03', '04')</v>
      </c>
      <c r="BG29" t="str">
        <f t="shared" si="15"/>
        <v xml:space="preserve"> AND FLG_RSC_FSC_CRNC_TRAT = 1</v>
      </c>
      <c r="BH29" t="str">
        <f t="shared" si="16"/>
        <v/>
      </c>
      <c r="BI29" t="str">
        <f t="shared" si="17"/>
        <v/>
      </c>
      <c r="BJ29" t="str">
        <f t="shared" si="18"/>
        <v/>
      </c>
      <c r="BK29" t="str">
        <f t="shared" si="19"/>
        <v/>
      </c>
      <c r="BL29" t="str">
        <f t="shared" si="20"/>
        <v/>
      </c>
      <c r="BM29" t="str">
        <f t="shared" si="21"/>
        <v/>
      </c>
      <c r="BN29" t="str">
        <f t="shared" si="22"/>
        <v/>
      </c>
      <c r="BO29" t="str">
        <f t="shared" si="23"/>
        <v/>
      </c>
      <c r="BP29" t="str">
        <f t="shared" si="24"/>
        <v/>
      </c>
      <c r="BQ29" t="str">
        <f t="shared" si="25"/>
        <v/>
      </c>
      <c r="BS29" t="str">
        <f t="shared" si="26"/>
        <v>WHEN  AND TRIM(EPC) LIKE 'A%' AND TRIM(CONTRAPARTE) IN ('outras empresas nao financeiras','setor publico') AND TRIM(PRDT_SPRDT) NOT IN ('096HGP','0960H8','096065') AND TRIM(CFAMILIA) IN ('02', '03', '04') AND FLG_RSC_FSC_CRNC_TRAT = 1 THEN 'Building acquisition'</v>
      </c>
      <c r="BT29" t="str">
        <f t="shared" si="27"/>
        <v>WHEN  AND TRIM(EPC) LIKE 'A%' AND TRIM(CONTRAPARTE) IN ('outras empresas nao financeiras','setor publico') AND TRIM(PRDT_SPRDT) NOT IN ('096HGP','0960H8','096065') AND TRIM(CFAMILIA) IN ('02', '03', '04') AND FLG_RSC_FSC_CRNC_TRAT = 1 THEN 'Nao Aplicavel'</v>
      </c>
      <c r="BU29" t="str">
        <f t="shared" si="28"/>
        <v>WHEN  AND TRIM(EPC) LIKE 'A%' AND TRIM(CONTRAPARTE) IN ('outras empresas nao financeiras','setor publico') AND TRIM(PRDT_SPRDT) NOT IN ('096HGP','0960H8','096065') AND TRIM(CFAMILIA) IN ('02', '03', '04') AND FLG_RSC_FSC_CRNC_TRAT = 1 THEN 'Nao Aplicavel'</v>
      </c>
      <c r="BV29" t="str">
        <f t="shared" si="29"/>
        <v>WHEN  AND TRIM(EPC) LIKE 'A%' AND TRIM(CONTRAPARTE) IN ('outras empresas nao financeiras','setor publico') AND TRIM(PRDT_SPRDT) NOT IN ('096HGP','0960H8','096065') AND TRIM(CFAMILIA) IN ('02', '03', '04') AND FLG_RSC_FSC_CRNC_TRAT = 1 THEN 'Nao Aplicavel'</v>
      </c>
      <c r="BW29" t="str">
        <f t="shared" si="30"/>
        <v>WHEN  AND TRIM(EPC) LIKE 'A%' AND TRIM(CONTRAPARTE) IN ('outras empresas nao financeiras','setor publico') AND TRIM(PRDT_SPRDT) NOT IN ('096HGP','0960H8','096065') AND TRIM(CFAMILIA) IN ('02', '03', '04') AND FLG_RSC_FSC_CRNC_TRAT = 1 THEN 'Nao Aplicavel'</v>
      </c>
      <c r="BX29" t="str">
        <f t="shared" si="31"/>
        <v>,CASE WHEN  AND TRIM(EPC) LIKE 'A%' AND TRIM(CONTRAPARTE) IN ('outras empresas nao financeiras','setor publico') AND TRIM(PRDT_SPRDT) NOT IN ('096HGP','0960H8','096065') AND TRIM(CFAMILIA) IN ('02', '03', '04') AND FLG_RSC_FSC_CRNC_TRAT = 1 THEN 1 ELSE 0 END AS FLAG_27</v>
      </c>
      <c r="BY29" t="str">
        <f t="shared" si="32"/>
        <v>WHEN  AND TRIM(EPC) LIKE 'A%' AND TRIM(CONTRAPARTE) IN ('outras empresas nao financeiras','setor publico') AND TRIM(PRDT_SPRDT) NOT IN ('096HGP','0960H8','096065') AND TRIM(CFAMILIA) IN ('02', '03', '04') AND FLG_RSC_FSC_CRNC_TRAT = 1 THEN 27</v>
      </c>
      <c r="BZ29" s="5" t="str">
        <f t="shared" si="33"/>
        <v>+ CASE WHEN  AND TRIM(EPC) LIKE 'A%' AND TRIM(CONTRAPARTE) IN ('outras empresas nao financeiras','setor publico') AND TRIM(PRDT_SPRDT) NOT IN ('096HGP','0960H8','096065') AND TRIM(CFAMILIA) IN ('02', '03', '04') AND FLG_RSC_FSC_CRNC_TRAT = 1 THEN 1 ELSE 0 END</v>
      </c>
      <c r="CA29" s="5" t="str">
        <f t="shared" si="34"/>
        <v>,FLAG_27</v>
      </c>
    </row>
    <row r="30" spans="1:79" hidden="1" x14ac:dyDescent="0.25">
      <c r="A30" s="31">
        <f t="shared" si="35"/>
        <v>28</v>
      </c>
      <c r="B30" s="1" t="s">
        <v>1574</v>
      </c>
      <c r="C30" s="1">
        <v>37</v>
      </c>
      <c r="D30" s="1" t="s">
        <v>1585</v>
      </c>
      <c r="E30" s="1" t="s">
        <v>1606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1624</v>
      </c>
      <c r="T30" s="1" t="s">
        <v>1612</v>
      </c>
      <c r="U30" s="1"/>
      <c r="V30" s="1"/>
      <c r="W30" s="1" t="s">
        <v>1608</v>
      </c>
      <c r="X30" s="1"/>
      <c r="Y30" s="1"/>
      <c r="Z30" s="1"/>
      <c r="AA30" s="1" t="s">
        <v>1609</v>
      </c>
      <c r="AB30" s="1" t="s">
        <v>44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1611</v>
      </c>
      <c r="AO30" s="1"/>
      <c r="AP30" s="1"/>
      <c r="AQ30" s="1"/>
      <c r="AR30" s="1"/>
      <c r="AS30" s="5" t="s">
        <v>1670</v>
      </c>
      <c r="AT30" t="str">
        <f t="shared" si="2"/>
        <v/>
      </c>
      <c r="AU30" t="str">
        <f t="shared" si="3"/>
        <v/>
      </c>
      <c r="AV30" t="str">
        <f t="shared" si="4"/>
        <v/>
      </c>
      <c r="AW30" t="str">
        <f t="shared" si="5"/>
        <v/>
      </c>
      <c r="AX30" t="str">
        <f t="shared" si="6"/>
        <v xml:space="preserve"> AND TRIM(EPC) = 'B'</v>
      </c>
      <c r="AY30" t="str">
        <f t="shared" si="7"/>
        <v xml:space="preserve"> AND TRIM(CONTRAPARTE) IN ('outras empresas nao financeiras','setor publico')</v>
      </c>
      <c r="AZ30" t="str">
        <f t="shared" si="8"/>
        <v/>
      </c>
      <c r="BA30" t="str">
        <f t="shared" si="9"/>
        <v/>
      </c>
      <c r="BB30" t="str">
        <f t="shared" si="10"/>
        <v xml:space="preserve"> AND TRIM(PRDT_SPRDT) NOT IN ('096HGP','0960H8','096065')</v>
      </c>
      <c r="BC30" t="str">
        <f t="shared" si="11"/>
        <v/>
      </c>
      <c r="BD30" t="str">
        <f t="shared" si="12"/>
        <v/>
      </c>
      <c r="BE30" t="str">
        <f t="shared" si="13"/>
        <v/>
      </c>
      <c r="BF30" t="str">
        <f t="shared" si="14"/>
        <v xml:space="preserve"> AND TRIM(CFAMILIA) IN ('02', '03', '04')</v>
      </c>
      <c r="BG30" t="str">
        <f t="shared" si="15"/>
        <v xml:space="preserve"> AND FLG_RSC_FSC_CRNC_TRAT = 1</v>
      </c>
      <c r="BH30" t="str">
        <f t="shared" si="16"/>
        <v/>
      </c>
      <c r="BI30" t="str">
        <f t="shared" si="17"/>
        <v/>
      </c>
      <c r="BJ30" t="str">
        <f t="shared" si="18"/>
        <v/>
      </c>
      <c r="BK30" t="str">
        <f t="shared" si="19"/>
        <v/>
      </c>
      <c r="BL30" t="str">
        <f t="shared" si="20"/>
        <v/>
      </c>
      <c r="BM30" t="str">
        <f t="shared" si="21"/>
        <v/>
      </c>
      <c r="BN30" t="str">
        <f t="shared" si="22"/>
        <v/>
      </c>
      <c r="BO30" t="str">
        <f t="shared" si="23"/>
        <v/>
      </c>
      <c r="BP30" t="str">
        <f t="shared" si="24"/>
        <v/>
      </c>
      <c r="BQ30" t="str">
        <f t="shared" si="25"/>
        <v/>
      </c>
      <c r="BS30" t="str">
        <f t="shared" si="26"/>
        <v>WHEN  AND TRIM(EPC) = 'B' AND TRIM(CONTRAPARTE) IN ('outras empresas nao financeiras','setor publico') AND TRIM(PRDT_SPRDT) NOT IN ('096HGP','0960H8','096065') AND TRIM(CFAMILIA) IN ('02', '03', '04') AND FLG_RSC_FSC_CRNC_TRAT = 1 THEN 'Building acquisition'</v>
      </c>
      <c r="BT30" t="str">
        <f t="shared" si="27"/>
        <v>WHEN  AND TRIM(EPC) = 'B' AND TRIM(CONTRAPARTE) IN ('outras empresas nao financeiras','setor publico') AND TRIM(PRDT_SPRDT) NOT IN ('096HGP','0960H8','096065') AND TRIM(CFAMILIA) IN ('02', '03', '04') AND FLG_RSC_FSC_CRNC_TRAT = 1 THEN 'Nao Aplicavel'</v>
      </c>
      <c r="BU30" t="str">
        <f t="shared" si="28"/>
        <v>WHEN  AND TRIM(EPC) = 'B' AND TRIM(CONTRAPARTE) IN ('outras empresas nao financeiras','setor publico') AND TRIM(PRDT_SPRDT) NOT IN ('096HGP','0960H8','096065') AND TRIM(CFAMILIA) IN ('02', '03', '04') AND FLG_RSC_FSC_CRNC_TRAT = 1 THEN 'Nao Aplicavel'</v>
      </c>
      <c r="BV30" t="str">
        <f t="shared" si="29"/>
        <v>WHEN  AND TRIM(EPC) = 'B' AND TRIM(CONTRAPARTE) IN ('outras empresas nao financeiras','setor publico') AND TRIM(PRDT_SPRDT) NOT IN ('096HGP','0960H8','096065') AND TRIM(CFAMILIA) IN ('02', '03', '04') AND FLG_RSC_FSC_CRNC_TRAT = 1 THEN 'Nao Aplicavel'</v>
      </c>
      <c r="BW30" t="str">
        <f t="shared" si="30"/>
        <v>WHEN  AND TRIM(EPC) = 'B' AND TRIM(CONTRAPARTE) IN ('outras empresas nao financeiras','setor publico') AND TRIM(PRDT_SPRDT) NOT IN ('096HGP','0960H8','096065') AND TRIM(CFAMILIA) IN ('02', '03', '04') AND FLG_RSC_FSC_CRNC_TRAT = 1 THEN 'Nao Aplicavel'</v>
      </c>
      <c r="BX30" t="str">
        <f t="shared" si="31"/>
        <v>,CASE WHEN  AND TRIM(EPC) = 'B' AND TRIM(CONTRAPARTE) IN ('outras empresas nao financeiras','setor publico') AND TRIM(PRDT_SPRDT) NOT IN ('096HGP','0960H8','096065') AND TRIM(CFAMILIA) IN ('02', '03', '04') AND FLG_RSC_FSC_CRNC_TRAT = 1 THEN 1 ELSE 0 END AS FLAG_28</v>
      </c>
      <c r="BY30" t="str">
        <f t="shared" si="32"/>
        <v>WHEN  AND TRIM(EPC) = 'B' AND TRIM(CONTRAPARTE) IN ('outras empresas nao financeiras','setor publico') AND TRIM(PRDT_SPRDT) NOT IN ('096HGP','0960H8','096065') AND TRIM(CFAMILIA) IN ('02', '03', '04') AND FLG_RSC_FSC_CRNC_TRAT = 1 THEN 28</v>
      </c>
      <c r="BZ30" s="5" t="str">
        <f t="shared" si="33"/>
        <v>+ CASE WHEN  AND TRIM(EPC) = 'B' AND TRIM(CONTRAPARTE) IN ('outras empresas nao financeiras','setor publico') AND TRIM(PRDT_SPRDT) NOT IN ('096HGP','0960H8','096065') AND TRIM(CFAMILIA) IN ('02', '03', '04') AND FLG_RSC_FSC_CRNC_TRAT = 1 THEN 1 ELSE 0 END</v>
      </c>
      <c r="CA30" s="5" t="str">
        <f t="shared" si="34"/>
        <v>,FLAG_28</v>
      </c>
    </row>
    <row r="31" spans="1:79" hidden="1" x14ac:dyDescent="0.25">
      <c r="A31" s="31">
        <f t="shared" si="35"/>
        <v>29</v>
      </c>
      <c r="B31" s="1" t="s">
        <v>1574</v>
      </c>
      <c r="C31" s="1">
        <v>38</v>
      </c>
      <c r="D31" s="1" t="s">
        <v>1585</v>
      </c>
      <c r="E31" s="1" t="s">
        <v>1606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1619</v>
      </c>
      <c r="T31" s="1" t="s">
        <v>1604</v>
      </c>
      <c r="U31" s="1"/>
      <c r="V31" s="1"/>
      <c r="W31" s="1" t="s">
        <v>1608</v>
      </c>
      <c r="X31" s="1"/>
      <c r="Y31" s="1"/>
      <c r="Z31" s="1"/>
      <c r="AA31" s="1" t="s">
        <v>1609</v>
      </c>
      <c r="AB31" s="1"/>
      <c r="AC31" s="1" t="s">
        <v>44</v>
      </c>
      <c r="AD31" s="1" t="s">
        <v>1610</v>
      </c>
      <c r="AE31" s="1"/>
      <c r="AF31" s="1"/>
      <c r="AG31" s="1"/>
      <c r="AH31" s="1"/>
      <c r="AI31" s="1"/>
      <c r="AJ31" s="1"/>
      <c r="AK31" s="1"/>
      <c r="AL31" s="1"/>
      <c r="AM31" s="1"/>
      <c r="AN31" s="1" t="s">
        <v>1611</v>
      </c>
      <c r="AO31" s="1"/>
      <c r="AP31" s="1"/>
      <c r="AQ31" s="1"/>
      <c r="AR31" s="1"/>
      <c r="AS31" s="5" t="s">
        <v>1670</v>
      </c>
      <c r="AT31" t="str">
        <f t="shared" si="2"/>
        <v/>
      </c>
      <c r="AU31" t="str">
        <f t="shared" si="3"/>
        <v/>
      </c>
      <c r="AV31" t="str">
        <f t="shared" si="4"/>
        <v/>
      </c>
      <c r="AW31" t="str">
        <f t="shared" si="5"/>
        <v/>
      </c>
      <c r="AX31" t="str">
        <f t="shared" si="6"/>
        <v xml:space="preserve"> AND TRIM(EPC) LIKE 'A%'</v>
      </c>
      <c r="AY31" t="str">
        <f t="shared" si="7"/>
        <v xml:space="preserve"> AND TRIM(CONTRAPARTE) = 'particulares'</v>
      </c>
      <c r="AZ31" t="str">
        <f t="shared" si="8"/>
        <v/>
      </c>
      <c r="BA31" t="str">
        <f t="shared" si="9"/>
        <v/>
      </c>
      <c r="BB31" t="str">
        <f t="shared" si="10"/>
        <v xml:space="preserve"> AND TRIM(PRDT_SPRDT) NOT IN ('096HGP','0960H8','096065')</v>
      </c>
      <c r="BC31" t="str">
        <f t="shared" si="11"/>
        <v/>
      </c>
      <c r="BD31" t="str">
        <f t="shared" si="12"/>
        <v/>
      </c>
      <c r="BE31" t="str">
        <f t="shared" si="13"/>
        <v/>
      </c>
      <c r="BF31" t="str">
        <f t="shared" si="14"/>
        <v xml:space="preserve"> AND TRIM(CFAMILIA) IN ('02', '03', '04')</v>
      </c>
      <c r="BG31" t="str">
        <f t="shared" si="15"/>
        <v/>
      </c>
      <c r="BH31" t="str">
        <f t="shared" si="16"/>
        <v xml:space="preserve"> AND FLG_RSC_FSC_AGD_TRAT = 1</v>
      </c>
      <c r="BI31" t="str">
        <f t="shared" si="17"/>
        <v xml:space="preserve"> AND TRIM(PROPERTY_PURPOSE_CODE) = '01'</v>
      </c>
      <c r="BJ31" t="str">
        <f t="shared" si="18"/>
        <v/>
      </c>
      <c r="BK31" t="str">
        <f t="shared" si="19"/>
        <v/>
      </c>
      <c r="BL31" t="str">
        <f t="shared" si="20"/>
        <v/>
      </c>
      <c r="BM31" t="str">
        <f t="shared" si="21"/>
        <v/>
      </c>
      <c r="BN31" t="str">
        <f t="shared" si="22"/>
        <v/>
      </c>
      <c r="BO31" t="str">
        <f t="shared" si="23"/>
        <v/>
      </c>
      <c r="BP31" t="str">
        <f t="shared" si="24"/>
        <v/>
      </c>
      <c r="BQ31" t="str">
        <f t="shared" si="25"/>
        <v/>
      </c>
      <c r="BS31" t="str">
        <f t="shared" si="26"/>
        <v>WHEN  AND TRIM(EPC) LIKE 'A%' AND TRIM(CONTRAPARTE) = 'particulares' AND TRIM(PRDT_SPRDT) NOT IN ('096HGP','0960H8','096065') AND TRIM(CFAMILIA) IN ('02', '03', '04') AND FLG_RSC_FSC_AGD_TRAT = 1 AND TRIM(PROPERTY_PURPOSE_CODE) = '01' THEN 'Building acquisition'</v>
      </c>
      <c r="BT31" t="str">
        <f t="shared" si="27"/>
        <v>WHEN  AND TRIM(EPC) LIKE 'A%' AND TRIM(CONTRAPARTE) = 'particulares' AND TRIM(PRDT_SPRDT) NOT IN ('096HGP','0960H8','096065') AND TRIM(CFAMILIA) IN ('02', '03', '04') AND FLG_RSC_FSC_AGD_TRAT = 1 AND TRIM(PROPERTY_PURPOSE_CODE) = '01' THEN 'Nao Aplicavel'</v>
      </c>
      <c r="BU31" t="str">
        <f t="shared" si="28"/>
        <v>WHEN  AND TRIM(EPC) LIKE 'A%' AND TRIM(CONTRAPARTE) = 'particulares' AND TRIM(PRDT_SPRDT) NOT IN ('096HGP','0960H8','096065') AND TRIM(CFAMILIA) IN ('02', '03', '04') AND FLG_RSC_FSC_AGD_TRAT = 1 AND TRIM(PROPERTY_PURPOSE_CODE) = '01' THEN 'Nao Aplicavel'</v>
      </c>
      <c r="BV31" t="str">
        <f t="shared" si="29"/>
        <v>WHEN  AND TRIM(EPC) LIKE 'A%' AND TRIM(CONTRAPARTE) = 'particulares' AND TRIM(PRDT_SPRDT) NOT IN ('096HGP','0960H8','096065') AND TRIM(CFAMILIA) IN ('02', '03', '04') AND FLG_RSC_FSC_AGD_TRAT = 1 AND TRIM(PROPERTY_PURPOSE_CODE) = '01' THEN 'Nao Aplicavel'</v>
      </c>
      <c r="BW31" t="str">
        <f t="shared" si="30"/>
        <v>WHEN  AND TRIM(EPC) LIKE 'A%' AND TRIM(CONTRAPARTE) = 'particulares' AND TRIM(PRDT_SPRDT) NOT IN ('096HGP','0960H8','096065') AND TRIM(CFAMILIA) IN ('02', '03', '04') AND FLG_RSC_FSC_AGD_TRAT = 1 AND TRIM(PROPERTY_PURPOSE_CODE) = '01' THEN 'Nao Aplicavel'</v>
      </c>
      <c r="BX31" t="str">
        <f t="shared" si="31"/>
        <v>,CASE WHEN  AND TRIM(EPC) LIKE 'A%' AND TRIM(CONTRAPARTE) = 'particulares' AND TRIM(PRDT_SPRDT) NOT IN ('096HGP','0960H8','096065') AND TRIM(CFAMILIA) IN ('02', '03', '04') AND FLG_RSC_FSC_AGD_TRAT = 1 AND TRIM(PROPERTY_PURPOSE_CODE) = '01' THEN 1 ELSE 0 END AS FLAG_29</v>
      </c>
      <c r="BY31" t="str">
        <f t="shared" si="32"/>
        <v>WHEN  AND TRIM(EPC) LIKE 'A%' AND TRIM(CONTRAPARTE) = 'particulares' AND TRIM(PRDT_SPRDT) NOT IN ('096HGP','0960H8','096065') AND TRIM(CFAMILIA) IN ('02', '03', '04') AND FLG_RSC_FSC_AGD_TRAT = 1 AND TRIM(PROPERTY_PURPOSE_CODE) = '01' THEN 29</v>
      </c>
      <c r="BZ31" s="5" t="str">
        <f t="shared" si="33"/>
        <v>+ CASE WHEN  AND TRIM(EPC) LIKE 'A%' AND TRIM(CONTRAPARTE) = 'particulares' AND TRIM(PRDT_SPRDT) NOT IN ('096HGP','0960H8','096065') AND TRIM(CFAMILIA) IN ('02', '03', '04') AND FLG_RSC_FSC_AGD_TRAT = 1 AND TRIM(PROPERTY_PURPOSE_CODE) = '01' THEN 1 ELSE 0 END</v>
      </c>
      <c r="CA31" s="5" t="str">
        <f t="shared" si="34"/>
        <v>,FLAG_29</v>
      </c>
    </row>
    <row r="32" spans="1:79" hidden="1" x14ac:dyDescent="0.25">
      <c r="A32" s="31">
        <f t="shared" si="35"/>
        <v>30</v>
      </c>
      <c r="B32" s="1" t="s">
        <v>1574</v>
      </c>
      <c r="C32" s="1">
        <v>39</v>
      </c>
      <c r="D32" s="1" t="s">
        <v>1585</v>
      </c>
      <c r="E32" s="1" t="s">
        <v>1606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1624</v>
      </c>
      <c r="T32" s="1" t="s">
        <v>1604</v>
      </c>
      <c r="U32" s="1"/>
      <c r="V32" s="1"/>
      <c r="W32" s="1" t="s">
        <v>1608</v>
      </c>
      <c r="X32" s="1"/>
      <c r="Y32" s="1"/>
      <c r="Z32" s="1"/>
      <c r="AA32" s="1" t="s">
        <v>1609</v>
      </c>
      <c r="AB32" s="1"/>
      <c r="AC32" s="1" t="s">
        <v>44</v>
      </c>
      <c r="AD32" s="1" t="s">
        <v>1610</v>
      </c>
      <c r="AE32" s="1"/>
      <c r="AF32" s="1"/>
      <c r="AG32" s="1"/>
      <c r="AH32" s="1"/>
      <c r="AI32" s="1"/>
      <c r="AJ32" s="1"/>
      <c r="AK32" s="1"/>
      <c r="AL32" s="1"/>
      <c r="AM32" s="1"/>
      <c r="AN32" s="1" t="s">
        <v>1611</v>
      </c>
      <c r="AO32" s="1"/>
      <c r="AP32" s="1"/>
      <c r="AQ32" s="1"/>
      <c r="AR32" s="1"/>
      <c r="AS32" s="5" t="s">
        <v>1670</v>
      </c>
      <c r="AT32" t="str">
        <f t="shared" si="2"/>
        <v/>
      </c>
      <c r="AU32" t="str">
        <f t="shared" si="3"/>
        <v/>
      </c>
      <c r="AV32" t="str">
        <f t="shared" si="4"/>
        <v/>
      </c>
      <c r="AW32" t="str">
        <f t="shared" si="5"/>
        <v/>
      </c>
      <c r="AX32" t="str">
        <f t="shared" si="6"/>
        <v xml:space="preserve"> AND TRIM(EPC) = 'B'</v>
      </c>
      <c r="AY32" t="str">
        <f t="shared" si="7"/>
        <v xml:space="preserve"> AND TRIM(CONTRAPARTE) = 'particulares'</v>
      </c>
      <c r="AZ32" t="str">
        <f t="shared" si="8"/>
        <v/>
      </c>
      <c r="BA32" t="str">
        <f t="shared" si="9"/>
        <v/>
      </c>
      <c r="BB32" t="str">
        <f t="shared" si="10"/>
        <v xml:space="preserve"> AND TRIM(PRDT_SPRDT) NOT IN ('096HGP','0960H8','096065')</v>
      </c>
      <c r="BC32" t="str">
        <f t="shared" si="11"/>
        <v/>
      </c>
      <c r="BD32" t="str">
        <f t="shared" si="12"/>
        <v/>
      </c>
      <c r="BE32" t="str">
        <f t="shared" si="13"/>
        <v/>
      </c>
      <c r="BF32" t="str">
        <f t="shared" si="14"/>
        <v xml:space="preserve"> AND TRIM(CFAMILIA) IN ('02', '03', '04')</v>
      </c>
      <c r="BG32" t="str">
        <f t="shared" si="15"/>
        <v/>
      </c>
      <c r="BH32" t="str">
        <f t="shared" si="16"/>
        <v xml:space="preserve"> AND FLG_RSC_FSC_AGD_TRAT = 1</v>
      </c>
      <c r="BI32" t="str">
        <f t="shared" si="17"/>
        <v xml:space="preserve"> AND TRIM(PROPERTY_PURPOSE_CODE) = '01'</v>
      </c>
      <c r="BJ32" t="str">
        <f t="shared" si="18"/>
        <v/>
      </c>
      <c r="BK32" t="str">
        <f t="shared" si="19"/>
        <v/>
      </c>
      <c r="BL32" t="str">
        <f t="shared" si="20"/>
        <v/>
      </c>
      <c r="BM32" t="str">
        <f t="shared" si="21"/>
        <v/>
      </c>
      <c r="BN32" t="str">
        <f t="shared" si="22"/>
        <v/>
      </c>
      <c r="BO32" t="str">
        <f t="shared" si="23"/>
        <v/>
      </c>
      <c r="BP32" t="str">
        <f t="shared" si="24"/>
        <v/>
      </c>
      <c r="BQ32" t="str">
        <f t="shared" si="25"/>
        <v/>
      </c>
      <c r="BS32" t="str">
        <f t="shared" si="26"/>
        <v>WHEN  AND TRIM(EPC) = 'B' AND TRIM(CONTRAPARTE) = 'particulares' AND TRIM(PRDT_SPRDT) NOT IN ('096HGP','0960H8','096065') AND TRIM(CFAMILIA) IN ('02', '03', '04') AND FLG_RSC_FSC_AGD_TRAT = 1 AND TRIM(PROPERTY_PURPOSE_CODE) = '01' THEN 'Building acquisition'</v>
      </c>
      <c r="BT32" t="str">
        <f t="shared" si="27"/>
        <v>WHEN  AND TRIM(EPC) = 'B' AND TRIM(CONTRAPARTE) = 'particulares' AND TRIM(PRDT_SPRDT) NOT IN ('096HGP','0960H8','096065') AND TRIM(CFAMILIA) IN ('02', '03', '04') AND FLG_RSC_FSC_AGD_TRAT = 1 AND TRIM(PROPERTY_PURPOSE_CODE) = '01' THEN 'Nao Aplicavel'</v>
      </c>
      <c r="BU32" t="str">
        <f t="shared" si="28"/>
        <v>WHEN  AND TRIM(EPC) = 'B' AND TRIM(CONTRAPARTE) = 'particulares' AND TRIM(PRDT_SPRDT) NOT IN ('096HGP','0960H8','096065') AND TRIM(CFAMILIA) IN ('02', '03', '04') AND FLG_RSC_FSC_AGD_TRAT = 1 AND TRIM(PROPERTY_PURPOSE_CODE) = '01' THEN 'Nao Aplicavel'</v>
      </c>
      <c r="BV32" t="str">
        <f t="shared" si="29"/>
        <v>WHEN  AND TRIM(EPC) = 'B' AND TRIM(CONTRAPARTE) = 'particulares' AND TRIM(PRDT_SPRDT) NOT IN ('096HGP','0960H8','096065') AND TRIM(CFAMILIA) IN ('02', '03', '04') AND FLG_RSC_FSC_AGD_TRAT = 1 AND TRIM(PROPERTY_PURPOSE_CODE) = '01' THEN 'Nao Aplicavel'</v>
      </c>
      <c r="BW32" t="str">
        <f t="shared" si="30"/>
        <v>WHEN  AND TRIM(EPC) = 'B' AND TRIM(CONTRAPARTE) = 'particulares' AND TRIM(PRDT_SPRDT) NOT IN ('096HGP','0960H8','096065') AND TRIM(CFAMILIA) IN ('02', '03', '04') AND FLG_RSC_FSC_AGD_TRAT = 1 AND TRIM(PROPERTY_PURPOSE_CODE) = '01' THEN 'Nao Aplicavel'</v>
      </c>
      <c r="BX32" t="str">
        <f t="shared" si="31"/>
        <v>,CASE WHEN  AND TRIM(EPC) = 'B' AND TRIM(CONTRAPARTE) = 'particulares' AND TRIM(PRDT_SPRDT) NOT IN ('096HGP','0960H8','096065') AND TRIM(CFAMILIA) IN ('02', '03', '04') AND FLG_RSC_FSC_AGD_TRAT = 1 AND TRIM(PROPERTY_PURPOSE_CODE) = '01' THEN 1 ELSE 0 END AS FLAG_30</v>
      </c>
      <c r="BY32" t="str">
        <f t="shared" si="32"/>
        <v>WHEN  AND TRIM(EPC) = 'B' AND TRIM(CONTRAPARTE) = 'particulares' AND TRIM(PRDT_SPRDT) NOT IN ('096HGP','0960H8','096065') AND TRIM(CFAMILIA) IN ('02', '03', '04') AND FLG_RSC_FSC_AGD_TRAT = 1 AND TRIM(PROPERTY_PURPOSE_CODE) = '01' THEN 30</v>
      </c>
      <c r="BZ32" s="5" t="str">
        <f t="shared" si="33"/>
        <v>+ CASE WHEN  AND TRIM(EPC) = 'B' AND TRIM(CONTRAPARTE) = 'particulares' AND TRIM(PRDT_SPRDT) NOT IN ('096HGP','0960H8','096065') AND TRIM(CFAMILIA) IN ('02', '03', '04') AND FLG_RSC_FSC_AGD_TRAT = 1 AND TRIM(PROPERTY_PURPOSE_CODE) = '01' THEN 1 ELSE 0 END</v>
      </c>
      <c r="CA32" s="5" t="str">
        <f t="shared" si="34"/>
        <v>,FLAG_30</v>
      </c>
    </row>
    <row r="33" spans="1:79" hidden="1" x14ac:dyDescent="0.25">
      <c r="A33" s="31">
        <f t="shared" si="35"/>
        <v>31</v>
      </c>
      <c r="B33" s="1" t="s">
        <v>1574</v>
      </c>
      <c r="C33" s="1">
        <v>40</v>
      </c>
      <c r="D33" s="1" t="s">
        <v>1585</v>
      </c>
      <c r="E33" s="1" t="s">
        <v>1606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s">
        <v>1619</v>
      </c>
      <c r="T33" s="1" t="s">
        <v>1612</v>
      </c>
      <c r="U33" s="1"/>
      <c r="V33" s="1"/>
      <c r="W33" s="1" t="s">
        <v>1608</v>
      </c>
      <c r="X33" s="1"/>
      <c r="Y33" s="1"/>
      <c r="Z33" s="1"/>
      <c r="AA33" s="1" t="s">
        <v>1609</v>
      </c>
      <c r="AB33" s="1"/>
      <c r="AC33" s="1" t="s">
        <v>44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1611</v>
      </c>
      <c r="AO33" s="1"/>
      <c r="AP33" s="1"/>
      <c r="AQ33" s="1"/>
      <c r="AR33" s="1"/>
      <c r="AS33" s="5" t="s">
        <v>1670</v>
      </c>
      <c r="AT33" t="str">
        <f t="shared" si="2"/>
        <v/>
      </c>
      <c r="AU33" t="str">
        <f t="shared" si="3"/>
        <v/>
      </c>
      <c r="AV33" t="str">
        <f t="shared" si="4"/>
        <v/>
      </c>
      <c r="AW33" t="str">
        <f t="shared" si="5"/>
        <v/>
      </c>
      <c r="AX33" t="str">
        <f t="shared" si="6"/>
        <v xml:space="preserve"> AND TRIM(EPC) LIKE 'A%'</v>
      </c>
      <c r="AY33" t="str">
        <f t="shared" si="7"/>
        <v xml:space="preserve"> AND TRIM(CONTRAPARTE) IN ('outras empresas nao financeiras','setor publico')</v>
      </c>
      <c r="AZ33" t="str">
        <f t="shared" si="8"/>
        <v/>
      </c>
      <c r="BA33" t="str">
        <f t="shared" si="9"/>
        <v/>
      </c>
      <c r="BB33" t="str">
        <f t="shared" si="10"/>
        <v xml:space="preserve"> AND TRIM(PRDT_SPRDT) NOT IN ('096HGP','0960H8','096065')</v>
      </c>
      <c r="BC33" t="str">
        <f t="shared" si="11"/>
        <v/>
      </c>
      <c r="BD33" t="str">
        <f t="shared" si="12"/>
        <v/>
      </c>
      <c r="BE33" t="str">
        <f t="shared" si="13"/>
        <v/>
      </c>
      <c r="BF33" t="str">
        <f t="shared" si="14"/>
        <v xml:space="preserve"> AND TRIM(CFAMILIA) IN ('02', '03', '04')</v>
      </c>
      <c r="BG33" t="str">
        <f t="shared" si="15"/>
        <v/>
      </c>
      <c r="BH33" t="str">
        <f t="shared" si="16"/>
        <v xml:space="preserve"> AND FLG_RSC_FSC_AGD_TRAT = 1</v>
      </c>
      <c r="BI33" t="str">
        <f t="shared" si="17"/>
        <v/>
      </c>
      <c r="BJ33" t="str">
        <f t="shared" si="18"/>
        <v/>
      </c>
      <c r="BK33" t="str">
        <f t="shared" si="19"/>
        <v/>
      </c>
      <c r="BL33" t="str">
        <f t="shared" si="20"/>
        <v/>
      </c>
      <c r="BM33" t="str">
        <f t="shared" si="21"/>
        <v/>
      </c>
      <c r="BN33" t="str">
        <f t="shared" si="22"/>
        <v/>
      </c>
      <c r="BO33" t="str">
        <f t="shared" si="23"/>
        <v/>
      </c>
      <c r="BP33" t="str">
        <f t="shared" si="24"/>
        <v/>
      </c>
      <c r="BQ33" t="str">
        <f t="shared" si="25"/>
        <v/>
      </c>
      <c r="BS33" t="str">
        <f t="shared" si="26"/>
        <v>WHEN  AND TRIM(EPC) LIKE 'A%' AND TRIM(CONTRAPARTE) IN ('outras empresas nao financeiras','setor publico') AND TRIM(PRDT_SPRDT) NOT IN ('096HGP','0960H8','096065') AND TRIM(CFAMILIA) IN ('02', '03', '04') AND FLG_RSC_FSC_AGD_TRAT = 1 THEN 'Building acquisition'</v>
      </c>
      <c r="BT33" t="str">
        <f t="shared" si="27"/>
        <v>WHEN  AND TRIM(EPC) LIKE 'A%' AND TRIM(CONTRAPARTE) IN ('outras empresas nao financeiras','setor publico') AND TRIM(PRDT_SPRDT) NOT IN ('096HGP','0960H8','096065') AND TRIM(CFAMILIA) IN ('02', '03', '04') AND FLG_RSC_FSC_AGD_TRAT = 1 THEN 'Nao Aplicavel'</v>
      </c>
      <c r="BU33" t="str">
        <f t="shared" si="28"/>
        <v>WHEN  AND TRIM(EPC) LIKE 'A%' AND TRIM(CONTRAPARTE) IN ('outras empresas nao financeiras','setor publico') AND TRIM(PRDT_SPRDT) NOT IN ('096HGP','0960H8','096065') AND TRIM(CFAMILIA) IN ('02', '03', '04') AND FLG_RSC_FSC_AGD_TRAT = 1 THEN 'Nao Aplicavel'</v>
      </c>
      <c r="BV33" t="str">
        <f t="shared" si="29"/>
        <v>WHEN  AND TRIM(EPC) LIKE 'A%' AND TRIM(CONTRAPARTE) IN ('outras empresas nao financeiras','setor publico') AND TRIM(PRDT_SPRDT) NOT IN ('096HGP','0960H8','096065') AND TRIM(CFAMILIA) IN ('02', '03', '04') AND FLG_RSC_FSC_AGD_TRAT = 1 THEN 'Nao Aplicavel'</v>
      </c>
      <c r="BW33" t="str">
        <f t="shared" si="30"/>
        <v>WHEN  AND TRIM(EPC) LIKE 'A%' AND TRIM(CONTRAPARTE) IN ('outras empresas nao financeiras','setor publico') AND TRIM(PRDT_SPRDT) NOT IN ('096HGP','0960H8','096065') AND TRIM(CFAMILIA) IN ('02', '03', '04') AND FLG_RSC_FSC_AGD_TRAT = 1 THEN 'Nao Aplicavel'</v>
      </c>
      <c r="BX33" t="str">
        <f t="shared" si="31"/>
        <v>,CASE WHEN  AND TRIM(EPC) LIKE 'A%' AND TRIM(CONTRAPARTE) IN ('outras empresas nao financeiras','setor publico') AND TRIM(PRDT_SPRDT) NOT IN ('096HGP','0960H8','096065') AND TRIM(CFAMILIA) IN ('02', '03', '04') AND FLG_RSC_FSC_AGD_TRAT = 1 THEN 1 ELSE 0 END AS FLAG_31</v>
      </c>
      <c r="BY33" t="str">
        <f t="shared" si="32"/>
        <v>WHEN  AND TRIM(EPC) LIKE 'A%' AND TRIM(CONTRAPARTE) IN ('outras empresas nao financeiras','setor publico') AND TRIM(PRDT_SPRDT) NOT IN ('096HGP','0960H8','096065') AND TRIM(CFAMILIA) IN ('02', '03', '04') AND FLG_RSC_FSC_AGD_TRAT = 1 THEN 31</v>
      </c>
      <c r="BZ33" s="5" t="str">
        <f t="shared" si="33"/>
        <v>+ CASE WHEN  AND TRIM(EPC) LIKE 'A%' AND TRIM(CONTRAPARTE) IN ('outras empresas nao financeiras','setor publico') AND TRIM(PRDT_SPRDT) NOT IN ('096HGP','0960H8','096065') AND TRIM(CFAMILIA) IN ('02', '03', '04') AND FLG_RSC_FSC_AGD_TRAT = 1 THEN 1 ELSE 0 END</v>
      </c>
      <c r="CA33" s="5" t="str">
        <f t="shared" si="34"/>
        <v>,FLAG_31</v>
      </c>
    </row>
    <row r="34" spans="1:79" hidden="1" x14ac:dyDescent="0.25">
      <c r="A34" s="31">
        <f t="shared" si="35"/>
        <v>32</v>
      </c>
      <c r="B34" s="1" t="s">
        <v>1574</v>
      </c>
      <c r="C34" s="1">
        <v>41</v>
      </c>
      <c r="D34" s="1" t="s">
        <v>1585</v>
      </c>
      <c r="E34" s="1" t="s">
        <v>1606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1624</v>
      </c>
      <c r="T34" s="1" t="s">
        <v>1612</v>
      </c>
      <c r="U34" s="1"/>
      <c r="V34" s="1"/>
      <c r="W34" s="1" t="s">
        <v>1608</v>
      </c>
      <c r="X34" s="1"/>
      <c r="Y34" s="1"/>
      <c r="Z34" s="1"/>
      <c r="AA34" s="1" t="s">
        <v>1609</v>
      </c>
      <c r="AB34" s="1"/>
      <c r="AC34" s="1" t="s">
        <v>44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1611</v>
      </c>
      <c r="AO34" s="1"/>
      <c r="AP34" s="1"/>
      <c r="AQ34" s="1"/>
      <c r="AR34" s="1"/>
      <c r="AS34" s="5" t="s">
        <v>1670</v>
      </c>
      <c r="AT34" t="str">
        <f t="shared" si="2"/>
        <v/>
      </c>
      <c r="AU34" t="str">
        <f t="shared" si="3"/>
        <v/>
      </c>
      <c r="AV34" t="str">
        <f t="shared" si="4"/>
        <v/>
      </c>
      <c r="AW34" t="str">
        <f t="shared" si="5"/>
        <v/>
      </c>
      <c r="AX34" t="str">
        <f t="shared" si="6"/>
        <v xml:space="preserve"> AND TRIM(EPC) = 'B'</v>
      </c>
      <c r="AY34" t="str">
        <f t="shared" si="7"/>
        <v xml:space="preserve"> AND TRIM(CONTRAPARTE) IN ('outras empresas nao financeiras','setor publico')</v>
      </c>
      <c r="AZ34" t="str">
        <f t="shared" si="8"/>
        <v/>
      </c>
      <c r="BA34" t="str">
        <f t="shared" si="9"/>
        <v/>
      </c>
      <c r="BB34" t="str">
        <f t="shared" si="10"/>
        <v xml:space="preserve"> AND TRIM(PRDT_SPRDT) NOT IN ('096HGP','0960H8','096065')</v>
      </c>
      <c r="BC34" t="str">
        <f t="shared" si="11"/>
        <v/>
      </c>
      <c r="BD34" t="str">
        <f t="shared" si="12"/>
        <v/>
      </c>
      <c r="BE34" t="str">
        <f t="shared" si="13"/>
        <v/>
      </c>
      <c r="BF34" t="str">
        <f t="shared" si="14"/>
        <v xml:space="preserve"> AND TRIM(CFAMILIA) IN ('02', '03', '04')</v>
      </c>
      <c r="BG34" t="str">
        <f t="shared" si="15"/>
        <v/>
      </c>
      <c r="BH34" t="str">
        <f t="shared" si="16"/>
        <v xml:space="preserve"> AND FLG_RSC_FSC_AGD_TRAT = 1</v>
      </c>
      <c r="BI34" t="str">
        <f t="shared" si="17"/>
        <v/>
      </c>
      <c r="BJ34" t="str">
        <f t="shared" si="18"/>
        <v/>
      </c>
      <c r="BK34" t="str">
        <f t="shared" si="19"/>
        <v/>
      </c>
      <c r="BL34" t="str">
        <f t="shared" si="20"/>
        <v/>
      </c>
      <c r="BM34" t="str">
        <f t="shared" si="21"/>
        <v/>
      </c>
      <c r="BN34" t="str">
        <f t="shared" si="22"/>
        <v/>
      </c>
      <c r="BO34" t="str">
        <f t="shared" si="23"/>
        <v/>
      </c>
      <c r="BP34" t="str">
        <f t="shared" si="24"/>
        <v/>
      </c>
      <c r="BQ34" t="str">
        <f t="shared" si="25"/>
        <v/>
      </c>
      <c r="BS34" t="str">
        <f t="shared" si="26"/>
        <v>WHEN  AND TRIM(EPC) = 'B' AND TRIM(CONTRAPARTE) IN ('outras empresas nao financeiras','setor publico') AND TRIM(PRDT_SPRDT) NOT IN ('096HGP','0960H8','096065') AND TRIM(CFAMILIA) IN ('02', '03', '04') AND FLG_RSC_FSC_AGD_TRAT = 1 THEN 'Building acquisition'</v>
      </c>
      <c r="BT34" t="str">
        <f t="shared" si="27"/>
        <v>WHEN  AND TRIM(EPC) = 'B' AND TRIM(CONTRAPARTE) IN ('outras empresas nao financeiras','setor publico') AND TRIM(PRDT_SPRDT) NOT IN ('096HGP','0960H8','096065') AND TRIM(CFAMILIA) IN ('02', '03', '04') AND FLG_RSC_FSC_AGD_TRAT = 1 THEN 'Nao Aplicavel'</v>
      </c>
      <c r="BU34" t="str">
        <f t="shared" si="28"/>
        <v>WHEN  AND TRIM(EPC) = 'B' AND TRIM(CONTRAPARTE) IN ('outras empresas nao financeiras','setor publico') AND TRIM(PRDT_SPRDT) NOT IN ('096HGP','0960H8','096065') AND TRIM(CFAMILIA) IN ('02', '03', '04') AND FLG_RSC_FSC_AGD_TRAT = 1 THEN 'Nao Aplicavel'</v>
      </c>
      <c r="BV34" t="str">
        <f t="shared" si="29"/>
        <v>WHEN  AND TRIM(EPC) = 'B' AND TRIM(CONTRAPARTE) IN ('outras empresas nao financeiras','setor publico') AND TRIM(PRDT_SPRDT) NOT IN ('096HGP','0960H8','096065') AND TRIM(CFAMILIA) IN ('02', '03', '04') AND FLG_RSC_FSC_AGD_TRAT = 1 THEN 'Nao Aplicavel'</v>
      </c>
      <c r="BW34" t="str">
        <f t="shared" si="30"/>
        <v>WHEN  AND TRIM(EPC) = 'B' AND TRIM(CONTRAPARTE) IN ('outras empresas nao financeiras','setor publico') AND TRIM(PRDT_SPRDT) NOT IN ('096HGP','0960H8','096065') AND TRIM(CFAMILIA) IN ('02', '03', '04') AND FLG_RSC_FSC_AGD_TRAT = 1 THEN 'Nao Aplicavel'</v>
      </c>
      <c r="BX34" t="str">
        <f t="shared" si="31"/>
        <v>,CASE WHEN  AND TRIM(EPC) = 'B' AND TRIM(CONTRAPARTE) IN ('outras empresas nao financeiras','setor publico') AND TRIM(PRDT_SPRDT) NOT IN ('096HGP','0960H8','096065') AND TRIM(CFAMILIA) IN ('02', '03', '04') AND FLG_RSC_FSC_AGD_TRAT = 1 THEN 1 ELSE 0 END AS FLAG_32</v>
      </c>
      <c r="BY34" t="str">
        <f t="shared" si="32"/>
        <v>WHEN  AND TRIM(EPC) = 'B' AND TRIM(CONTRAPARTE) IN ('outras empresas nao financeiras','setor publico') AND TRIM(PRDT_SPRDT) NOT IN ('096HGP','0960H8','096065') AND TRIM(CFAMILIA) IN ('02', '03', '04') AND FLG_RSC_FSC_AGD_TRAT = 1 THEN 32</v>
      </c>
      <c r="BZ34" s="5" t="str">
        <f t="shared" si="33"/>
        <v>+ CASE WHEN  AND TRIM(EPC) = 'B' AND TRIM(CONTRAPARTE) IN ('outras empresas nao financeiras','setor publico') AND TRIM(PRDT_SPRDT) NOT IN ('096HGP','0960H8','096065') AND TRIM(CFAMILIA) IN ('02', '03', '04') AND FLG_RSC_FSC_AGD_TRAT = 1 THEN 1 ELSE 0 END</v>
      </c>
      <c r="CA34" s="5" t="str">
        <f t="shared" si="34"/>
        <v>,FLAG_32</v>
      </c>
    </row>
    <row r="35" spans="1:79" hidden="1" x14ac:dyDescent="0.25">
      <c r="A35" s="31">
        <f t="shared" si="35"/>
        <v>33</v>
      </c>
      <c r="B35" s="1" t="s">
        <v>1574</v>
      </c>
      <c r="C35" s="1">
        <v>42</v>
      </c>
      <c r="D35" s="1" t="s">
        <v>1585</v>
      </c>
      <c r="E35" s="1" t="s">
        <v>1606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s">
        <v>1619</v>
      </c>
      <c r="T35" s="1" t="s">
        <v>1604</v>
      </c>
      <c r="U35" s="1"/>
      <c r="V35" s="1"/>
      <c r="W35" s="1" t="s">
        <v>1608</v>
      </c>
      <c r="X35" s="1"/>
      <c r="Y35" s="1"/>
      <c r="Z35" s="1"/>
      <c r="AA35" s="1" t="s">
        <v>1609</v>
      </c>
      <c r="AB35" s="1" t="s">
        <v>1587</v>
      </c>
      <c r="AC35" s="1" t="s">
        <v>1587</v>
      </c>
      <c r="AD35" s="1" t="s">
        <v>1610</v>
      </c>
      <c r="AE35" s="1"/>
      <c r="AF35" s="1"/>
      <c r="AG35" s="1"/>
      <c r="AH35" s="1" t="s">
        <v>1639</v>
      </c>
      <c r="AI35" s="1"/>
      <c r="AJ35" s="1"/>
      <c r="AK35" s="1"/>
      <c r="AL35" s="1"/>
      <c r="AM35" s="1"/>
      <c r="AN35" s="1" t="s">
        <v>1611</v>
      </c>
      <c r="AO35" s="1"/>
      <c r="AP35" s="1"/>
      <c r="AQ35" s="1"/>
      <c r="AR35" s="1"/>
      <c r="AS35" s="5" t="s">
        <v>1670</v>
      </c>
      <c r="AT35" t="str">
        <f t="shared" si="2"/>
        <v/>
      </c>
      <c r="AU35" t="str">
        <f t="shared" si="3"/>
        <v/>
      </c>
      <c r="AV35" t="str">
        <f t="shared" si="4"/>
        <v/>
      </c>
      <c r="AW35" t="str">
        <f t="shared" si="5"/>
        <v/>
      </c>
      <c r="AX35" t="str">
        <f t="shared" si="6"/>
        <v xml:space="preserve"> AND TRIM(EPC) LIKE 'A%'</v>
      </c>
      <c r="AY35" t="str">
        <f t="shared" si="7"/>
        <v xml:space="preserve"> AND TRIM(CONTRAPARTE) = 'particulares'</v>
      </c>
      <c r="AZ35" t="str">
        <f t="shared" si="8"/>
        <v/>
      </c>
      <c r="BA35" t="str">
        <f t="shared" si="9"/>
        <v/>
      </c>
      <c r="BB35" t="str">
        <f t="shared" si="10"/>
        <v xml:space="preserve"> AND TRIM(PRDT_SPRDT) NOT IN ('096HGP','0960H8','096065')</v>
      </c>
      <c r="BC35" t="str">
        <f t="shared" si="11"/>
        <v/>
      </c>
      <c r="BD35" t="str">
        <f t="shared" si="12"/>
        <v/>
      </c>
      <c r="BE35" t="str">
        <f t="shared" si="13"/>
        <v/>
      </c>
      <c r="BF35" t="str">
        <f t="shared" si="14"/>
        <v xml:space="preserve"> AND TRIM(CFAMILIA) IN ('02', '03', '04')</v>
      </c>
      <c r="BG35" t="str">
        <f t="shared" si="15"/>
        <v xml:space="preserve"> AND FLG_RSC_FSC_CRNC_TRAT = 0</v>
      </c>
      <c r="BH35" t="str">
        <f t="shared" si="16"/>
        <v xml:space="preserve"> AND FLG_RSC_FSC_AGD_TRAT = 0</v>
      </c>
      <c r="BI35" t="str">
        <f t="shared" si="17"/>
        <v xml:space="preserve"> AND TRIM(PROPERTY_PURPOSE_CODE) = '01'</v>
      </c>
      <c r="BJ35" t="str">
        <f t="shared" si="18"/>
        <v/>
      </c>
      <c r="BK35" t="str">
        <f t="shared" si="19"/>
        <v/>
      </c>
      <c r="BL35" t="str">
        <f t="shared" si="20"/>
        <v/>
      </c>
      <c r="BM35" s="9" t="s">
        <v>2518</v>
      </c>
      <c r="BN35" t="str">
        <f t="shared" si="22"/>
        <v/>
      </c>
      <c r="BO35" t="str">
        <f t="shared" si="23"/>
        <v/>
      </c>
      <c r="BP35" t="str">
        <f t="shared" si="24"/>
        <v/>
      </c>
      <c r="BQ35" t="str">
        <f t="shared" si="25"/>
        <v/>
      </c>
      <c r="BS35" t="str">
        <f t="shared" si="26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'Building acquisition'</v>
      </c>
      <c r="BT35" t="str">
        <f t="shared" si="27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U35" t="str">
        <f t="shared" si="28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V35" t="str">
        <f t="shared" si="29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W35" t="str">
        <f t="shared" si="30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X35" t="str">
        <f t="shared" si="31"/>
        <v>,CASE 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1 ELSE 0 END AS FLAG_33</v>
      </c>
      <c r="BY35" t="str">
        <f t="shared" si="32"/>
        <v>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33</v>
      </c>
      <c r="BZ35" s="5" t="str">
        <f t="shared" si="33"/>
        <v>+ CASE WHEN  AND TRIM(EPC) LIKE 'A%'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1 ELSE 0 END</v>
      </c>
      <c r="CA35" s="5" t="str">
        <f t="shared" si="34"/>
        <v>,FLAG_33</v>
      </c>
    </row>
    <row r="36" spans="1:79" hidden="1" x14ac:dyDescent="0.25">
      <c r="A36" s="31">
        <f t="shared" si="35"/>
        <v>34</v>
      </c>
      <c r="B36" s="1" t="s">
        <v>1574</v>
      </c>
      <c r="C36" s="1">
        <v>43</v>
      </c>
      <c r="D36" s="1" t="s">
        <v>1585</v>
      </c>
      <c r="E36" s="1" t="s">
        <v>1606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1624</v>
      </c>
      <c r="T36" s="1" t="s">
        <v>1604</v>
      </c>
      <c r="U36" s="1"/>
      <c r="V36" s="1"/>
      <c r="W36" s="1" t="s">
        <v>1608</v>
      </c>
      <c r="X36" s="1"/>
      <c r="Y36" s="1"/>
      <c r="Z36" s="1"/>
      <c r="AA36" s="1" t="s">
        <v>1609</v>
      </c>
      <c r="AB36" s="1" t="s">
        <v>1587</v>
      </c>
      <c r="AC36" s="1" t="s">
        <v>1587</v>
      </c>
      <c r="AD36" s="1" t="s">
        <v>1610</v>
      </c>
      <c r="AE36" s="1"/>
      <c r="AF36" s="1"/>
      <c r="AG36" s="1"/>
      <c r="AH36" s="1" t="s">
        <v>1639</v>
      </c>
      <c r="AI36" s="1"/>
      <c r="AJ36" s="1"/>
      <c r="AK36" s="1"/>
      <c r="AL36" s="1"/>
      <c r="AM36" s="1"/>
      <c r="AN36" s="1" t="s">
        <v>1611</v>
      </c>
      <c r="AO36" s="1"/>
      <c r="AP36" s="1"/>
      <c r="AQ36" s="1"/>
      <c r="AR36" s="1"/>
      <c r="AS36" s="5" t="s">
        <v>1670</v>
      </c>
      <c r="AT36" t="str">
        <f t="shared" si="2"/>
        <v/>
      </c>
      <c r="AU36" t="str">
        <f t="shared" si="3"/>
        <v/>
      </c>
      <c r="AV36" t="str">
        <f t="shared" si="4"/>
        <v/>
      </c>
      <c r="AW36" t="str">
        <f t="shared" si="5"/>
        <v/>
      </c>
      <c r="AX36" t="str">
        <f t="shared" si="6"/>
        <v xml:space="preserve"> AND TRIM(EPC) = 'B'</v>
      </c>
      <c r="AY36" t="str">
        <f t="shared" si="7"/>
        <v xml:space="preserve"> AND TRIM(CONTRAPARTE) = 'particulares'</v>
      </c>
      <c r="AZ36" t="str">
        <f t="shared" si="8"/>
        <v/>
      </c>
      <c r="BA36" t="str">
        <f t="shared" si="9"/>
        <v/>
      </c>
      <c r="BB36" t="str">
        <f t="shared" si="10"/>
        <v xml:space="preserve"> AND TRIM(PRDT_SPRDT) NOT IN ('096HGP','0960H8','096065')</v>
      </c>
      <c r="BC36" t="str">
        <f t="shared" si="11"/>
        <v/>
      </c>
      <c r="BD36" t="str">
        <f t="shared" si="12"/>
        <v/>
      </c>
      <c r="BE36" t="str">
        <f t="shared" si="13"/>
        <v/>
      </c>
      <c r="BF36" t="str">
        <f t="shared" si="14"/>
        <v xml:space="preserve"> AND TRIM(CFAMILIA) IN ('02', '03', '04')</v>
      </c>
      <c r="BG36" t="str">
        <f t="shared" si="15"/>
        <v xml:space="preserve"> AND FLG_RSC_FSC_CRNC_TRAT = 0</v>
      </c>
      <c r="BH36" t="str">
        <f t="shared" si="16"/>
        <v xml:space="preserve"> AND FLG_RSC_FSC_AGD_TRAT = 0</v>
      </c>
      <c r="BI36" t="str">
        <f t="shared" si="17"/>
        <v xml:space="preserve"> AND TRIM(PROPERTY_PURPOSE_CODE) = '01'</v>
      </c>
      <c r="BJ36" t="str">
        <f t="shared" si="18"/>
        <v/>
      </c>
      <c r="BK36" t="str">
        <f t="shared" si="19"/>
        <v/>
      </c>
      <c r="BL36" t="str">
        <f t="shared" si="20"/>
        <v/>
      </c>
      <c r="BM36" s="9" t="s">
        <v>2518</v>
      </c>
      <c r="BN36" t="str">
        <f t="shared" si="22"/>
        <v/>
      </c>
      <c r="BO36" t="str">
        <f t="shared" si="23"/>
        <v/>
      </c>
      <c r="BP36" t="str">
        <f t="shared" si="24"/>
        <v/>
      </c>
      <c r="BQ36" t="str">
        <f t="shared" si="25"/>
        <v/>
      </c>
      <c r="BS36" t="str">
        <f t="shared" si="26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'Building acquisition'</v>
      </c>
      <c r="BT36" t="str">
        <f t="shared" si="27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U36" t="str">
        <f t="shared" si="28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V36" t="str">
        <f t="shared" si="29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W36" t="str">
        <f t="shared" si="30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'Nao Aplicavel'</v>
      </c>
      <c r="BX36" t="str">
        <f t="shared" si="31"/>
        <v>,CASE 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1 ELSE 0 END AS FLAG_34</v>
      </c>
      <c r="BY36" t="str">
        <f t="shared" si="32"/>
        <v>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34</v>
      </c>
      <c r="BZ36" s="5" t="str">
        <f t="shared" si="33"/>
        <v>+ CASE WHEN  AND TRIM(EPC) = 'B' AND TRIM(CONTRAPARTE) = 'particulares' AND TRIM(PRDT_SPRDT) NOT IN ('096HGP','0960H8','096065') AND TRIM(CFAMILIA) IN ('02', '03', '04') AND FLG_RSC_FSC_CRNC_TRAT = 0 AND FLG_RSC_FSC_AGD_TRAT = 0 AND TRIM(PROPERTY_PURPOSE_CODE) = '01' AND TRIM(QUALITY_SCORE) NOT IN ('1-REAL','SANTANDER') AND QUALITY_SCORE IS NOT NULL  THEN 1 ELSE 0 END</v>
      </c>
      <c r="CA36" s="5" t="str">
        <f t="shared" si="34"/>
        <v>,FLAG_34</v>
      </c>
    </row>
    <row r="37" spans="1:79" hidden="1" x14ac:dyDescent="0.25">
      <c r="A37" s="31">
        <f t="shared" si="35"/>
        <v>35</v>
      </c>
      <c r="B37" s="1" t="s">
        <v>1574</v>
      </c>
      <c r="C37" s="1">
        <v>44</v>
      </c>
      <c r="D37" s="1" t="s">
        <v>1585</v>
      </c>
      <c r="E37" s="1" t="s">
        <v>1606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s">
        <v>1619</v>
      </c>
      <c r="T37" s="1" t="s">
        <v>1612</v>
      </c>
      <c r="U37" s="1"/>
      <c r="V37" s="1"/>
      <c r="W37" s="1" t="s">
        <v>1608</v>
      </c>
      <c r="X37" s="1"/>
      <c r="Y37" s="1"/>
      <c r="Z37" s="1"/>
      <c r="AA37" s="1" t="s">
        <v>1609</v>
      </c>
      <c r="AB37" s="1" t="s">
        <v>1587</v>
      </c>
      <c r="AC37" s="1" t="s">
        <v>1587</v>
      </c>
      <c r="AD37" s="1"/>
      <c r="AE37" s="1"/>
      <c r="AF37" s="1"/>
      <c r="AG37" s="1"/>
      <c r="AH37" s="1" t="s">
        <v>1639</v>
      </c>
      <c r="AI37" s="1"/>
      <c r="AJ37" s="1"/>
      <c r="AK37" s="1"/>
      <c r="AL37" s="1"/>
      <c r="AM37" s="1"/>
      <c r="AN37" s="1" t="s">
        <v>1611</v>
      </c>
      <c r="AO37" s="1"/>
      <c r="AP37" s="1"/>
      <c r="AQ37" s="1"/>
      <c r="AR37" s="1"/>
      <c r="AS37" s="5" t="s">
        <v>1670</v>
      </c>
      <c r="AT37" t="str">
        <f t="shared" si="2"/>
        <v/>
      </c>
      <c r="AU37" t="str">
        <f t="shared" si="3"/>
        <v/>
      </c>
      <c r="AV37" t="str">
        <f t="shared" si="4"/>
        <v/>
      </c>
      <c r="AW37" t="str">
        <f t="shared" si="5"/>
        <v/>
      </c>
      <c r="AX37" t="str">
        <f t="shared" si="6"/>
        <v xml:space="preserve"> AND TRIM(EPC) LIKE 'A%'</v>
      </c>
      <c r="AY37" t="str">
        <f t="shared" si="7"/>
        <v xml:space="preserve"> AND TRIM(CONTRAPARTE) IN ('outras empresas nao financeiras','setor publico')</v>
      </c>
      <c r="AZ37" t="str">
        <f t="shared" si="8"/>
        <v/>
      </c>
      <c r="BA37" t="str">
        <f t="shared" si="9"/>
        <v/>
      </c>
      <c r="BB37" t="str">
        <f t="shared" si="10"/>
        <v xml:space="preserve"> AND TRIM(PRDT_SPRDT) NOT IN ('096HGP','0960H8','096065')</v>
      </c>
      <c r="BC37" t="str">
        <f t="shared" si="11"/>
        <v/>
      </c>
      <c r="BD37" t="str">
        <f t="shared" si="12"/>
        <v/>
      </c>
      <c r="BE37" t="str">
        <f t="shared" si="13"/>
        <v/>
      </c>
      <c r="BF37" t="str">
        <f t="shared" si="14"/>
        <v xml:space="preserve"> AND TRIM(CFAMILIA) IN ('02', '03', '04')</v>
      </c>
      <c r="BG37" t="str">
        <f t="shared" si="15"/>
        <v xml:space="preserve"> AND FLG_RSC_FSC_CRNC_TRAT = 0</v>
      </c>
      <c r="BH37" t="str">
        <f t="shared" si="16"/>
        <v xml:space="preserve"> AND FLG_RSC_FSC_AGD_TRAT = 0</v>
      </c>
      <c r="BI37" t="str">
        <f t="shared" si="17"/>
        <v/>
      </c>
      <c r="BJ37" t="str">
        <f t="shared" si="18"/>
        <v/>
      </c>
      <c r="BK37" t="str">
        <f t="shared" si="19"/>
        <v/>
      </c>
      <c r="BL37" t="str">
        <f t="shared" si="20"/>
        <v/>
      </c>
      <c r="BM37" s="9" t="s">
        <v>2518</v>
      </c>
      <c r="BN37" t="str">
        <f t="shared" si="22"/>
        <v/>
      </c>
      <c r="BO37" t="str">
        <f t="shared" si="23"/>
        <v/>
      </c>
      <c r="BP37" t="str">
        <f t="shared" si="24"/>
        <v/>
      </c>
      <c r="BQ37" t="str">
        <f t="shared" si="25"/>
        <v/>
      </c>
      <c r="BS37" t="str">
        <f t="shared" si="26"/>
        <v>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'Building acquisition'</v>
      </c>
      <c r="BT37" t="str">
        <f t="shared" si="27"/>
        <v>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U37" t="str">
        <f t="shared" si="28"/>
        <v>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V37" t="str">
        <f t="shared" si="29"/>
        <v>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W37" t="str">
        <f t="shared" si="30"/>
        <v>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X37" t="str">
        <f t="shared" si="31"/>
        <v>,CASE 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1 ELSE 0 END AS FLAG_35</v>
      </c>
      <c r="BY37" t="str">
        <f t="shared" si="32"/>
        <v>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35</v>
      </c>
      <c r="BZ37" s="5" t="str">
        <f t="shared" si="33"/>
        <v>+ CASE WHEN  AND TRIM(EPC) LIKE 'A%'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1 ELSE 0 END</v>
      </c>
      <c r="CA37" s="5" t="str">
        <f t="shared" si="34"/>
        <v>,FLAG_35</v>
      </c>
    </row>
    <row r="38" spans="1:79" hidden="1" x14ac:dyDescent="0.25">
      <c r="A38" s="31">
        <f t="shared" si="35"/>
        <v>36</v>
      </c>
      <c r="B38" s="1" t="s">
        <v>1574</v>
      </c>
      <c r="C38" s="1">
        <v>45</v>
      </c>
      <c r="D38" s="1" t="s">
        <v>1585</v>
      </c>
      <c r="E38" s="1" t="s">
        <v>1606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1624</v>
      </c>
      <c r="T38" s="1" t="s">
        <v>1612</v>
      </c>
      <c r="U38" s="1"/>
      <c r="V38" s="1"/>
      <c r="W38" s="1" t="s">
        <v>1608</v>
      </c>
      <c r="X38" s="1"/>
      <c r="Y38" s="1"/>
      <c r="Z38" s="1"/>
      <c r="AA38" s="1" t="s">
        <v>1609</v>
      </c>
      <c r="AB38" s="1" t="s">
        <v>1587</v>
      </c>
      <c r="AC38" s="1" t="s">
        <v>1587</v>
      </c>
      <c r="AD38" s="1"/>
      <c r="AE38" s="1"/>
      <c r="AF38" s="1"/>
      <c r="AG38" s="1"/>
      <c r="AH38" s="1" t="s">
        <v>1639</v>
      </c>
      <c r="AI38" s="1"/>
      <c r="AJ38" s="1"/>
      <c r="AK38" s="1"/>
      <c r="AL38" s="1"/>
      <c r="AM38" s="1"/>
      <c r="AN38" s="1" t="s">
        <v>1611</v>
      </c>
      <c r="AO38" s="1"/>
      <c r="AP38" s="1"/>
      <c r="AQ38" s="1"/>
      <c r="AR38" s="1"/>
      <c r="AS38" s="5" t="s">
        <v>1670</v>
      </c>
      <c r="AT38" t="str">
        <f t="shared" si="2"/>
        <v/>
      </c>
      <c r="AU38" t="str">
        <f t="shared" si="3"/>
        <v/>
      </c>
      <c r="AV38" t="str">
        <f t="shared" si="4"/>
        <v/>
      </c>
      <c r="AW38" t="str">
        <f t="shared" si="5"/>
        <v/>
      </c>
      <c r="AX38" t="str">
        <f t="shared" si="6"/>
        <v xml:space="preserve"> AND TRIM(EPC) = 'B'</v>
      </c>
      <c r="AY38" t="str">
        <f t="shared" si="7"/>
        <v xml:space="preserve"> AND TRIM(CONTRAPARTE) IN ('outras empresas nao financeiras','setor publico')</v>
      </c>
      <c r="AZ38" t="str">
        <f t="shared" si="8"/>
        <v/>
      </c>
      <c r="BA38" t="str">
        <f t="shared" si="9"/>
        <v/>
      </c>
      <c r="BB38" t="str">
        <f t="shared" si="10"/>
        <v xml:space="preserve"> AND TRIM(PRDT_SPRDT) NOT IN ('096HGP','0960H8','096065')</v>
      </c>
      <c r="BC38" t="str">
        <f t="shared" si="11"/>
        <v/>
      </c>
      <c r="BD38" t="str">
        <f t="shared" si="12"/>
        <v/>
      </c>
      <c r="BE38" t="str">
        <f t="shared" si="13"/>
        <v/>
      </c>
      <c r="BF38" t="str">
        <f t="shared" si="14"/>
        <v xml:space="preserve"> AND TRIM(CFAMILIA) IN ('02', '03', '04')</v>
      </c>
      <c r="BG38" t="str">
        <f t="shared" si="15"/>
        <v xml:space="preserve"> AND FLG_RSC_FSC_CRNC_TRAT = 0</v>
      </c>
      <c r="BH38" t="str">
        <f t="shared" si="16"/>
        <v xml:space="preserve"> AND FLG_RSC_FSC_AGD_TRAT = 0</v>
      </c>
      <c r="BI38" t="str">
        <f t="shared" si="17"/>
        <v/>
      </c>
      <c r="BJ38" t="str">
        <f t="shared" si="18"/>
        <v/>
      </c>
      <c r="BK38" t="str">
        <f t="shared" si="19"/>
        <v/>
      </c>
      <c r="BL38" t="str">
        <f t="shared" si="20"/>
        <v/>
      </c>
      <c r="BM38" s="9" t="s">
        <v>2518</v>
      </c>
      <c r="BN38" t="str">
        <f t="shared" si="22"/>
        <v/>
      </c>
      <c r="BO38" t="str">
        <f t="shared" si="23"/>
        <v/>
      </c>
      <c r="BP38" t="str">
        <f t="shared" si="24"/>
        <v/>
      </c>
      <c r="BQ38" t="str">
        <f t="shared" si="25"/>
        <v/>
      </c>
      <c r="BS38" t="str">
        <f t="shared" si="26"/>
        <v>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'Building acquisition'</v>
      </c>
      <c r="BT38" t="str">
        <f t="shared" si="27"/>
        <v>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U38" t="str">
        <f t="shared" si="28"/>
        <v>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V38" t="str">
        <f t="shared" si="29"/>
        <v>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W38" t="str">
        <f t="shared" si="30"/>
        <v>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'Nao Aplicavel'</v>
      </c>
      <c r="BX38" t="str">
        <f t="shared" si="31"/>
        <v>,CASE 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1 ELSE 0 END AS FLAG_36</v>
      </c>
      <c r="BY38" t="str">
        <f t="shared" si="32"/>
        <v>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36</v>
      </c>
      <c r="BZ38" s="5" t="str">
        <f t="shared" si="33"/>
        <v>+ CASE WHEN  AND TRIM(EPC) = 'B' AND TRIM(CONTRAPARTE) IN ('outras empresas nao financeiras','setor publico') AND TRIM(PRDT_SPRDT) NOT IN ('096HGP','0960H8','096065') AND TRIM(CFAMILIA) IN ('02', '03', '04') AND FLG_RSC_FSC_CRNC_TRAT = 0 AND FLG_RSC_FSC_AGD_TRAT = 0 AND TRIM(QUALITY_SCORE) NOT IN ('1-REAL','SANTANDER') AND QUALITY_SCORE IS NOT NULL  THEN 1 ELSE 0 END</v>
      </c>
      <c r="CA38" s="5" t="str">
        <f t="shared" si="34"/>
        <v>,FLAG_36</v>
      </c>
    </row>
    <row r="39" spans="1:79" hidden="1" x14ac:dyDescent="0.25">
      <c r="A39" s="31">
        <f t="shared" si="35"/>
        <v>37</v>
      </c>
      <c r="B39" s="1" t="s">
        <v>1574</v>
      </c>
      <c r="C39" s="1">
        <v>46</v>
      </c>
      <c r="D39" s="1" t="s">
        <v>1585</v>
      </c>
      <c r="E39" s="1" t="s">
        <v>1606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1640</v>
      </c>
      <c r="T39" s="1" t="s">
        <v>1604</v>
      </c>
      <c r="U39" s="1"/>
      <c r="V39" s="1"/>
      <c r="W39" s="1" t="s">
        <v>1608</v>
      </c>
      <c r="X39" s="1"/>
      <c r="Y39" s="1"/>
      <c r="Z39" s="1"/>
      <c r="AA39" s="1" t="s">
        <v>1609</v>
      </c>
      <c r="AB39" s="1" t="s">
        <v>1587</v>
      </c>
      <c r="AC39" s="1" t="s">
        <v>1587</v>
      </c>
      <c r="AD39" s="1" t="s">
        <v>1610</v>
      </c>
      <c r="AE39" s="1"/>
      <c r="AF39" s="1"/>
      <c r="AG39" s="1" t="s">
        <v>1625</v>
      </c>
      <c r="AH39" s="1" t="s">
        <v>1621</v>
      </c>
      <c r="AI39" s="1" t="s">
        <v>1641</v>
      </c>
      <c r="AJ39" s="1"/>
      <c r="AK39" s="1"/>
      <c r="AL39" s="1"/>
      <c r="AM39" s="1"/>
      <c r="AN39" s="1" t="s">
        <v>1611</v>
      </c>
      <c r="AO39" s="1"/>
      <c r="AP39" s="1"/>
      <c r="AQ39" s="1"/>
      <c r="AR39" s="1"/>
      <c r="AS39" s="5" t="s">
        <v>1670</v>
      </c>
      <c r="AT39" t="str">
        <f t="shared" si="2"/>
        <v/>
      </c>
      <c r="AU39" t="str">
        <f t="shared" si="3"/>
        <v/>
      </c>
      <c r="AV39" t="str">
        <f t="shared" si="4"/>
        <v/>
      </c>
      <c r="AW39" t="str">
        <f t="shared" si="5"/>
        <v/>
      </c>
      <c r="AX39" t="str">
        <f t="shared" si="6"/>
        <v xml:space="preserve"> AND TRIM(EPC) in ('A','B')</v>
      </c>
      <c r="AY39" t="str">
        <f t="shared" si="7"/>
        <v xml:space="preserve"> AND TRIM(CONTRAPARTE) = 'particulares'</v>
      </c>
      <c r="AZ39" t="str">
        <f t="shared" si="8"/>
        <v/>
      </c>
      <c r="BA39" t="str">
        <f t="shared" si="9"/>
        <v/>
      </c>
      <c r="BB39" t="str">
        <f t="shared" si="10"/>
        <v xml:space="preserve"> AND TRIM(PRDT_SPRDT) NOT IN ('096HGP','0960H8','096065')</v>
      </c>
      <c r="BC39" t="str">
        <f t="shared" si="11"/>
        <v/>
      </c>
      <c r="BD39" t="str">
        <f t="shared" si="12"/>
        <v/>
      </c>
      <c r="BE39" t="str">
        <f t="shared" si="13"/>
        <v/>
      </c>
      <c r="BF39" t="str">
        <f t="shared" si="14"/>
        <v xml:space="preserve"> AND TRIM(CFAMILIA) IN ('02', '03', '04')</v>
      </c>
      <c r="BG39" t="str">
        <f t="shared" si="15"/>
        <v xml:space="preserve"> AND FLG_RSC_FSC_CRNC_TRAT = 0</v>
      </c>
      <c r="BH39" t="str">
        <f t="shared" si="16"/>
        <v xml:space="preserve"> AND FLG_RSC_FSC_AGD_TRAT = 0</v>
      </c>
      <c r="BI39" t="str">
        <f t="shared" si="17"/>
        <v xml:space="preserve"> AND TRIM(PROPERTY_PURPOSE_CODE) = '01'</v>
      </c>
      <c r="BJ39" t="str">
        <f t="shared" si="18"/>
        <v/>
      </c>
      <c r="BK39" t="str">
        <f t="shared" si="19"/>
        <v/>
      </c>
      <c r="BL39" s="9" t="s">
        <v>2537</v>
      </c>
      <c r="BM39" t="str">
        <f t="shared" si="21"/>
        <v xml:space="preserve"> AND TRIM(QUALITY_SCORE) IN ('1-REAL','SANTANDER')</v>
      </c>
      <c r="BN39" s="9" t="s">
        <v>2520</v>
      </c>
      <c r="BO39" t="str">
        <f t="shared" si="23"/>
        <v/>
      </c>
      <c r="BP39" t="str">
        <f t="shared" si="24"/>
        <v/>
      </c>
      <c r="BQ39" t="str">
        <f t="shared" si="25"/>
        <v/>
      </c>
      <c r="BS39" t="str">
        <f t="shared" si="26"/>
        <v>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'Building acquisition'</v>
      </c>
      <c r="BT39" t="str">
        <f t="shared" si="27"/>
        <v>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U39" t="str">
        <f t="shared" si="28"/>
        <v>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V39" t="str">
        <f t="shared" si="29"/>
        <v>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W39" t="str">
        <f t="shared" si="30"/>
        <v>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X39" t="str">
        <f t="shared" si="31"/>
        <v>,CASE 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1 ELSE 0 END AS FLAG_37</v>
      </c>
      <c r="BY39" t="str">
        <f t="shared" si="32"/>
        <v>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37</v>
      </c>
      <c r="BZ39" s="5" t="str">
        <f t="shared" si="33"/>
        <v>+ CASE WHEN  AND TRIM(EPC) in ('A','B') AND TRIM(CONTRAPARTE) = 'particulares' AND TRIM(PRDT_SPRDT) NOT IN ('096HGP','0960H8','096065') AND TRIM(CFAMILIA) IN ('02', '03', '04') AND FLG_RSC_FSC_CRNC_TRAT = 0 AND FLG_RSC_FSC_AGD_TRAT = 0 AND TRIM(PROPERTY_PURPOSE_CODE) = '01'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1 ELSE 0 END</v>
      </c>
      <c r="CA39" s="5" t="str">
        <f t="shared" si="34"/>
        <v>,FLAG_37</v>
      </c>
    </row>
    <row r="40" spans="1:79" hidden="1" x14ac:dyDescent="0.25">
      <c r="A40" s="31">
        <f t="shared" si="35"/>
        <v>38</v>
      </c>
      <c r="B40" s="1" t="s">
        <v>1574</v>
      </c>
      <c r="C40" s="1">
        <v>47</v>
      </c>
      <c r="D40" s="1" t="s">
        <v>1585</v>
      </c>
      <c r="E40" s="1" t="s">
        <v>1606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1640</v>
      </c>
      <c r="T40" s="1" t="s">
        <v>1612</v>
      </c>
      <c r="U40" s="1"/>
      <c r="V40" s="1"/>
      <c r="W40" s="1" t="s">
        <v>1608</v>
      </c>
      <c r="X40" s="1"/>
      <c r="Y40" s="1"/>
      <c r="Z40" s="1"/>
      <c r="AA40" s="1" t="s">
        <v>1609</v>
      </c>
      <c r="AB40" s="1" t="s">
        <v>1587</v>
      </c>
      <c r="AC40" s="1" t="s">
        <v>1587</v>
      </c>
      <c r="AD40" s="1"/>
      <c r="AE40" s="1"/>
      <c r="AF40" s="1"/>
      <c r="AG40" s="1" t="s">
        <v>1625</v>
      </c>
      <c r="AH40" s="1" t="s">
        <v>1621</v>
      </c>
      <c r="AI40" s="1" t="s">
        <v>1641</v>
      </c>
      <c r="AJ40" s="1"/>
      <c r="AK40" s="1"/>
      <c r="AL40" s="1"/>
      <c r="AM40" s="1"/>
      <c r="AN40" s="1" t="s">
        <v>1611</v>
      </c>
      <c r="AO40" s="1"/>
      <c r="AP40" s="1"/>
      <c r="AQ40" s="1"/>
      <c r="AR40" s="1"/>
      <c r="AS40" s="5" t="s">
        <v>1670</v>
      </c>
      <c r="AT40" t="str">
        <f t="shared" si="2"/>
        <v/>
      </c>
      <c r="AU40" t="str">
        <f t="shared" si="3"/>
        <v/>
      </c>
      <c r="AV40" t="str">
        <f t="shared" si="4"/>
        <v/>
      </c>
      <c r="AW40" t="str">
        <f t="shared" si="5"/>
        <v/>
      </c>
      <c r="AX40" t="str">
        <f t="shared" si="6"/>
        <v xml:space="preserve"> AND TRIM(EPC) in ('A','B')</v>
      </c>
      <c r="AY40" t="str">
        <f t="shared" si="7"/>
        <v xml:space="preserve"> AND TRIM(CONTRAPARTE) IN ('outras empresas nao financeiras','setor publico')</v>
      </c>
      <c r="AZ40" t="str">
        <f t="shared" si="8"/>
        <v/>
      </c>
      <c r="BA40" t="str">
        <f t="shared" si="9"/>
        <v/>
      </c>
      <c r="BB40" t="str">
        <f t="shared" si="10"/>
        <v xml:space="preserve"> AND TRIM(PRDT_SPRDT) NOT IN ('096HGP','0960H8','096065')</v>
      </c>
      <c r="BC40" t="str">
        <f t="shared" si="11"/>
        <v/>
      </c>
      <c r="BD40" t="str">
        <f t="shared" si="12"/>
        <v/>
      </c>
      <c r="BE40" t="str">
        <f t="shared" si="13"/>
        <v/>
      </c>
      <c r="BF40" t="str">
        <f t="shared" si="14"/>
        <v xml:space="preserve"> AND TRIM(CFAMILIA) IN ('02', '03', '04')</v>
      </c>
      <c r="BG40" t="str">
        <f t="shared" si="15"/>
        <v xml:space="preserve"> AND FLG_RSC_FSC_CRNC_TRAT = 0</v>
      </c>
      <c r="BH40" t="str">
        <f t="shared" si="16"/>
        <v xml:space="preserve"> AND FLG_RSC_FSC_AGD_TRAT = 0</v>
      </c>
      <c r="BI40" t="str">
        <f t="shared" si="17"/>
        <v/>
      </c>
      <c r="BJ40" t="str">
        <f t="shared" si="18"/>
        <v/>
      </c>
      <c r="BK40" t="str">
        <f t="shared" si="19"/>
        <v/>
      </c>
      <c r="BL40" s="9" t="s">
        <v>2537</v>
      </c>
      <c r="BM40" t="str">
        <f t="shared" si="21"/>
        <v xml:space="preserve"> AND TRIM(QUALITY_SCORE) IN ('1-REAL','SANTANDER')</v>
      </c>
      <c r="BN40" s="9" t="s">
        <v>2520</v>
      </c>
      <c r="BO40" t="str">
        <f t="shared" si="23"/>
        <v/>
      </c>
      <c r="BP40" t="str">
        <f t="shared" si="24"/>
        <v/>
      </c>
      <c r="BQ40" t="str">
        <f t="shared" si="25"/>
        <v/>
      </c>
      <c r="BS40" t="str">
        <f t="shared" si="26"/>
        <v>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'Building acquisition'</v>
      </c>
      <c r="BT40" t="str">
        <f t="shared" si="27"/>
        <v>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U40" t="str">
        <f t="shared" si="28"/>
        <v>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V40" t="str">
        <f t="shared" si="29"/>
        <v>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W40" t="str">
        <f t="shared" si="30"/>
        <v>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'Nao Aplicavel'</v>
      </c>
      <c r="BX40" t="str">
        <f t="shared" si="31"/>
        <v>,CASE 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1 ELSE 0 END AS FLAG_38</v>
      </c>
      <c r="BY40" t="str">
        <f t="shared" si="32"/>
        <v>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38</v>
      </c>
      <c r="BZ40" s="5" t="str">
        <f t="shared" si="33"/>
        <v>+ CASE WHEN  AND TRIM(EPC) in ('A','B') AND TRIM(CONTRAPARTE) IN ('outras empresas nao financeiras','setor publico') AND TRIM(PRDT_SPRDT) NOT IN ('096HGP','0960H8','096065') AND TRIM(CFAMILIA) IN ('02', '03', '04') AND FLG_RSC_FSC_CRNC_TRAT = 0 AND FLG_RSC_FSC_AGD_TRAT = 0 AND TRIM(CONSTRUCTION_YEAR) &gt;= '2020' AND TRIM(CONSTRUCTION_YEAR)&lt; '9999' AND CONSTRUCTION_YEAR IS NOT NULL AND TRIM(CONSTRUCTION_YEAR)&lt;&gt;'' AND TRIM(QUALITY_SCORE) IN ('1-REAL','SANTANDER') AND PRIMARY_ENERGY_REQ_VALUE &gt;=0.45 AND PRIMARY_ENERGY_REQ_VALUE IS NOT NULL THEN 1 ELSE 0 END</v>
      </c>
      <c r="CA40" s="5" t="str">
        <f t="shared" si="34"/>
        <v>,FLAG_38</v>
      </c>
    </row>
    <row r="41" spans="1:79" hidden="1" x14ac:dyDescent="0.25">
      <c r="A41" s="31">
        <f t="shared" si="35"/>
        <v>39</v>
      </c>
      <c r="B41" s="1" t="s">
        <v>1574</v>
      </c>
      <c r="C41" s="1">
        <v>48</v>
      </c>
      <c r="D41" s="1" t="s">
        <v>1585</v>
      </c>
      <c r="E41" s="1" t="s">
        <v>1642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1604</v>
      </c>
      <c r="U41" s="1"/>
      <c r="V41" s="1"/>
      <c r="W41" s="1" t="s">
        <v>1595</v>
      </c>
      <c r="X41" s="1"/>
      <c r="Y41" s="1"/>
      <c r="Z41" s="1"/>
      <c r="AA41" s="1"/>
      <c r="AB41" s="1"/>
      <c r="AC41" s="1"/>
      <c r="AD41" s="1"/>
      <c r="AE41" s="1" t="s">
        <v>1643</v>
      </c>
      <c r="AF41" s="1"/>
      <c r="AG41" s="1"/>
      <c r="AH41" s="1"/>
      <c r="AI41" s="1"/>
      <c r="AJ41" s="1"/>
      <c r="AK41" s="1"/>
      <c r="AL41" s="1" t="s">
        <v>1598</v>
      </c>
      <c r="AM41" s="1"/>
      <c r="AN41" s="1" t="s">
        <v>1616</v>
      </c>
      <c r="AO41" s="1"/>
      <c r="AP41" s="1"/>
      <c r="AQ41" s="1"/>
      <c r="AR41" s="1"/>
      <c r="AS41" s="5" t="s">
        <v>1670</v>
      </c>
      <c r="AT41" t="str">
        <f t="shared" si="2"/>
        <v/>
      </c>
      <c r="AU41" t="str">
        <f t="shared" si="3"/>
        <v/>
      </c>
      <c r="AV41" t="str">
        <f t="shared" si="4"/>
        <v/>
      </c>
      <c r="AW41" t="str">
        <f t="shared" si="5"/>
        <v/>
      </c>
      <c r="AX41" t="str">
        <f t="shared" si="6"/>
        <v/>
      </c>
      <c r="AY41" t="str">
        <f t="shared" si="7"/>
        <v xml:space="preserve"> AND TRIM(CONTRAPARTE) = 'particulares'</v>
      </c>
      <c r="AZ41" t="str">
        <f t="shared" si="8"/>
        <v/>
      </c>
      <c r="BA41" t="str">
        <f t="shared" si="9"/>
        <v/>
      </c>
      <c r="BB41" t="str">
        <f t="shared" si="10"/>
        <v xml:space="preserve"> AND TRIM(PRDT_SPRDT) IN ('000042','000045','000051','000053')</v>
      </c>
      <c r="BC41" t="str">
        <f t="shared" si="11"/>
        <v/>
      </c>
      <c r="BD41" t="str">
        <f t="shared" si="12"/>
        <v/>
      </c>
      <c r="BE41" t="str">
        <f t="shared" si="13"/>
        <v/>
      </c>
      <c r="BF41" t="str">
        <f t="shared" si="14"/>
        <v/>
      </c>
      <c r="BG41" t="str">
        <f t="shared" si="15"/>
        <v/>
      </c>
      <c r="BH41" t="str">
        <f t="shared" si="16"/>
        <v/>
      </c>
      <c r="BI41" t="str">
        <f t="shared" si="17"/>
        <v/>
      </c>
      <c r="BJ41" s="9" t="s">
        <v>2516</v>
      </c>
      <c r="BK41" t="str">
        <f t="shared" si="19"/>
        <v/>
      </c>
      <c r="BL41" t="str">
        <f t="shared" si="20"/>
        <v/>
      </c>
      <c r="BM41" t="str">
        <f t="shared" si="21"/>
        <v/>
      </c>
      <c r="BN41" t="str">
        <f t="shared" si="22"/>
        <v/>
      </c>
      <c r="BO41" t="str">
        <f t="shared" si="23"/>
        <v/>
      </c>
      <c r="BP41" t="str">
        <f t="shared" si="24"/>
        <v/>
      </c>
      <c r="BQ41" t="str">
        <f t="shared" si="25"/>
        <v xml:space="preserve"> AND TRIM(NOME_CTGR_SFICS) = 'A.2.'</v>
      </c>
      <c r="BS41" t="str">
        <f t="shared" si="26"/>
        <v>WHEN  AND TRIM(CONTRAPARTE) = 'particulares' AND TRIM(PRDT_SPRDT) IN ('000042','000045','000051','000053') AND TRIM(DABERTUR) &lt; '2022-01-01' AND DABERTUR IS NOT NULL AND TRIM(NOME_CTGR_SFICS) = 'A.2.' THEN 'Motor Vehicle Loans'</v>
      </c>
      <c r="BT41" t="str">
        <f t="shared" si="27"/>
        <v>WHEN  AND TRIM(CONTRAPARTE) = 'particulares' AND TRIM(PRDT_SPRDT) IN ('000042','000045','000051','000053') AND TRIM(DABERTUR) &lt; '2022-01-01' AND DABERTUR IS NOT NULL AND TRIM(NOME_CTGR_SFICS) = 'A.2.' THEN 'Nao Aplicavel'</v>
      </c>
      <c r="BU41" t="str">
        <f t="shared" si="28"/>
        <v>WHEN  AND TRIM(CONTRAPARTE) = 'particulares' AND TRIM(PRDT_SPRDT) IN ('000042','000045','000051','000053') AND TRIM(DABERTUR) &lt; '2022-01-01' AND DABERTUR IS NOT NULL AND TRIM(NOME_CTGR_SFICS) = 'A.2.' THEN 'Nao Aplicavel'</v>
      </c>
      <c r="BV41" t="str">
        <f t="shared" si="29"/>
        <v>WHEN  AND TRIM(CONTRAPARTE) = 'particulares' AND TRIM(PRDT_SPRDT) IN ('000042','000045','000051','000053') AND TRIM(DABERTUR) &lt; '2022-01-01' AND DABERTUR IS NOT NULL AND TRIM(NOME_CTGR_SFICS) = 'A.2.' THEN 'Nao Aplicavel'</v>
      </c>
      <c r="BW41" t="str">
        <f t="shared" si="30"/>
        <v>WHEN  AND TRIM(CONTRAPARTE) = 'particulares' AND TRIM(PRDT_SPRDT) IN ('000042','000045','000051','000053') AND TRIM(DABERTUR) &lt; '2022-01-01' AND DABERTUR IS NOT NULL AND TRIM(NOME_CTGR_SFICS) = 'A.2.' THEN 'Nao Aplicavel'</v>
      </c>
      <c r="BX41" t="str">
        <f t="shared" si="31"/>
        <v>,CASE WHEN  AND TRIM(CONTRAPARTE) = 'particulares' AND TRIM(PRDT_SPRDT) IN ('000042','000045','000051','000053') AND TRIM(DABERTUR) &lt; '2022-01-01' AND DABERTUR IS NOT NULL AND TRIM(NOME_CTGR_SFICS) = 'A.2.' THEN 1 ELSE 0 END AS FLAG_39</v>
      </c>
      <c r="BY41" t="str">
        <f t="shared" si="32"/>
        <v>WHEN  AND TRIM(CONTRAPARTE) = 'particulares' AND TRIM(PRDT_SPRDT) IN ('000042','000045','000051','000053') AND TRIM(DABERTUR) &lt; '2022-01-01' AND DABERTUR IS NOT NULL AND TRIM(NOME_CTGR_SFICS) = 'A.2.' THEN 39</v>
      </c>
      <c r="BZ41" s="5" t="str">
        <f t="shared" si="33"/>
        <v>+ CASE WHEN  AND TRIM(CONTRAPARTE) = 'particulares' AND TRIM(PRDT_SPRDT) IN ('000042','000045','000051','000053') AND TRIM(DABERTUR) &lt; '2022-01-01' AND DABERTUR IS NOT NULL AND TRIM(NOME_CTGR_SFICS) = 'A.2.' THEN 1 ELSE 0 END</v>
      </c>
      <c r="CA41" s="5" t="str">
        <f t="shared" si="34"/>
        <v>,FLAG_39</v>
      </c>
    </row>
    <row r="42" spans="1:79" hidden="1" x14ac:dyDescent="0.25">
      <c r="A42" s="31">
        <f t="shared" si="35"/>
        <v>40</v>
      </c>
      <c r="B42" s="1" t="s">
        <v>1574</v>
      </c>
      <c r="C42" s="1">
        <v>49</v>
      </c>
      <c r="D42" s="1" t="s">
        <v>1585</v>
      </c>
      <c r="E42" s="1" t="s">
        <v>1642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1596</v>
      </c>
      <c r="U42" s="1"/>
      <c r="V42" s="1"/>
      <c r="W42" s="1" t="s">
        <v>1595</v>
      </c>
      <c r="X42" s="1" t="s">
        <v>44</v>
      </c>
      <c r="Y42" s="1" t="s">
        <v>1552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 t="s">
        <v>1598</v>
      </c>
      <c r="AM42" s="1"/>
      <c r="AN42" s="1" t="s">
        <v>1616</v>
      </c>
      <c r="AO42" s="1"/>
      <c r="AP42" s="1"/>
      <c r="AQ42" s="1"/>
      <c r="AR42" s="1"/>
      <c r="AS42" s="5" t="s">
        <v>1670</v>
      </c>
      <c r="AT42" t="str">
        <f t="shared" si="2"/>
        <v/>
      </c>
      <c r="AU42" t="str">
        <f t="shared" si="3"/>
        <v/>
      </c>
      <c r="AV42" t="str">
        <f t="shared" si="4"/>
        <v/>
      </c>
      <c r="AW42" t="str">
        <f t="shared" si="5"/>
        <v/>
      </c>
      <c r="AX42" t="str">
        <f t="shared" si="6"/>
        <v/>
      </c>
      <c r="AY42" t="str">
        <f t="shared" si="7"/>
        <v xml:space="preserve"> AND TRIM(CONTRAPARTE) = 'outras empresas nao financeiras'</v>
      </c>
      <c r="AZ42" t="str">
        <f t="shared" si="8"/>
        <v/>
      </c>
      <c r="BA42" t="str">
        <f t="shared" si="9"/>
        <v/>
      </c>
      <c r="BB42" t="str">
        <f t="shared" si="10"/>
        <v xml:space="preserve"> AND TRIM(PRDT_SPRDT) IN ('000042','000045','000051','000053')</v>
      </c>
      <c r="BC42" t="str">
        <f t="shared" si="11"/>
        <v xml:space="preserve"> AND FLG_CSRD = 1</v>
      </c>
      <c r="BD42" t="str">
        <f t="shared" si="12"/>
        <v xml:space="preserve"> AND TRIM(COMBUSTIVEL) = 'ELECTRICO'</v>
      </c>
      <c r="BE42" t="str">
        <f t="shared" si="13"/>
        <v/>
      </c>
      <c r="BF42" t="str">
        <f t="shared" si="14"/>
        <v/>
      </c>
      <c r="BG42" t="str">
        <f t="shared" si="15"/>
        <v/>
      </c>
      <c r="BH42" t="str">
        <f t="shared" si="16"/>
        <v/>
      </c>
      <c r="BI42" t="str">
        <f t="shared" si="17"/>
        <v/>
      </c>
      <c r="BJ42" t="str">
        <f t="shared" si="18"/>
        <v/>
      </c>
      <c r="BK42" t="str">
        <f t="shared" si="19"/>
        <v/>
      </c>
      <c r="BL42" t="str">
        <f t="shared" si="20"/>
        <v/>
      </c>
      <c r="BM42" t="str">
        <f t="shared" si="21"/>
        <v/>
      </c>
      <c r="BN42" t="str">
        <f t="shared" si="22"/>
        <v/>
      </c>
      <c r="BO42" t="str">
        <f t="shared" si="23"/>
        <v/>
      </c>
      <c r="BP42" t="str">
        <f t="shared" si="24"/>
        <v/>
      </c>
      <c r="BQ42" t="str">
        <f t="shared" si="25"/>
        <v xml:space="preserve"> AND TRIM(NOME_CTGR_SFICS) = 'A.2.'</v>
      </c>
      <c r="BS42" t="str">
        <f t="shared" si="26"/>
        <v>WHEN  AND TRIM(CONTRAPARTE) = 'outras empresas nao financeiras' AND TRIM(PRDT_SPRDT) IN ('000042','000045','000051','000053') AND FLG_CSRD = 1 AND TRIM(COMBUSTIVEL) = 'ELECTRICO' AND TRIM(NOME_CTGR_SFICS) = 'A.2.' THEN 'Motor Vehicle Loans'</v>
      </c>
      <c r="BT42" t="str">
        <f t="shared" si="27"/>
        <v>WHEN  AND TRIM(CONTRAPARTE) = 'outras empresas nao financeiras' AND TRIM(PRDT_SPRDT) IN ('000042','000045','000051','000053') AND FLG_CSRD = 1 AND TRIM(COMBUSTIVEL) = 'ELECTRICO' AND TRIM(NOME_CTGR_SFICS) = 'A.2.' THEN 'Nao Aplicavel'</v>
      </c>
      <c r="BU42" t="str">
        <f t="shared" si="28"/>
        <v>WHEN  AND TRIM(CONTRAPARTE) = 'outras empresas nao financeiras' AND TRIM(PRDT_SPRDT) IN ('000042','000045','000051','000053') AND FLG_CSRD = 1 AND TRIM(COMBUSTIVEL) = 'ELECTRICO' AND TRIM(NOME_CTGR_SFICS) = 'A.2.' THEN 'Nao Aplicavel'</v>
      </c>
      <c r="BV42" t="str">
        <f t="shared" si="29"/>
        <v>WHEN  AND TRIM(CONTRAPARTE) = 'outras empresas nao financeiras' AND TRIM(PRDT_SPRDT) IN ('000042','000045','000051','000053') AND FLG_CSRD = 1 AND TRIM(COMBUSTIVEL) = 'ELECTRICO' AND TRIM(NOME_CTGR_SFICS) = 'A.2.' THEN 'Nao Aplicavel'</v>
      </c>
      <c r="BW42" t="str">
        <f t="shared" si="30"/>
        <v>WHEN  AND TRIM(CONTRAPARTE) = 'outras empresas nao financeiras' AND TRIM(PRDT_SPRDT) IN ('000042','000045','000051','000053') AND FLG_CSRD = 1 AND TRIM(COMBUSTIVEL) = 'ELECTRICO' AND TRIM(NOME_CTGR_SFICS) = 'A.2.' THEN 'Nao Aplicavel'</v>
      </c>
      <c r="BX42" t="str">
        <f t="shared" si="31"/>
        <v>,CASE WHEN  AND TRIM(CONTRAPARTE) = 'outras empresas nao financeiras' AND TRIM(PRDT_SPRDT) IN ('000042','000045','000051','000053') AND FLG_CSRD = 1 AND TRIM(COMBUSTIVEL) = 'ELECTRICO' AND TRIM(NOME_CTGR_SFICS) = 'A.2.' THEN 1 ELSE 0 END AS FLAG_40</v>
      </c>
      <c r="BY42" t="str">
        <f t="shared" si="32"/>
        <v>WHEN  AND TRIM(CONTRAPARTE) = 'outras empresas nao financeiras' AND TRIM(PRDT_SPRDT) IN ('000042','000045','000051','000053') AND FLG_CSRD = 1 AND TRIM(COMBUSTIVEL) = 'ELECTRICO' AND TRIM(NOME_CTGR_SFICS) = 'A.2.' THEN 40</v>
      </c>
      <c r="BZ42" s="5" t="str">
        <f t="shared" si="33"/>
        <v>+ CASE WHEN  AND TRIM(CONTRAPARTE) = 'outras empresas nao financeiras' AND TRIM(PRDT_SPRDT) IN ('000042','000045','000051','000053') AND FLG_CSRD = 1 AND TRIM(COMBUSTIVEL) = 'ELECTRICO' AND TRIM(NOME_CTGR_SFICS) = 'A.2.' THEN 1 ELSE 0 END</v>
      </c>
      <c r="CA42" s="5" t="str">
        <f t="shared" si="34"/>
        <v>,FLAG_40</v>
      </c>
    </row>
    <row r="43" spans="1:79" hidden="1" x14ac:dyDescent="0.25">
      <c r="A43" s="31">
        <f t="shared" si="35"/>
        <v>41</v>
      </c>
      <c r="B43" s="1" t="s">
        <v>1574</v>
      </c>
      <c r="C43" s="1">
        <v>50</v>
      </c>
      <c r="D43" s="1" t="s">
        <v>1585</v>
      </c>
      <c r="E43" s="1" t="s">
        <v>1642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1596</v>
      </c>
      <c r="U43" s="1"/>
      <c r="V43" s="1"/>
      <c r="W43" s="1" t="s">
        <v>1595</v>
      </c>
      <c r="X43" s="1" t="s">
        <v>1587</v>
      </c>
      <c r="Y43" s="1" t="s">
        <v>1552</v>
      </c>
      <c r="Z43" s="1"/>
      <c r="AA43" s="1"/>
      <c r="AB43" s="1"/>
      <c r="AC43" s="1"/>
      <c r="AD43" s="1"/>
      <c r="AE43" s="1"/>
      <c r="AF43" s="1" t="s">
        <v>1644</v>
      </c>
      <c r="AG43" s="1"/>
      <c r="AH43" s="1"/>
      <c r="AI43" s="1"/>
      <c r="AJ43" s="1"/>
      <c r="AK43" s="1"/>
      <c r="AL43" s="1" t="s">
        <v>1598</v>
      </c>
      <c r="AM43" s="1"/>
      <c r="AN43" s="1" t="s">
        <v>1616</v>
      </c>
      <c r="AO43" s="1"/>
      <c r="AP43" s="1"/>
      <c r="AQ43" s="1"/>
      <c r="AR43" s="1"/>
      <c r="AS43" s="5" t="s">
        <v>1670</v>
      </c>
      <c r="AT43" t="str">
        <f t="shared" si="2"/>
        <v/>
      </c>
      <c r="AU43" t="str">
        <f t="shared" si="3"/>
        <v/>
      </c>
      <c r="AV43" t="str">
        <f t="shared" si="4"/>
        <v/>
      </c>
      <c r="AW43" t="str">
        <f t="shared" si="5"/>
        <v/>
      </c>
      <c r="AX43" t="str">
        <f t="shared" si="6"/>
        <v/>
      </c>
      <c r="AY43" t="str">
        <f t="shared" si="7"/>
        <v xml:space="preserve"> AND TRIM(CONTRAPARTE) = 'outras empresas nao financeiras'</v>
      </c>
      <c r="AZ43" t="str">
        <f t="shared" si="8"/>
        <v/>
      </c>
      <c r="BA43" t="str">
        <f t="shared" si="9"/>
        <v/>
      </c>
      <c r="BB43" t="str">
        <f t="shared" si="10"/>
        <v xml:space="preserve"> AND TRIM(PRDT_SPRDT) IN ('000042','000045','000051','000053')</v>
      </c>
      <c r="BC43" t="str">
        <f t="shared" si="11"/>
        <v xml:space="preserve"> AND FLG_CSRD = 0</v>
      </c>
      <c r="BD43" t="str">
        <f t="shared" si="12"/>
        <v xml:space="preserve"> AND TRIM(COMBUSTIVEL) = 'ELECTRICO'</v>
      </c>
      <c r="BE43" t="str">
        <f t="shared" si="13"/>
        <v/>
      </c>
      <c r="BF43" t="str">
        <f t="shared" si="14"/>
        <v/>
      </c>
      <c r="BG43" t="str">
        <f t="shared" si="15"/>
        <v/>
      </c>
      <c r="BH43" t="str">
        <f t="shared" si="16"/>
        <v/>
      </c>
      <c r="BI43" t="str">
        <f t="shared" si="17"/>
        <v/>
      </c>
      <c r="BJ43" t="str">
        <f t="shared" si="18"/>
        <v/>
      </c>
      <c r="BK43" s="9" t="s">
        <v>2517</v>
      </c>
      <c r="BL43" t="str">
        <f t="shared" si="20"/>
        <v/>
      </c>
      <c r="BM43" t="str">
        <f t="shared" si="21"/>
        <v/>
      </c>
      <c r="BN43" t="str">
        <f t="shared" si="22"/>
        <v/>
      </c>
      <c r="BO43" t="str">
        <f t="shared" si="23"/>
        <v/>
      </c>
      <c r="BP43" t="str">
        <f t="shared" si="24"/>
        <v/>
      </c>
      <c r="BQ43" t="str">
        <f t="shared" si="25"/>
        <v xml:space="preserve"> AND TRIM(NOME_CTGR_SFICS) = 'A.2.'</v>
      </c>
      <c r="BS43" t="str">
        <f t="shared" si="26"/>
        <v>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'Motor Vehicle Loans'</v>
      </c>
      <c r="BT43" t="str">
        <f t="shared" si="27"/>
        <v>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'Nao Aplicavel'</v>
      </c>
      <c r="BU43" t="str">
        <f t="shared" si="28"/>
        <v>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'Nao Aplicavel'</v>
      </c>
      <c r="BV43" t="str">
        <f t="shared" si="29"/>
        <v>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'Nao Aplicavel'</v>
      </c>
      <c r="BW43" t="str">
        <f t="shared" si="30"/>
        <v>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'Nao Aplicavel'</v>
      </c>
      <c r="BX43" t="str">
        <f t="shared" si="31"/>
        <v>,CASE 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1 ELSE 0 END AS FLAG_41</v>
      </c>
      <c r="BY43" t="str">
        <f t="shared" si="32"/>
        <v>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41</v>
      </c>
      <c r="BZ43" s="5" t="str">
        <f t="shared" si="33"/>
        <v>+ CASE WHEN  AND TRIM(CONTRAPARTE) = 'outras empresas nao financeiras' AND TRIM(PRDT_SPRDT) IN ('000042','000045','000051','000053') AND FLG_CSRD = 0 AND TRIM(COMBUSTIVEL) = 'ELECTRICO' AND TRIM(TIPO_EQP) NOT IN ('141','241','251','252','253','254','255','256','257','146','180') AND TIPO_EQP IS NOT NULL AND TRIM(NOME_CTGR_SFICS) = 'A.2.' THEN 1 ELSE 0 END</v>
      </c>
      <c r="CA43" s="5" t="str">
        <f t="shared" si="34"/>
        <v>,FLAG_41</v>
      </c>
    </row>
    <row r="44" spans="1:79" hidden="1" x14ac:dyDescent="0.25">
      <c r="A44" s="31">
        <f t="shared" si="35"/>
        <v>42</v>
      </c>
      <c r="B44" s="1" t="s">
        <v>1574</v>
      </c>
      <c r="C44" s="1">
        <v>51</v>
      </c>
      <c r="D44" s="1" t="s">
        <v>1585</v>
      </c>
      <c r="E44" s="1" t="s">
        <v>1642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1596</v>
      </c>
      <c r="U44" s="1"/>
      <c r="V44" s="1"/>
      <c r="W44" s="1" t="s">
        <v>1595</v>
      </c>
      <c r="X44" s="1" t="s">
        <v>44</v>
      </c>
      <c r="Y44" s="1" t="s">
        <v>1600</v>
      </c>
      <c r="Z44" s="1" t="s">
        <v>1601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 t="s">
        <v>1598</v>
      </c>
      <c r="AM44" s="1"/>
      <c r="AN44" s="1" t="s">
        <v>1616</v>
      </c>
      <c r="AO44" s="1"/>
      <c r="AP44" s="1"/>
      <c r="AQ44" s="1"/>
      <c r="AR44" s="1"/>
      <c r="AS44" s="5" t="s">
        <v>1670</v>
      </c>
      <c r="AT44" t="str">
        <f t="shared" si="2"/>
        <v/>
      </c>
      <c r="AU44" t="str">
        <f t="shared" si="3"/>
        <v/>
      </c>
      <c r="AV44" t="str">
        <f t="shared" si="4"/>
        <v/>
      </c>
      <c r="AW44" t="str">
        <f t="shared" si="5"/>
        <v/>
      </c>
      <c r="AX44" t="str">
        <f t="shared" si="6"/>
        <v/>
      </c>
      <c r="AY44" t="str">
        <f t="shared" si="7"/>
        <v xml:space="preserve"> AND TRIM(CONTRAPARTE) = 'outras empresas nao financeiras'</v>
      </c>
      <c r="AZ44" t="str">
        <f t="shared" si="8"/>
        <v/>
      </c>
      <c r="BA44" t="str">
        <f t="shared" si="9"/>
        <v/>
      </c>
      <c r="BB44" t="str">
        <f t="shared" si="10"/>
        <v xml:space="preserve"> AND TRIM(PRDT_SPRDT) IN ('000042','000045','000051','000053')</v>
      </c>
      <c r="BC44" t="str">
        <f t="shared" si="11"/>
        <v xml:space="preserve"> AND FLG_CSRD = 1</v>
      </c>
      <c r="BD44" t="str">
        <f t="shared" si="12"/>
        <v xml:space="preserve"> AND TRIM(COMBUSTIVEL) IN ('HIBRIDO', 'HIBRIDO/GASOLINA', 'HIBRIDO/GASOLEO','GASOLINA','GASOLEO','GAZ')</v>
      </c>
      <c r="BE44" s="9" t="s">
        <v>2511</v>
      </c>
      <c r="BF44" t="str">
        <f t="shared" si="14"/>
        <v/>
      </c>
      <c r="BG44" t="str">
        <f t="shared" si="15"/>
        <v/>
      </c>
      <c r="BH44" t="str">
        <f t="shared" si="16"/>
        <v/>
      </c>
      <c r="BI44" t="str">
        <f t="shared" si="17"/>
        <v/>
      </c>
      <c r="BJ44" t="str">
        <f t="shared" si="18"/>
        <v/>
      </c>
      <c r="BK44" t="str">
        <f t="shared" si="19"/>
        <v/>
      </c>
      <c r="BL44" t="str">
        <f t="shared" si="20"/>
        <v/>
      </c>
      <c r="BM44" t="str">
        <f t="shared" si="21"/>
        <v/>
      </c>
      <c r="BN44" t="str">
        <f t="shared" si="22"/>
        <v/>
      </c>
      <c r="BO44" t="str">
        <f t="shared" si="23"/>
        <v/>
      </c>
      <c r="BP44" t="str">
        <f t="shared" si="24"/>
        <v/>
      </c>
      <c r="BQ44" t="str">
        <f t="shared" si="25"/>
        <v xml:space="preserve"> AND TRIM(NOME_CTGR_SFICS) = 'A.2.'</v>
      </c>
      <c r="BS44" t="str">
        <f t="shared" si="26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'Motor Vehicle Loans'</v>
      </c>
      <c r="BT44" t="str">
        <f t="shared" si="27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'Nao Aplicavel'</v>
      </c>
      <c r="BU44" t="str">
        <f t="shared" si="28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'Nao Aplicavel'</v>
      </c>
      <c r="BV44" t="str">
        <f t="shared" si="29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'Nao Aplicavel'</v>
      </c>
      <c r="BW44" t="str">
        <f t="shared" si="30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'Nao Aplicavel'</v>
      </c>
      <c r="BX44" t="str">
        <f t="shared" si="31"/>
        <v>,CASE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1 ELSE 0 END AS FLAG_42</v>
      </c>
      <c r="BY44" t="str">
        <f t="shared" si="32"/>
        <v>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42</v>
      </c>
      <c r="BZ44" s="5" t="str">
        <f t="shared" si="33"/>
        <v>+ CASE WHEN  AND TRIM(CONTRAPARTE) = 'outras empresas nao financeiras' AND TRIM(PRDT_SPRDT) IN ('000042','000045','000051','000053') AND FLG_CSRD = 1 AND TRIM(COMBUSTIVEL) IN ('HIBRIDO', 'HIBRIDO/GASOLINA', 'HIBRIDO/GASOLEO','GASOLINA','GASOLEO','GAZ') AND CO2_MOD &lt;50 AND CO2_MOD IS NOT NULL AND TRIM(NOME_CTGR_SFICS) = 'A.2.' THEN 1 ELSE 0 END</v>
      </c>
      <c r="CA44" s="5" t="str">
        <f t="shared" si="34"/>
        <v>,FLAG_42</v>
      </c>
    </row>
    <row r="45" spans="1:79" hidden="1" x14ac:dyDescent="0.25">
      <c r="A45" s="31">
        <f t="shared" si="35"/>
        <v>43</v>
      </c>
      <c r="B45" s="1" t="s">
        <v>1574</v>
      </c>
      <c r="C45" s="1">
        <v>52</v>
      </c>
      <c r="D45" s="1" t="s">
        <v>1585</v>
      </c>
      <c r="E45" s="1" t="s">
        <v>1642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1596</v>
      </c>
      <c r="U45" s="1"/>
      <c r="V45" s="1"/>
      <c r="W45" s="1" t="s">
        <v>1595</v>
      </c>
      <c r="X45" s="1"/>
      <c r="Y45" s="1" t="s">
        <v>1600</v>
      </c>
      <c r="Z45" s="1" t="s">
        <v>1618</v>
      </c>
      <c r="AA45" s="1"/>
      <c r="AB45" s="1"/>
      <c r="AC45" s="1"/>
      <c r="AD45" s="1"/>
      <c r="AE45" s="1"/>
      <c r="AF45" s="1" t="s">
        <v>1645</v>
      </c>
      <c r="AG45" s="1"/>
      <c r="AH45" s="1"/>
      <c r="AI45" s="1"/>
      <c r="AJ45" s="1"/>
      <c r="AK45" s="1"/>
      <c r="AL45" s="1" t="s">
        <v>1598</v>
      </c>
      <c r="AM45" s="1"/>
      <c r="AN45" s="1" t="s">
        <v>1616</v>
      </c>
      <c r="AO45" s="1"/>
      <c r="AP45" s="1"/>
      <c r="AQ45" s="1"/>
      <c r="AR45" s="1"/>
      <c r="AS45" s="5" t="s">
        <v>1670</v>
      </c>
      <c r="AT45" t="str">
        <f t="shared" si="2"/>
        <v/>
      </c>
      <c r="AU45" t="str">
        <f t="shared" si="3"/>
        <v/>
      </c>
      <c r="AV45" t="str">
        <f t="shared" si="4"/>
        <v/>
      </c>
      <c r="AW45" t="str">
        <f t="shared" si="5"/>
        <v/>
      </c>
      <c r="AX45" t="str">
        <f t="shared" si="6"/>
        <v/>
      </c>
      <c r="AY45" t="str">
        <f t="shared" si="7"/>
        <v xml:space="preserve"> AND TRIM(CONTRAPARTE) = 'outras empresas nao financeiras'</v>
      </c>
      <c r="AZ45" t="str">
        <f t="shared" si="8"/>
        <v/>
      </c>
      <c r="BA45" t="str">
        <f t="shared" si="9"/>
        <v/>
      </c>
      <c r="BB45" t="str">
        <f t="shared" si="10"/>
        <v xml:space="preserve"> AND TRIM(PRDT_SPRDT) IN ('000042','000045','000051','000053')</v>
      </c>
      <c r="BC45" t="str">
        <f t="shared" si="11"/>
        <v/>
      </c>
      <c r="BD45" t="str">
        <f t="shared" si="12"/>
        <v xml:space="preserve"> AND TRIM(COMBUSTIVEL) IN ('HIBRIDO', 'HIBRIDO/GASOLINA', 'HIBRIDO/GASOLEO','GASOLINA','GASOLEO','GAZ')</v>
      </c>
      <c r="BE45" s="9" t="s">
        <v>2512</v>
      </c>
      <c r="BF45" t="str">
        <f t="shared" si="14"/>
        <v/>
      </c>
      <c r="BG45" t="str">
        <f t="shared" si="15"/>
        <v/>
      </c>
      <c r="BH45" t="str">
        <f t="shared" si="16"/>
        <v/>
      </c>
      <c r="BI45" t="str">
        <f t="shared" si="17"/>
        <v/>
      </c>
      <c r="BJ45" t="str">
        <f t="shared" si="18"/>
        <v/>
      </c>
      <c r="BK45" t="str">
        <f t="shared" si="19"/>
        <v xml:space="preserve"> AND TRIM(TIPO_EQP) IN ('141','241','251','252','253','254','255','256','257','146','180')</v>
      </c>
      <c r="BL45" t="str">
        <f t="shared" si="20"/>
        <v/>
      </c>
      <c r="BM45" t="str">
        <f t="shared" si="21"/>
        <v/>
      </c>
      <c r="BN45" t="str">
        <f t="shared" si="22"/>
        <v/>
      </c>
      <c r="BO45" t="str">
        <f t="shared" si="23"/>
        <v/>
      </c>
      <c r="BP45" t="str">
        <f t="shared" si="24"/>
        <v/>
      </c>
      <c r="BQ45" t="str">
        <f t="shared" si="25"/>
        <v xml:space="preserve"> AND TRIM(NOME_CTGR_SFICS) = 'A.2.'</v>
      </c>
      <c r="BS45" t="str">
        <f t="shared" si="26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'Motor Vehicle Loans'</v>
      </c>
      <c r="BT45" t="str">
        <f t="shared" si="27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'Nao Aplicavel'</v>
      </c>
      <c r="BU45" t="str">
        <f t="shared" si="28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'Nao Aplicavel'</v>
      </c>
      <c r="BV45" t="str">
        <f t="shared" si="29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'Nao Aplicavel'</v>
      </c>
      <c r="BW45" t="str">
        <f t="shared" si="30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'Nao Aplicavel'</v>
      </c>
      <c r="BX45" t="str">
        <f t="shared" si="31"/>
        <v>,CASE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1 ELSE 0 END AS FLAG_43</v>
      </c>
      <c r="BY45" t="str">
        <f t="shared" si="32"/>
        <v>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43</v>
      </c>
      <c r="BZ45" s="5" t="str">
        <f t="shared" si="33"/>
        <v>+ CASE WHEN  AND TRIM(CONTRAPARTE) = 'outras empresas nao financeiras' AND TRIM(PRDT_SPRDT) IN ('000042','000045','000051','000053') AND TRIM(COMBUSTIVEL) IN ('HIBRIDO', 'HIBRIDO/GASOLINA', 'HIBRIDO/GASOLEO','GASOLINA','GASOLEO','GAZ') AND CO2_MOD &gt;=50 AND CO2_MOD IS NOT NULL AND TRIM(TIPO_EQP) IN ('141','241','251','252','253','254','255','256','257','146','180') AND TRIM(NOME_CTGR_SFICS) = 'A.2.' THEN 1 ELSE 0 END</v>
      </c>
      <c r="CA45" s="5" t="str">
        <f t="shared" si="34"/>
        <v>,FLAG_43</v>
      </c>
    </row>
    <row r="46" spans="1:79" hidden="1" x14ac:dyDescent="0.25">
      <c r="A46" s="31">
        <f t="shared" si="35"/>
        <v>44</v>
      </c>
      <c r="B46" s="1" t="s">
        <v>1574</v>
      </c>
      <c r="C46" s="1">
        <v>53</v>
      </c>
      <c r="D46" s="1" t="s">
        <v>1585</v>
      </c>
      <c r="E46" s="1" t="s">
        <v>1642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1596</v>
      </c>
      <c r="U46" s="1"/>
      <c r="V46" s="1"/>
      <c r="W46" s="1" t="s">
        <v>1595</v>
      </c>
      <c r="X46" s="1"/>
      <c r="Y46" s="1"/>
      <c r="Z46" s="1"/>
      <c r="AA46" s="1"/>
      <c r="AB46" s="1"/>
      <c r="AC46" s="1"/>
      <c r="AD46" s="1"/>
      <c r="AE46" s="1"/>
      <c r="AF46" s="1" t="s">
        <v>1615</v>
      </c>
      <c r="AG46" s="1"/>
      <c r="AH46" s="1"/>
      <c r="AI46" s="1"/>
      <c r="AJ46" s="1"/>
      <c r="AK46" s="1"/>
      <c r="AL46" s="1" t="s">
        <v>1598</v>
      </c>
      <c r="AM46" s="1"/>
      <c r="AN46" s="1" t="s">
        <v>1616</v>
      </c>
      <c r="AO46" s="1"/>
      <c r="AP46" s="1"/>
      <c r="AQ46" s="1"/>
      <c r="AR46" s="1"/>
      <c r="AS46" s="5" t="s">
        <v>1670</v>
      </c>
      <c r="AT46" t="str">
        <f t="shared" si="2"/>
        <v/>
      </c>
      <c r="AU46" t="str">
        <f t="shared" si="3"/>
        <v/>
      </c>
      <c r="AV46" t="str">
        <f t="shared" si="4"/>
        <v/>
      </c>
      <c r="AW46" t="str">
        <f t="shared" si="5"/>
        <v/>
      </c>
      <c r="AX46" t="str">
        <f t="shared" si="6"/>
        <v/>
      </c>
      <c r="AY46" t="str">
        <f t="shared" si="7"/>
        <v xml:space="preserve"> AND TRIM(CONTRAPARTE) = 'outras empresas nao financeiras'</v>
      </c>
      <c r="AZ46" t="str">
        <f t="shared" si="8"/>
        <v/>
      </c>
      <c r="BA46" t="str">
        <f t="shared" si="9"/>
        <v/>
      </c>
      <c r="BB46" t="str">
        <f t="shared" si="10"/>
        <v xml:space="preserve"> AND TRIM(PRDT_SPRDT) IN ('000042','000045','000051','000053')</v>
      </c>
      <c r="BC46" t="str">
        <f t="shared" si="11"/>
        <v/>
      </c>
      <c r="BD46" t="str">
        <f t="shared" si="12"/>
        <v/>
      </c>
      <c r="BE46" t="str">
        <f t="shared" si="13"/>
        <v/>
      </c>
      <c r="BF46" t="str">
        <f t="shared" si="14"/>
        <v/>
      </c>
      <c r="BG46" t="str">
        <f t="shared" si="15"/>
        <v/>
      </c>
      <c r="BH46" t="str">
        <f t="shared" si="16"/>
        <v/>
      </c>
      <c r="BI46" t="str">
        <f t="shared" si="17"/>
        <v/>
      </c>
      <c r="BJ46" t="str">
        <f t="shared" si="18"/>
        <v/>
      </c>
      <c r="BK46" s="9" t="s">
        <v>2517</v>
      </c>
      <c r="BL46" t="str">
        <f t="shared" si="20"/>
        <v/>
      </c>
      <c r="BM46" t="str">
        <f t="shared" si="21"/>
        <v/>
      </c>
      <c r="BN46" t="str">
        <f t="shared" si="22"/>
        <v/>
      </c>
      <c r="BO46" t="str">
        <f t="shared" si="23"/>
        <v/>
      </c>
      <c r="BP46" t="str">
        <f t="shared" si="24"/>
        <v/>
      </c>
      <c r="BQ46" t="str">
        <f t="shared" si="25"/>
        <v xml:space="preserve"> AND TRIM(NOME_CTGR_SFICS) = 'A.2.'</v>
      </c>
      <c r="BS46" t="str">
        <f t="shared" si="26"/>
        <v>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'Motor Vehicle Loans'</v>
      </c>
      <c r="BT46" t="str">
        <f t="shared" si="27"/>
        <v>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'Nao Aplicavel'</v>
      </c>
      <c r="BU46" t="str">
        <f t="shared" si="28"/>
        <v>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'Nao Aplicavel'</v>
      </c>
      <c r="BV46" t="str">
        <f t="shared" si="29"/>
        <v>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'Nao Aplicavel'</v>
      </c>
      <c r="BW46" t="str">
        <f t="shared" si="30"/>
        <v>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'Nao Aplicavel'</v>
      </c>
      <c r="BX46" t="str">
        <f t="shared" si="31"/>
        <v>,CASE 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1 ELSE 0 END AS FLAG_44</v>
      </c>
      <c r="BY46" t="str">
        <f t="shared" si="32"/>
        <v>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44</v>
      </c>
      <c r="BZ46" s="5" t="str">
        <f t="shared" si="33"/>
        <v>+ CASE WHEN  AND TRIM(CONTRAPARTE) = 'outras empresas nao financeiras' AND TRIM(PRDT_SPRDT) IN ('000042','000045','000051','000053') AND TRIM(TIPO_EQP) NOT IN ('141','241','251','252','253','254','255','256','257','146','180') AND TIPO_EQP IS NOT NULL AND TRIM(NOME_CTGR_SFICS) = 'A.2.' THEN 1 ELSE 0 END</v>
      </c>
      <c r="CA46" s="5" t="str">
        <f t="shared" si="34"/>
        <v>,FLAG_44</v>
      </c>
    </row>
    <row r="47" spans="1:79" hidden="1" x14ac:dyDescent="0.25">
      <c r="A47" s="31">
        <f t="shared" si="35"/>
        <v>45</v>
      </c>
      <c r="B47" s="1" t="s">
        <v>1574</v>
      </c>
      <c r="C47" s="1">
        <v>54</v>
      </c>
      <c r="D47" s="1" t="s">
        <v>1585</v>
      </c>
      <c r="E47" s="1" t="s">
        <v>1642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1646</v>
      </c>
      <c r="U47" s="1"/>
      <c r="V47" s="1"/>
      <c r="W47" s="1" t="s">
        <v>1595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 t="s">
        <v>1598</v>
      </c>
      <c r="AM47" s="1"/>
      <c r="AN47" s="1" t="s">
        <v>1616</v>
      </c>
      <c r="AO47" s="1"/>
      <c r="AP47" s="1"/>
      <c r="AQ47" s="1"/>
      <c r="AR47" s="1"/>
      <c r="AS47" s="5" t="s">
        <v>1670</v>
      </c>
      <c r="AT47" t="str">
        <f t="shared" si="2"/>
        <v/>
      </c>
      <c r="AU47" t="str">
        <f t="shared" si="3"/>
        <v/>
      </c>
      <c r="AV47" t="str">
        <f t="shared" si="4"/>
        <v/>
      </c>
      <c r="AW47" t="str">
        <f t="shared" si="5"/>
        <v/>
      </c>
      <c r="AX47" t="str">
        <f t="shared" si="6"/>
        <v/>
      </c>
      <c r="AY47" t="str">
        <f t="shared" si="7"/>
        <v xml:space="preserve"> AND TRIM(CONTRAPARTE) IN ('instituicoes financeiras', 'setor publico')</v>
      </c>
      <c r="AZ47" t="str">
        <f t="shared" si="8"/>
        <v/>
      </c>
      <c r="BA47" t="str">
        <f t="shared" si="9"/>
        <v/>
      </c>
      <c r="BB47" t="str">
        <f t="shared" si="10"/>
        <v xml:space="preserve"> AND TRIM(PRDT_SPRDT) IN ('000042','000045','000051','000053')</v>
      </c>
      <c r="BC47" t="str">
        <f t="shared" si="11"/>
        <v/>
      </c>
      <c r="BD47" t="str">
        <f t="shared" si="12"/>
        <v/>
      </c>
      <c r="BE47" t="str">
        <f t="shared" si="13"/>
        <v/>
      </c>
      <c r="BF47" t="str">
        <f t="shared" si="14"/>
        <v/>
      </c>
      <c r="BG47" t="str">
        <f t="shared" si="15"/>
        <v/>
      </c>
      <c r="BH47" t="str">
        <f t="shared" si="16"/>
        <v/>
      </c>
      <c r="BI47" t="str">
        <f t="shared" si="17"/>
        <v/>
      </c>
      <c r="BJ47" t="str">
        <f t="shared" si="18"/>
        <v/>
      </c>
      <c r="BK47" t="str">
        <f t="shared" si="19"/>
        <v/>
      </c>
      <c r="BL47" t="str">
        <f t="shared" si="20"/>
        <v/>
      </c>
      <c r="BM47" t="str">
        <f t="shared" si="21"/>
        <v/>
      </c>
      <c r="BN47" t="str">
        <f t="shared" si="22"/>
        <v/>
      </c>
      <c r="BO47" t="str">
        <f t="shared" si="23"/>
        <v/>
      </c>
      <c r="BP47" t="str">
        <f t="shared" si="24"/>
        <v/>
      </c>
      <c r="BQ47" t="str">
        <f t="shared" si="25"/>
        <v xml:space="preserve"> AND TRIM(NOME_CTGR_SFICS) = 'A.2.'</v>
      </c>
      <c r="BS47" t="str">
        <f t="shared" si="26"/>
        <v>WHEN  AND TRIM(CONTRAPARTE) IN ('instituicoes financeiras', 'setor publico') AND TRIM(PRDT_SPRDT) IN ('000042','000045','000051','000053') AND TRIM(NOME_CTGR_SFICS) = 'A.2.' THEN 'Motor Vehicle Loans'</v>
      </c>
      <c r="BT47" t="str">
        <f t="shared" si="27"/>
        <v>WHEN  AND TRIM(CONTRAPARTE) IN ('instituicoes financeiras', 'setor publico') AND TRIM(PRDT_SPRDT) IN ('000042','000045','000051','000053') AND TRIM(NOME_CTGR_SFICS) = 'A.2.' THEN 'Nao Aplicavel'</v>
      </c>
      <c r="BU47" t="str">
        <f t="shared" si="28"/>
        <v>WHEN  AND TRIM(CONTRAPARTE) IN ('instituicoes financeiras', 'setor publico') AND TRIM(PRDT_SPRDT) IN ('000042','000045','000051','000053') AND TRIM(NOME_CTGR_SFICS) = 'A.2.' THEN 'Nao Aplicavel'</v>
      </c>
      <c r="BV47" t="str">
        <f t="shared" si="29"/>
        <v>WHEN  AND TRIM(CONTRAPARTE) IN ('instituicoes financeiras', 'setor publico') AND TRIM(PRDT_SPRDT) IN ('000042','000045','000051','000053') AND TRIM(NOME_CTGR_SFICS) = 'A.2.' THEN 'Nao Aplicavel'</v>
      </c>
      <c r="BW47" t="str">
        <f t="shared" si="30"/>
        <v>WHEN  AND TRIM(CONTRAPARTE) IN ('instituicoes financeiras', 'setor publico') AND TRIM(PRDT_SPRDT) IN ('000042','000045','000051','000053') AND TRIM(NOME_CTGR_SFICS) = 'A.2.' THEN 'Nao Aplicavel'</v>
      </c>
      <c r="BX47" t="str">
        <f t="shared" si="31"/>
        <v>,CASE WHEN  AND TRIM(CONTRAPARTE) IN ('instituicoes financeiras', 'setor publico') AND TRIM(PRDT_SPRDT) IN ('000042','000045','000051','000053') AND TRIM(NOME_CTGR_SFICS) = 'A.2.' THEN 1 ELSE 0 END AS FLAG_45</v>
      </c>
      <c r="BY47" t="str">
        <f t="shared" si="32"/>
        <v>WHEN  AND TRIM(CONTRAPARTE) IN ('instituicoes financeiras', 'setor publico') AND TRIM(PRDT_SPRDT) IN ('000042','000045','000051','000053') AND TRIM(NOME_CTGR_SFICS) = 'A.2.' THEN 45</v>
      </c>
      <c r="BZ47" s="5" t="str">
        <f t="shared" si="33"/>
        <v>+ CASE WHEN  AND TRIM(CONTRAPARTE) IN ('instituicoes financeiras', 'setor publico') AND TRIM(PRDT_SPRDT) IN ('000042','000045','000051','000053') AND TRIM(NOME_CTGR_SFICS) = 'A.2.' THEN 1 ELSE 0 END</v>
      </c>
      <c r="CA47" s="5" t="str">
        <f t="shared" si="34"/>
        <v>,FLAG_45</v>
      </c>
    </row>
    <row r="48" spans="1:79" hidden="1" x14ac:dyDescent="0.25">
      <c r="A48" s="31">
        <f t="shared" si="35"/>
        <v>46</v>
      </c>
      <c r="B48" s="1" t="s">
        <v>1574</v>
      </c>
      <c r="C48" s="1">
        <v>55</v>
      </c>
      <c r="D48" s="1" t="s">
        <v>1585</v>
      </c>
      <c r="E48" s="1" t="s">
        <v>1576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1596</v>
      </c>
      <c r="U48" s="1"/>
      <c r="V48" s="1"/>
      <c r="W48" s="1" t="s">
        <v>1578</v>
      </c>
      <c r="X48" s="1" t="s">
        <v>44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 t="s">
        <v>1588</v>
      </c>
      <c r="AM48" s="1"/>
      <c r="AN48" s="1" t="s">
        <v>1579</v>
      </c>
      <c r="AO48" s="1"/>
      <c r="AP48" s="1"/>
      <c r="AQ48" s="1"/>
      <c r="AR48" s="1"/>
      <c r="AS48" s="5" t="s">
        <v>1670</v>
      </c>
      <c r="AT48" t="str">
        <f t="shared" si="2"/>
        <v/>
      </c>
      <c r="AU48" t="str">
        <f t="shared" si="3"/>
        <v/>
      </c>
      <c r="AV48" t="str">
        <f t="shared" si="4"/>
        <v/>
      </c>
      <c r="AW48" t="str">
        <f t="shared" si="5"/>
        <v/>
      </c>
      <c r="AX48" t="str">
        <f t="shared" si="6"/>
        <v/>
      </c>
      <c r="AY48" t="str">
        <f t="shared" si="7"/>
        <v xml:space="preserve"> AND TRIM(CONTRAPARTE) = 'outras empresas nao financeiras'</v>
      </c>
      <c r="AZ48" t="str">
        <f t="shared" si="8"/>
        <v/>
      </c>
      <c r="BA48" t="str">
        <f t="shared" si="9"/>
        <v/>
      </c>
      <c r="BB48" t="str">
        <f t="shared" si="10"/>
        <v xml:space="preserve"> AND TRIM(PRDT_SPRDT) IN ('096HGP','0960H8','096065')</v>
      </c>
      <c r="BC48" t="str">
        <f t="shared" si="11"/>
        <v xml:space="preserve"> AND FLG_CSRD = 1</v>
      </c>
      <c r="BD48" t="str">
        <f t="shared" si="12"/>
        <v/>
      </c>
      <c r="BE48" t="str">
        <f t="shared" si="13"/>
        <v/>
      </c>
      <c r="BF48" t="str">
        <f t="shared" si="14"/>
        <v/>
      </c>
      <c r="BG48" t="str">
        <f t="shared" si="15"/>
        <v/>
      </c>
      <c r="BH48" t="str">
        <f t="shared" si="16"/>
        <v/>
      </c>
      <c r="BI48" t="str">
        <f t="shared" si="17"/>
        <v/>
      </c>
      <c r="BJ48" t="str">
        <f t="shared" si="18"/>
        <v/>
      </c>
      <c r="BK48" t="str">
        <f t="shared" si="19"/>
        <v/>
      </c>
      <c r="BL48" t="str">
        <f t="shared" si="20"/>
        <v/>
      </c>
      <c r="BM48" t="str">
        <f t="shared" si="21"/>
        <v/>
      </c>
      <c r="BN48" t="str">
        <f t="shared" si="22"/>
        <v/>
      </c>
      <c r="BO48" t="str">
        <f t="shared" si="23"/>
        <v/>
      </c>
      <c r="BP48" t="str">
        <f t="shared" si="24"/>
        <v/>
      </c>
      <c r="BQ48" t="str">
        <f t="shared" si="25"/>
        <v xml:space="preserve"> AND TRIM(NOME_CTGR_SFICS) IN ('A.3.2.','A.3.3.','A.3.4.','A.3.5.','A.3.6.')</v>
      </c>
      <c r="BS48" t="str">
        <f t="shared" si="26"/>
        <v>WHEN  AND TRIM(CONTRAPARTE) = 'outras empresas nao financeiras' AND TRIM(PRDT_SPRDT) IN ('096HGP','0960H8','096065') AND FLG_CSRD = 1 AND TRIM(NOME_CTGR_SFICS) IN ('A.3.2.','A.3.3.','A.3.4.','A.3.5.','A.3.6.') THEN 'Building renovation loans'</v>
      </c>
      <c r="BT48" t="str">
        <f t="shared" si="27"/>
        <v>WHEN  AND TRIM(CONTRAPARTE) = 'outras empresas nao financeiras' AND TRIM(PRDT_SPRDT) IN ('096HGP','0960H8','096065') AND FLG_CSRD = 1 AND TRIM(NOME_CTGR_SFICS) IN ('A.3.2.','A.3.3.','A.3.4.','A.3.5.','A.3.6.') THEN 'Nao Aplicavel'</v>
      </c>
      <c r="BU48" t="str">
        <f t="shared" si="28"/>
        <v>WHEN  AND TRIM(CONTRAPARTE) = 'outras empresas nao financeiras' AND TRIM(PRDT_SPRDT) IN ('096HGP','0960H8','096065') AND FLG_CSRD = 1 AND TRIM(NOME_CTGR_SFICS) IN ('A.3.2.','A.3.3.','A.3.4.','A.3.5.','A.3.6.') THEN 'Nao Aplicavel'</v>
      </c>
      <c r="BV48" t="str">
        <f t="shared" si="29"/>
        <v>WHEN  AND TRIM(CONTRAPARTE) = 'outras empresas nao financeiras' AND TRIM(PRDT_SPRDT) IN ('096HGP','0960H8','096065') AND FLG_CSRD = 1 AND TRIM(NOME_CTGR_SFICS) IN ('A.3.2.','A.3.3.','A.3.4.','A.3.5.','A.3.6.') THEN 'Nao Aplicavel'</v>
      </c>
      <c r="BW48" t="str">
        <f t="shared" si="30"/>
        <v>WHEN  AND TRIM(CONTRAPARTE) = 'outras empresas nao financeiras' AND TRIM(PRDT_SPRDT) IN ('096HGP','0960H8','096065') AND FLG_CSRD = 1 AND TRIM(NOME_CTGR_SFICS) IN ('A.3.2.','A.3.3.','A.3.4.','A.3.5.','A.3.6.') THEN 'Nao Aplicavel'</v>
      </c>
      <c r="BX48" t="str">
        <f t="shared" si="31"/>
        <v>,CASE WHEN  AND TRIM(CONTRAPARTE) = 'outras empresas nao financeiras' AND TRIM(PRDT_SPRDT) IN ('096HGP','0960H8','096065') AND FLG_CSRD = 1 AND TRIM(NOME_CTGR_SFICS) IN ('A.3.2.','A.3.3.','A.3.4.','A.3.5.','A.3.6.') THEN 1 ELSE 0 END AS FLAG_46</v>
      </c>
      <c r="BY48" t="str">
        <f t="shared" si="32"/>
        <v>WHEN  AND TRIM(CONTRAPARTE) = 'outras empresas nao financeiras' AND TRIM(PRDT_SPRDT) IN ('096HGP','0960H8','096065') AND FLG_CSRD = 1 AND TRIM(NOME_CTGR_SFICS) IN ('A.3.2.','A.3.3.','A.3.4.','A.3.5.','A.3.6.') THEN 46</v>
      </c>
      <c r="BZ48" s="5" t="str">
        <f t="shared" si="33"/>
        <v>+ CASE WHEN  AND TRIM(CONTRAPARTE) = 'outras empresas nao financeiras' AND TRIM(PRDT_SPRDT) IN ('096HGP','0960H8','096065') AND FLG_CSRD = 1 AND TRIM(NOME_CTGR_SFICS) IN ('A.3.2.','A.3.3.','A.3.4.','A.3.5.','A.3.6.') THEN 1 ELSE 0 END</v>
      </c>
      <c r="CA48" s="5" t="str">
        <f t="shared" si="34"/>
        <v>,FLAG_46</v>
      </c>
    </row>
    <row r="49" spans="1:79" hidden="1" x14ac:dyDescent="0.25">
      <c r="A49" s="31">
        <f t="shared" si="35"/>
        <v>47</v>
      </c>
      <c r="B49" s="1" t="s">
        <v>1574</v>
      </c>
      <c r="C49" s="1">
        <v>56</v>
      </c>
      <c r="D49" s="1" t="s">
        <v>1585</v>
      </c>
      <c r="E49" s="1" t="s">
        <v>1576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1647</v>
      </c>
      <c r="U49" s="1"/>
      <c r="V49" s="1"/>
      <c r="W49" s="1" t="s">
        <v>1578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 t="s">
        <v>1588</v>
      </c>
      <c r="AM49" s="1"/>
      <c r="AN49" s="1" t="s">
        <v>1579</v>
      </c>
      <c r="AO49" s="1"/>
      <c r="AP49" s="1"/>
      <c r="AQ49" s="1"/>
      <c r="AR49" s="1"/>
      <c r="AS49" s="5" t="s">
        <v>1670</v>
      </c>
      <c r="AT49" t="str">
        <f t="shared" si="2"/>
        <v/>
      </c>
      <c r="AU49" t="str">
        <f t="shared" si="3"/>
        <v/>
      </c>
      <c r="AV49" t="str">
        <f t="shared" si="4"/>
        <v/>
      </c>
      <c r="AW49" t="str">
        <f t="shared" si="5"/>
        <v/>
      </c>
      <c r="AX49" t="str">
        <f t="shared" si="6"/>
        <v/>
      </c>
      <c r="AY49" s="9" t="s">
        <v>2510</v>
      </c>
      <c r="AZ49" t="str">
        <f t="shared" si="8"/>
        <v/>
      </c>
      <c r="BA49" t="str">
        <f t="shared" si="9"/>
        <v/>
      </c>
      <c r="BB49" t="str">
        <f t="shared" si="10"/>
        <v xml:space="preserve"> AND TRIM(PRDT_SPRDT) IN ('096HGP','0960H8','096065')</v>
      </c>
      <c r="BC49" t="str">
        <f t="shared" si="11"/>
        <v/>
      </c>
      <c r="BD49" t="str">
        <f t="shared" si="12"/>
        <v/>
      </c>
      <c r="BE49" t="str">
        <f t="shared" si="13"/>
        <v/>
      </c>
      <c r="BF49" t="str">
        <f t="shared" si="14"/>
        <v/>
      </c>
      <c r="BG49" t="str">
        <f t="shared" si="15"/>
        <v/>
      </c>
      <c r="BH49" t="str">
        <f t="shared" si="16"/>
        <v/>
      </c>
      <c r="BI49" t="str">
        <f t="shared" si="17"/>
        <v/>
      </c>
      <c r="BJ49" t="str">
        <f t="shared" si="18"/>
        <v/>
      </c>
      <c r="BK49" t="str">
        <f t="shared" si="19"/>
        <v/>
      </c>
      <c r="BL49" t="str">
        <f t="shared" si="20"/>
        <v/>
      </c>
      <c r="BM49" t="str">
        <f t="shared" si="21"/>
        <v/>
      </c>
      <c r="BN49" t="str">
        <f t="shared" si="22"/>
        <v/>
      </c>
      <c r="BO49" t="str">
        <f t="shared" si="23"/>
        <v/>
      </c>
      <c r="BP49" t="str">
        <f t="shared" si="24"/>
        <v/>
      </c>
      <c r="BQ49" t="str">
        <f t="shared" si="25"/>
        <v xml:space="preserve"> AND TRIM(NOME_CTGR_SFICS) IN ('A.3.2.','A.3.3.','A.3.4.','A.3.5.','A.3.6.')</v>
      </c>
      <c r="BS49" t="str">
        <f t="shared" si="26"/>
        <v>WHEN  AND TRIM(CONTRAPARTE) NOT IN('outras empresas nao financeiras') AND CONTRAPARTE IS NOT NULL AND TRIM(PRDT_SPRDT) IN ('096HGP','0960H8','096065') AND TRIM(NOME_CTGR_SFICS) IN ('A.3.2.','A.3.3.','A.3.4.','A.3.5.','A.3.6.') THEN 'Building renovation loans'</v>
      </c>
      <c r="BT49" t="str">
        <f t="shared" si="27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U49" t="str">
        <f t="shared" si="28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V49" t="str">
        <f t="shared" si="29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W49" t="str">
        <f t="shared" si="30"/>
        <v>WHEN  AND TRIM(CONTRAPARTE) NOT IN('outras empresas nao financeiras') AND CONTRAPARTE IS NOT NULL AND TRIM(PRDT_SPRDT) IN ('096HGP','0960H8','096065') AND TRIM(NOME_CTGR_SFICS) IN ('A.3.2.','A.3.3.','A.3.4.','A.3.5.','A.3.6.') THEN 'Nao Aplicavel'</v>
      </c>
      <c r="BX49" t="str">
        <f t="shared" si="31"/>
        <v>,CASE WHEN  AND TRIM(CONTRAPARTE) NOT IN('outras empresas nao financeiras') AND CONTRAPARTE IS NOT NULL AND TRIM(PRDT_SPRDT) IN ('096HGP','0960H8','096065') AND TRIM(NOME_CTGR_SFICS) IN ('A.3.2.','A.3.3.','A.3.4.','A.3.5.','A.3.6.') THEN 1 ELSE 0 END AS FLAG_47</v>
      </c>
      <c r="BY49" t="str">
        <f t="shared" si="32"/>
        <v>WHEN  AND TRIM(CONTRAPARTE) NOT IN('outras empresas nao financeiras') AND CONTRAPARTE IS NOT NULL AND TRIM(PRDT_SPRDT) IN ('096HGP','0960H8','096065') AND TRIM(NOME_CTGR_SFICS) IN ('A.3.2.','A.3.3.','A.3.4.','A.3.5.','A.3.6.') THEN 47</v>
      </c>
      <c r="BZ49" s="5" t="str">
        <f t="shared" si="33"/>
        <v>+ CASE WHEN  AND TRIM(CONTRAPARTE) NOT IN('outras empresas nao financeiras') AND CONTRAPARTE IS NOT NULL AND TRIM(PRDT_SPRDT) IN ('096HGP','0960H8','096065') AND TRIM(NOME_CTGR_SFICS) IN ('A.3.2.','A.3.3.','A.3.4.','A.3.5.','A.3.6.') THEN 1 ELSE 0 END</v>
      </c>
      <c r="CA49" s="5" t="str">
        <f t="shared" si="34"/>
        <v>,FLAG_47</v>
      </c>
    </row>
    <row r="50" spans="1:79" hidden="1" x14ac:dyDescent="0.25">
      <c r="A50" s="31">
        <f t="shared" si="35"/>
        <v>48</v>
      </c>
      <c r="B50" s="1" t="s">
        <v>1574</v>
      </c>
      <c r="C50" s="1">
        <v>57</v>
      </c>
      <c r="D50" s="1" t="s">
        <v>1585</v>
      </c>
      <c r="E50" s="1" t="s">
        <v>1576</v>
      </c>
      <c r="F50" s="1"/>
      <c r="G50" s="1"/>
      <c r="H50" s="1"/>
      <c r="I50" s="1"/>
      <c r="J50" s="1"/>
      <c r="K50" s="1"/>
      <c r="L50" s="1"/>
      <c r="M50" s="1"/>
      <c r="N50" s="1"/>
      <c r="O50" s="1" t="s">
        <v>1583</v>
      </c>
      <c r="P50" s="1" t="s">
        <v>1584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1648</v>
      </c>
      <c r="AM50" s="1"/>
      <c r="AN50" s="1" t="s">
        <v>1579</v>
      </c>
      <c r="AO50" s="1"/>
      <c r="AP50" s="1"/>
      <c r="AQ50" s="1"/>
      <c r="AR50" s="1"/>
      <c r="AS50" s="5" t="s">
        <v>1670</v>
      </c>
      <c r="AT50" t="s">
        <v>2507</v>
      </c>
      <c r="AU50" t="str">
        <f t="shared" si="3"/>
        <v xml:space="preserve"> AND TRIM(CKPRODMI) IN('096MC3', '096MC7', '096FG5', '096FL5', '096FI5', '096FN5', '096YC3')</v>
      </c>
      <c r="AV50" t="str">
        <f t="shared" si="4"/>
        <v/>
      </c>
      <c r="AW50" t="str">
        <f t="shared" si="5"/>
        <v/>
      </c>
      <c r="AX50" t="str">
        <f t="shared" si="6"/>
        <v/>
      </c>
      <c r="AY50" t="str">
        <f t="shared" si="7"/>
        <v/>
      </c>
      <c r="AZ50" t="str">
        <f t="shared" si="8"/>
        <v/>
      </c>
      <c r="BA50" t="str">
        <f t="shared" si="9"/>
        <v/>
      </c>
      <c r="BB50" t="str">
        <f t="shared" si="10"/>
        <v/>
      </c>
      <c r="BC50" t="str">
        <f t="shared" si="11"/>
        <v/>
      </c>
      <c r="BD50" t="str">
        <f t="shared" si="12"/>
        <v/>
      </c>
      <c r="BE50" t="str">
        <f t="shared" si="13"/>
        <v/>
      </c>
      <c r="BF50" t="str">
        <f t="shared" si="14"/>
        <v/>
      </c>
      <c r="BG50" t="str">
        <f t="shared" si="15"/>
        <v/>
      </c>
      <c r="BH50" t="str">
        <f t="shared" si="16"/>
        <v/>
      </c>
      <c r="BI50" t="str">
        <f t="shared" si="17"/>
        <v/>
      </c>
      <c r="BJ50" t="str">
        <f t="shared" si="18"/>
        <v/>
      </c>
      <c r="BK50" t="str">
        <f t="shared" si="19"/>
        <v/>
      </c>
      <c r="BL50" t="str">
        <f t="shared" si="20"/>
        <v/>
      </c>
      <c r="BM50" t="str">
        <f t="shared" si="21"/>
        <v/>
      </c>
      <c r="BN50" t="str">
        <f t="shared" si="22"/>
        <v/>
      </c>
      <c r="BO50" t="str">
        <f t="shared" si="23"/>
        <v/>
      </c>
      <c r="BP50" t="str">
        <f t="shared" si="24"/>
        <v/>
      </c>
      <c r="BQ50" t="str">
        <f t="shared" si="25"/>
        <v xml:space="preserve"> AND TRIM(NOME_CTGR_SFICS) NOT IN ('A.3.2.','A.3.3.','A.3.4.','A.3.5.','A.3.6.')</v>
      </c>
      <c r="BS50" t="str">
        <f t="shared" si="26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'Building renovation loans'</v>
      </c>
      <c r="BT50" t="str">
        <f t="shared" si="27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U50" t="str">
        <f t="shared" si="28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V50" t="str">
        <f t="shared" si="29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W50" t="str">
        <f t="shared" si="30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'Nao Aplicavel'</v>
      </c>
      <c r="BX50" t="str">
        <f t="shared" si="31"/>
        <v>,CASE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 AS FLAG_48</v>
      </c>
      <c r="BY50" t="str">
        <f t="shared" si="32"/>
        <v>WHEN  AND TRIM(CKMETAMIS) IN('AI0202', 'AI0222', 'AI0242', 'AI0313', 'AI0333', 'AI0353') AND TRIM(CKPRODMI) IN('096MC3', '096MC7', '096FG5', '096FL5', '096FI5', '096FN5', '096YC3') AND TRIM(NOME_CTGR_SFICS) NOT IN ('A.3.2.','A.3.3.','A.3.4.','A.3.5.','A.3.6.') THEN 48</v>
      </c>
      <c r="BZ50" s="5" t="str">
        <f t="shared" si="33"/>
        <v>+ CASE WHEN  AND TRIM(CKMETAMIS) IN('AI0202', 'AI0222', 'AI0242', 'AI0313', 'AI0333', 'AI0353') AND TRIM(CKPRODMI) IN('096MC3', '096MC7', '096FG5', '096FL5', '096FI5', '096FN5', '096YC3') AND TRIM(NOME_CTGR_SFICS) NOT IN ('A.3.2.','A.3.3.','A.3.4.','A.3.5.','A.3.6.') THEN 1 ELSE 0 END</v>
      </c>
      <c r="CA50" s="5" t="str">
        <f t="shared" si="34"/>
        <v>,FLAG_48</v>
      </c>
    </row>
    <row r="51" spans="1:79" hidden="1" x14ac:dyDescent="0.25">
      <c r="A51" s="31">
        <f t="shared" si="35"/>
        <v>49</v>
      </c>
      <c r="B51" s="1" t="s">
        <v>1574</v>
      </c>
      <c r="C51" s="1">
        <v>58</v>
      </c>
      <c r="D51" s="1" t="s">
        <v>1585</v>
      </c>
      <c r="E51" s="1" t="s">
        <v>1576</v>
      </c>
      <c r="F51" s="1"/>
      <c r="G51" s="1"/>
      <c r="H51" s="1"/>
      <c r="I51" s="1"/>
      <c r="J51" s="1"/>
      <c r="K51" s="1"/>
      <c r="L51" s="1"/>
      <c r="M51" s="1"/>
      <c r="N51" s="1"/>
      <c r="O51" s="1" t="s">
        <v>1583</v>
      </c>
      <c r="P51" s="1" t="s">
        <v>1584</v>
      </c>
      <c r="Q51" s="1"/>
      <c r="R51" s="1"/>
      <c r="S51" s="1"/>
      <c r="T51" s="1"/>
      <c r="U51" s="1"/>
      <c r="V51" s="1"/>
      <c r="W51" s="1"/>
      <c r="X51" s="1" t="s">
        <v>44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 t="s">
        <v>1588</v>
      </c>
      <c r="AM51" s="1"/>
      <c r="AN51" s="1" t="s">
        <v>1579</v>
      </c>
      <c r="AO51" s="1"/>
      <c r="AP51" s="1"/>
      <c r="AQ51" s="1"/>
      <c r="AR51" s="1"/>
      <c r="AS51" s="5" t="s">
        <v>1670</v>
      </c>
      <c r="AT51" t="str">
        <f t="shared" si="2"/>
        <v xml:space="preserve"> AND TRIM(CKMETAMIS) IN('AI0202', 'AI0222', 'AI0242', 'AI0313', 'AI0333', 'AI0353')</v>
      </c>
      <c r="AU51" t="str">
        <f t="shared" si="3"/>
        <v xml:space="preserve"> AND TRIM(CKPRODMI) IN('096MC3', '096MC7', '096FG5', '096FL5', '096FI5', '096FN5', '096YC3')</v>
      </c>
      <c r="AV51" t="str">
        <f t="shared" si="4"/>
        <v/>
      </c>
      <c r="AW51" t="str">
        <f t="shared" si="5"/>
        <v/>
      </c>
      <c r="AX51" t="str">
        <f t="shared" si="6"/>
        <v/>
      </c>
      <c r="AY51" t="str">
        <f t="shared" si="7"/>
        <v/>
      </c>
      <c r="AZ51" t="str">
        <f t="shared" si="8"/>
        <v/>
      </c>
      <c r="BA51" t="str">
        <f t="shared" si="9"/>
        <v/>
      </c>
      <c r="BB51" t="str">
        <f t="shared" si="10"/>
        <v/>
      </c>
      <c r="BC51" t="str">
        <f t="shared" si="11"/>
        <v xml:space="preserve"> AND FLG_CSRD = 1</v>
      </c>
      <c r="BD51" t="str">
        <f t="shared" si="12"/>
        <v/>
      </c>
      <c r="BE51" t="str">
        <f t="shared" si="13"/>
        <v/>
      </c>
      <c r="BF51" t="str">
        <f t="shared" si="14"/>
        <v/>
      </c>
      <c r="BG51" t="str">
        <f t="shared" si="15"/>
        <v/>
      </c>
      <c r="BH51" t="str">
        <f t="shared" si="16"/>
        <v/>
      </c>
      <c r="BI51" t="str">
        <f t="shared" si="17"/>
        <v/>
      </c>
      <c r="BJ51" t="str">
        <f t="shared" si="18"/>
        <v/>
      </c>
      <c r="BK51" t="str">
        <f t="shared" si="19"/>
        <v/>
      </c>
      <c r="BL51" t="str">
        <f t="shared" si="20"/>
        <v/>
      </c>
      <c r="BM51" t="str">
        <f t="shared" si="21"/>
        <v/>
      </c>
      <c r="BN51" t="str">
        <f t="shared" si="22"/>
        <v/>
      </c>
      <c r="BO51" t="str">
        <f t="shared" si="23"/>
        <v/>
      </c>
      <c r="BP51" t="str">
        <f t="shared" si="24"/>
        <v/>
      </c>
      <c r="BQ51" t="str">
        <f t="shared" si="25"/>
        <v xml:space="preserve"> AND TRIM(NOME_CTGR_SFICS) IN ('A.3.2.','A.3.3.','A.3.4.','A.3.5.','A.3.6.')</v>
      </c>
      <c r="BS51" t="str">
        <f t="shared" si="26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'Building renovation loans'</v>
      </c>
      <c r="BT51" t="str">
        <f t="shared" si="27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U51" t="str">
        <f t="shared" si="28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V51" t="str">
        <f t="shared" si="29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W51" t="str">
        <f t="shared" si="30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'Nao Aplicavel'</v>
      </c>
      <c r="BX51" t="str">
        <f t="shared" si="31"/>
        <v>,CASE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 AS FLAG_49</v>
      </c>
      <c r="BY51" t="str">
        <f t="shared" si="32"/>
        <v>WHEN  AND TRIM(CKMETAMIS) IN('AI0202', 'AI0222', 'AI0242', 'AI0313', 'AI0333', 'AI0353') AND TRIM(CKPRODMI) IN('096MC3', '096MC7', '096FG5', '096FL5', '096FI5', '096FN5', '096YC3') AND FLG_CSRD = 1 AND TRIM(NOME_CTGR_SFICS) IN ('A.3.2.','A.3.3.','A.3.4.','A.3.5.','A.3.6.') THEN 49</v>
      </c>
      <c r="BZ51" s="5" t="str">
        <f t="shared" si="33"/>
        <v>+ CASE WHEN  AND TRIM(CKMETAMIS) IN('AI0202', 'AI0222', 'AI0242', 'AI0313', 'AI0333', 'AI0353') AND TRIM(CKPRODMI) IN('096MC3', '096MC7', '096FG5', '096FL5', '096FI5', '096FN5', '096YC3') AND FLG_CSRD = 1 AND TRIM(NOME_CTGR_SFICS) IN ('A.3.2.','A.3.3.','A.3.4.','A.3.5.','A.3.6.') THEN 1 ELSE 0 END</v>
      </c>
      <c r="CA51" s="5" t="str">
        <f t="shared" si="34"/>
        <v>,FLAG_49</v>
      </c>
    </row>
    <row r="52" spans="1:79" hidden="1" x14ac:dyDescent="0.25">
      <c r="A52" s="31">
        <f t="shared" si="35"/>
        <v>50</v>
      </c>
      <c r="B52" s="1" t="s">
        <v>1574</v>
      </c>
      <c r="C52" s="1">
        <v>59</v>
      </c>
      <c r="D52" s="1" t="s">
        <v>1585</v>
      </c>
      <c r="E52" s="1" t="s">
        <v>1628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 t="s">
        <v>1649</v>
      </c>
      <c r="AM52" s="1"/>
      <c r="AN52" s="1" t="s">
        <v>1631</v>
      </c>
      <c r="AO52" s="1"/>
      <c r="AP52" s="1"/>
      <c r="AQ52" s="1"/>
      <c r="AR52" s="1"/>
      <c r="AS52" s="5" t="s">
        <v>1670</v>
      </c>
      <c r="AT52" t="str">
        <f t="shared" si="2"/>
        <v/>
      </c>
      <c r="AU52" t="str">
        <f t="shared" si="3"/>
        <v/>
      </c>
      <c r="AV52" t="str">
        <f t="shared" si="4"/>
        <v/>
      </c>
      <c r="AW52" t="str">
        <f t="shared" si="5"/>
        <v/>
      </c>
      <c r="AX52" t="str">
        <f t="shared" si="6"/>
        <v/>
      </c>
      <c r="AY52" t="str">
        <f t="shared" si="7"/>
        <v/>
      </c>
      <c r="AZ52" t="str">
        <f t="shared" si="8"/>
        <v/>
      </c>
      <c r="BA52" t="str">
        <f t="shared" si="9"/>
        <v/>
      </c>
      <c r="BB52" t="str">
        <f t="shared" si="10"/>
        <v/>
      </c>
      <c r="BC52" t="str">
        <f t="shared" si="11"/>
        <v/>
      </c>
      <c r="BD52" t="str">
        <f t="shared" si="12"/>
        <v/>
      </c>
      <c r="BE52" t="str">
        <f t="shared" si="13"/>
        <v/>
      </c>
      <c r="BF52" t="str">
        <f t="shared" si="14"/>
        <v/>
      </c>
      <c r="BG52" t="str">
        <f t="shared" si="15"/>
        <v/>
      </c>
      <c r="BH52" t="str">
        <f t="shared" si="16"/>
        <v/>
      </c>
      <c r="BI52" t="str">
        <f t="shared" si="17"/>
        <v/>
      </c>
      <c r="BJ52" t="str">
        <f t="shared" si="18"/>
        <v/>
      </c>
      <c r="BK52" t="str">
        <f t="shared" si="19"/>
        <v/>
      </c>
      <c r="BL52" t="str">
        <f t="shared" si="20"/>
        <v/>
      </c>
      <c r="BM52" t="str">
        <f t="shared" si="21"/>
        <v/>
      </c>
      <c r="BN52" t="str">
        <f t="shared" si="22"/>
        <v/>
      </c>
      <c r="BO52" t="str">
        <f t="shared" si="23"/>
        <v/>
      </c>
      <c r="BP52" t="str">
        <f t="shared" si="24"/>
        <v/>
      </c>
      <c r="BQ52" t="str">
        <f t="shared" si="25"/>
        <v xml:space="preserve"> AND TRIM(NOME_CTGR_SFICS) = 'A.7.'</v>
      </c>
      <c r="BS52" t="str">
        <f t="shared" si="26"/>
        <v>WHEN  AND TRIM(NOME_CTGR_SFICS) = 'A.7.' THEN 'Other purpose'</v>
      </c>
      <c r="BT52" t="str">
        <f t="shared" si="27"/>
        <v>WHEN  AND TRIM(NOME_CTGR_SFICS) = 'A.7.' THEN 'Nao Aplicavel'</v>
      </c>
      <c r="BU52" t="str">
        <f t="shared" si="28"/>
        <v>WHEN  AND TRIM(NOME_CTGR_SFICS) = 'A.7.' THEN 'Nao Aplicavel'</v>
      </c>
      <c r="BV52" t="str">
        <f t="shared" si="29"/>
        <v>WHEN  AND TRIM(NOME_CTGR_SFICS) = 'A.7.' THEN 'Nao Aplicavel'</v>
      </c>
      <c r="BW52" t="str">
        <f t="shared" si="30"/>
        <v>WHEN  AND TRIM(NOME_CTGR_SFICS) = 'A.7.' THEN 'Nao Aplicavel'</v>
      </c>
      <c r="BX52" t="str">
        <f t="shared" si="31"/>
        <v>,CASE WHEN  AND TRIM(NOME_CTGR_SFICS) = 'A.7.' THEN 1 ELSE 0 END AS FLAG_50</v>
      </c>
      <c r="BY52" t="str">
        <f t="shared" si="32"/>
        <v>WHEN  AND TRIM(NOME_CTGR_SFICS) = 'A.7.' THEN 50</v>
      </c>
      <c r="BZ52" s="5" t="str">
        <f t="shared" si="33"/>
        <v>+ CASE WHEN  AND TRIM(NOME_CTGR_SFICS) = 'A.7.' THEN 1 ELSE 0 END</v>
      </c>
      <c r="CA52" s="5" t="str">
        <f t="shared" si="34"/>
        <v>,FLAG_50</v>
      </c>
    </row>
    <row r="53" spans="1:79" hidden="1" x14ac:dyDescent="0.25">
      <c r="A53" s="31">
        <f t="shared" si="35"/>
        <v>51</v>
      </c>
      <c r="B53" s="1" t="s">
        <v>1574</v>
      </c>
      <c r="C53" s="1">
        <v>60</v>
      </c>
      <c r="D53" s="1" t="s">
        <v>1585</v>
      </c>
      <c r="E53" s="1" t="s">
        <v>1628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 t="s">
        <v>1650</v>
      </c>
      <c r="AM53" s="1"/>
      <c r="AN53" s="1" t="s">
        <v>1631</v>
      </c>
      <c r="AO53" s="1"/>
      <c r="AP53" s="1"/>
      <c r="AQ53" s="1"/>
      <c r="AR53" s="1"/>
      <c r="AS53" s="5" t="s">
        <v>1670</v>
      </c>
      <c r="AT53" t="str">
        <f t="shared" si="2"/>
        <v/>
      </c>
      <c r="AU53" t="str">
        <f t="shared" si="3"/>
        <v/>
      </c>
      <c r="AV53" t="str">
        <f t="shared" si="4"/>
        <v/>
      </c>
      <c r="AW53" t="str">
        <f t="shared" si="5"/>
        <v/>
      </c>
      <c r="AX53" t="str">
        <f t="shared" si="6"/>
        <v/>
      </c>
      <c r="AY53" t="str">
        <f t="shared" si="7"/>
        <v/>
      </c>
      <c r="AZ53" t="str">
        <f t="shared" si="8"/>
        <v/>
      </c>
      <c r="BA53" t="str">
        <f t="shared" si="9"/>
        <v/>
      </c>
      <c r="BB53" t="str">
        <f t="shared" si="10"/>
        <v/>
      </c>
      <c r="BC53" t="str">
        <f t="shared" si="11"/>
        <v/>
      </c>
      <c r="BD53" t="str">
        <f t="shared" si="12"/>
        <v/>
      </c>
      <c r="BE53" t="str">
        <f t="shared" si="13"/>
        <v/>
      </c>
      <c r="BF53" t="str">
        <f t="shared" si="14"/>
        <v/>
      </c>
      <c r="BG53" t="str">
        <f t="shared" si="15"/>
        <v/>
      </c>
      <c r="BH53" t="str">
        <f t="shared" si="16"/>
        <v/>
      </c>
      <c r="BI53" t="str">
        <f t="shared" si="17"/>
        <v/>
      </c>
      <c r="BJ53" t="str">
        <f t="shared" si="18"/>
        <v/>
      </c>
      <c r="BK53" t="str">
        <f t="shared" si="19"/>
        <v/>
      </c>
      <c r="BL53" t="str">
        <f t="shared" si="20"/>
        <v/>
      </c>
      <c r="BM53" t="str">
        <f t="shared" si="21"/>
        <v/>
      </c>
      <c r="BN53" t="str">
        <f t="shared" si="22"/>
        <v/>
      </c>
      <c r="BO53" t="str">
        <f t="shared" si="23"/>
        <v/>
      </c>
      <c r="BP53" t="str">
        <f t="shared" si="24"/>
        <v/>
      </c>
      <c r="BQ53" t="str">
        <f t="shared" si="25"/>
        <v xml:space="preserve"> AND TRIM(NOME_CTGR_SFICS) = 'A.1.13.'</v>
      </c>
      <c r="BS53" t="str">
        <f t="shared" si="26"/>
        <v>WHEN  AND TRIM(NOME_CTGR_SFICS) = 'A.1.13.' THEN 'Other purpose'</v>
      </c>
      <c r="BT53" t="str">
        <f t="shared" si="27"/>
        <v>WHEN  AND TRIM(NOME_CTGR_SFICS) = 'A.1.13.' THEN 'Nao Aplicavel'</v>
      </c>
      <c r="BU53" t="str">
        <f t="shared" si="28"/>
        <v>WHEN  AND TRIM(NOME_CTGR_SFICS) = 'A.1.13.' THEN 'Nao Aplicavel'</v>
      </c>
      <c r="BV53" t="str">
        <f t="shared" si="29"/>
        <v>WHEN  AND TRIM(NOME_CTGR_SFICS) = 'A.1.13.' THEN 'Nao Aplicavel'</v>
      </c>
      <c r="BW53" t="str">
        <f t="shared" si="30"/>
        <v>WHEN  AND TRIM(NOME_CTGR_SFICS) = 'A.1.13.' THEN 'Nao Aplicavel'</v>
      </c>
      <c r="BX53" t="str">
        <f t="shared" si="31"/>
        <v>,CASE WHEN  AND TRIM(NOME_CTGR_SFICS) = 'A.1.13.' THEN 1 ELSE 0 END AS FLAG_51</v>
      </c>
      <c r="BY53" t="str">
        <f t="shared" si="32"/>
        <v>WHEN  AND TRIM(NOME_CTGR_SFICS) = 'A.1.13.' THEN 51</v>
      </c>
      <c r="BZ53" s="5" t="str">
        <f t="shared" si="33"/>
        <v>+ CASE WHEN  AND TRIM(NOME_CTGR_SFICS) = 'A.1.13.' THEN 1 ELSE 0 END</v>
      </c>
      <c r="CA53" s="5" t="str">
        <f t="shared" si="34"/>
        <v>,FLAG_51</v>
      </c>
    </row>
    <row r="54" spans="1:79" hidden="1" x14ac:dyDescent="0.25">
      <c r="A54" s="31">
        <f t="shared" si="35"/>
        <v>52</v>
      </c>
      <c r="B54" s="1" t="s">
        <v>1574</v>
      </c>
      <c r="C54" s="1">
        <v>61</v>
      </c>
      <c r="D54" s="1" t="s">
        <v>1585</v>
      </c>
      <c r="E54" s="1" t="s">
        <v>1628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 t="s">
        <v>44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 t="s">
        <v>1636</v>
      </c>
      <c r="AM54" s="1"/>
      <c r="AN54" s="1" t="s">
        <v>1631</v>
      </c>
      <c r="AO54" s="1"/>
      <c r="AP54" s="1"/>
      <c r="AQ54" s="1"/>
      <c r="AR54" s="1"/>
      <c r="AS54" s="5" t="s">
        <v>1670</v>
      </c>
      <c r="AT54" t="str">
        <f t="shared" si="2"/>
        <v/>
      </c>
      <c r="AU54" t="str">
        <f t="shared" si="3"/>
        <v/>
      </c>
      <c r="AV54" t="str">
        <f t="shared" si="4"/>
        <v/>
      </c>
      <c r="AW54" t="str">
        <f t="shared" si="5"/>
        <v/>
      </c>
      <c r="AX54" t="str">
        <f t="shared" si="6"/>
        <v/>
      </c>
      <c r="AY54" t="str">
        <f t="shared" si="7"/>
        <v/>
      </c>
      <c r="AZ54" t="str">
        <f t="shared" si="8"/>
        <v/>
      </c>
      <c r="BA54" t="str">
        <f t="shared" si="9"/>
        <v/>
      </c>
      <c r="BB54" t="str">
        <f t="shared" si="10"/>
        <v/>
      </c>
      <c r="BC54" t="str">
        <f t="shared" si="11"/>
        <v xml:space="preserve"> AND FLG_CSRD = 1</v>
      </c>
      <c r="BD54" t="str">
        <f t="shared" si="12"/>
        <v/>
      </c>
      <c r="BE54" t="str">
        <f t="shared" si="13"/>
        <v/>
      </c>
      <c r="BF54" t="str">
        <f t="shared" si="14"/>
        <v/>
      </c>
      <c r="BG54" t="str">
        <f t="shared" si="15"/>
        <v/>
      </c>
      <c r="BH54" t="str">
        <f t="shared" si="16"/>
        <v/>
      </c>
      <c r="BI54" t="str">
        <f t="shared" si="17"/>
        <v/>
      </c>
      <c r="BJ54" t="str">
        <f t="shared" si="18"/>
        <v/>
      </c>
      <c r="BK54" t="str">
        <f t="shared" si="19"/>
        <v/>
      </c>
      <c r="BL54" t="str">
        <f t="shared" si="20"/>
        <v/>
      </c>
      <c r="BM54" t="str">
        <f t="shared" si="21"/>
        <v/>
      </c>
      <c r="BN54" t="str">
        <f t="shared" si="22"/>
        <v/>
      </c>
      <c r="BO54" t="str">
        <f t="shared" si="23"/>
        <v/>
      </c>
      <c r="BP54" t="str">
        <f t="shared" si="24"/>
        <v/>
      </c>
      <c r="BQ54" t="str">
        <f t="shared" si="25"/>
        <v xml:space="preserve"> AND TRIM(NOME_CTGR_SFICS) = 'A.1.'</v>
      </c>
      <c r="BS54" t="str">
        <f t="shared" si="26"/>
        <v>WHEN  AND FLG_CSRD = 1 AND TRIM(NOME_CTGR_SFICS) = 'A.1.' THEN 'Other purpose'</v>
      </c>
      <c r="BT54" t="str">
        <f t="shared" si="27"/>
        <v>WHEN  AND FLG_CSRD = 1 AND TRIM(NOME_CTGR_SFICS) = 'A.1.' THEN 'Nao Aplicavel'</v>
      </c>
      <c r="BU54" t="str">
        <f t="shared" si="28"/>
        <v>WHEN  AND FLG_CSRD = 1 AND TRIM(NOME_CTGR_SFICS) = 'A.1.' THEN 'Nao Aplicavel'</v>
      </c>
      <c r="BV54" t="str">
        <f t="shared" si="29"/>
        <v>WHEN  AND FLG_CSRD = 1 AND TRIM(NOME_CTGR_SFICS) = 'A.1.' THEN 'Nao Aplicavel'</v>
      </c>
      <c r="BW54" t="str">
        <f t="shared" si="30"/>
        <v>WHEN  AND FLG_CSRD = 1 AND TRIM(NOME_CTGR_SFICS) = 'A.1.' THEN 'Nao Aplicavel'</v>
      </c>
      <c r="BX54" t="str">
        <f t="shared" si="31"/>
        <v>,CASE WHEN  AND FLG_CSRD = 1 AND TRIM(NOME_CTGR_SFICS) = 'A.1.' THEN 1 ELSE 0 END AS FLAG_52</v>
      </c>
      <c r="BY54" t="str">
        <f t="shared" si="32"/>
        <v>WHEN  AND FLG_CSRD = 1 AND TRIM(NOME_CTGR_SFICS) = 'A.1.' THEN 52</v>
      </c>
      <c r="BZ54" s="5" t="str">
        <f t="shared" si="33"/>
        <v>+ CASE WHEN  AND FLG_CSRD = 1 AND TRIM(NOME_CTGR_SFICS) = 'A.1.' THEN 1 ELSE 0 END</v>
      </c>
      <c r="CA54" s="5" t="str">
        <f t="shared" si="34"/>
        <v>,FLAG_52</v>
      </c>
    </row>
    <row r="55" spans="1:79" hidden="1" x14ac:dyDescent="0.25">
      <c r="A55" s="31">
        <f t="shared" si="35"/>
        <v>53</v>
      </c>
      <c r="B55" s="1" t="s">
        <v>1574</v>
      </c>
      <c r="C55" s="1">
        <v>62</v>
      </c>
      <c r="D55" s="1" t="s">
        <v>1585</v>
      </c>
      <c r="E55" s="1" t="s">
        <v>1628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 t="s">
        <v>1651</v>
      </c>
      <c r="AM55" s="1"/>
      <c r="AN55" s="1" t="s">
        <v>1631</v>
      </c>
      <c r="AO55" s="1"/>
      <c r="AP55" s="1"/>
      <c r="AQ55" s="1"/>
      <c r="AR55" s="1"/>
      <c r="AS55" s="5" t="s">
        <v>1670</v>
      </c>
      <c r="AT55" t="str">
        <f t="shared" si="2"/>
        <v/>
      </c>
      <c r="AU55" t="str">
        <f t="shared" si="3"/>
        <v/>
      </c>
      <c r="AV55" t="str">
        <f t="shared" si="4"/>
        <v/>
      </c>
      <c r="AW55" t="str">
        <f t="shared" si="5"/>
        <v/>
      </c>
      <c r="AX55" t="str">
        <f t="shared" si="6"/>
        <v/>
      </c>
      <c r="AY55" t="str">
        <f t="shared" si="7"/>
        <v/>
      </c>
      <c r="AZ55" t="str">
        <f t="shared" si="8"/>
        <v/>
      </c>
      <c r="BA55" t="str">
        <f t="shared" si="9"/>
        <v/>
      </c>
      <c r="BB55" t="str">
        <f t="shared" si="10"/>
        <v/>
      </c>
      <c r="BC55" t="str">
        <f t="shared" si="11"/>
        <v/>
      </c>
      <c r="BD55" t="str">
        <f t="shared" si="12"/>
        <v/>
      </c>
      <c r="BE55" t="str">
        <f t="shared" si="13"/>
        <v/>
      </c>
      <c r="BF55" t="str">
        <f t="shared" si="14"/>
        <v/>
      </c>
      <c r="BG55" t="str">
        <f t="shared" si="15"/>
        <v/>
      </c>
      <c r="BH55" t="str">
        <f t="shared" si="16"/>
        <v/>
      </c>
      <c r="BI55" t="str">
        <f t="shared" si="17"/>
        <v/>
      </c>
      <c r="BJ55" t="str">
        <f t="shared" si="18"/>
        <v/>
      </c>
      <c r="BK55" t="str">
        <f t="shared" si="19"/>
        <v/>
      </c>
      <c r="BL55" t="str">
        <f t="shared" si="20"/>
        <v/>
      </c>
      <c r="BM55" t="str">
        <f t="shared" si="21"/>
        <v/>
      </c>
      <c r="BN55" t="str">
        <f t="shared" si="22"/>
        <v/>
      </c>
      <c r="BO55" t="str">
        <f t="shared" si="23"/>
        <v/>
      </c>
      <c r="BP55" t="str">
        <f t="shared" si="24"/>
        <v/>
      </c>
      <c r="BQ55" t="str">
        <f t="shared" si="25"/>
        <v xml:space="preserve"> AND TRIM(NOME_CTGR_SFICS) = 'A.6.'</v>
      </c>
      <c r="BS55" t="str">
        <f t="shared" si="26"/>
        <v>WHEN  AND TRIM(NOME_CTGR_SFICS) = 'A.6.' THEN 'Other purpose'</v>
      </c>
      <c r="BT55" t="str">
        <f t="shared" si="27"/>
        <v>WHEN  AND TRIM(NOME_CTGR_SFICS) = 'A.6.' THEN 'Nao Aplicavel'</v>
      </c>
      <c r="BU55" t="str">
        <f t="shared" si="28"/>
        <v>WHEN  AND TRIM(NOME_CTGR_SFICS) = 'A.6.' THEN 'Nao Aplicavel'</v>
      </c>
      <c r="BV55" t="str">
        <f t="shared" si="29"/>
        <v>WHEN  AND TRIM(NOME_CTGR_SFICS) = 'A.6.' THEN 'Nao Aplicavel'</v>
      </c>
      <c r="BW55" t="str">
        <f t="shared" si="30"/>
        <v>WHEN  AND TRIM(NOME_CTGR_SFICS) = 'A.6.' THEN 'Nao Aplicavel'</v>
      </c>
      <c r="BX55" t="str">
        <f t="shared" si="31"/>
        <v>,CASE WHEN  AND TRIM(NOME_CTGR_SFICS) = 'A.6.' THEN 1 ELSE 0 END AS FLAG_53</v>
      </c>
      <c r="BY55" t="str">
        <f t="shared" si="32"/>
        <v>WHEN  AND TRIM(NOME_CTGR_SFICS) = 'A.6.' THEN 53</v>
      </c>
      <c r="BZ55" s="5" t="str">
        <f t="shared" si="33"/>
        <v>+ CASE WHEN  AND TRIM(NOME_CTGR_SFICS) = 'A.6.' THEN 1 ELSE 0 END</v>
      </c>
      <c r="CA55" s="5" t="str">
        <f t="shared" si="34"/>
        <v>,FLAG_53</v>
      </c>
    </row>
    <row r="56" spans="1:79" hidden="1" x14ac:dyDescent="0.25">
      <c r="A56" s="31">
        <f t="shared" si="35"/>
        <v>54</v>
      </c>
      <c r="B56" s="1" t="s">
        <v>1574</v>
      </c>
      <c r="C56" s="1">
        <v>63</v>
      </c>
      <c r="D56" s="1" t="s">
        <v>1585</v>
      </c>
      <c r="E56" s="1" t="s">
        <v>1628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 t="s">
        <v>44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 t="s">
        <v>1631</v>
      </c>
      <c r="AO56" s="1"/>
      <c r="AP56" s="1"/>
      <c r="AQ56" s="1"/>
      <c r="AR56" s="1"/>
      <c r="AS56" s="5" t="s">
        <v>1670</v>
      </c>
      <c r="AT56" t="str">
        <f t="shared" si="2"/>
        <v/>
      </c>
      <c r="AU56" t="str">
        <f t="shared" si="3"/>
        <v/>
      </c>
      <c r="AV56" t="str">
        <f t="shared" si="4"/>
        <v/>
      </c>
      <c r="AW56" t="str">
        <f t="shared" si="5"/>
        <v/>
      </c>
      <c r="AX56" t="str">
        <f t="shared" si="6"/>
        <v/>
      </c>
      <c r="AY56" t="str">
        <f t="shared" si="7"/>
        <v/>
      </c>
      <c r="AZ56" s="9" t="s">
        <v>2506</v>
      </c>
      <c r="BA56" t="str">
        <f t="shared" si="9"/>
        <v/>
      </c>
      <c r="BB56" t="str">
        <f t="shared" si="10"/>
        <v/>
      </c>
      <c r="BC56" t="str">
        <f t="shared" si="11"/>
        <v/>
      </c>
      <c r="BD56" t="str">
        <f t="shared" si="12"/>
        <v/>
      </c>
      <c r="BE56" t="str">
        <f t="shared" si="13"/>
        <v/>
      </c>
      <c r="BF56" t="str">
        <f t="shared" si="14"/>
        <v/>
      </c>
      <c r="BG56" t="str">
        <f t="shared" si="15"/>
        <v/>
      </c>
      <c r="BH56" t="str">
        <f t="shared" si="16"/>
        <v/>
      </c>
      <c r="BI56" t="str">
        <f t="shared" si="17"/>
        <v/>
      </c>
      <c r="BJ56" t="str">
        <f t="shared" si="18"/>
        <v/>
      </c>
      <c r="BK56" t="str">
        <f t="shared" si="19"/>
        <v/>
      </c>
      <c r="BL56" t="str">
        <f t="shared" si="20"/>
        <v/>
      </c>
      <c r="BM56" t="str">
        <f t="shared" si="21"/>
        <v/>
      </c>
      <c r="BN56" t="str">
        <f t="shared" si="22"/>
        <v/>
      </c>
      <c r="BO56" t="str">
        <f t="shared" si="23"/>
        <v/>
      </c>
      <c r="BP56" t="str">
        <f t="shared" si="24"/>
        <v/>
      </c>
      <c r="BQ56" t="str">
        <f t="shared" si="25"/>
        <v/>
      </c>
      <c r="BS56" t="str">
        <f t="shared" si="26"/>
        <v>WHEN  AND TRIM(FLAG_PROJECT_FINANCE) = '1' THEN 'Other purpose'</v>
      </c>
      <c r="BT56" t="str">
        <f t="shared" si="27"/>
        <v>WHEN  AND TRIM(FLAG_PROJECT_FINANCE) = '1' THEN 'Nao Aplicavel'</v>
      </c>
      <c r="BU56" t="str">
        <f t="shared" si="28"/>
        <v>WHEN  AND TRIM(FLAG_PROJECT_FINANCE) = '1' THEN 'Nao Aplicavel'</v>
      </c>
      <c r="BV56" t="str">
        <f t="shared" si="29"/>
        <v>WHEN  AND TRIM(FLAG_PROJECT_FINANCE) = '1' THEN 'Nao Aplicavel'</v>
      </c>
      <c r="BW56" t="str">
        <f t="shared" si="30"/>
        <v>WHEN  AND TRIM(FLAG_PROJECT_FINANCE) = '1' THEN 'Nao Aplicavel'</v>
      </c>
      <c r="BX56" t="str">
        <f t="shared" si="31"/>
        <v>,CASE WHEN  AND TRIM(FLAG_PROJECT_FINANCE) = '1' THEN 1 ELSE 0 END AS FLAG_54</v>
      </c>
      <c r="BY56" t="str">
        <f t="shared" si="32"/>
        <v>WHEN  AND TRIM(FLAG_PROJECT_FINANCE) = '1' THEN 54</v>
      </c>
      <c r="BZ56" s="5" t="str">
        <f t="shared" si="33"/>
        <v>+ CASE WHEN  AND TRIM(FLAG_PROJECT_FINANCE) = '1' THEN 1 ELSE 0 END</v>
      </c>
      <c r="CA56" s="5" t="str">
        <f t="shared" si="34"/>
        <v>,FLAG_54</v>
      </c>
    </row>
    <row r="57" spans="1:79" hidden="1" x14ac:dyDescent="0.25">
      <c r="A57" s="31">
        <f t="shared" si="35"/>
        <v>55</v>
      </c>
      <c r="B57" s="1" t="s">
        <v>1574</v>
      </c>
      <c r="C57" s="1">
        <v>64</v>
      </c>
      <c r="D57" s="1" t="s">
        <v>1585</v>
      </c>
      <c r="E57" s="1" t="s">
        <v>1628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 t="s">
        <v>1652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 t="s">
        <v>1653</v>
      </c>
      <c r="AM57" s="1"/>
      <c r="AN57" s="1" t="s">
        <v>1631</v>
      </c>
      <c r="AO57" s="1"/>
      <c r="AP57" s="1"/>
      <c r="AQ57" s="1"/>
      <c r="AR57" s="1"/>
      <c r="AS57" s="5" t="s">
        <v>1670</v>
      </c>
      <c r="AT57" t="str">
        <f t="shared" si="2"/>
        <v/>
      </c>
      <c r="AU57" t="str">
        <f t="shared" si="3"/>
        <v/>
      </c>
      <c r="AV57" t="str">
        <f t="shared" si="4"/>
        <v/>
      </c>
      <c r="AW57" t="str">
        <f t="shared" si="5"/>
        <v/>
      </c>
      <c r="AX57" t="str">
        <f t="shared" si="6"/>
        <v/>
      </c>
      <c r="AY57" t="str">
        <f t="shared" si="7"/>
        <v/>
      </c>
      <c r="AZ57" t="str">
        <f t="shared" si="8"/>
        <v/>
      </c>
      <c r="BA57" t="str">
        <f t="shared" si="9"/>
        <v/>
      </c>
      <c r="BB57" t="str">
        <f t="shared" si="10"/>
        <v/>
      </c>
      <c r="BC57" t="str">
        <f t="shared" si="11"/>
        <v/>
      </c>
      <c r="BD57" t="str">
        <f t="shared" si="12"/>
        <v/>
      </c>
      <c r="BE57" t="str">
        <f t="shared" si="13"/>
        <v/>
      </c>
      <c r="BF57" s="9" t="s">
        <v>2513</v>
      </c>
      <c r="BG57" t="str">
        <f t="shared" si="15"/>
        <v/>
      </c>
      <c r="BH57" t="str">
        <f t="shared" si="16"/>
        <v/>
      </c>
      <c r="BI57" t="str">
        <f t="shared" si="17"/>
        <v/>
      </c>
      <c r="BJ57" t="str">
        <f t="shared" si="18"/>
        <v/>
      </c>
      <c r="BK57" t="str">
        <f t="shared" si="19"/>
        <v/>
      </c>
      <c r="BL57" t="str">
        <f t="shared" si="20"/>
        <v/>
      </c>
      <c r="BM57" t="str">
        <f t="shared" si="21"/>
        <v/>
      </c>
      <c r="BN57" t="str">
        <f t="shared" si="22"/>
        <v/>
      </c>
      <c r="BO57" t="str">
        <f t="shared" si="23"/>
        <v/>
      </c>
      <c r="BP57" t="str">
        <f t="shared" si="24"/>
        <v/>
      </c>
      <c r="BQ57" t="str">
        <f t="shared" si="25"/>
        <v xml:space="preserve"> AND TRIM(NOME_CTGR_SFICS) = 'A.3.'</v>
      </c>
      <c r="BS57" t="str">
        <f t="shared" si="26"/>
        <v>WHEN  AND TRIM(CFAMILIA) NOT IN ('02','03','04') AND CFAMILIA IS NOT NULL AND TRIM(NOME_CTGR_SFICS) = 'A.3.' THEN 'Other purpose'</v>
      </c>
      <c r="BT57" t="str">
        <f t="shared" si="27"/>
        <v>WHEN  AND TRIM(CFAMILIA) NOT IN ('02','03','04') AND CFAMILIA IS NOT NULL AND TRIM(NOME_CTGR_SFICS) = 'A.3.' THEN 'Nao Aplicavel'</v>
      </c>
      <c r="BU57" t="str">
        <f t="shared" si="28"/>
        <v>WHEN  AND TRIM(CFAMILIA) NOT IN ('02','03','04') AND CFAMILIA IS NOT NULL AND TRIM(NOME_CTGR_SFICS) = 'A.3.' THEN 'Nao Aplicavel'</v>
      </c>
      <c r="BV57" t="str">
        <f t="shared" si="29"/>
        <v>WHEN  AND TRIM(CFAMILIA) NOT IN ('02','03','04') AND CFAMILIA IS NOT NULL AND TRIM(NOME_CTGR_SFICS) = 'A.3.' THEN 'Nao Aplicavel'</v>
      </c>
      <c r="BW57" t="str">
        <f t="shared" si="30"/>
        <v>WHEN  AND TRIM(CFAMILIA) NOT IN ('02','03','04') AND CFAMILIA IS NOT NULL AND TRIM(NOME_CTGR_SFICS) = 'A.3.' THEN 'Nao Aplicavel'</v>
      </c>
      <c r="BX57" t="str">
        <f t="shared" si="31"/>
        <v>,CASE WHEN  AND TRIM(CFAMILIA) NOT IN ('02','03','04') AND CFAMILIA IS NOT NULL AND TRIM(NOME_CTGR_SFICS) = 'A.3.' THEN 1 ELSE 0 END AS FLAG_55</v>
      </c>
      <c r="BY57" t="str">
        <f t="shared" si="32"/>
        <v>WHEN  AND TRIM(CFAMILIA) NOT IN ('02','03','04') AND CFAMILIA IS NOT NULL AND TRIM(NOME_CTGR_SFICS) = 'A.3.' THEN 55</v>
      </c>
      <c r="BZ57" s="5" t="str">
        <f t="shared" si="33"/>
        <v>+ CASE WHEN  AND TRIM(CFAMILIA) NOT IN ('02','03','04') AND CFAMILIA IS NOT NULL AND TRIM(NOME_CTGR_SFICS) = 'A.3.' THEN 1 ELSE 0 END</v>
      </c>
      <c r="CA57" s="5" t="str">
        <f t="shared" si="34"/>
        <v>,FLAG_55</v>
      </c>
    </row>
    <row r="58" spans="1:79" hidden="1" x14ac:dyDescent="0.25">
      <c r="A58" s="31">
        <f t="shared" si="35"/>
        <v>56</v>
      </c>
      <c r="B58" s="1" t="s">
        <v>1574</v>
      </c>
      <c r="C58" s="1">
        <v>65</v>
      </c>
      <c r="D58" s="1" t="s">
        <v>1585</v>
      </c>
      <c r="E58" s="1" t="s">
        <v>1628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1604</v>
      </c>
      <c r="U58" s="1"/>
      <c r="V58" s="1"/>
      <c r="W58" s="1"/>
      <c r="X58" s="1"/>
      <c r="Y58" s="1"/>
      <c r="Z58" s="1"/>
      <c r="AA58" s="1" t="s">
        <v>1654</v>
      </c>
      <c r="AB58" s="1"/>
      <c r="AC58" s="1"/>
      <c r="AD58" s="1" t="s">
        <v>1655</v>
      </c>
      <c r="AE58" s="1"/>
      <c r="AF58" s="1"/>
      <c r="AG58" s="1"/>
      <c r="AH58" s="1"/>
      <c r="AI58" s="1"/>
      <c r="AJ58" s="1"/>
      <c r="AK58" s="1"/>
      <c r="AL58" s="1" t="s">
        <v>1653</v>
      </c>
      <c r="AM58" s="1"/>
      <c r="AN58" s="1" t="s">
        <v>1631</v>
      </c>
      <c r="AO58" s="1"/>
      <c r="AP58" s="1"/>
      <c r="AQ58" s="1"/>
      <c r="AR58" s="1"/>
      <c r="AS58" s="5" t="s">
        <v>1670</v>
      </c>
      <c r="AT58" t="str">
        <f t="shared" si="2"/>
        <v/>
      </c>
      <c r="AU58" t="str">
        <f t="shared" si="3"/>
        <v/>
      </c>
      <c r="AV58" t="str">
        <f t="shared" si="4"/>
        <v/>
      </c>
      <c r="AW58" t="str">
        <f t="shared" si="5"/>
        <v/>
      </c>
      <c r="AX58" t="str">
        <f t="shared" si="6"/>
        <v/>
      </c>
      <c r="AY58" t="str">
        <f t="shared" si="7"/>
        <v xml:space="preserve"> AND TRIM(CONTRAPARTE) = 'particulares'</v>
      </c>
      <c r="AZ58" t="str">
        <f t="shared" si="8"/>
        <v/>
      </c>
      <c r="BA58" t="str">
        <f t="shared" si="9"/>
        <v/>
      </c>
      <c r="BB58" t="str">
        <f t="shared" si="10"/>
        <v/>
      </c>
      <c r="BC58" t="str">
        <f t="shared" si="11"/>
        <v/>
      </c>
      <c r="BD58" t="str">
        <f t="shared" si="12"/>
        <v/>
      </c>
      <c r="BE58" t="str">
        <f t="shared" si="13"/>
        <v/>
      </c>
      <c r="BF58" t="str">
        <f t="shared" si="14"/>
        <v xml:space="preserve"> AND TRIM(CFAMILIA) IN ('02','03','04')</v>
      </c>
      <c r="BG58" t="str">
        <f t="shared" si="15"/>
        <v/>
      </c>
      <c r="BH58" t="str">
        <f t="shared" si="16"/>
        <v/>
      </c>
      <c r="BI58" s="9" t="s">
        <v>2514</v>
      </c>
      <c r="BJ58" t="str">
        <f t="shared" si="18"/>
        <v/>
      </c>
      <c r="BK58" t="str">
        <f t="shared" si="19"/>
        <v/>
      </c>
      <c r="BL58" t="str">
        <f t="shared" si="20"/>
        <v/>
      </c>
      <c r="BM58" t="str">
        <f t="shared" si="21"/>
        <v/>
      </c>
      <c r="BN58" t="str">
        <f t="shared" si="22"/>
        <v/>
      </c>
      <c r="BO58" t="str">
        <f t="shared" si="23"/>
        <v/>
      </c>
      <c r="BP58" t="str">
        <f t="shared" si="24"/>
        <v/>
      </c>
      <c r="BQ58" t="str">
        <f t="shared" si="25"/>
        <v xml:space="preserve"> AND TRIM(NOME_CTGR_SFICS) = 'A.3.'</v>
      </c>
      <c r="BS58" t="str">
        <f t="shared" si="26"/>
        <v>WHEN  AND TRIM(CONTRAPARTE) = 'particulares' AND TRIM(CFAMILIA) IN ('02','03','04') AND TRIM(PROPERTY_PURPOSE_CODE) NOT IN( '01') AND PROPERTY_PURPOSE_CODE IS NOT NULL AND TRIM(NOME_CTGR_SFICS) = 'A.3.' THEN 'Other purpose'</v>
      </c>
      <c r="BT58" t="str">
        <f t="shared" si="27"/>
        <v>WHEN  AND TRIM(CONTRAPARTE) = 'particulares' AND TRIM(CFAMILIA) IN ('02','03','04') AND TRIM(PROPERTY_PURPOSE_CODE) NOT IN( '01') AND PROPERTY_PURPOSE_CODE IS NOT NULL AND TRIM(NOME_CTGR_SFICS) = 'A.3.' THEN 'Nao Aplicavel'</v>
      </c>
      <c r="BU58" t="str">
        <f t="shared" si="28"/>
        <v>WHEN  AND TRIM(CONTRAPARTE) = 'particulares' AND TRIM(CFAMILIA) IN ('02','03','04') AND TRIM(PROPERTY_PURPOSE_CODE) NOT IN( '01') AND PROPERTY_PURPOSE_CODE IS NOT NULL AND TRIM(NOME_CTGR_SFICS) = 'A.3.' THEN 'Nao Aplicavel'</v>
      </c>
      <c r="BV58" t="str">
        <f t="shared" si="29"/>
        <v>WHEN  AND TRIM(CONTRAPARTE) = 'particulares' AND TRIM(CFAMILIA) IN ('02','03','04') AND TRIM(PROPERTY_PURPOSE_CODE) NOT IN( '01') AND PROPERTY_PURPOSE_CODE IS NOT NULL AND TRIM(NOME_CTGR_SFICS) = 'A.3.' THEN 'Nao Aplicavel'</v>
      </c>
      <c r="BW58" t="str">
        <f t="shared" si="30"/>
        <v>WHEN  AND TRIM(CONTRAPARTE) = 'particulares' AND TRIM(CFAMILIA) IN ('02','03','04') AND TRIM(PROPERTY_PURPOSE_CODE) NOT IN( '01') AND PROPERTY_PURPOSE_CODE IS NOT NULL AND TRIM(NOME_CTGR_SFICS) = 'A.3.' THEN 'Nao Aplicavel'</v>
      </c>
      <c r="BX58" t="str">
        <f t="shared" si="31"/>
        <v>,CASE WHEN  AND TRIM(CONTRAPARTE) = 'particulares' AND TRIM(CFAMILIA) IN ('02','03','04') AND TRIM(PROPERTY_PURPOSE_CODE) NOT IN( '01') AND PROPERTY_PURPOSE_CODE IS NOT NULL AND TRIM(NOME_CTGR_SFICS) = 'A.3.' THEN 1 ELSE 0 END AS FLAG_56</v>
      </c>
      <c r="BY58" t="str">
        <f t="shared" si="32"/>
        <v>WHEN  AND TRIM(CONTRAPARTE) = 'particulares' AND TRIM(CFAMILIA) IN ('02','03','04') AND TRIM(PROPERTY_PURPOSE_CODE) NOT IN( '01') AND PROPERTY_PURPOSE_CODE IS NOT NULL AND TRIM(NOME_CTGR_SFICS) = 'A.3.' THEN 56</v>
      </c>
      <c r="BZ58" s="5" t="str">
        <f t="shared" si="33"/>
        <v>+ CASE WHEN  AND TRIM(CONTRAPARTE) = 'particulares' AND TRIM(CFAMILIA) IN ('02','03','04') AND TRIM(PROPERTY_PURPOSE_CODE) NOT IN( '01') AND PROPERTY_PURPOSE_CODE IS NOT NULL AND TRIM(NOME_CTGR_SFICS) = 'A.3.' THEN 1 ELSE 0 END</v>
      </c>
      <c r="CA58" s="5" t="str">
        <f t="shared" si="34"/>
        <v>,FLAG_56</v>
      </c>
    </row>
    <row r="59" spans="1:79" hidden="1" x14ac:dyDescent="0.25">
      <c r="A59" s="31">
        <f t="shared" si="35"/>
        <v>57</v>
      </c>
      <c r="B59" s="1" t="s">
        <v>1574</v>
      </c>
      <c r="C59" s="1">
        <v>66</v>
      </c>
      <c r="D59" s="1" t="s">
        <v>1585</v>
      </c>
      <c r="E59" s="1" t="s">
        <v>1628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 t="s">
        <v>1598</v>
      </c>
      <c r="AM59" s="1"/>
      <c r="AN59" s="1" t="s">
        <v>1631</v>
      </c>
      <c r="AO59" s="1"/>
      <c r="AP59" s="1"/>
      <c r="AQ59" s="1"/>
      <c r="AR59" s="1"/>
      <c r="AS59" s="5" t="s">
        <v>1670</v>
      </c>
      <c r="AT59" t="str">
        <f t="shared" si="2"/>
        <v/>
      </c>
      <c r="AU59" t="str">
        <f t="shared" si="3"/>
        <v/>
      </c>
      <c r="AV59" t="str">
        <f t="shared" si="4"/>
        <v/>
      </c>
      <c r="AW59" t="str">
        <f t="shared" si="5"/>
        <v/>
      </c>
      <c r="AX59" t="str">
        <f t="shared" si="6"/>
        <v/>
      </c>
      <c r="AY59" t="str">
        <f t="shared" si="7"/>
        <v/>
      </c>
      <c r="AZ59" t="str">
        <f t="shared" si="8"/>
        <v/>
      </c>
      <c r="BA59" t="str">
        <f t="shared" si="9"/>
        <v/>
      </c>
      <c r="BB59" t="str">
        <f t="shared" si="10"/>
        <v/>
      </c>
      <c r="BC59" t="str">
        <f t="shared" si="11"/>
        <v/>
      </c>
      <c r="BD59" t="str">
        <f t="shared" si="12"/>
        <v/>
      </c>
      <c r="BE59" t="str">
        <f t="shared" si="13"/>
        <v/>
      </c>
      <c r="BF59" t="str">
        <f t="shared" si="14"/>
        <v/>
      </c>
      <c r="BG59" t="str">
        <f t="shared" si="15"/>
        <v/>
      </c>
      <c r="BH59" t="str">
        <f t="shared" si="16"/>
        <v/>
      </c>
      <c r="BI59" t="str">
        <f t="shared" si="17"/>
        <v/>
      </c>
      <c r="BJ59" t="str">
        <f t="shared" si="18"/>
        <v/>
      </c>
      <c r="BK59" t="str">
        <f t="shared" si="19"/>
        <v/>
      </c>
      <c r="BL59" t="str">
        <f t="shared" si="20"/>
        <v/>
      </c>
      <c r="BM59" t="str">
        <f t="shared" si="21"/>
        <v/>
      </c>
      <c r="BN59" t="str">
        <f t="shared" si="22"/>
        <v/>
      </c>
      <c r="BO59" t="str">
        <f t="shared" si="23"/>
        <v/>
      </c>
      <c r="BP59" t="str">
        <f t="shared" si="24"/>
        <v/>
      </c>
      <c r="BQ59" t="str">
        <f t="shared" si="25"/>
        <v xml:space="preserve"> AND TRIM(NOME_CTGR_SFICS) = 'A.2.'</v>
      </c>
      <c r="BS59" t="str">
        <f t="shared" si="26"/>
        <v>WHEN  AND TRIM(NOME_CTGR_SFICS) = 'A.2.' THEN 'Other purpose'</v>
      </c>
      <c r="BT59" t="str">
        <f t="shared" si="27"/>
        <v>WHEN  AND TRIM(NOME_CTGR_SFICS) = 'A.2.' THEN 'Nao Aplicavel'</v>
      </c>
      <c r="BU59" t="str">
        <f t="shared" si="28"/>
        <v>WHEN  AND TRIM(NOME_CTGR_SFICS) = 'A.2.' THEN 'Nao Aplicavel'</v>
      </c>
      <c r="BV59" t="str">
        <f t="shared" si="29"/>
        <v>WHEN  AND TRIM(NOME_CTGR_SFICS) = 'A.2.' THEN 'Nao Aplicavel'</v>
      </c>
      <c r="BW59" t="str">
        <f t="shared" si="30"/>
        <v>WHEN  AND TRIM(NOME_CTGR_SFICS) = 'A.2.' THEN 'Nao Aplicavel'</v>
      </c>
      <c r="BX59" t="str">
        <f t="shared" si="31"/>
        <v>,CASE WHEN  AND TRIM(NOME_CTGR_SFICS) = 'A.2.' THEN 1 ELSE 0 END AS FLAG_57</v>
      </c>
      <c r="BY59" t="str">
        <f t="shared" si="32"/>
        <v>WHEN  AND TRIM(NOME_CTGR_SFICS) = 'A.2.' THEN 57</v>
      </c>
      <c r="BZ59" s="5" t="str">
        <f t="shared" si="33"/>
        <v>+ CASE WHEN  AND TRIM(NOME_CTGR_SFICS) = 'A.2.' THEN 1 ELSE 0 END</v>
      </c>
      <c r="CA59" s="5" t="str">
        <f t="shared" si="34"/>
        <v>,FLAG_57</v>
      </c>
    </row>
    <row r="60" spans="1:79" hidden="1" x14ac:dyDescent="0.25">
      <c r="A60" s="31">
        <f t="shared" si="35"/>
        <v>58</v>
      </c>
      <c r="B60" s="1" t="s">
        <v>1574</v>
      </c>
      <c r="C60" s="1">
        <v>67</v>
      </c>
      <c r="D60" s="1" t="s">
        <v>1585</v>
      </c>
      <c r="E60" s="1" t="s">
        <v>1628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 t="s">
        <v>209</v>
      </c>
      <c r="AM60" s="1"/>
      <c r="AN60" s="1" t="s">
        <v>1631</v>
      </c>
      <c r="AO60" s="1"/>
      <c r="AP60" s="1"/>
      <c r="AQ60" s="1"/>
      <c r="AR60" s="1"/>
      <c r="AS60" s="5" t="s">
        <v>1670</v>
      </c>
      <c r="AT60" t="str">
        <f t="shared" si="2"/>
        <v/>
      </c>
      <c r="AU60" t="str">
        <f t="shared" si="3"/>
        <v/>
      </c>
      <c r="AV60" t="str">
        <f t="shared" si="4"/>
        <v/>
      </c>
      <c r="AW60" t="str">
        <f t="shared" si="5"/>
        <v/>
      </c>
      <c r="AX60" t="str">
        <f t="shared" si="6"/>
        <v/>
      </c>
      <c r="AY60" t="str">
        <f t="shared" si="7"/>
        <v/>
      </c>
      <c r="AZ60" t="str">
        <f t="shared" si="8"/>
        <v/>
      </c>
      <c r="BA60" t="str">
        <f t="shared" si="9"/>
        <v/>
      </c>
      <c r="BB60" t="str">
        <f t="shared" si="10"/>
        <v/>
      </c>
      <c r="BC60" t="str">
        <f t="shared" si="11"/>
        <v/>
      </c>
      <c r="BD60" t="str">
        <f t="shared" si="12"/>
        <v/>
      </c>
      <c r="BE60" t="str">
        <f t="shared" si="13"/>
        <v/>
      </c>
      <c r="BF60" t="str">
        <f t="shared" si="14"/>
        <v/>
      </c>
      <c r="BG60" t="str">
        <f t="shared" si="15"/>
        <v/>
      </c>
      <c r="BH60" t="str">
        <f t="shared" si="16"/>
        <v/>
      </c>
      <c r="BI60" t="str">
        <f t="shared" si="17"/>
        <v/>
      </c>
      <c r="BJ60" t="str">
        <f t="shared" si="18"/>
        <v/>
      </c>
      <c r="BK60" t="str">
        <f t="shared" si="19"/>
        <v/>
      </c>
      <c r="BL60" t="str">
        <f t="shared" si="20"/>
        <v/>
      </c>
      <c r="BM60" t="str">
        <f t="shared" si="21"/>
        <v/>
      </c>
      <c r="BN60" t="str">
        <f t="shared" si="22"/>
        <v/>
      </c>
      <c r="BO60" t="str">
        <f t="shared" si="23"/>
        <v/>
      </c>
      <c r="BP60" t="str">
        <f t="shared" si="24"/>
        <v/>
      </c>
      <c r="BQ60" t="str">
        <f t="shared" si="25"/>
        <v xml:space="preserve"> AND TRIM(NOME_CTGR_SFICS) = 'A.3.1.'</v>
      </c>
      <c r="BS60" t="str">
        <f t="shared" si="26"/>
        <v>WHEN  AND TRIM(NOME_CTGR_SFICS) = 'A.3.1.' THEN 'Other purpose'</v>
      </c>
      <c r="BT60" t="str">
        <f t="shared" si="27"/>
        <v>WHEN  AND TRIM(NOME_CTGR_SFICS) = 'A.3.1.' THEN 'Nao Aplicavel'</v>
      </c>
      <c r="BU60" t="str">
        <f t="shared" si="28"/>
        <v>WHEN  AND TRIM(NOME_CTGR_SFICS) = 'A.3.1.' THEN 'Nao Aplicavel'</v>
      </c>
      <c r="BV60" t="str">
        <f t="shared" si="29"/>
        <v>WHEN  AND TRIM(NOME_CTGR_SFICS) = 'A.3.1.' THEN 'Nao Aplicavel'</v>
      </c>
      <c r="BW60" t="str">
        <f t="shared" si="30"/>
        <v>WHEN  AND TRIM(NOME_CTGR_SFICS) = 'A.3.1.' THEN 'Nao Aplicavel'</v>
      </c>
      <c r="BX60" t="str">
        <f t="shared" si="31"/>
        <v>,CASE WHEN  AND TRIM(NOME_CTGR_SFICS) = 'A.3.1.' THEN 1 ELSE 0 END AS FLAG_58</v>
      </c>
      <c r="BY60" t="str">
        <f t="shared" si="32"/>
        <v>WHEN  AND TRIM(NOME_CTGR_SFICS) = 'A.3.1.' THEN 58</v>
      </c>
      <c r="BZ60" s="5" t="str">
        <f t="shared" si="33"/>
        <v>+ CASE WHEN  AND TRIM(NOME_CTGR_SFICS) = 'A.3.1.' THEN 1 ELSE 0 END</v>
      </c>
      <c r="CA60" s="5" t="str">
        <f t="shared" si="34"/>
        <v>,FLAG_58</v>
      </c>
    </row>
    <row r="61" spans="1:79" hidden="1" x14ac:dyDescent="0.25">
      <c r="A61" s="31">
        <f t="shared" si="35"/>
        <v>59</v>
      </c>
      <c r="B61" s="1" t="s">
        <v>1574</v>
      </c>
      <c r="C61" s="1">
        <v>68</v>
      </c>
      <c r="D61" s="1" t="s">
        <v>1585</v>
      </c>
      <c r="E61" s="1" t="s">
        <v>1628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 t="s">
        <v>1656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 t="s">
        <v>1653</v>
      </c>
      <c r="AM61" s="1"/>
      <c r="AN61" s="1" t="s">
        <v>1631</v>
      </c>
      <c r="AO61" s="1"/>
      <c r="AP61" s="1"/>
      <c r="AQ61" s="1"/>
      <c r="AR61" s="1"/>
      <c r="AS61" s="5" t="s">
        <v>1670</v>
      </c>
      <c r="AT61" t="str">
        <f t="shared" si="2"/>
        <v/>
      </c>
      <c r="AU61" t="str">
        <f t="shared" si="3"/>
        <v/>
      </c>
      <c r="AV61" t="str">
        <f t="shared" si="4"/>
        <v/>
      </c>
      <c r="AW61" t="str">
        <f t="shared" si="5"/>
        <v/>
      </c>
      <c r="AX61" s="9" t="s">
        <v>2509</v>
      </c>
      <c r="AY61" t="str">
        <f t="shared" si="7"/>
        <v/>
      </c>
      <c r="AZ61" t="str">
        <f t="shared" si="8"/>
        <v/>
      </c>
      <c r="BA61" t="str">
        <f t="shared" si="9"/>
        <v/>
      </c>
      <c r="BB61" t="str">
        <f t="shared" si="10"/>
        <v/>
      </c>
      <c r="BC61" t="str">
        <f t="shared" si="11"/>
        <v/>
      </c>
      <c r="BD61" t="str">
        <f t="shared" si="12"/>
        <v/>
      </c>
      <c r="BE61" t="str">
        <f t="shared" si="13"/>
        <v/>
      </c>
      <c r="BF61" t="str">
        <f t="shared" si="14"/>
        <v/>
      </c>
      <c r="BG61" t="str">
        <f t="shared" si="15"/>
        <v/>
      </c>
      <c r="BH61" t="str">
        <f t="shared" si="16"/>
        <v/>
      </c>
      <c r="BI61" t="str">
        <f t="shared" si="17"/>
        <v/>
      </c>
      <c r="BJ61" t="str">
        <f t="shared" si="18"/>
        <v/>
      </c>
      <c r="BK61" t="str">
        <f t="shared" si="19"/>
        <v/>
      </c>
      <c r="BL61" t="str">
        <f t="shared" si="20"/>
        <v/>
      </c>
      <c r="BM61" t="str">
        <f t="shared" si="21"/>
        <v/>
      </c>
      <c r="BN61" t="str">
        <f t="shared" si="22"/>
        <v/>
      </c>
      <c r="BO61" t="str">
        <f t="shared" si="23"/>
        <v/>
      </c>
      <c r="BP61" t="str">
        <f t="shared" si="24"/>
        <v/>
      </c>
      <c r="BQ61" t="str">
        <f t="shared" si="25"/>
        <v xml:space="preserve"> AND TRIM(NOME_CTGR_SFICS) = 'A.3.'</v>
      </c>
      <c r="BS61" t="str">
        <f t="shared" si="26"/>
        <v>WHEN  AND TRIM(EPC) not in ('A+','A', 'B') AND EPC IS NOT NULL  AND TRIM(NOME_CTGR_SFICS) = 'A.3.' THEN 'Other purpose'</v>
      </c>
      <c r="BT61" t="str">
        <f t="shared" si="27"/>
        <v>WHEN  AND TRIM(EPC) not in ('A+','A', 'B') AND EPC IS NOT NULL  AND TRIM(NOME_CTGR_SFICS) = 'A.3.' THEN 'Nao Aplicavel'</v>
      </c>
      <c r="BU61" t="str">
        <f t="shared" si="28"/>
        <v>WHEN  AND TRIM(EPC) not in ('A+','A', 'B') AND EPC IS NOT NULL  AND TRIM(NOME_CTGR_SFICS) = 'A.3.' THEN 'Nao Aplicavel'</v>
      </c>
      <c r="BV61" t="str">
        <f t="shared" si="29"/>
        <v>WHEN  AND TRIM(EPC) not in ('A+','A', 'B') AND EPC IS NOT NULL  AND TRIM(NOME_CTGR_SFICS) = 'A.3.' THEN 'Nao Aplicavel'</v>
      </c>
      <c r="BW61" t="str">
        <f t="shared" si="30"/>
        <v>WHEN  AND TRIM(EPC) not in ('A+','A', 'B') AND EPC IS NOT NULL  AND TRIM(NOME_CTGR_SFICS) = 'A.3.' THEN 'Nao Aplicavel'</v>
      </c>
      <c r="BX61" t="str">
        <f t="shared" si="31"/>
        <v>,CASE WHEN  AND TRIM(EPC) not in ('A+','A', 'B') AND EPC IS NOT NULL  AND TRIM(NOME_CTGR_SFICS) = 'A.3.' THEN 1 ELSE 0 END AS FLAG_59</v>
      </c>
      <c r="BY61" t="str">
        <f t="shared" si="32"/>
        <v>WHEN  AND TRIM(EPC) not in ('A+','A', 'B') AND EPC IS NOT NULL  AND TRIM(NOME_CTGR_SFICS) = 'A.3.' THEN 59</v>
      </c>
      <c r="BZ61" s="5" t="str">
        <f t="shared" si="33"/>
        <v>+ CASE WHEN  AND TRIM(EPC) not in ('A+','A', 'B') AND EPC IS NOT NULL  AND TRIM(NOME_CTGR_SFICS) = 'A.3.' THEN 1 ELSE 0 END</v>
      </c>
      <c r="CA61" s="5" t="str">
        <f t="shared" si="34"/>
        <v>,FLAG_59</v>
      </c>
    </row>
    <row r="62" spans="1:79" x14ac:dyDescent="0.25">
      <c r="A62" s="31">
        <f t="shared" si="35"/>
        <v>60</v>
      </c>
      <c r="B62" s="1" t="s">
        <v>1574</v>
      </c>
      <c r="C62" s="1" t="s">
        <v>44</v>
      </c>
      <c r="D62" s="1" t="s">
        <v>1575</v>
      </c>
      <c r="E62" s="1" t="s">
        <v>1576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1577</v>
      </c>
      <c r="U62" s="1"/>
      <c r="V62" s="1"/>
      <c r="W62" s="1" t="s">
        <v>1578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 t="s">
        <v>1579</v>
      </c>
      <c r="AP62" s="1" t="s">
        <v>1580</v>
      </c>
      <c r="AQ62" s="1" t="s">
        <v>1581</v>
      </c>
      <c r="AR62" s="1" t="s">
        <v>1582</v>
      </c>
      <c r="AS62" s="5" t="s">
        <v>1670</v>
      </c>
      <c r="AT62" t="str">
        <f t="shared" si="2"/>
        <v/>
      </c>
      <c r="AU62" t="str">
        <f t="shared" si="3"/>
        <v/>
      </c>
      <c r="AV62" t="str">
        <f t="shared" si="4"/>
        <v/>
      </c>
      <c r="AW62" t="str">
        <f t="shared" si="5"/>
        <v/>
      </c>
      <c r="AX62" t="str">
        <f t="shared" si="6"/>
        <v/>
      </c>
      <c r="AY62" t="str">
        <f t="shared" si="7"/>
        <v xml:space="preserve"> AND TRIM(CONTRAPARTE) IN('outras empresas nao financeiras','particulares')</v>
      </c>
      <c r="AZ62" t="str">
        <f t="shared" si="8"/>
        <v/>
      </c>
      <c r="BA62" t="str">
        <f t="shared" si="9"/>
        <v/>
      </c>
      <c r="BB62" t="str">
        <f t="shared" si="10"/>
        <v xml:space="preserve"> AND TRIM(PRDT_SPRDT) IN ('096HGP','0960H8','096065')</v>
      </c>
      <c r="BC62" t="str">
        <f t="shared" si="11"/>
        <v/>
      </c>
      <c r="BD62" t="str">
        <f t="shared" si="12"/>
        <v/>
      </c>
      <c r="BE62" t="str">
        <f t="shared" si="13"/>
        <v/>
      </c>
      <c r="BF62" t="str">
        <f t="shared" si="14"/>
        <v/>
      </c>
      <c r="BG62" t="str">
        <f t="shared" si="15"/>
        <v/>
      </c>
      <c r="BH62" t="str">
        <f t="shared" si="16"/>
        <v/>
      </c>
      <c r="BI62" t="str">
        <f t="shared" si="17"/>
        <v/>
      </c>
      <c r="BJ62" t="str">
        <f t="shared" si="18"/>
        <v/>
      </c>
      <c r="BK62" t="str">
        <f t="shared" si="19"/>
        <v/>
      </c>
      <c r="BL62" t="str">
        <f t="shared" si="20"/>
        <v/>
      </c>
      <c r="BM62" t="str">
        <f t="shared" si="21"/>
        <v/>
      </c>
      <c r="BN62" t="str">
        <f t="shared" si="22"/>
        <v/>
      </c>
      <c r="BO62" t="str">
        <f t="shared" si="23"/>
        <v/>
      </c>
      <c r="BP62" t="str">
        <f t="shared" si="24"/>
        <v/>
      </c>
      <c r="BQ62" t="str">
        <f t="shared" si="25"/>
        <v/>
      </c>
      <c r="BS62" t="str">
        <f t="shared" si="26"/>
        <v>WHEN  AND TRIM(CONTRAPARTE) IN('outras empresas nao financeiras','particulares') AND TRIM(PRDT_SPRDT) IN ('096HGP','0960H8','096065') THEN 'Nao Aplicavel'</v>
      </c>
      <c r="BT62" t="str">
        <f t="shared" si="27"/>
        <v>WHEN  AND TRIM(CONTRAPARTE) IN('outras empresas nao financeiras','particulares') AND TRIM(PRDT_SPRDT) IN ('096HGP','0960H8','096065') THEN 'Building renovation loans'</v>
      </c>
      <c r="BU62" t="str">
        <f t="shared" si="28"/>
        <v>WHEN  AND TRIM(CONTRAPARTE) IN('outras empresas nao financeiras','particulares') AND TRIM(PRDT_SPRDT) IN ('096HGP','0960H8','096065') THEN 'Specific purpose'</v>
      </c>
      <c r="BV62" t="str">
        <f t="shared" si="29"/>
        <v>WHEN  AND TRIM(CONTRAPARTE) IN('outras empresas nao financeiras','particulares') AND TRIM(PRDT_SPRDT) IN ('096HGP','0960H8','096065') THEN 'CCM'</v>
      </c>
      <c r="BW62" t="str">
        <f t="shared" si="30"/>
        <v>WHEN  AND TRIM(CONTRAPARTE) IN('outras empresas nao financeiras','particulares') AND TRIM(PRDT_SPRDT) IN ('096HGP','0960H8','096065') THEN 'No'</v>
      </c>
      <c r="BX62" t="str">
        <f t="shared" si="31"/>
        <v>,CASE WHEN  AND TRIM(CONTRAPARTE) IN('outras empresas nao financeiras','particulares') AND TRIM(PRDT_SPRDT) IN ('096HGP','0960H8','096065') THEN 1 ELSE 0 END AS FLAG_60</v>
      </c>
      <c r="BY62" t="str">
        <f t="shared" si="32"/>
        <v>WHEN  AND TRIM(CONTRAPARTE) IN('outras empresas nao financeiras','particulares') AND TRIM(PRDT_SPRDT) IN ('096HGP','0960H8','096065') THEN 60</v>
      </c>
      <c r="BZ62" s="5" t="str">
        <f t="shared" si="33"/>
        <v>+ CASE WHEN  AND TRIM(CONTRAPARTE) IN('outras empresas nao financeiras','particulares') AND TRIM(PRDT_SPRDT) IN ('096HGP','0960H8','096065') THEN 1 ELSE 0 END</v>
      </c>
      <c r="CA62" s="5" t="str">
        <f t="shared" si="34"/>
        <v>,FLAG_60</v>
      </c>
    </row>
    <row r="63" spans="1:79" x14ac:dyDescent="0.25">
      <c r="A63" s="31">
        <f t="shared" si="35"/>
        <v>61</v>
      </c>
      <c r="B63" s="1" t="s">
        <v>1574</v>
      </c>
      <c r="C63" s="1">
        <v>2</v>
      </c>
      <c r="D63" s="1" t="s">
        <v>1575</v>
      </c>
      <c r="E63" s="1" t="s">
        <v>1576</v>
      </c>
      <c r="F63" s="1"/>
      <c r="G63" s="1"/>
      <c r="H63" s="1"/>
      <c r="I63" s="1"/>
      <c r="J63" s="1"/>
      <c r="K63" s="1"/>
      <c r="L63" s="1"/>
      <c r="M63" s="1"/>
      <c r="N63" s="1"/>
      <c r="O63" s="1" t="s">
        <v>1583</v>
      </c>
      <c r="P63" s="1" t="s">
        <v>1584</v>
      </c>
      <c r="Q63" s="1"/>
      <c r="R63" s="1"/>
      <c r="S63" s="1"/>
      <c r="T63" s="1" t="s">
        <v>1577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 t="s">
        <v>1579</v>
      </c>
      <c r="AP63" s="1" t="s">
        <v>1580</v>
      </c>
      <c r="AQ63" s="1" t="s">
        <v>1581</v>
      </c>
      <c r="AR63" s="1" t="s">
        <v>1582</v>
      </c>
      <c r="AS63" s="5" t="s">
        <v>1670</v>
      </c>
      <c r="AT63" t="str">
        <f t="shared" si="2"/>
        <v xml:space="preserve"> AND TRIM(CKMETAMIS) IN('AI0202', 'AI0222', 'AI0242', 'AI0313', 'AI0333', 'AI0353')</v>
      </c>
      <c r="AU63" t="str">
        <f t="shared" si="3"/>
        <v xml:space="preserve"> AND TRIM(CKPRODMI) IN('096MC3', '096MC7', '096FG5', '096FL5', '096FI5', '096FN5', '096YC3')</v>
      </c>
      <c r="AV63" t="str">
        <f t="shared" si="4"/>
        <v/>
      </c>
      <c r="AW63" t="str">
        <f t="shared" si="5"/>
        <v/>
      </c>
      <c r="AX63" t="str">
        <f t="shared" si="6"/>
        <v/>
      </c>
      <c r="AY63" t="str">
        <f t="shared" si="7"/>
        <v xml:space="preserve"> AND TRIM(CONTRAPARTE) IN('outras empresas nao financeiras','particulares')</v>
      </c>
      <c r="AZ63" t="str">
        <f t="shared" si="8"/>
        <v/>
      </c>
      <c r="BA63" t="str">
        <f t="shared" si="9"/>
        <v/>
      </c>
      <c r="BB63" t="str">
        <f t="shared" si="10"/>
        <v/>
      </c>
      <c r="BC63" t="str">
        <f t="shared" si="11"/>
        <v/>
      </c>
      <c r="BD63" t="str">
        <f t="shared" si="12"/>
        <v/>
      </c>
      <c r="BE63" t="str">
        <f t="shared" si="13"/>
        <v/>
      </c>
      <c r="BF63" t="str">
        <f t="shared" si="14"/>
        <v/>
      </c>
      <c r="BG63" t="str">
        <f t="shared" si="15"/>
        <v/>
      </c>
      <c r="BH63" t="str">
        <f t="shared" si="16"/>
        <v/>
      </c>
      <c r="BI63" t="str">
        <f t="shared" si="17"/>
        <v/>
      </c>
      <c r="BJ63" t="str">
        <f t="shared" si="18"/>
        <v/>
      </c>
      <c r="BK63" t="str">
        <f t="shared" si="19"/>
        <v/>
      </c>
      <c r="BL63" t="str">
        <f t="shared" si="20"/>
        <v/>
      </c>
      <c r="BM63" t="str">
        <f t="shared" si="21"/>
        <v/>
      </c>
      <c r="BN63" t="str">
        <f t="shared" si="22"/>
        <v/>
      </c>
      <c r="BO63" t="str">
        <f t="shared" si="23"/>
        <v/>
      </c>
      <c r="BP63" t="str">
        <f t="shared" si="24"/>
        <v/>
      </c>
      <c r="BQ63" t="str">
        <f t="shared" si="25"/>
        <v/>
      </c>
      <c r="BS63" t="str">
        <f t="shared" si="26"/>
        <v>WHEN  AND TRIM(CKMETAMIS) IN('AI0202', 'AI0222', 'AI0242', 'AI0313', 'AI0333', 'AI0353') AND TRIM(CKPRODMI) IN('096MC3', '096MC7', '096FG5', '096FL5', '096FI5', '096FN5', '096YC3') AND TRIM(CONTRAPARTE) IN('outras empresas nao financeiras','particulares') THEN 'Nao Aplicavel'</v>
      </c>
      <c r="BT63" t="str">
        <f t="shared" si="27"/>
        <v>WHEN  AND TRIM(CKMETAMIS) IN('AI0202', 'AI0222', 'AI0242', 'AI0313', 'AI0333', 'AI0353') AND TRIM(CKPRODMI) IN('096MC3', '096MC7', '096FG5', '096FL5', '096FI5', '096FN5', '096YC3') AND TRIM(CONTRAPARTE) IN('outras empresas nao financeiras','particulares') THEN 'Building renovation loans'</v>
      </c>
      <c r="BU63" t="str">
        <f t="shared" si="28"/>
        <v>WHEN  AND TRIM(CKMETAMIS) IN('AI0202', 'AI0222', 'AI0242', 'AI0313', 'AI0333', 'AI0353') AND TRIM(CKPRODMI) IN('096MC3', '096MC7', '096FG5', '096FL5', '096FI5', '096FN5', '096YC3') AND TRIM(CONTRAPARTE) IN('outras empresas nao financeiras','particulares') THEN 'Specific purpose'</v>
      </c>
      <c r="BV63" t="str">
        <f t="shared" si="29"/>
        <v>WHEN  AND TRIM(CKMETAMIS) IN('AI0202', 'AI0222', 'AI0242', 'AI0313', 'AI0333', 'AI0353') AND TRIM(CKPRODMI) IN('096MC3', '096MC7', '096FG5', '096FL5', '096FI5', '096FN5', '096YC3') AND TRIM(CONTRAPARTE) IN('outras empresas nao financeiras','particulares') THEN 'CCM'</v>
      </c>
      <c r="BW63" t="str">
        <f t="shared" si="30"/>
        <v>WHEN  AND TRIM(CKMETAMIS) IN('AI0202', 'AI0222', 'AI0242', 'AI0313', 'AI0333', 'AI0353') AND TRIM(CKPRODMI) IN('096MC3', '096MC7', '096FG5', '096FL5', '096FI5', '096FN5', '096YC3') AND TRIM(CONTRAPARTE) IN('outras empresas nao financeiras','particulares') THEN 'No'</v>
      </c>
      <c r="BX63" t="str">
        <f t="shared" si="31"/>
        <v>,CASE WHEN  AND TRIM(CKMETAMIS) IN('AI0202', 'AI0222', 'AI0242', 'AI0313', 'AI0333', 'AI0353') AND TRIM(CKPRODMI) IN('096MC3', '096MC7', '096FG5', '096FL5', '096FI5', '096FN5', '096YC3') AND TRIM(CONTRAPARTE) IN('outras empresas nao financeiras','particulares') THEN 1 ELSE 0 END AS FLAG_61</v>
      </c>
      <c r="BY63" t="str">
        <f t="shared" si="32"/>
        <v>WHEN  AND TRIM(CKMETAMIS) IN('AI0202', 'AI0222', 'AI0242', 'AI0313', 'AI0333', 'AI0353') AND TRIM(CKPRODMI) IN('096MC3', '096MC7', '096FG5', '096FL5', '096FI5', '096FN5', '096YC3') AND TRIM(CONTRAPARTE) IN('outras empresas nao financeiras','particulares') THEN 61</v>
      </c>
      <c r="BZ63" s="5" t="str">
        <f t="shared" si="33"/>
        <v>+ CASE WHEN  AND TRIM(CKMETAMIS) IN('AI0202', 'AI0222', 'AI0242', 'AI0313', 'AI0333', 'AI0353') AND TRIM(CKPRODMI) IN('096MC3', '096MC7', '096FG5', '096FL5', '096FI5', '096FN5', '096YC3') AND TRIM(CONTRAPARTE) IN('outras empresas nao financeiras','particulares') THEN 1 ELSE 0 END</v>
      </c>
      <c r="CA63" s="5" t="str">
        <f t="shared" si="34"/>
        <v>,FLAG_61</v>
      </c>
    </row>
    <row r="64" spans="1:79" x14ac:dyDescent="0.25">
      <c r="A64" s="31">
        <f t="shared" si="35"/>
        <v>62</v>
      </c>
      <c r="B64" s="1" t="s">
        <v>1574</v>
      </c>
      <c r="C64" s="1">
        <v>4</v>
      </c>
      <c r="D64" s="1" t="s">
        <v>1575</v>
      </c>
      <c r="E64" s="1" t="s">
        <v>1590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 t="s">
        <v>1591</v>
      </c>
      <c r="Q64" s="1"/>
      <c r="R64" s="1"/>
      <c r="S64" s="1"/>
      <c r="T64" s="1" t="s">
        <v>1577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 t="s">
        <v>1592</v>
      </c>
      <c r="AP64" s="1" t="s">
        <v>1580</v>
      </c>
      <c r="AQ64" s="1" t="s">
        <v>1581</v>
      </c>
      <c r="AR64" s="1" t="s">
        <v>1582</v>
      </c>
      <c r="AS64" s="5" t="s">
        <v>1670</v>
      </c>
      <c r="AT64" t="str">
        <f t="shared" si="2"/>
        <v/>
      </c>
      <c r="AU64" t="str">
        <f t="shared" si="3"/>
        <v xml:space="preserve"> AND TRIM(CKPRODMI) IN ('000045','000051','000053')</v>
      </c>
      <c r="AV64" t="str">
        <f t="shared" si="4"/>
        <v/>
      </c>
      <c r="AW64" t="str">
        <f t="shared" si="5"/>
        <v/>
      </c>
      <c r="AX64" t="str">
        <f t="shared" si="6"/>
        <v/>
      </c>
      <c r="AY64" t="str">
        <f t="shared" si="7"/>
        <v xml:space="preserve"> AND TRIM(CONTRAPARTE) IN('outras empresas nao financeiras','particulares')</v>
      </c>
      <c r="AZ64" t="str">
        <f t="shared" si="8"/>
        <v/>
      </c>
      <c r="BA64" t="str">
        <f t="shared" si="9"/>
        <v/>
      </c>
      <c r="BB64" t="str">
        <f t="shared" si="10"/>
        <v/>
      </c>
      <c r="BC64" t="str">
        <f t="shared" si="11"/>
        <v/>
      </c>
      <c r="BD64" t="str">
        <f t="shared" si="12"/>
        <v/>
      </c>
      <c r="BE64" t="str">
        <f t="shared" si="13"/>
        <v/>
      </c>
      <c r="BF64" t="str">
        <f t="shared" si="14"/>
        <v/>
      </c>
      <c r="BG64" t="str">
        <f t="shared" si="15"/>
        <v/>
      </c>
      <c r="BH64" t="str">
        <f t="shared" si="16"/>
        <v/>
      </c>
      <c r="BI64" t="str">
        <f t="shared" si="17"/>
        <v/>
      </c>
      <c r="BJ64" t="str">
        <f t="shared" si="18"/>
        <v/>
      </c>
      <c r="BK64" t="str">
        <f t="shared" si="19"/>
        <v/>
      </c>
      <c r="BL64" t="str">
        <f t="shared" si="20"/>
        <v/>
      </c>
      <c r="BM64" t="str">
        <f t="shared" si="21"/>
        <v/>
      </c>
      <c r="BN64" t="str">
        <f t="shared" si="22"/>
        <v/>
      </c>
      <c r="BO64" t="str">
        <f t="shared" si="23"/>
        <v/>
      </c>
      <c r="BP64" t="str">
        <f t="shared" si="24"/>
        <v/>
      </c>
      <c r="BQ64" t="str">
        <f t="shared" si="25"/>
        <v/>
      </c>
      <c r="BS64" t="str">
        <f t="shared" si="26"/>
        <v>WHEN  AND TRIM(CKPRODMI) IN ('000045','000051','000053') AND TRIM(CONTRAPARTE) IN('outras empresas nao financeiras','particulares') THEN 'Nao Aplicavel'</v>
      </c>
      <c r="BT64" t="str">
        <f t="shared" si="27"/>
        <v>WHEN  AND TRIM(CKPRODMI) IN ('000045','000051','000053') AND TRIM(CONTRAPARTE) IN('outras empresas nao financeiras','particulares') THEN 'Motor vehicle loans'</v>
      </c>
      <c r="BU64" t="str">
        <f t="shared" si="28"/>
        <v>WHEN  AND TRIM(CKPRODMI) IN ('000045','000051','000053') AND TRIM(CONTRAPARTE) IN('outras empresas nao financeiras','particulares') THEN 'Specific purpose'</v>
      </c>
      <c r="BV64" t="str">
        <f t="shared" si="29"/>
        <v>WHEN  AND TRIM(CKPRODMI) IN ('000045','000051','000053') AND TRIM(CONTRAPARTE) IN('outras empresas nao financeiras','particulares') THEN 'CCM'</v>
      </c>
      <c r="BW64" t="str">
        <f t="shared" si="30"/>
        <v>WHEN  AND TRIM(CKPRODMI) IN ('000045','000051','000053') AND TRIM(CONTRAPARTE) IN('outras empresas nao financeiras','particulares') THEN 'No'</v>
      </c>
      <c r="BX64" t="str">
        <f t="shared" si="31"/>
        <v>,CASE WHEN  AND TRIM(CKPRODMI) IN ('000045','000051','000053') AND TRIM(CONTRAPARTE) IN('outras empresas nao financeiras','particulares') THEN 1 ELSE 0 END AS FLAG_62</v>
      </c>
      <c r="BY64" t="str">
        <f t="shared" si="32"/>
        <v>WHEN  AND TRIM(CKPRODMI) IN ('000045','000051','000053') AND TRIM(CONTRAPARTE) IN('outras empresas nao financeiras','particulares') THEN 62</v>
      </c>
      <c r="BZ64" s="5" t="str">
        <f t="shared" si="33"/>
        <v>+ CASE WHEN  AND TRIM(CKPRODMI) IN ('000045','000051','000053') AND TRIM(CONTRAPARTE) IN('outras empresas nao financeiras','particulares') THEN 1 ELSE 0 END</v>
      </c>
      <c r="CA64" s="5" t="str">
        <f t="shared" si="34"/>
        <v>,FLAG_62</v>
      </c>
    </row>
    <row r="65" spans="1:79" x14ac:dyDescent="0.25">
      <c r="A65" s="31">
        <f t="shared" si="35"/>
        <v>63</v>
      </c>
      <c r="B65" s="1" t="s">
        <v>1574</v>
      </c>
      <c r="C65" s="1">
        <v>5</v>
      </c>
      <c r="D65" s="1" t="s">
        <v>1575</v>
      </c>
      <c r="E65" s="1" t="s">
        <v>1590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1593</v>
      </c>
      <c r="Q65" s="1"/>
      <c r="R65" s="1"/>
      <c r="S65" s="1"/>
      <c r="T65" s="1" t="s">
        <v>1577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 t="s">
        <v>1594</v>
      </c>
      <c r="AG65" s="1"/>
      <c r="AH65" s="1"/>
      <c r="AI65" s="1"/>
      <c r="AJ65" s="1"/>
      <c r="AK65" s="1"/>
      <c r="AL65" s="1"/>
      <c r="AM65" s="1"/>
      <c r="AN65" s="1"/>
      <c r="AO65" s="1" t="s">
        <v>1592</v>
      </c>
      <c r="AP65" s="1" t="s">
        <v>1580</v>
      </c>
      <c r="AQ65" s="1" t="s">
        <v>1581</v>
      </c>
      <c r="AR65" s="1" t="s">
        <v>1582</v>
      </c>
      <c r="AS65" s="5" t="s">
        <v>1670</v>
      </c>
      <c r="AT65" t="str">
        <f t="shared" si="2"/>
        <v/>
      </c>
      <c r="AU65" t="str">
        <f t="shared" si="3"/>
        <v xml:space="preserve"> AND TRIM(CKPRODMI) = '000042'</v>
      </c>
      <c r="AV65" t="str">
        <f t="shared" si="4"/>
        <v/>
      </c>
      <c r="AW65" t="str">
        <f t="shared" si="5"/>
        <v/>
      </c>
      <c r="AX65" t="str">
        <f t="shared" si="6"/>
        <v/>
      </c>
      <c r="AY65" t="str">
        <f t="shared" si="7"/>
        <v xml:space="preserve"> AND TRIM(CONTRAPARTE) IN('outras empresas nao financeiras','particulares')</v>
      </c>
      <c r="AZ65" t="str">
        <f t="shared" si="8"/>
        <v/>
      </c>
      <c r="BA65" t="str">
        <f t="shared" si="9"/>
        <v/>
      </c>
      <c r="BB65" t="str">
        <f t="shared" si="10"/>
        <v/>
      </c>
      <c r="BC65" t="str">
        <f t="shared" si="11"/>
        <v/>
      </c>
      <c r="BD65" t="str">
        <f t="shared" si="12"/>
        <v/>
      </c>
      <c r="BE65" t="str">
        <f t="shared" si="13"/>
        <v/>
      </c>
      <c r="BF65" t="str">
        <f t="shared" si="14"/>
        <v/>
      </c>
      <c r="BG65" t="str">
        <f t="shared" si="15"/>
        <v/>
      </c>
      <c r="BH65" t="str">
        <f t="shared" si="16"/>
        <v/>
      </c>
      <c r="BI65" t="str">
        <f t="shared" si="17"/>
        <v/>
      </c>
      <c r="BJ65" t="str">
        <f t="shared" si="18"/>
        <v/>
      </c>
      <c r="BK65" t="str">
        <f t="shared" si="19"/>
        <v xml:space="preserve"> AND TRIM(TIPO_EQP) IN ('254','257','146','256','121','252','242','148','255','141','241','251','144','253','243','143','180','181','713','712','244','203','147','145','142','122','120')</v>
      </c>
      <c r="BL65" t="str">
        <f t="shared" si="20"/>
        <v/>
      </c>
      <c r="BM65" t="str">
        <f t="shared" si="21"/>
        <v/>
      </c>
      <c r="BN65" t="str">
        <f t="shared" si="22"/>
        <v/>
      </c>
      <c r="BO65" t="str">
        <f t="shared" si="23"/>
        <v/>
      </c>
      <c r="BP65" t="str">
        <f t="shared" si="24"/>
        <v/>
      </c>
      <c r="BQ65" t="str">
        <f t="shared" si="25"/>
        <v/>
      </c>
      <c r="BS65" t="str">
        <f t="shared" si="26"/>
        <v>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'Nao Aplicavel'</v>
      </c>
      <c r="BT65" t="str">
        <f t="shared" si="27"/>
        <v>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'Motor vehicle loans'</v>
      </c>
      <c r="BU65" t="str">
        <f t="shared" si="28"/>
        <v>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'Specific purpose'</v>
      </c>
      <c r="BV65" t="str">
        <f t="shared" si="29"/>
        <v>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'CCM'</v>
      </c>
      <c r="BW65" t="str">
        <f t="shared" si="30"/>
        <v>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'No'</v>
      </c>
      <c r="BX65" t="str">
        <f t="shared" si="31"/>
        <v>,CASE 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1 ELSE 0 END AS FLAG_63</v>
      </c>
      <c r="BY65" t="str">
        <f t="shared" si="32"/>
        <v>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63</v>
      </c>
      <c r="BZ65" s="5" t="str">
        <f t="shared" si="33"/>
        <v>+ CASE WHEN  AND TRIM(CKPRODMI) = '000042' AND TRIM(CONTRAPARTE) IN('outras empresas nao financeiras','particulares') AND TRIM(TIPO_EQP) IN ('254','257','146','256','121','252','242','148','255','141','241','251','144','253','243','143','180','181','713','712','244','203','147','145','142','122','120') THEN 1 ELSE 0 END</v>
      </c>
      <c r="CA65" s="5" t="str">
        <f t="shared" si="34"/>
        <v>,FLAG_63</v>
      </c>
    </row>
    <row r="66" spans="1:79" x14ac:dyDescent="0.25">
      <c r="A66" s="31">
        <f t="shared" si="35"/>
        <v>64</v>
      </c>
      <c r="B66" s="1" t="s">
        <v>1574</v>
      </c>
      <c r="C66" s="1">
        <v>12</v>
      </c>
      <c r="D66" s="1" t="s">
        <v>1575</v>
      </c>
      <c r="E66" s="1" t="s">
        <v>1606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 t="s">
        <v>1607</v>
      </c>
      <c r="T66" s="1" t="s">
        <v>1604</v>
      </c>
      <c r="U66" s="1"/>
      <c r="V66" s="1"/>
      <c r="W66" s="1" t="s">
        <v>1608</v>
      </c>
      <c r="X66" s="1"/>
      <c r="Y66" s="1"/>
      <c r="Z66" s="1"/>
      <c r="AA66" s="1" t="s">
        <v>1609</v>
      </c>
      <c r="AB66" s="1"/>
      <c r="AC66" s="1"/>
      <c r="AD66" s="1" t="s">
        <v>1610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 t="s">
        <v>1611</v>
      </c>
      <c r="AP66" s="1" t="s">
        <v>1580</v>
      </c>
      <c r="AQ66" s="1" t="s">
        <v>1581</v>
      </c>
      <c r="AR66" s="1" t="s">
        <v>1582</v>
      </c>
      <c r="AS66" s="5" t="s">
        <v>1670</v>
      </c>
      <c r="AT66" t="str">
        <f t="shared" si="2"/>
        <v/>
      </c>
      <c r="AU66" t="str">
        <f t="shared" si="3"/>
        <v/>
      </c>
      <c r="AV66" t="str">
        <f t="shared" si="4"/>
        <v/>
      </c>
      <c r="AW66" t="str">
        <f t="shared" si="5"/>
        <v/>
      </c>
      <c r="AX66" s="9" t="s">
        <v>2508</v>
      </c>
      <c r="AY66" t="str">
        <f t="shared" si="7"/>
        <v xml:space="preserve"> AND TRIM(CONTRAPARTE) = 'particulares'</v>
      </c>
      <c r="AZ66" t="str">
        <f t="shared" si="8"/>
        <v/>
      </c>
      <c r="BA66" t="str">
        <f t="shared" si="9"/>
        <v/>
      </c>
      <c r="BB66" t="str">
        <f t="shared" si="10"/>
        <v xml:space="preserve"> AND TRIM(PRDT_SPRDT) NOT IN ('096HGP','0960H8','096065')</v>
      </c>
      <c r="BC66" t="str">
        <f t="shared" si="11"/>
        <v/>
      </c>
      <c r="BD66" t="str">
        <f t="shared" si="12"/>
        <v/>
      </c>
      <c r="BE66" t="str">
        <f t="shared" si="13"/>
        <v/>
      </c>
      <c r="BF66" t="str">
        <f t="shared" si="14"/>
        <v xml:space="preserve"> AND TRIM(CFAMILIA) IN ('02', '03', '04')</v>
      </c>
      <c r="BG66" t="str">
        <f t="shared" si="15"/>
        <v/>
      </c>
      <c r="BH66" t="str">
        <f t="shared" si="16"/>
        <v/>
      </c>
      <c r="BI66" t="str">
        <f t="shared" si="17"/>
        <v xml:space="preserve"> AND TRIM(PROPERTY_PURPOSE_CODE) = '01'</v>
      </c>
      <c r="BJ66" t="str">
        <f t="shared" si="18"/>
        <v/>
      </c>
      <c r="BK66" t="str">
        <f t="shared" si="19"/>
        <v/>
      </c>
      <c r="BL66" t="str">
        <f t="shared" si="20"/>
        <v/>
      </c>
      <c r="BM66" t="str">
        <f t="shared" si="21"/>
        <v/>
      </c>
      <c r="BN66" t="str">
        <f t="shared" si="22"/>
        <v/>
      </c>
      <c r="BO66" t="str">
        <f t="shared" si="23"/>
        <v/>
      </c>
      <c r="BP66" t="str">
        <f t="shared" si="24"/>
        <v/>
      </c>
      <c r="BQ66" t="str">
        <f t="shared" si="25"/>
        <v/>
      </c>
      <c r="BS66" t="str">
        <f t="shared" si="26"/>
        <v>WHEN  AND TRIM(EPC) NOT IN ('') AND EPC IS NOT NULL AND TRIM(CONTRAPARTE) = 'particulares' AND TRIM(PRDT_SPRDT) NOT IN ('096HGP','0960H8','096065') AND TRIM(CFAMILIA) IN ('02', '03', '04') AND TRIM(PROPERTY_PURPOSE_CODE) = '01' THEN 'Nao Aplicavel'</v>
      </c>
      <c r="BT66" t="str">
        <f t="shared" si="27"/>
        <v>WHEN  AND TRIM(EPC) NOT IN ('') AND EPC IS NOT NULL AND TRIM(CONTRAPARTE) = 'particulares' AND TRIM(PRDT_SPRDT) NOT IN ('096HGP','0960H8','096065') AND TRIM(CFAMILIA) IN ('02', '03', '04') AND TRIM(PROPERTY_PURPOSE_CODE) = '01' THEN 'Building acquisition'</v>
      </c>
      <c r="BU66" t="str">
        <f t="shared" si="28"/>
        <v>WHEN  AND TRIM(EPC) NOT IN ('') AND EPC IS NOT NULL AND TRIM(CONTRAPARTE) = 'particulares' AND TRIM(PRDT_SPRDT) NOT IN ('096HGP','0960H8','096065') AND TRIM(CFAMILIA) IN ('02', '03', '04') AND TRIM(PROPERTY_PURPOSE_CODE) = '01' THEN 'Specific purpose'</v>
      </c>
      <c r="BV66" t="str">
        <f t="shared" si="29"/>
        <v>WHEN  AND TRIM(EPC) NOT IN ('') AND EPC IS NOT NULL AND TRIM(CONTRAPARTE) = 'particulares' AND TRIM(PRDT_SPRDT) NOT IN ('096HGP','0960H8','096065') AND TRIM(CFAMILIA) IN ('02', '03', '04') AND TRIM(PROPERTY_PURPOSE_CODE) = '01' THEN 'CCM'</v>
      </c>
      <c r="BW66" t="str">
        <f t="shared" si="30"/>
        <v>WHEN  AND TRIM(EPC) NOT IN ('') AND EPC IS NOT NULL AND TRIM(CONTRAPARTE) = 'particulares' AND TRIM(PRDT_SPRDT) NOT IN ('096HGP','0960H8','096065') AND TRIM(CFAMILIA) IN ('02', '03', '04') AND TRIM(PROPERTY_PURPOSE_CODE) = '01' THEN 'No'</v>
      </c>
      <c r="BX66" t="str">
        <f t="shared" si="31"/>
        <v>,CASE WHEN  AND TRIM(EPC) NOT IN ('') AND EPC IS NOT NULL AND TRIM(CONTRAPARTE) = 'particulares' AND TRIM(PRDT_SPRDT) NOT IN ('096HGP','0960H8','096065') AND TRIM(CFAMILIA) IN ('02', '03', '04') AND TRIM(PROPERTY_PURPOSE_CODE) = '01' THEN 1 ELSE 0 END AS FLAG_64</v>
      </c>
      <c r="BY66" t="str">
        <f t="shared" si="32"/>
        <v>WHEN  AND TRIM(EPC) NOT IN ('') AND EPC IS NOT NULL AND TRIM(CONTRAPARTE) = 'particulares' AND TRIM(PRDT_SPRDT) NOT IN ('096HGP','0960H8','096065') AND TRIM(CFAMILIA) IN ('02', '03', '04') AND TRIM(PROPERTY_PURPOSE_CODE) = '01' THEN 64</v>
      </c>
      <c r="BZ66" s="5" t="str">
        <f t="shared" si="33"/>
        <v>+ CASE WHEN  AND TRIM(EPC) NOT IN ('') AND EPC IS NOT NULL AND TRIM(CONTRAPARTE) = 'particulares' AND TRIM(PRDT_SPRDT) NOT IN ('096HGP','0960H8','096065') AND TRIM(CFAMILIA) IN ('02', '03', '04') AND TRIM(PROPERTY_PURPOSE_CODE) = '01' THEN 1 ELSE 0 END</v>
      </c>
      <c r="CA66" s="5" t="str">
        <f t="shared" si="34"/>
        <v>,FLAG_64</v>
      </c>
    </row>
    <row r="67" spans="1:79" x14ac:dyDescent="0.25">
      <c r="A67" s="31">
        <f t="shared" si="35"/>
        <v>65</v>
      </c>
      <c r="B67" s="1" t="s">
        <v>1574</v>
      </c>
      <c r="C67" s="1">
        <v>13</v>
      </c>
      <c r="D67" s="1" t="s">
        <v>1575</v>
      </c>
      <c r="E67" s="1" t="s">
        <v>1606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 t="s">
        <v>1607</v>
      </c>
      <c r="T67" s="1" t="s">
        <v>1612</v>
      </c>
      <c r="U67" s="1"/>
      <c r="V67" s="1"/>
      <c r="W67" s="1" t="s">
        <v>1608</v>
      </c>
      <c r="X67" s="1"/>
      <c r="Y67" s="1"/>
      <c r="Z67" s="1"/>
      <c r="AA67" s="1" t="s">
        <v>1609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 t="s">
        <v>1611</v>
      </c>
      <c r="AP67" s="1" t="s">
        <v>1580</v>
      </c>
      <c r="AQ67" s="1" t="s">
        <v>1581</v>
      </c>
      <c r="AR67" s="1" t="s">
        <v>1582</v>
      </c>
      <c r="AS67" s="5" t="s">
        <v>1670</v>
      </c>
      <c r="AT67" t="str">
        <f t="shared" si="2"/>
        <v/>
      </c>
      <c r="AU67" t="str">
        <f t="shared" si="3"/>
        <v/>
      </c>
      <c r="AV67" t="str">
        <f t="shared" si="4"/>
        <v/>
      </c>
      <c r="AW67" t="str">
        <f t="shared" si="5"/>
        <v/>
      </c>
      <c r="AX67" s="9" t="s">
        <v>2508</v>
      </c>
      <c r="AY67" t="str">
        <f t="shared" si="7"/>
        <v xml:space="preserve"> AND TRIM(CONTRAPARTE) IN ('outras empresas nao financeiras','setor publico')</v>
      </c>
      <c r="AZ67" t="str">
        <f t="shared" si="8"/>
        <v/>
      </c>
      <c r="BA67" t="str">
        <f t="shared" si="9"/>
        <v/>
      </c>
      <c r="BB67" t="str">
        <f t="shared" si="10"/>
        <v xml:space="preserve"> AND TRIM(PRDT_SPRDT) NOT IN ('096HGP','0960H8','096065')</v>
      </c>
      <c r="BC67" t="str">
        <f t="shared" si="11"/>
        <v/>
      </c>
      <c r="BD67" t="str">
        <f t="shared" si="12"/>
        <v/>
      </c>
      <c r="BE67" t="str">
        <f t="shared" si="13"/>
        <v/>
      </c>
      <c r="BF67" t="str">
        <f t="shared" si="14"/>
        <v xml:space="preserve"> AND TRIM(CFAMILIA) IN ('02', '03', '04')</v>
      </c>
      <c r="BG67" t="str">
        <f t="shared" si="15"/>
        <v/>
      </c>
      <c r="BH67" t="str">
        <f t="shared" si="16"/>
        <v/>
      </c>
      <c r="BI67" t="str">
        <f t="shared" si="17"/>
        <v/>
      </c>
      <c r="BJ67" t="str">
        <f t="shared" si="18"/>
        <v/>
      </c>
      <c r="BK67" t="str">
        <f t="shared" si="19"/>
        <v/>
      </c>
      <c r="BL67" t="str">
        <f t="shared" si="20"/>
        <v/>
      </c>
      <c r="BM67" t="str">
        <f t="shared" si="21"/>
        <v/>
      </c>
      <c r="BN67" t="str">
        <f t="shared" si="22"/>
        <v/>
      </c>
      <c r="BO67" t="str">
        <f t="shared" si="23"/>
        <v/>
      </c>
      <c r="BP67" t="str">
        <f t="shared" si="24"/>
        <v/>
      </c>
      <c r="BQ67" t="str">
        <f t="shared" si="25"/>
        <v/>
      </c>
      <c r="BS67" t="str">
        <f t="shared" si="26"/>
        <v>WHEN  AND TRIM(EPC) NOT IN ('') AND EPC IS NOT NULL AND TRIM(CONTRAPARTE) IN ('outras empresas nao financeiras','setor publico') AND TRIM(PRDT_SPRDT) NOT IN ('096HGP','0960H8','096065') AND TRIM(CFAMILIA) IN ('02', '03', '04') THEN 'Nao Aplicavel'</v>
      </c>
      <c r="BT67" t="str">
        <f t="shared" si="27"/>
        <v>WHEN  AND TRIM(EPC) NOT IN ('') AND EPC IS NOT NULL AND TRIM(CONTRAPARTE) IN ('outras empresas nao financeiras','setor publico') AND TRIM(PRDT_SPRDT) NOT IN ('096HGP','0960H8','096065') AND TRIM(CFAMILIA) IN ('02', '03', '04') THEN 'Building acquisition'</v>
      </c>
      <c r="BU67" t="str">
        <f t="shared" si="28"/>
        <v>WHEN  AND TRIM(EPC) NOT IN ('') AND EPC IS NOT NULL AND TRIM(CONTRAPARTE) IN ('outras empresas nao financeiras','setor publico') AND TRIM(PRDT_SPRDT) NOT IN ('096HGP','0960H8','096065') AND TRIM(CFAMILIA) IN ('02', '03', '04') THEN 'Specific purpose'</v>
      </c>
      <c r="BV67" t="str">
        <f t="shared" si="29"/>
        <v>WHEN  AND TRIM(EPC) NOT IN ('') AND EPC IS NOT NULL AND TRIM(CONTRAPARTE) IN ('outras empresas nao financeiras','setor publico') AND TRIM(PRDT_SPRDT) NOT IN ('096HGP','0960H8','096065') AND TRIM(CFAMILIA) IN ('02', '03', '04') THEN 'CCM'</v>
      </c>
      <c r="BW67" t="str">
        <f t="shared" si="30"/>
        <v>WHEN  AND TRIM(EPC) NOT IN ('') AND EPC IS NOT NULL AND TRIM(CONTRAPARTE) IN ('outras empresas nao financeiras','setor publico') AND TRIM(PRDT_SPRDT) NOT IN ('096HGP','0960H8','096065') AND TRIM(CFAMILIA) IN ('02', '03', '04') THEN 'No'</v>
      </c>
      <c r="BX67" t="str">
        <f t="shared" si="31"/>
        <v>,CASE WHEN  AND TRIM(EPC) NOT IN ('') AND EPC IS NOT NULL AND TRIM(CONTRAPARTE) IN ('outras empresas nao financeiras','setor publico') AND TRIM(PRDT_SPRDT) NOT IN ('096HGP','0960H8','096065') AND TRIM(CFAMILIA) IN ('02', '03', '04') THEN 1 ELSE 0 END AS FLAG_65</v>
      </c>
      <c r="BY67" t="str">
        <f t="shared" si="32"/>
        <v>WHEN  AND TRIM(EPC) NOT IN ('') AND EPC IS NOT NULL AND TRIM(CONTRAPARTE) IN ('outras empresas nao financeiras','setor publico') AND TRIM(PRDT_SPRDT) NOT IN ('096HGP','0960H8','096065') AND TRIM(CFAMILIA) IN ('02', '03', '04') THEN 65</v>
      </c>
      <c r="BZ67" s="5" t="str">
        <f t="shared" si="33"/>
        <v>+ CASE WHEN  AND TRIM(EPC) NOT IN ('') AND EPC IS NOT NULL AND TRIM(CONTRAPARTE) IN ('outras empresas nao financeiras','setor publico') AND TRIM(PRDT_SPRDT) NOT IN ('096HGP','0960H8','096065') AND TRIM(CFAMILIA) IN ('02', '03', '04') THEN 1 ELSE 0 END</v>
      </c>
      <c r="CA67" s="5" t="str">
        <f t="shared" si="34"/>
        <v>,FLAG_65</v>
      </c>
    </row>
    <row r="68" spans="1:79" x14ac:dyDescent="0.25">
      <c r="A68" s="31">
        <f t="shared" si="35"/>
        <v>66</v>
      </c>
      <c r="B68" s="1" t="s">
        <v>1574</v>
      </c>
      <c r="C68" s="1">
        <v>27</v>
      </c>
      <c r="D68" s="1" t="s">
        <v>1575</v>
      </c>
      <c r="E68" s="1" t="s">
        <v>1628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1629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 t="s">
        <v>1630</v>
      </c>
      <c r="AM68" s="1"/>
      <c r="AN68" s="1"/>
      <c r="AO68" s="1" t="s">
        <v>1631</v>
      </c>
      <c r="AP68" s="1" t="s">
        <v>1580</v>
      </c>
      <c r="AQ68" s="1" t="s">
        <v>1581</v>
      </c>
      <c r="AR68" s="1" t="s">
        <v>1582</v>
      </c>
      <c r="AS68" s="5" t="s">
        <v>1670</v>
      </c>
      <c r="AT68" t="str">
        <f t="shared" ref="AT68:AT70" si="36">+IF(LEN(TRIM(O68))&gt;0,
IF(OR(LEFT(O68,2)="IN",LEFT(O68,3)="NOT",LEFT(O68,4)="LIKE",LEFT(O68,1)="&lt;",LEFT(O68,1)="&gt;"),UPPER($AT$1)&amp;" "&amp;TRIM(O68),UPPER($AT$1)&amp;" = "&amp;TRIM(O68)),"")</f>
        <v/>
      </c>
      <c r="AU68" t="str">
        <f t="shared" ref="AU68:AU70" si="37">+IF(LEN(TRIM(P68))&gt;0,
IF(OR(LEFT(P68,2)="IN",LEFT(P68,3)="NOT",LEFT(P68,4)="LIKE",LEFT(P68,1)="&lt;",LEFT(P68,1)="&gt;"),UPPER($AU$1)&amp;" "&amp;TRIM(P68),UPPER($AU$1)&amp;" = "&amp;TRIM(P68)),"")</f>
        <v/>
      </c>
      <c r="AV68" t="str">
        <f t="shared" ref="AV68:AV70" si="38">+IF(LEN(TRIM(Q68))&gt;0,
IF(OR(LEFT(Q68,2)="IN",LEFT(Q68,3)="NOT",LEFT(Q68,4)="LIKE",LEFT(Q68,1)="&lt;",LEFT(Q68,1)="&gt;"),UPPER($AV$1)&amp;" "&amp;TRIM(Q68),UPPER($AV$1)&amp;" = "&amp;TRIM(Q68)),"")</f>
        <v/>
      </c>
      <c r="AW68" t="str">
        <f t="shared" ref="AW68:AW70" si="39">+IF(LEN(TRIM(R68))&gt;0,
IF(OR(LEFT(R68,2)="IN",LEFT(R68,3)="NOT",LEFT(R68,4)="LIKE",LEFT(R68,1)="&lt;",LEFT(R68,1)="&gt;"),UPPER($AW$1)&amp;" "&amp;TRIM(R68),UPPER($AW$1)&amp;" = "&amp;TRIM(R68)),"")</f>
        <v/>
      </c>
      <c r="AX68" t="str">
        <f t="shared" ref="AX68:AX70" si="40">+IF(LEN(TRIM(S68))&gt;0,
IF(OR(LEFT(S68,2)="IN",LEFT(S68,3)="NOT",LEFT(S68,4)="LIKE",LEFT(S68,1)="&lt;",LEFT(S68,1)="&gt;"),UPPER($AX$1)&amp;" "&amp;TRIM(S68),UPPER($AX$1)&amp;" = "&amp;TRIM(S68)),"")</f>
        <v/>
      </c>
      <c r="AY68" t="str">
        <f t="shared" ref="AY68:AY70" si="41">+IF(LEN(TRIM(T68))&gt;0,
IF(OR(LEFT(T68,2)="IN",LEFT(T68,3)="NOT",LEFT(T68,4)="LIKE",LEFT(T68,1)="&lt;",LEFT(T68,1)="&gt;"),UPPER($AY$1)&amp;" "&amp;TRIM(T68),UPPER($AY$1)&amp;" = "&amp;TRIM(T68)),"")</f>
        <v xml:space="preserve"> AND TRIM(CONTRAPARTE) IN('outras empresas nao financeiras','setor publico','particulares')</v>
      </c>
      <c r="AZ68" t="str">
        <f t="shared" ref="AZ68:AZ70" si="42">+IF(LEN(TRIM(U68))&gt;0,
IF(OR(LEFT(U68,2)="IN",LEFT(U68,3)="NOT",LEFT(U68,4)="LIKE",LEFT(U68,1)="&lt;",LEFT(U68,1)="&gt;"),UPPER($AZ$1)&amp;" "&amp;TRIM(U68),UPPER($AZ$1)&amp;" = "&amp;TRIM(U68)),"")</f>
        <v/>
      </c>
      <c r="BA68" t="str">
        <f t="shared" ref="BA68:BA70" si="43">+IF(LEN(TRIM(V68))&gt;0,
IF(OR(LEFT(V68,2)="IN",LEFT(V68,3)="NOT",LEFT(V68,4)="LIKE",LEFT(V68,1)="&lt;",LEFT(V68,1)="&gt;"),UPPER($BA$1)&amp;" "&amp;TRIM(V68),UPPER($BA$1)&amp;" = "&amp;TRIM(V68)),"")</f>
        <v/>
      </c>
      <c r="BB68" t="str">
        <f t="shared" ref="BB68:BB70" si="44">+IF(LEN(TRIM(W68))&gt;0,
IF(OR(LEFT(W68,2)="IN",LEFT(W68,3)="NOT",LEFT(W68,4)="LIKE",LEFT(W68,1)="&lt;",LEFT(W68,1)="&gt;"),UPPER($BB$1)&amp;" "&amp;TRIM(W68),UPPER($BB$1)&amp;" = "&amp;TRIM(W68)),"")</f>
        <v/>
      </c>
      <c r="BC68" t="str">
        <f t="shared" ref="BC68:BC70" si="45">+IF(LEN(TRIM(X68))&gt;0,
IF(OR(LEFT(X68,2)="IN",LEFT(X68,3)="NOT",LEFT(X68,4)="LIKE",LEFT(X68,1)="&lt;",LEFT(X68,1)="&gt;"),UPPER($BC$1)&amp;" "&amp;TRIM(X68),UPPER($BC$1)&amp;" = "&amp;TRIM(X68)),"")</f>
        <v/>
      </c>
      <c r="BD68" t="str">
        <f t="shared" ref="BD68:BD70" si="46">+IF(LEN(TRIM(Y68))&gt;0,
IF(OR(LEFT(Y68,2)="IN",LEFT(Y68,3)="NOT",LEFT(Y68,4)="LIKE",LEFT(Y68,1)="&lt;",LEFT(Y68,1)="&gt;"),UPPER($BD$1)&amp;" "&amp;TRIM(Y68),UPPER($BD$1)&amp;" = "&amp;TRIM(Y68)),"")</f>
        <v/>
      </c>
      <c r="BE68" t="str">
        <f t="shared" ref="BE68:BE70" si="47">+IF(LEN(TRIM(Z68))&gt;0,
IF(OR(LEFT(Z68,2)="IN",LEFT(Z68,3)="NOT",LEFT(Z68,4)="LIKE",LEFT(Z68,1)="&lt;",LEFT(Z68,1)="&gt;",LEFT(Z68,1)="="),UPPER($BE$1)&amp;" "&amp;TRIM(Z68),UPPER($BE$1)&amp;" = "&amp;TRIM(Z68)),"")</f>
        <v/>
      </c>
      <c r="BF68" t="str">
        <f t="shared" ref="BF68:BF70" si="48">+IF(LEN(TRIM(AA68))&gt;0,
IF(OR(LEFT(AA68,2)="IN",LEFT(AA68,3)="NOT",LEFT(AA68,4)="LIKE",LEFT(AA68,1)="&lt;",LEFT(AA68,1)="&gt;"),UPPER($BF$1)&amp;" "&amp;TRIM(AA68),UPPER($BF$1)&amp;" = "&amp;TRIM(AA68)),"")</f>
        <v/>
      </c>
      <c r="BG68" t="str">
        <f t="shared" ref="BG68:BG70" si="49">+IF(LEN(TRIM(AB68))&gt;0,
IF(OR(LEFT(AB68,2)="IN",LEFT(AB68,3)="NOT",LEFT(AB68,4)="LIKE",LEFT(AB68,1)="&lt;",LEFT(AB68,1)="&gt;"),UPPER($BG$1)&amp;" "&amp;TRIM(AB68),UPPER($BG$1)&amp;" = "&amp;TRIM(AB68)),"")</f>
        <v/>
      </c>
      <c r="BH68" t="str">
        <f t="shared" ref="BH68:BH70" si="50">+IF(LEN(TRIM(AC68))&gt;0,
IF(OR(LEFT(AC68,2)="IN",LEFT(AC68,3)="NOT",LEFT(AC68,4)="LIKE",LEFT(AC68,1)="&lt;",LEFT(AC68,1)="&gt;"),UPPER($BH$1)&amp;" "&amp;TRIM(AC68),UPPER($BH$1)&amp;" = "&amp;TRIM(AC68)),"")</f>
        <v/>
      </c>
      <c r="BI68" t="str">
        <f t="shared" ref="BI68:BI70" si="51">+IF(LEN(TRIM(AD68))&gt;0,
IF(OR(LEFT(AD68,2)="IN",LEFT(AD68,3)="NOT",LEFT(AD68,4)="LIKE",LEFT(AD68,1)="&lt;",LEFT(AD68,1)="&gt;"),UPPER($BI$1)&amp;" "&amp;TRIM(AD68),UPPER($BI$1)&amp;" = "&amp;TRIM(AD68)),"")</f>
        <v/>
      </c>
      <c r="BJ68" t="str">
        <f t="shared" ref="BJ68:BJ70" si="52">+IF(LEN(TRIM(AE68))&gt;0,
IF(OR(LEFT(AE68,2)="IN",LEFT(AE68,3)="NOT",LEFT(AE68,4)="LIKE",LEFT(AE68,1)="&lt;",LEFT(AE68,1)="&gt;"),UPPER($BJ$1)&amp;" "&amp;TRIM(AE68),UPPER($BJ$1)&amp;" = "&amp;TRIM(AE68)),"")</f>
        <v/>
      </c>
      <c r="BK68" t="str">
        <f t="shared" ref="BK68:BK70" si="53">+IF(LEN(TRIM(AF68))&gt;0,
IF(OR(LEFT(AF68,2)="IN",LEFT(AF68,3)="NOT",LEFT(AF68,4)="LIKE",LEFT(AF68,1)="&lt;",LEFT(AF68,1)="&gt;"),UPPER($BK$1)&amp;" "&amp;TRIM(AF68),UPPER($BK$1)&amp;" = "&amp;TRIM(AF68)),"")</f>
        <v/>
      </c>
      <c r="BL68" t="str">
        <f t="shared" ref="BL68:BL70" si="54">+IF(LEN(TRIM(AG68))&gt;0,
IF(OR(LEFT(AG68,2)="IN",LEFT(AG68,3)="NOT",LEFT(AG68,4)="LIKE",LEFT(AG68,1)="&lt;",LEFT(AG68,1)="&gt;"),UPPER($BL$1)&amp;" "&amp;TRIM(AG68),UPPER($BL$1)&amp;" = "&amp;TRIM(AG68)),"")</f>
        <v/>
      </c>
      <c r="BM68" t="str">
        <f t="shared" ref="BM68:BM70" si="55">+IF(LEN(TRIM(AH68))&gt;0,
IF(OR(LEFT(AH68,2)="IN",LEFT(AH68,3)="NOT",LEFT(AH68,4)="LIKE",LEFT(AH68,1)="&lt;",LEFT(AH68,1)="&gt;"),UPPER($BM$1)&amp;" "&amp;TRIM(AH68),UPPER($BM$1)&amp;" = "&amp;TRIM(AH68)),"")</f>
        <v/>
      </c>
      <c r="BN68" t="str">
        <f t="shared" ref="BN68:BN70" si="56">+IF(LEN(TRIM(AI68))&gt;0,
IF(OR(LEFT(AI68,2)="IN",LEFT(AI68,3)="NOT",LEFT(AI68,4)="LIKE",LEFT(AI68,1)="&lt;",LEFT(AI68,1)="&gt;"),UPPER($BN$1)&amp;" "&amp;TRIM(AI68),UPPER($BN$1)&amp;" = "&amp;TRIM(AI68)),"")</f>
        <v/>
      </c>
      <c r="BO68" t="str">
        <f t="shared" ref="BO68:BO70" si="57">+IF(LEN(TRIM(AJ68))&gt;0,
IF(OR(LEFT(AJ68,2)="IN",LEFT(AJ68,3)="NOT",LEFT(AJ68,4)="LIKE",LEFT(AJ68,1)="&lt;",LEFT(AJ68,1)="&gt;"),UPPER($BO$1)&amp;" "&amp;TRIM(AJ68),UPPER($BO$1)&amp;" = "&amp;TRIM(AJ68)),"")</f>
        <v/>
      </c>
      <c r="BP68" t="str">
        <f t="shared" ref="BP68:BP70" si="58">+IF(LEN(TRIM(AK68))&gt;0,
IF(OR(LEFT(AK68,2)="IN",LEFT(AK68,3)="NOT",LEFT(AK68,4)="LIKE",LEFT(AK68,1)="&lt;",LEFT(AK68,1)="&gt;"),UPPER($BP$1)&amp;" "&amp;TRIM(AK68),UPPER($BP$1)&amp;" = "&amp;TRIM(AK68)),"")</f>
        <v/>
      </c>
      <c r="BQ68" t="str">
        <f t="shared" ref="BQ68:BQ70" si="59">+IF(LEN(TRIM(AL68))&gt;0,
IF(OR(LEFT(AL68,2)="IN",LEFT(AL68,3)="NOT",LEFT(AL68,4)="LIKE",LEFT(AL68,1)="&lt;",LEFT(AL68,1)="&gt;"),UPPER($BQ$1)&amp;" "&amp;TRIM(AL68),UPPER($BQ$1)&amp;" = "&amp;TRIM(AL68)),"")</f>
        <v xml:space="preserve"> AND TRIM(NOME_CTGR_SFICS) NOT IN ('A.7.12.','A.7.18.','A.7.7.','','Nao Aplicavel','Sustainability Linked Finance - Default','Pure Green counterparty - Default')</v>
      </c>
      <c r="BS68" t="str">
        <f t="shared" ref="BS68:BS70" si="60">+"WHEN "&amp;CONCATENATE(AT68,AU68,AV68,AW68,AX68,AY68,AZ68,BA68,BB68,BC68,BD68,BE68,BF68,BG68,BH68,BI68,BJ68,BK68,BL68,BM68,BN68,BO68,BP68,BQ68)&amp;" THEN "&amp;IF(LEN(TRIM(AN68))&gt;0,AN68,"'Nao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'Nao Aplicavel'</v>
      </c>
      <c r="BT68" t="str">
        <f t="shared" ref="BT68:BT70" si="61">+"WHEN "&amp;CONCATENATE(AT68,AU68,AV68,AW68,AX68,AY68,AZ68,BA68,BB68,BC68,BD68,BE68,BF68,BG68,BH68,BI68,BJ68,BK68,BL68,BM68,BN68,BO68,BP68,BQ68)&amp;" THEN "&amp;IF(LEN(TRIM(AO68))&gt;0,AO68,"'Nao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'Other purpose'</v>
      </c>
      <c r="BU68" t="str">
        <f t="shared" ref="BU68:BU70" si="62">+"WHEN "&amp;CONCATENATE(AT68,AU68,AV68,AW68,AX68,AY68,AZ68,BA68,BB68,BC68,BD68,BE68,BF68,BG68,BH68,BI68,BJ68,BK68,BL68,BM68,BN68,BO68,BP68,BQ68)&amp;" THEN "&amp;IF(LEN(TRIM(AP68))&gt;0,AP68,"'Nao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'Specific purpose'</v>
      </c>
      <c r="BV68" t="str">
        <f t="shared" ref="BV68:BV70" si="63">+"WHEN "&amp;CONCATENATE(AT68,AU68,AV68,AW68,AX68,AY68,AZ68,BA68,BB68,BC68,BD68,BE68,BF68,BG68,BH68,BI68,BJ68,BK68,BL68,BM68,BN68,BO68,BP68,BQ68)&amp;" THEN "&amp;IF(LEN(TRIM(AQ68))&gt;0,AQ68,"'Nao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'CCM'</v>
      </c>
      <c r="BW68" t="str">
        <f t="shared" ref="BW68:BW70" si="64">+"WHEN "&amp;CONCATENATE(AT68,AU68,AV68,AW68,AX68,AY68,AZ68,BA68,BB68,BC68,BD68,BE68,BF68,BG68,BH68,BI68,BJ68,BK68,BL68,BM68,BN68,BO68,BP68,BQ68)&amp;" THEN "&amp;IF(LEN(TRIM(AR68))&gt;0,AR68,"'Nao Aplicavel'")</f>
        <v>WHEN  AND TRIM(CONTRAPARTE) IN('outras empresas nao financeiras','setor publico','particulares') AND TRIM(NOME_CTGR_SFICS) NOT IN ('A.7.12.','A.7.18.','A.7.7.','','Nao Aplicavel','Sustainability Linked Finance - Default','Pure Green counterparty - Default') THEN 'No'</v>
      </c>
      <c r="BX68" t="str">
        <f t="shared" ref="BX68:BX69" si="65">+",CASE WHEN "&amp;CONCATENATE(AT68,AU68,AV68,AW68,AX68,AY68,AZ68,BA68,BB68,BC68,BD68,BE68,BF68,BG68,BH68,BI68,BJ68,BK68,BL68,BM68,BN68,BO68,BP68,BQ68)&amp;" THEN 1 ELSE 0 END AS FLAG_"&amp;A68</f>
        <v>,CASE WHEN  AND TRIM(CONTRAPARTE) IN('outras empresas nao financeiras','setor publico','particulares') AND TRIM(NOME_CTGR_SFICS) NOT IN ('A.7.12.','A.7.18.','A.7.7.','','Nao Aplicavel','Sustainability Linked Finance - Default','Pure Green counterparty - Default') THEN 1 ELSE 0 END AS FLAG_66</v>
      </c>
      <c r="BY68" t="str">
        <f t="shared" ref="BY68:BY70" si="66">+"WHEN "&amp;CONCATENATE(AT68,AU68,AV68,AW68,AX68,AY68,AZ68,BA68,BB68,BC68,BD68,BE68,BF68,BG68,BH68,BI68,BJ68,BK68,BL68,BM68,BN68,BO68,BP68,BQ68)&amp;" THEN "&amp;A68</f>
        <v>WHEN  AND TRIM(CONTRAPARTE) IN('outras empresas nao financeiras','setor publico','particulares') AND TRIM(NOME_CTGR_SFICS) NOT IN ('A.7.12.','A.7.18.','A.7.7.','','Nao Aplicavel','Sustainability Linked Finance - Default','Pure Green counterparty - Default') THEN 66</v>
      </c>
      <c r="BZ68" s="5" t="str">
        <f t="shared" ref="BZ68:BZ69" si="67">+"+ CASE WHEN "&amp;CONCATENATE(AT68,AU68,AV68,AW68,AX68,AY68,AZ68,BA68,BB68,BC68,BD68,BE68,BF68,BG68,BH68,BI68,BJ68,BK68,BL68,BM68,BN68,BO68,BP68,BQ68)&amp;" THEN 1 ELSE 0 END"</f>
        <v>+ CASE WHEN  AND TRIM(CONTRAPARTE) IN('outras empresas nao financeiras','setor publico','particulares') AND TRIM(NOME_CTGR_SFICS) NOT IN ('A.7.12.','A.7.18.','A.7.7.','','Nao Aplicavel','Sustainability Linked Finance - Default','Pure Green counterparty - Default') THEN 1 ELSE 0 END</v>
      </c>
      <c r="CA68" s="5" t="str">
        <f t="shared" ref="CA68:CA69" si="68">+",FLAG_"&amp;A68</f>
        <v>,FLAG_66</v>
      </c>
    </row>
    <row r="69" spans="1:79" x14ac:dyDescent="0.25">
      <c r="A69" s="31">
        <f t="shared" ref="A69:A70" si="69">+A68+1</f>
        <v>67</v>
      </c>
      <c r="B69" s="1" t="s">
        <v>1574</v>
      </c>
      <c r="C69" s="1">
        <v>31</v>
      </c>
      <c r="D69" s="1" t="s">
        <v>1575</v>
      </c>
      <c r="E69" s="1" t="s">
        <v>1628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1629</v>
      </c>
      <c r="U69" s="1" t="s">
        <v>44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 t="s">
        <v>1635</v>
      </c>
      <c r="AM69" s="1"/>
      <c r="AN69" s="1"/>
      <c r="AO69" s="1" t="s">
        <v>1631</v>
      </c>
      <c r="AP69" s="1" t="s">
        <v>1580</v>
      </c>
      <c r="AQ69" s="1" t="s">
        <v>1581</v>
      </c>
      <c r="AR69" s="1" t="s">
        <v>1582</v>
      </c>
      <c r="AS69" s="5" t="s">
        <v>1670</v>
      </c>
      <c r="AT69" t="str">
        <f t="shared" si="36"/>
        <v/>
      </c>
      <c r="AU69" t="str">
        <f t="shared" si="37"/>
        <v/>
      </c>
      <c r="AV69" t="str">
        <f t="shared" si="38"/>
        <v/>
      </c>
      <c r="AW69" t="str">
        <f t="shared" si="39"/>
        <v/>
      </c>
      <c r="AX69" t="str">
        <f t="shared" si="40"/>
        <v/>
      </c>
      <c r="AY69" t="str">
        <f t="shared" si="41"/>
        <v xml:space="preserve"> AND TRIM(CONTRAPARTE) IN('outras empresas nao financeiras','setor publico','particulares')</v>
      </c>
      <c r="AZ69" s="9" t="s">
        <v>2506</v>
      </c>
      <c r="BA69" t="str">
        <f t="shared" si="43"/>
        <v/>
      </c>
      <c r="BB69" t="str">
        <f t="shared" si="44"/>
        <v/>
      </c>
      <c r="BC69" t="str">
        <f t="shared" si="45"/>
        <v/>
      </c>
      <c r="BD69" t="str">
        <f t="shared" si="46"/>
        <v/>
      </c>
      <c r="BE69" t="str">
        <f t="shared" si="47"/>
        <v/>
      </c>
      <c r="BF69" t="str">
        <f t="shared" si="48"/>
        <v/>
      </c>
      <c r="BG69" t="str">
        <f t="shared" si="49"/>
        <v/>
      </c>
      <c r="BH69" t="str">
        <f t="shared" si="50"/>
        <v/>
      </c>
      <c r="BI69" t="str">
        <f t="shared" si="51"/>
        <v/>
      </c>
      <c r="BJ69" t="str">
        <f t="shared" si="52"/>
        <v/>
      </c>
      <c r="BK69" t="str">
        <f t="shared" si="53"/>
        <v/>
      </c>
      <c r="BL69" t="str">
        <f t="shared" si="54"/>
        <v/>
      </c>
      <c r="BM69" t="str">
        <f t="shared" si="55"/>
        <v/>
      </c>
      <c r="BN69" t="str">
        <f t="shared" si="56"/>
        <v/>
      </c>
      <c r="BO69" t="str">
        <f t="shared" si="57"/>
        <v/>
      </c>
      <c r="BP69" t="str">
        <f t="shared" si="58"/>
        <v/>
      </c>
      <c r="BQ69" t="str">
        <f t="shared" si="59"/>
        <v xml:space="preserve"> AND TRIM(NOME_CTGR_SFICS) NOT IN ('Sustainability Linked Finance - Default','Pure Green counterparty - Default')</v>
      </c>
      <c r="BS69" t="str">
        <f t="shared" si="60"/>
        <v>WHEN  AND TRIM(CONTRAPARTE) IN('outras empresas nao financeiras','setor publico','particulares') AND TRIM(FLAG_PROJECT_FINANCE) = '1' AND TRIM(NOME_CTGR_SFICS) NOT IN ('Sustainability Linked Finance - Default','Pure Green counterparty - Default') THEN 'Nao Aplicavel'</v>
      </c>
      <c r="BT69" t="str">
        <f t="shared" si="61"/>
        <v>WHEN  AND TRIM(CONTRAPARTE) IN('outras empresas nao financeiras','setor publico','particulares') AND TRIM(FLAG_PROJECT_FINANCE) = '1' AND TRIM(NOME_CTGR_SFICS) NOT IN ('Sustainability Linked Finance - Default','Pure Green counterparty - Default') THEN 'Other purpose'</v>
      </c>
      <c r="BU69" t="str">
        <f t="shared" si="62"/>
        <v>WHEN  AND TRIM(CONTRAPARTE) IN('outras empresas nao financeiras','setor publico','particulares') AND TRIM(FLAG_PROJECT_FINANCE) = '1' AND TRIM(NOME_CTGR_SFICS) NOT IN ('Sustainability Linked Finance - Default','Pure Green counterparty - Default') THEN 'Specific purpose'</v>
      </c>
      <c r="BV69" t="str">
        <f t="shared" si="63"/>
        <v>WHEN  AND TRIM(CONTRAPARTE) IN('outras empresas nao financeiras','setor publico','particulares') AND TRIM(FLAG_PROJECT_FINANCE) = '1' AND TRIM(NOME_CTGR_SFICS) NOT IN ('Sustainability Linked Finance - Default','Pure Green counterparty - Default') THEN 'CCM'</v>
      </c>
      <c r="BW69" t="str">
        <f t="shared" si="64"/>
        <v>WHEN  AND TRIM(CONTRAPARTE) IN('outras empresas nao financeiras','setor publico','particulares') AND TRIM(FLAG_PROJECT_FINANCE) = '1' AND TRIM(NOME_CTGR_SFICS) NOT IN ('Sustainability Linked Finance - Default','Pure Green counterparty - Default') THEN 'No'</v>
      </c>
      <c r="BX69" t="str">
        <f t="shared" si="65"/>
        <v>,CASE WHEN  AND TRIM(CONTRAPARTE) IN('outras empresas nao financeiras','setor publico','particulares') AND TRIM(FLAG_PROJECT_FINANCE) = '1' AND TRIM(NOME_CTGR_SFICS) NOT IN ('Sustainability Linked Finance - Default','Pure Green counterparty - Default') THEN 1 ELSE 0 END AS FLAG_67</v>
      </c>
      <c r="BY69" t="str">
        <f t="shared" si="66"/>
        <v>WHEN  AND TRIM(CONTRAPARTE) IN('outras empresas nao financeiras','setor publico','particulares') AND TRIM(FLAG_PROJECT_FINANCE) = '1' AND TRIM(NOME_CTGR_SFICS) NOT IN ('Sustainability Linked Finance - Default','Pure Green counterparty - Default') THEN 67</v>
      </c>
      <c r="BZ69" s="5" t="str">
        <f t="shared" si="67"/>
        <v>+ CASE WHEN  AND TRIM(CONTRAPARTE) IN('outras empresas nao financeiras','setor publico','particulares') AND TRIM(FLAG_PROJECT_FINANCE) = '1' AND TRIM(NOME_CTGR_SFICS) NOT IN ('Sustainability Linked Finance - Default','Pure Green counterparty - Default') THEN 1 ELSE 0 END</v>
      </c>
      <c r="CA69" s="5" t="str">
        <f t="shared" si="68"/>
        <v>,FLAG_67</v>
      </c>
    </row>
    <row r="70" spans="1:79" hidden="1" x14ac:dyDescent="0.25">
      <c r="A70" s="31">
        <f t="shared" si="69"/>
        <v>68</v>
      </c>
      <c r="B70" s="1" t="s">
        <v>1574</v>
      </c>
      <c r="C70" s="1">
        <v>33</v>
      </c>
      <c r="D70" s="1" t="s">
        <v>1637</v>
      </c>
      <c r="E70" s="1" t="s">
        <v>1638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5" t="s">
        <v>1670</v>
      </c>
      <c r="AT70" t="str">
        <f t="shared" si="36"/>
        <v/>
      </c>
      <c r="AU70" t="str">
        <f t="shared" si="37"/>
        <v/>
      </c>
      <c r="AV70" t="str">
        <f t="shared" si="38"/>
        <v/>
      </c>
      <c r="AW70" t="str">
        <f t="shared" si="39"/>
        <v/>
      </c>
      <c r="AX70" t="str">
        <f t="shared" si="40"/>
        <v/>
      </c>
      <c r="AY70" t="str">
        <f t="shared" si="41"/>
        <v/>
      </c>
      <c r="AZ70" t="str">
        <f t="shared" si="42"/>
        <v/>
      </c>
      <c r="BA70" t="str">
        <f t="shared" si="43"/>
        <v/>
      </c>
      <c r="BB70" t="str">
        <f t="shared" si="44"/>
        <v/>
      </c>
      <c r="BC70" t="str">
        <f t="shared" si="45"/>
        <v/>
      </c>
      <c r="BD70" t="str">
        <f t="shared" si="46"/>
        <v/>
      </c>
      <c r="BE70" t="str">
        <f t="shared" si="47"/>
        <v/>
      </c>
      <c r="BF70" t="str">
        <f t="shared" si="48"/>
        <v/>
      </c>
      <c r="BG70" t="str">
        <f t="shared" si="49"/>
        <v/>
      </c>
      <c r="BH70" t="str">
        <f t="shared" si="50"/>
        <v/>
      </c>
      <c r="BI70" t="str">
        <f t="shared" si="51"/>
        <v/>
      </c>
      <c r="BJ70" t="str">
        <f t="shared" si="52"/>
        <v/>
      </c>
      <c r="BK70" t="str">
        <f t="shared" si="53"/>
        <v/>
      </c>
      <c r="BL70" t="str">
        <f t="shared" si="54"/>
        <v/>
      </c>
      <c r="BM70" t="str">
        <f t="shared" si="55"/>
        <v/>
      </c>
      <c r="BN70" t="str">
        <f t="shared" si="56"/>
        <v/>
      </c>
      <c r="BO70" t="str">
        <f t="shared" si="57"/>
        <v/>
      </c>
      <c r="BP70" t="str">
        <f t="shared" si="58"/>
        <v/>
      </c>
      <c r="BQ70" t="str">
        <f t="shared" si="59"/>
        <v/>
      </c>
      <c r="BZ70" s="5"/>
    </row>
  </sheetData>
  <autoFilter ref="A2:BY70">
    <filterColumn colId="3">
      <filters>
        <filter val="5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H36"/>
  <sheetViews>
    <sheetView tabSelected="1" workbookViewId="0">
      <selection activeCell="C28" sqref="C28"/>
    </sheetView>
  </sheetViews>
  <sheetFormatPr defaultRowHeight="15" x14ac:dyDescent="0.25"/>
  <sheetData>
    <row r="2" spans="2:60" x14ac:dyDescent="0.25">
      <c r="B2">
        <f>+SUM(B4:B13)</f>
        <v>0</v>
      </c>
      <c r="C2">
        <f t="shared" ref="C2:BH2" si="0">+SUM(C4:C13)</f>
        <v>0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1</v>
      </c>
      <c r="O2">
        <f t="shared" si="0"/>
        <v>0</v>
      </c>
      <c r="P2">
        <f t="shared" si="0"/>
        <v>1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2</v>
      </c>
      <c r="AA2">
        <f t="shared" si="0"/>
        <v>3</v>
      </c>
      <c r="AB2">
        <f t="shared" si="0"/>
        <v>0</v>
      </c>
      <c r="AC2">
        <f t="shared" si="0"/>
        <v>0</v>
      </c>
      <c r="AD2">
        <f t="shared" si="0"/>
        <v>1</v>
      </c>
      <c r="AE2">
        <f t="shared" si="0"/>
        <v>2</v>
      </c>
      <c r="AF2">
        <f t="shared" si="0"/>
        <v>0</v>
      </c>
      <c r="AG2">
        <f t="shared" si="0"/>
        <v>0</v>
      </c>
      <c r="AH2">
        <f t="shared" si="0"/>
        <v>1</v>
      </c>
      <c r="AI2">
        <f t="shared" si="0"/>
        <v>1</v>
      </c>
      <c r="AJ2">
        <f t="shared" si="0"/>
        <v>0</v>
      </c>
      <c r="AK2">
        <f t="shared" si="0"/>
        <v>0</v>
      </c>
      <c r="AL2">
        <f t="shared" si="0"/>
        <v>1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8</v>
      </c>
      <c r="BH2">
        <f t="shared" si="0"/>
        <v>0</v>
      </c>
    </row>
    <row r="3" spans="2:60" x14ac:dyDescent="0.25">
      <c r="B3" t="s">
        <v>2587</v>
      </c>
      <c r="C3" t="s">
        <v>2588</v>
      </c>
      <c r="D3" t="s">
        <v>2589</v>
      </c>
      <c r="E3" t="s">
        <v>2590</v>
      </c>
      <c r="F3" t="s">
        <v>2591</v>
      </c>
      <c r="G3" t="s">
        <v>2592</v>
      </c>
      <c r="H3" t="s">
        <v>2593</v>
      </c>
      <c r="I3" t="s">
        <v>2594</v>
      </c>
      <c r="J3" t="s">
        <v>2595</v>
      </c>
      <c r="K3" t="s">
        <v>2596</v>
      </c>
      <c r="L3" t="s">
        <v>2597</v>
      </c>
      <c r="M3" t="s">
        <v>2598</v>
      </c>
      <c r="N3" s="48" t="s">
        <v>2599</v>
      </c>
      <c r="O3" t="s">
        <v>2600</v>
      </c>
      <c r="P3" s="48" t="s">
        <v>2601</v>
      </c>
      <c r="Q3" t="s">
        <v>2602</v>
      </c>
      <c r="R3" t="s">
        <v>2603</v>
      </c>
      <c r="S3" t="s">
        <v>2604</v>
      </c>
      <c r="T3" t="s">
        <v>2605</v>
      </c>
      <c r="U3" t="s">
        <v>2606</v>
      </c>
      <c r="V3" t="s">
        <v>2607</v>
      </c>
      <c r="W3" t="s">
        <v>2608</v>
      </c>
      <c r="X3" t="s">
        <v>2609</v>
      </c>
      <c r="Y3" t="s">
        <v>2610</v>
      </c>
      <c r="Z3" s="48" t="s">
        <v>2611</v>
      </c>
      <c r="AA3" s="48" t="s">
        <v>2612</v>
      </c>
      <c r="AB3" t="s">
        <v>2613</v>
      </c>
      <c r="AC3" t="s">
        <v>2614</v>
      </c>
      <c r="AD3" s="48" t="s">
        <v>2615</v>
      </c>
      <c r="AE3" s="48" t="s">
        <v>2616</v>
      </c>
      <c r="AF3" t="s">
        <v>2617</v>
      </c>
      <c r="AG3" t="s">
        <v>2618</v>
      </c>
      <c r="AH3" s="48" t="s">
        <v>2619</v>
      </c>
      <c r="AI3" s="48" t="s">
        <v>2620</v>
      </c>
      <c r="AJ3" t="s">
        <v>2621</v>
      </c>
      <c r="AK3" t="s">
        <v>2622</v>
      </c>
      <c r="AL3" s="48" t="s">
        <v>2623</v>
      </c>
      <c r="AM3" t="s">
        <v>2624</v>
      </c>
      <c r="AN3" t="s">
        <v>2625</v>
      </c>
      <c r="AO3" t="s">
        <v>2626</v>
      </c>
      <c r="AP3" t="s">
        <v>2627</v>
      </c>
      <c r="AQ3" t="s">
        <v>2628</v>
      </c>
      <c r="AR3" t="s">
        <v>2629</v>
      </c>
      <c r="AS3" t="s">
        <v>2630</v>
      </c>
      <c r="AT3" t="s">
        <v>2631</v>
      </c>
      <c r="AU3" t="s">
        <v>2632</v>
      </c>
      <c r="AV3" t="s">
        <v>2633</v>
      </c>
      <c r="AW3" t="s">
        <v>2634</v>
      </c>
      <c r="AX3" t="s">
        <v>2635</v>
      </c>
      <c r="AY3" t="s">
        <v>2636</v>
      </c>
      <c r="AZ3" t="s">
        <v>2637</v>
      </c>
      <c r="BA3" t="s">
        <v>2638</v>
      </c>
      <c r="BB3" t="s">
        <v>2639</v>
      </c>
      <c r="BC3" t="s">
        <v>2640</v>
      </c>
      <c r="BD3" t="s">
        <v>2641</v>
      </c>
      <c r="BE3" t="s">
        <v>2642</v>
      </c>
      <c r="BF3" t="s">
        <v>2643</v>
      </c>
      <c r="BG3" s="48" t="s">
        <v>2644</v>
      </c>
      <c r="BH3" t="s">
        <v>2645</v>
      </c>
    </row>
    <row r="4" spans="2:60" x14ac:dyDescent="0.25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</row>
    <row r="5" spans="2:60" x14ac:dyDescent="0.25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</row>
    <row r="6" spans="2:60" x14ac:dyDescent="0.2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</row>
    <row r="7" spans="2:60" x14ac:dyDescent="0.25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</row>
    <row r="8" spans="2:60" x14ac:dyDescent="0.25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2:60" x14ac:dyDescent="0.25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</row>
    <row r="10" spans="2:60" x14ac:dyDescent="0.25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</row>
    <row r="11" spans="2:60" x14ac:dyDescent="0.25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</row>
    <row r="12" spans="2:60" x14ac:dyDescent="0.25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2:60" x14ac:dyDescent="0.25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</row>
    <row r="16" spans="2:60" x14ac:dyDescent="0.25">
      <c r="B16" t="s">
        <v>2599</v>
      </c>
      <c r="C16" t="s">
        <v>2601</v>
      </c>
      <c r="D16" t="s">
        <v>2611</v>
      </c>
      <c r="E16" t="s">
        <v>2612</v>
      </c>
      <c r="F16" t="s">
        <v>2615</v>
      </c>
      <c r="G16" t="s">
        <v>2616</v>
      </c>
      <c r="H16" t="s">
        <v>2619</v>
      </c>
      <c r="I16" t="s">
        <v>2620</v>
      </c>
      <c r="J16" t="s">
        <v>2623</v>
      </c>
      <c r="K16" t="s">
        <v>2644</v>
      </c>
      <c r="L16" t="s">
        <v>2461</v>
      </c>
    </row>
    <row r="17" spans="2:15" x14ac:dyDescent="0.25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2</v>
      </c>
    </row>
    <row r="18" spans="2:15" x14ac:dyDescent="0.25"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2</v>
      </c>
    </row>
    <row r="19" spans="2:15" x14ac:dyDescent="0.25"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</row>
    <row r="20" spans="2:15" x14ac:dyDescent="0.25"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2</v>
      </c>
    </row>
    <row r="21" spans="2:15" x14ac:dyDescent="0.25"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</row>
    <row r="22" spans="2:15" x14ac:dyDescent="0.25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2</v>
      </c>
    </row>
    <row r="23" spans="2:15" x14ac:dyDescent="0.25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2</v>
      </c>
    </row>
    <row r="24" spans="2:15" x14ac:dyDescent="0.25"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2</v>
      </c>
    </row>
    <row r="25" spans="2:15" x14ac:dyDescent="0.25"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3</v>
      </c>
    </row>
    <row r="26" spans="2:15" x14ac:dyDescent="0.25"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2</v>
      </c>
    </row>
    <row r="28" spans="2:15" x14ac:dyDescent="0.25">
      <c r="B28" t="s">
        <v>2646</v>
      </c>
      <c r="C28" t="s">
        <v>2647</v>
      </c>
      <c r="D28" t="s">
        <v>2648</v>
      </c>
      <c r="E28" t="s">
        <v>2649</v>
      </c>
      <c r="F28" t="s">
        <v>2650</v>
      </c>
      <c r="G28" t="s">
        <v>2651</v>
      </c>
      <c r="H28" t="s">
        <v>2652</v>
      </c>
      <c r="I28" t="s">
        <v>2653</v>
      </c>
      <c r="J28" t="s">
        <v>2461</v>
      </c>
      <c r="L28" t="s">
        <v>39</v>
      </c>
      <c r="M28" t="s">
        <v>40</v>
      </c>
      <c r="N28" t="s">
        <v>41</v>
      </c>
      <c r="O28" t="s">
        <v>42</v>
      </c>
    </row>
    <row r="29" spans="2:15" x14ac:dyDescent="0.25"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2</v>
      </c>
      <c r="L29" t="s">
        <v>1579</v>
      </c>
      <c r="M29" t="s">
        <v>1580</v>
      </c>
      <c r="N29" t="s">
        <v>1581</v>
      </c>
      <c r="O29" t="s">
        <v>1582</v>
      </c>
    </row>
    <row r="30" spans="2:15" x14ac:dyDescent="0.25"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</v>
      </c>
      <c r="L30" t="s">
        <v>1579</v>
      </c>
      <c r="M30" t="s">
        <v>1580</v>
      </c>
      <c r="N30" t="s">
        <v>1581</v>
      </c>
      <c r="O30" t="s">
        <v>1582</v>
      </c>
    </row>
    <row r="31" spans="2:15" x14ac:dyDescent="0.25"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2</v>
      </c>
      <c r="L31" t="s">
        <v>1592</v>
      </c>
      <c r="M31" t="s">
        <v>1580</v>
      </c>
      <c r="N31" t="s">
        <v>1581</v>
      </c>
      <c r="O31" t="s">
        <v>1582</v>
      </c>
    </row>
    <row r="32" spans="2:15" x14ac:dyDescent="0.25">
      <c r="B32">
        <v>0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3</v>
      </c>
      <c r="L32" t="s">
        <v>1592</v>
      </c>
      <c r="M32" t="s">
        <v>1580</v>
      </c>
      <c r="N32" t="s">
        <v>1581</v>
      </c>
      <c r="O32" t="s">
        <v>1582</v>
      </c>
    </row>
    <row r="33" spans="2:15" x14ac:dyDescent="0.25"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2</v>
      </c>
      <c r="L33" t="s">
        <v>1611</v>
      </c>
      <c r="M33" t="s">
        <v>1580</v>
      </c>
      <c r="N33" t="s">
        <v>1581</v>
      </c>
      <c r="O33" t="s">
        <v>1582</v>
      </c>
    </row>
    <row r="34" spans="2:15" x14ac:dyDescent="0.25"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1</v>
      </c>
      <c r="I34">
        <v>0</v>
      </c>
      <c r="J34">
        <v>2</v>
      </c>
      <c r="L34" t="s">
        <v>1611</v>
      </c>
      <c r="M34" t="s">
        <v>1580</v>
      </c>
      <c r="N34" t="s">
        <v>1581</v>
      </c>
      <c r="O34" t="s">
        <v>1582</v>
      </c>
    </row>
    <row r="35" spans="2:15" x14ac:dyDescent="0.25">
      <c r="L35" t="s">
        <v>1631</v>
      </c>
      <c r="M35" t="s">
        <v>1580</v>
      </c>
      <c r="N35" t="s">
        <v>1581</v>
      </c>
      <c r="O35" t="s">
        <v>1582</v>
      </c>
    </row>
    <row r="36" spans="2:15" x14ac:dyDescent="0.25">
      <c r="L36" t="s">
        <v>1631</v>
      </c>
      <c r="M36" t="s">
        <v>1580</v>
      </c>
      <c r="N36" t="s">
        <v>1581</v>
      </c>
      <c r="O36" t="s">
        <v>1582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L1" sqref="L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6"/>
  <sheetViews>
    <sheetView showGridLines="0" zoomScaleNormal="100" workbookViewId="0">
      <selection activeCell="B12" sqref="B12"/>
    </sheetView>
  </sheetViews>
  <sheetFormatPr defaultRowHeight="15" x14ac:dyDescent="0.25"/>
  <cols>
    <col min="1" max="1" width="3.7109375" customWidth="1"/>
    <col min="2" max="5" width="25.28515625" customWidth="1"/>
    <col min="8" max="8" width="11.140625" bestFit="1" customWidth="1"/>
  </cols>
  <sheetData>
    <row r="2" spans="2:8" x14ac:dyDescent="0.25">
      <c r="B2" s="14" t="s">
        <v>2462</v>
      </c>
      <c r="C2" s="14" t="s">
        <v>36</v>
      </c>
      <c r="D2" s="14" t="s">
        <v>36</v>
      </c>
      <c r="E2" s="14" t="s">
        <v>2461</v>
      </c>
      <c r="F2" s="10"/>
    </row>
    <row r="3" spans="2:8" x14ac:dyDescent="0.25">
      <c r="B3" s="13" t="s">
        <v>2454</v>
      </c>
      <c r="C3" s="13" t="s">
        <v>2460</v>
      </c>
      <c r="D3" s="13" t="s">
        <v>2453</v>
      </c>
      <c r="E3" s="13" t="s">
        <v>2459</v>
      </c>
      <c r="F3" s="10"/>
    </row>
    <row r="4" spans="2:8" x14ac:dyDescent="0.25">
      <c r="B4" s="13" t="s">
        <v>2454</v>
      </c>
      <c r="C4" s="13" t="s">
        <v>2442</v>
      </c>
      <c r="D4" s="13" t="s">
        <v>2453</v>
      </c>
      <c r="E4" s="13" t="s">
        <v>2458</v>
      </c>
      <c r="F4" s="10"/>
    </row>
    <row r="5" spans="2:8" x14ac:dyDescent="0.25">
      <c r="B5" s="13" t="s">
        <v>1585</v>
      </c>
      <c r="C5" s="13" t="s">
        <v>2453</v>
      </c>
      <c r="D5" s="13" t="s">
        <v>2457</v>
      </c>
      <c r="E5" s="13" t="s">
        <v>2456</v>
      </c>
      <c r="F5" s="10"/>
    </row>
    <row r="6" spans="2:8" x14ac:dyDescent="0.25">
      <c r="B6" s="13" t="s">
        <v>2454</v>
      </c>
      <c r="C6" s="13" t="s">
        <v>2424</v>
      </c>
      <c r="D6" s="13" t="s">
        <v>2453</v>
      </c>
      <c r="E6" s="13" t="s">
        <v>2455</v>
      </c>
      <c r="F6" s="10"/>
    </row>
    <row r="7" spans="2:8" x14ac:dyDescent="0.25">
      <c r="B7" s="13" t="s">
        <v>2454</v>
      </c>
      <c r="C7" s="13" t="s">
        <v>2411</v>
      </c>
      <c r="D7" s="13" t="s">
        <v>2453</v>
      </c>
      <c r="E7" s="13" t="s">
        <v>1575</v>
      </c>
      <c r="F7" s="10"/>
    </row>
    <row r="10" spans="2:8" x14ac:dyDescent="0.25">
      <c r="B10" s="12" t="s">
        <v>2452</v>
      </c>
    </row>
    <row r="11" spans="2:8" x14ac:dyDescent="0.25">
      <c r="B11" s="10" t="s">
        <v>2382</v>
      </c>
      <c r="C11" s="10" t="s">
        <v>2381</v>
      </c>
      <c r="D11" s="10" t="s">
        <v>2380</v>
      </c>
      <c r="E11" s="10" t="s">
        <v>2379</v>
      </c>
      <c r="F11" s="10" t="s">
        <v>13</v>
      </c>
      <c r="G11" s="10" t="s">
        <v>14</v>
      </c>
      <c r="H11" s="10" t="s">
        <v>15</v>
      </c>
    </row>
    <row r="12" spans="2:8" x14ac:dyDescent="0.25">
      <c r="B12" s="10" t="s">
        <v>2451</v>
      </c>
      <c r="C12" s="10" t="s">
        <v>2451</v>
      </c>
      <c r="D12" s="10" t="s">
        <v>2451</v>
      </c>
      <c r="E12" s="10" t="s">
        <v>2451</v>
      </c>
      <c r="F12" s="10" t="s">
        <v>2267</v>
      </c>
      <c r="G12" s="10" t="s">
        <v>2447</v>
      </c>
      <c r="H12" s="10" t="s">
        <v>2449</v>
      </c>
    </row>
    <row r="13" spans="2:8" x14ac:dyDescent="0.25">
      <c r="B13" s="11" t="s">
        <v>2451</v>
      </c>
      <c r="C13" s="11" t="s">
        <v>2451</v>
      </c>
      <c r="D13" s="11" t="s">
        <v>2451</v>
      </c>
      <c r="E13" s="11" t="s">
        <v>2451</v>
      </c>
      <c r="F13" s="11" t="s">
        <v>2056</v>
      </c>
      <c r="G13" s="11" t="s">
        <v>2428</v>
      </c>
      <c r="H13" s="11" t="s">
        <v>2449</v>
      </c>
    </row>
    <row r="14" spans="2:8" x14ac:dyDescent="0.25">
      <c r="B14" s="10" t="s">
        <v>2451</v>
      </c>
      <c r="C14" s="10" t="s">
        <v>2451</v>
      </c>
      <c r="D14" s="10" t="s">
        <v>2451</v>
      </c>
      <c r="E14" s="10" t="s">
        <v>2451</v>
      </c>
      <c r="F14" s="10" t="s">
        <v>2267</v>
      </c>
      <c r="G14" s="10" t="s">
        <v>2450</v>
      </c>
      <c r="H14" s="10" t="s">
        <v>2449</v>
      </c>
    </row>
    <row r="16" spans="2:8" x14ac:dyDescent="0.25">
      <c r="B16" s="12" t="s">
        <v>2448</v>
      </c>
    </row>
    <row r="17" spans="2:21" x14ac:dyDescent="0.25">
      <c r="B17" s="10" t="s">
        <v>2382</v>
      </c>
      <c r="C17" s="10" t="s">
        <v>2381</v>
      </c>
      <c r="D17" s="10" t="s">
        <v>2380</v>
      </c>
      <c r="E17" s="10" t="s">
        <v>2379</v>
      </c>
      <c r="F17" s="10" t="s">
        <v>13</v>
      </c>
      <c r="G17" s="10" t="s">
        <v>14</v>
      </c>
      <c r="H17" s="10" t="s">
        <v>15</v>
      </c>
      <c r="I17" s="10" t="s">
        <v>2422</v>
      </c>
      <c r="J17" s="10" t="s">
        <v>2421</v>
      </c>
      <c r="K17" s="10" t="s">
        <v>2420</v>
      </c>
      <c r="L17" s="10" t="s">
        <v>2419</v>
      </c>
      <c r="M17" s="10" t="s">
        <v>2418</v>
      </c>
      <c r="N17" s="10" t="s">
        <v>2417</v>
      </c>
      <c r="O17" s="10" t="s">
        <v>2416</v>
      </c>
      <c r="P17" s="10" t="s">
        <v>2415</v>
      </c>
    </row>
    <row r="18" spans="2:21" x14ac:dyDescent="0.25">
      <c r="B18" s="10" t="s">
        <v>2444</v>
      </c>
      <c r="C18" s="10" t="s">
        <v>2444</v>
      </c>
      <c r="D18" s="10" t="s">
        <v>2444</v>
      </c>
      <c r="E18" s="10" t="s">
        <v>2444</v>
      </c>
      <c r="F18" s="10" t="s">
        <v>2134</v>
      </c>
      <c r="G18" s="10" t="s">
        <v>2447</v>
      </c>
      <c r="H18" s="10" t="s">
        <v>2426</v>
      </c>
      <c r="I18" s="10" t="s">
        <v>2412</v>
      </c>
      <c r="J18" s="10" t="s">
        <v>2412</v>
      </c>
      <c r="K18" s="10" t="s">
        <v>2412</v>
      </c>
      <c r="L18" s="10" t="s">
        <v>2412</v>
      </c>
      <c r="M18" s="10" t="s">
        <v>2412</v>
      </c>
      <c r="N18" s="10" t="s">
        <v>2412</v>
      </c>
      <c r="O18" s="10" t="s">
        <v>2446</v>
      </c>
      <c r="P18" s="10" t="s">
        <v>2445</v>
      </c>
    </row>
    <row r="19" spans="2:21" x14ac:dyDescent="0.25">
      <c r="B19" s="10" t="s">
        <v>2444</v>
      </c>
      <c r="C19" s="10" t="s">
        <v>2444</v>
      </c>
      <c r="D19" s="10" t="s">
        <v>2444</v>
      </c>
      <c r="E19" s="10" t="s">
        <v>2444</v>
      </c>
      <c r="F19" s="10" t="s">
        <v>2134</v>
      </c>
      <c r="G19" s="10" t="s">
        <v>2428</v>
      </c>
      <c r="H19" s="10" t="s">
        <v>2426</v>
      </c>
      <c r="I19" s="10" t="s">
        <v>2412</v>
      </c>
      <c r="J19" s="10" t="s">
        <v>2412</v>
      </c>
      <c r="K19" s="10" t="s">
        <v>2412</v>
      </c>
      <c r="L19" s="10" t="s">
        <v>2412</v>
      </c>
      <c r="M19" s="10" t="s">
        <v>2412</v>
      </c>
      <c r="N19" s="10" t="s">
        <v>2412</v>
      </c>
      <c r="O19" s="10" t="s">
        <v>2446</v>
      </c>
      <c r="P19" s="10" t="s">
        <v>2445</v>
      </c>
    </row>
    <row r="20" spans="2:21" x14ac:dyDescent="0.25">
      <c r="B20" s="11" t="s">
        <v>2444</v>
      </c>
      <c r="C20" s="11" t="s">
        <v>2444</v>
      </c>
      <c r="D20" s="11" t="s">
        <v>2444</v>
      </c>
      <c r="E20" s="11" t="s">
        <v>2444</v>
      </c>
      <c r="F20" s="11" t="s">
        <v>2134</v>
      </c>
      <c r="G20" s="11" t="s">
        <v>2443</v>
      </c>
      <c r="H20" s="11" t="s">
        <v>2426</v>
      </c>
      <c r="I20" s="11" t="s">
        <v>2412</v>
      </c>
      <c r="J20" s="11" t="s">
        <v>2412</v>
      </c>
      <c r="K20" s="11" t="s">
        <v>2412</v>
      </c>
      <c r="L20" s="11" t="s">
        <v>2412</v>
      </c>
      <c r="M20" s="11" t="s">
        <v>2412</v>
      </c>
      <c r="N20" s="11" t="s">
        <v>2412</v>
      </c>
      <c r="O20" s="11" t="s">
        <v>2442</v>
      </c>
      <c r="P20" s="11" t="s">
        <v>2441</v>
      </c>
    </row>
    <row r="22" spans="2:21" x14ac:dyDescent="0.25">
      <c r="B22" s="12" t="s">
        <v>2440</v>
      </c>
    </row>
    <row r="23" spans="2:21" x14ac:dyDescent="0.25">
      <c r="B23" s="10" t="s">
        <v>2382</v>
      </c>
      <c r="C23" s="10" t="s">
        <v>2410</v>
      </c>
      <c r="D23" s="10" t="s">
        <v>2408</v>
      </c>
      <c r="E23" s="10" t="s">
        <v>2409</v>
      </c>
      <c r="F23" s="10" t="s">
        <v>2408</v>
      </c>
      <c r="G23" s="10" t="s">
        <v>2407</v>
      </c>
      <c r="H23" s="10" t="s">
        <v>2407</v>
      </c>
      <c r="I23" s="10" t="s">
        <v>17</v>
      </c>
      <c r="J23" s="10" t="s">
        <v>32</v>
      </c>
      <c r="K23" s="10" t="s">
        <v>33</v>
      </c>
      <c r="L23" s="10" t="s">
        <v>2407</v>
      </c>
      <c r="M23" s="10" t="s">
        <v>31</v>
      </c>
      <c r="N23" s="10" t="s">
        <v>28</v>
      </c>
      <c r="O23" s="10" t="s">
        <v>2406</v>
      </c>
      <c r="P23" s="10" t="s">
        <v>2405</v>
      </c>
      <c r="Q23" s="10" t="s">
        <v>2404</v>
      </c>
      <c r="R23" s="10" t="s">
        <v>2403</v>
      </c>
      <c r="S23" s="10" t="s">
        <v>2402</v>
      </c>
      <c r="T23" s="10" t="s">
        <v>2401</v>
      </c>
      <c r="U23" s="10" t="s">
        <v>2400</v>
      </c>
    </row>
    <row r="24" spans="2:21" x14ac:dyDescent="0.25">
      <c r="B24" s="10" t="s">
        <v>2425</v>
      </c>
      <c r="C24" s="10" t="s">
        <v>2425</v>
      </c>
      <c r="D24" s="10" t="s">
        <v>2433</v>
      </c>
      <c r="E24" s="10" t="s">
        <v>2434</v>
      </c>
      <c r="F24" s="10" t="s">
        <v>2433</v>
      </c>
      <c r="G24" s="10" t="s">
        <v>2437</v>
      </c>
      <c r="H24" s="10" t="s">
        <v>2437</v>
      </c>
      <c r="I24" s="10" t="s">
        <v>2439</v>
      </c>
      <c r="J24" s="10" t="s">
        <v>2398</v>
      </c>
      <c r="K24" s="10" t="s">
        <v>2438</v>
      </c>
      <c r="L24" s="10" t="s">
        <v>2437</v>
      </c>
      <c r="M24" s="10" t="s">
        <v>1403</v>
      </c>
      <c r="N24" s="10" t="s">
        <v>2385</v>
      </c>
      <c r="O24" s="10" t="s">
        <v>2436</v>
      </c>
      <c r="P24" s="10" t="s">
        <v>2435</v>
      </c>
      <c r="Q24" s="10" t="s">
        <v>1587</v>
      </c>
      <c r="R24" s="10" t="s">
        <v>1587</v>
      </c>
      <c r="S24" s="10" t="s">
        <v>1587</v>
      </c>
      <c r="T24" s="10" t="s">
        <v>44</v>
      </c>
      <c r="U24" s="10" t="s">
        <v>1587</v>
      </c>
    </row>
    <row r="25" spans="2:21" x14ac:dyDescent="0.25">
      <c r="B25" s="11" t="s">
        <v>2425</v>
      </c>
      <c r="C25" s="11" t="s">
        <v>2425</v>
      </c>
      <c r="D25" s="11" t="s">
        <v>2433</v>
      </c>
      <c r="E25" s="11" t="s">
        <v>2434</v>
      </c>
      <c r="F25" s="11" t="s">
        <v>2433</v>
      </c>
      <c r="G25" s="11" t="s">
        <v>2431</v>
      </c>
      <c r="H25" s="11" t="s">
        <v>2431</v>
      </c>
      <c r="I25" s="11" t="s">
        <v>1701</v>
      </c>
      <c r="J25" s="11" t="s">
        <v>2389</v>
      </c>
      <c r="K25" s="11" t="s">
        <v>2432</v>
      </c>
      <c r="L25" s="11" t="s">
        <v>2431</v>
      </c>
      <c r="M25" s="11" t="s">
        <v>2430</v>
      </c>
      <c r="N25" s="11" t="s">
        <v>2385</v>
      </c>
      <c r="O25" s="11" t="s">
        <v>2429</v>
      </c>
      <c r="P25" s="11" t="s">
        <v>1488</v>
      </c>
      <c r="Q25" s="11" t="s">
        <v>44</v>
      </c>
      <c r="R25" s="11" t="s">
        <v>1587</v>
      </c>
      <c r="S25" s="11" t="s">
        <v>1587</v>
      </c>
      <c r="T25" s="11" t="s">
        <v>44</v>
      </c>
      <c r="U25" s="11" t="s">
        <v>44</v>
      </c>
    </row>
    <row r="27" spans="2:21" x14ac:dyDescent="0.25">
      <c r="B27" s="10" t="s">
        <v>2382</v>
      </c>
      <c r="C27" s="10" t="s">
        <v>2381</v>
      </c>
      <c r="D27" s="10" t="s">
        <v>2380</v>
      </c>
      <c r="E27" s="10" t="s">
        <v>2379</v>
      </c>
      <c r="F27" s="10" t="s">
        <v>13</v>
      </c>
      <c r="G27" s="10" t="s">
        <v>14</v>
      </c>
      <c r="H27" s="10" t="s">
        <v>15</v>
      </c>
      <c r="I27" s="10" t="s">
        <v>2422</v>
      </c>
      <c r="J27" s="10" t="s">
        <v>2421</v>
      </c>
      <c r="K27" s="10" t="s">
        <v>2420</v>
      </c>
      <c r="L27" s="10" t="s">
        <v>2419</v>
      </c>
      <c r="M27" s="10" t="s">
        <v>2418</v>
      </c>
      <c r="N27" s="10" t="s">
        <v>2417</v>
      </c>
      <c r="O27" s="10" t="s">
        <v>2416</v>
      </c>
      <c r="P27" s="10" t="s">
        <v>2415</v>
      </c>
    </row>
    <row r="28" spans="2:21" x14ac:dyDescent="0.25">
      <c r="B28" s="10" t="s">
        <v>2425</v>
      </c>
      <c r="C28" s="10" t="s">
        <v>2425</v>
      </c>
      <c r="D28" s="10" t="s">
        <v>2425</v>
      </c>
      <c r="E28" s="10" t="s">
        <v>2425</v>
      </c>
      <c r="F28" s="11" t="s">
        <v>2076</v>
      </c>
      <c r="G28" s="10" t="s">
        <v>2428</v>
      </c>
      <c r="H28" s="10" t="s">
        <v>2426</v>
      </c>
      <c r="I28" s="10" t="s">
        <v>2425</v>
      </c>
      <c r="J28" s="10" t="s">
        <v>2412</v>
      </c>
      <c r="K28" s="10" t="s">
        <v>2425</v>
      </c>
      <c r="L28" s="10" t="s">
        <v>2412</v>
      </c>
      <c r="M28" s="10" t="s">
        <v>2412</v>
      </c>
      <c r="N28" s="10" t="s">
        <v>2412</v>
      </c>
      <c r="O28" s="10" t="s">
        <v>2424</v>
      </c>
      <c r="P28" s="10" t="s">
        <v>2393</v>
      </c>
    </row>
    <row r="29" spans="2:21" x14ac:dyDescent="0.25">
      <c r="B29" s="10" t="s">
        <v>2425</v>
      </c>
      <c r="C29" s="10" t="s">
        <v>2425</v>
      </c>
      <c r="D29" s="10" t="s">
        <v>2425</v>
      </c>
      <c r="E29" s="10" t="s">
        <v>2425</v>
      </c>
      <c r="F29" s="11" t="s">
        <v>2076</v>
      </c>
      <c r="G29" s="10" t="s">
        <v>2427</v>
      </c>
      <c r="H29" s="10" t="s">
        <v>2426</v>
      </c>
      <c r="I29" s="10" t="s">
        <v>2425</v>
      </c>
      <c r="J29" s="10" t="s">
        <v>2412</v>
      </c>
      <c r="K29" s="10" t="s">
        <v>2425</v>
      </c>
      <c r="L29" s="10" t="s">
        <v>2412</v>
      </c>
      <c r="M29" s="10" t="s">
        <v>2412</v>
      </c>
      <c r="N29" s="10" t="s">
        <v>2412</v>
      </c>
      <c r="O29" s="10" t="s">
        <v>2424</v>
      </c>
      <c r="P29" s="10" t="s">
        <v>2393</v>
      </c>
    </row>
    <row r="31" spans="2:21" x14ac:dyDescent="0.25">
      <c r="B31" s="12" t="s">
        <v>2423</v>
      </c>
    </row>
    <row r="32" spans="2:21" x14ac:dyDescent="0.25">
      <c r="B32" s="10" t="s">
        <v>2382</v>
      </c>
      <c r="C32" s="10" t="s">
        <v>2381</v>
      </c>
      <c r="D32" s="10" t="s">
        <v>2380</v>
      </c>
      <c r="E32" s="10" t="s">
        <v>2379</v>
      </c>
      <c r="F32" s="10" t="s">
        <v>13</v>
      </c>
      <c r="G32" s="10" t="s">
        <v>14</v>
      </c>
      <c r="H32" s="10" t="s">
        <v>15</v>
      </c>
      <c r="I32" s="10" t="s">
        <v>2422</v>
      </c>
      <c r="J32" s="10" t="s">
        <v>2421</v>
      </c>
      <c r="K32" s="10" t="s">
        <v>2420</v>
      </c>
      <c r="L32" s="10" t="s">
        <v>2419</v>
      </c>
      <c r="M32" s="10" t="s">
        <v>2418</v>
      </c>
      <c r="N32" s="10" t="s">
        <v>2417</v>
      </c>
      <c r="O32" s="10" t="s">
        <v>2416</v>
      </c>
      <c r="P32" s="10" t="s">
        <v>2415</v>
      </c>
    </row>
    <row r="33" spans="2:21" x14ac:dyDescent="0.25">
      <c r="B33" s="10" t="s">
        <v>2392</v>
      </c>
      <c r="C33" s="10" t="s">
        <v>2392</v>
      </c>
      <c r="D33" s="10" t="s">
        <v>2392</v>
      </c>
      <c r="E33" s="10" t="s">
        <v>2392</v>
      </c>
      <c r="F33" s="11" t="s">
        <v>2108</v>
      </c>
      <c r="G33" s="10" t="s">
        <v>2414</v>
      </c>
      <c r="H33" s="10" t="s">
        <v>2413</v>
      </c>
      <c r="I33" s="10" t="s">
        <v>2392</v>
      </c>
      <c r="J33" s="10" t="s">
        <v>2392</v>
      </c>
      <c r="K33" s="10" t="s">
        <v>2412</v>
      </c>
      <c r="L33" s="10" t="s">
        <v>2412</v>
      </c>
      <c r="M33" s="10" t="s">
        <v>2412</v>
      </c>
      <c r="N33" s="10" t="s">
        <v>2412</v>
      </c>
      <c r="O33" s="10" t="s">
        <v>2411</v>
      </c>
      <c r="P33" s="10" t="s">
        <v>1637</v>
      </c>
    </row>
    <row r="35" spans="2:21" x14ac:dyDescent="0.25">
      <c r="B35" s="10" t="s">
        <v>2382</v>
      </c>
      <c r="C35" s="10" t="s">
        <v>2410</v>
      </c>
      <c r="D35" s="10" t="s">
        <v>2408</v>
      </c>
      <c r="E35" s="10" t="s">
        <v>2409</v>
      </c>
      <c r="F35" s="10" t="s">
        <v>2408</v>
      </c>
      <c r="G35" s="10" t="s">
        <v>2407</v>
      </c>
      <c r="H35" s="10" t="s">
        <v>2407</v>
      </c>
      <c r="I35" s="10" t="s">
        <v>17</v>
      </c>
      <c r="J35" s="10" t="s">
        <v>32</v>
      </c>
      <c r="K35" s="10" t="s">
        <v>33</v>
      </c>
      <c r="L35" s="10" t="s">
        <v>2407</v>
      </c>
      <c r="M35" s="10" t="s">
        <v>31</v>
      </c>
      <c r="N35" s="10" t="s">
        <v>28</v>
      </c>
      <c r="O35" s="10" t="s">
        <v>2406</v>
      </c>
      <c r="P35" s="10" t="s">
        <v>2405</v>
      </c>
      <c r="Q35" s="10" t="s">
        <v>2404</v>
      </c>
      <c r="R35" s="10" t="s">
        <v>2403</v>
      </c>
      <c r="S35" s="10" t="s">
        <v>2402</v>
      </c>
      <c r="T35" s="10" t="s">
        <v>2401</v>
      </c>
      <c r="U35" s="10" t="s">
        <v>2400</v>
      </c>
    </row>
    <row r="36" spans="2:21" x14ac:dyDescent="0.25">
      <c r="B36" s="10" t="s">
        <v>2392</v>
      </c>
      <c r="C36" s="10" t="s">
        <v>2392</v>
      </c>
      <c r="D36" s="10" t="s">
        <v>2390</v>
      </c>
      <c r="E36" s="10" t="s">
        <v>2391</v>
      </c>
      <c r="F36" s="10" t="s">
        <v>2390</v>
      </c>
      <c r="G36" s="10" t="s">
        <v>2396</v>
      </c>
      <c r="H36" s="10" t="s">
        <v>2396</v>
      </c>
      <c r="I36" s="10" t="s">
        <v>2399</v>
      </c>
      <c r="J36" s="10" t="s">
        <v>2398</v>
      </c>
      <c r="K36" s="10" t="s">
        <v>2397</v>
      </c>
      <c r="L36" s="10" t="s">
        <v>2396</v>
      </c>
      <c r="M36" s="10" t="s">
        <v>2395</v>
      </c>
      <c r="N36" s="10" t="s">
        <v>2385</v>
      </c>
      <c r="O36" s="10" t="s">
        <v>2394</v>
      </c>
      <c r="P36" s="10" t="s">
        <v>2393</v>
      </c>
      <c r="Q36" s="10" t="s">
        <v>1587</v>
      </c>
      <c r="R36" s="10" t="s">
        <v>44</v>
      </c>
      <c r="S36" s="10" t="s">
        <v>1587</v>
      </c>
      <c r="T36" s="10" t="s">
        <v>1587</v>
      </c>
      <c r="U36" s="10" t="s">
        <v>1587</v>
      </c>
    </row>
    <row r="37" spans="2:21" x14ac:dyDescent="0.25">
      <c r="B37" s="11" t="s">
        <v>2392</v>
      </c>
      <c r="C37" s="11" t="s">
        <v>2392</v>
      </c>
      <c r="D37" s="11" t="s">
        <v>2390</v>
      </c>
      <c r="E37" s="11" t="s">
        <v>2391</v>
      </c>
      <c r="F37" s="11" t="s">
        <v>2390</v>
      </c>
      <c r="G37" s="11" t="s">
        <v>2387</v>
      </c>
      <c r="H37" s="11" t="s">
        <v>2387</v>
      </c>
      <c r="I37" s="11" t="s">
        <v>1701</v>
      </c>
      <c r="J37" s="11" t="s">
        <v>2389</v>
      </c>
      <c r="K37" s="11" t="s">
        <v>2388</v>
      </c>
      <c r="L37" s="11" t="s">
        <v>2387</v>
      </c>
      <c r="M37" s="11" t="s">
        <v>2386</v>
      </c>
      <c r="N37" s="11" t="s">
        <v>2385</v>
      </c>
      <c r="O37" s="11" t="s">
        <v>2384</v>
      </c>
      <c r="P37" s="11" t="s">
        <v>1488</v>
      </c>
      <c r="Q37" s="11" t="s">
        <v>44</v>
      </c>
      <c r="R37" s="11" t="s">
        <v>44</v>
      </c>
      <c r="S37" s="11" t="s">
        <v>44</v>
      </c>
      <c r="T37" s="11" t="s">
        <v>1587</v>
      </c>
      <c r="U37" s="11" t="s">
        <v>1587</v>
      </c>
    </row>
    <row r="39" spans="2:21" x14ac:dyDescent="0.25">
      <c r="B39" s="12" t="s">
        <v>2383</v>
      </c>
    </row>
    <row r="40" spans="2:21" x14ac:dyDescent="0.25"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2382</v>
      </c>
      <c r="H40" s="10" t="s">
        <v>29</v>
      </c>
      <c r="I40" s="10" t="s">
        <v>2381</v>
      </c>
      <c r="J40" s="10" t="s">
        <v>2380</v>
      </c>
      <c r="K40" s="10" t="s">
        <v>2379</v>
      </c>
      <c r="L40" s="10" t="s">
        <v>14</v>
      </c>
      <c r="M40" s="10" t="s">
        <v>2378</v>
      </c>
      <c r="N40" s="10" t="s">
        <v>2377</v>
      </c>
      <c r="O40" s="10" t="s">
        <v>2376</v>
      </c>
    </row>
    <row r="41" spans="2:21" x14ac:dyDescent="0.25">
      <c r="B41" s="10" t="s">
        <v>1533</v>
      </c>
      <c r="C41" s="10" t="s">
        <v>45</v>
      </c>
      <c r="D41" s="10" t="s">
        <v>46</v>
      </c>
      <c r="E41" s="10" t="s">
        <v>2375</v>
      </c>
      <c r="F41" s="10" t="s">
        <v>48</v>
      </c>
      <c r="G41" s="10" t="s">
        <v>2373</v>
      </c>
      <c r="H41" s="11" t="s">
        <v>2374</v>
      </c>
      <c r="I41" s="10" t="s">
        <v>2373</v>
      </c>
      <c r="J41" s="10" t="s">
        <v>2373</v>
      </c>
      <c r="K41" s="10" t="s">
        <v>2373</v>
      </c>
      <c r="L41" s="10" t="s">
        <v>2372</v>
      </c>
      <c r="M41" s="10" t="s">
        <v>44</v>
      </c>
      <c r="N41" s="10" t="s">
        <v>44</v>
      </c>
      <c r="O41" s="10" t="s">
        <v>1587</v>
      </c>
    </row>
    <row r="43" spans="2:21" x14ac:dyDescent="0.25"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13</v>
      </c>
      <c r="P43" t="s">
        <v>14</v>
      </c>
    </row>
    <row r="44" spans="2:21" x14ac:dyDescent="0.25">
      <c r="B44" t="s">
        <v>43</v>
      </c>
      <c r="C44">
        <v>1183</v>
      </c>
      <c r="D44" t="s">
        <v>1488</v>
      </c>
      <c r="E44" t="s">
        <v>1531</v>
      </c>
      <c r="F44" t="s">
        <v>1490</v>
      </c>
      <c r="G44" t="s">
        <v>1532</v>
      </c>
      <c r="H44" s="9" t="s">
        <v>1492</v>
      </c>
      <c r="I44" t="s">
        <v>1493</v>
      </c>
      <c r="J44" t="s">
        <v>1533</v>
      </c>
      <c r="P44" t="s">
        <v>1657</v>
      </c>
    </row>
    <row r="46" spans="2:21" x14ac:dyDescent="0.25">
      <c r="B46" t="s">
        <v>43</v>
      </c>
      <c r="C46">
        <v>1192</v>
      </c>
      <c r="D46" t="s">
        <v>1545</v>
      </c>
      <c r="E46" t="s">
        <v>1546</v>
      </c>
      <c r="F46" t="s">
        <v>1539</v>
      </c>
      <c r="G46" t="s">
        <v>1559</v>
      </c>
      <c r="J46" t="s">
        <v>1557</v>
      </c>
      <c r="K46" t="s">
        <v>1560</v>
      </c>
      <c r="O46">
        <v>1</v>
      </c>
      <c r="P46" t="s">
        <v>209</v>
      </c>
      <c r="Q46" t="s">
        <v>2371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F56"/>
  <sheetViews>
    <sheetView showGridLines="0" zoomScale="110" zoomScaleNormal="110" workbookViewId="0">
      <selection activeCell="F25" sqref="F25"/>
    </sheetView>
  </sheetViews>
  <sheetFormatPr defaultRowHeight="15" x14ac:dyDescent="0.25"/>
  <cols>
    <col min="1" max="1" width="3.7109375" customWidth="1"/>
    <col min="2" max="2" width="15.42578125" bestFit="1" customWidth="1"/>
    <col min="3" max="3" width="15.85546875" bestFit="1" customWidth="1"/>
    <col min="4" max="4" width="30.5703125" bestFit="1" customWidth="1"/>
    <col min="5" max="5" width="28.140625" bestFit="1" customWidth="1"/>
    <col min="6" max="6" width="29.28515625" bestFit="1" customWidth="1"/>
    <col min="7" max="7" width="22" bestFit="1" customWidth="1"/>
    <col min="8" max="8" width="25.5703125" bestFit="1" customWidth="1"/>
    <col min="9" max="9" width="11.140625" bestFit="1" customWidth="1"/>
    <col min="10" max="10" width="15.42578125" customWidth="1"/>
    <col min="11" max="11" width="15.85546875" customWidth="1"/>
    <col min="12" max="12" width="30.5703125" bestFit="1" customWidth="1"/>
    <col min="13" max="13" width="28.140625" bestFit="1" customWidth="1"/>
    <col min="14" max="14" width="29.28515625" bestFit="1" customWidth="1"/>
    <col min="15" max="15" width="22" bestFit="1" customWidth="1"/>
    <col min="16" max="16" width="25.5703125" bestFit="1" customWidth="1"/>
    <col min="17" max="17" width="5.5703125" bestFit="1" customWidth="1"/>
  </cols>
  <sheetData>
    <row r="2" spans="1:17" x14ac:dyDescent="0.25">
      <c r="B2" s="36" t="s">
        <v>36</v>
      </c>
      <c r="C2" s="36" t="s">
        <v>35</v>
      </c>
      <c r="D2" s="36" t="s">
        <v>40</v>
      </c>
      <c r="E2" s="36" t="s">
        <v>39</v>
      </c>
      <c r="F2" s="36" t="s">
        <v>38</v>
      </c>
      <c r="G2" s="36" t="s">
        <v>41</v>
      </c>
      <c r="H2" s="36" t="s">
        <v>42</v>
      </c>
      <c r="I2" s="36" t="s">
        <v>2524</v>
      </c>
      <c r="J2" s="37" t="s">
        <v>36</v>
      </c>
      <c r="K2" s="37" t="s">
        <v>35</v>
      </c>
      <c r="L2" s="37" t="s">
        <v>40</v>
      </c>
      <c r="M2" s="37" t="s">
        <v>39</v>
      </c>
      <c r="N2" s="37" t="s">
        <v>38</v>
      </c>
      <c r="O2" s="37" t="s">
        <v>41</v>
      </c>
      <c r="P2" s="37" t="s">
        <v>42</v>
      </c>
      <c r="Q2" s="38" t="s">
        <v>2461</v>
      </c>
    </row>
    <row r="3" spans="1:17" x14ac:dyDescent="0.25">
      <c r="B3" s="13" t="s">
        <v>2453</v>
      </c>
      <c r="C3" s="13" t="s">
        <v>1587</v>
      </c>
      <c r="D3" s="13" t="s">
        <v>2525</v>
      </c>
      <c r="E3" s="13" t="s">
        <v>1606</v>
      </c>
      <c r="F3" s="13" t="s">
        <v>2453</v>
      </c>
      <c r="G3" s="13" t="s">
        <v>2526</v>
      </c>
      <c r="H3" s="13" t="s">
        <v>2528</v>
      </c>
      <c r="I3" s="13" t="s">
        <v>2456</v>
      </c>
      <c r="J3" s="13" t="s">
        <v>2453</v>
      </c>
      <c r="K3" s="13" t="s">
        <v>2541</v>
      </c>
      <c r="L3" s="13" t="s">
        <v>2529</v>
      </c>
      <c r="M3" s="13" t="s">
        <v>2453</v>
      </c>
      <c r="N3" s="13" t="s">
        <v>1606</v>
      </c>
      <c r="O3" s="13" t="s">
        <v>2453</v>
      </c>
      <c r="P3" s="13" t="s">
        <v>2453</v>
      </c>
      <c r="Q3" s="39">
        <v>1</v>
      </c>
    </row>
    <row r="4" spans="1:17" x14ac:dyDescent="0.25">
      <c r="B4" s="13" t="s">
        <v>2539</v>
      </c>
      <c r="C4" s="13" t="s">
        <v>44</v>
      </c>
      <c r="D4" s="13" t="s">
        <v>2525</v>
      </c>
      <c r="E4" s="13" t="s">
        <v>1628</v>
      </c>
      <c r="F4" s="13" t="s">
        <v>2453</v>
      </c>
      <c r="G4" s="13" t="s">
        <v>2527</v>
      </c>
      <c r="H4" s="13" t="s">
        <v>2453</v>
      </c>
      <c r="I4" s="13" t="s">
        <v>2455</v>
      </c>
      <c r="J4" s="13" t="s">
        <v>2539</v>
      </c>
      <c r="K4" s="13" t="s">
        <v>2538</v>
      </c>
      <c r="L4" s="13" t="s">
        <v>2529</v>
      </c>
      <c r="M4" s="13" t="s">
        <v>2453</v>
      </c>
      <c r="N4" s="13" t="s">
        <v>1628</v>
      </c>
      <c r="O4" s="13" t="s">
        <v>2453</v>
      </c>
      <c r="P4" s="13" t="s">
        <v>2453</v>
      </c>
      <c r="Q4" s="39">
        <v>1</v>
      </c>
    </row>
    <row r="5" spans="1:17" x14ac:dyDescent="0.25">
      <c r="B5" s="13" t="s">
        <v>2424</v>
      </c>
      <c r="C5" s="13" t="s">
        <v>44</v>
      </c>
      <c r="D5" s="13" t="s">
        <v>2453</v>
      </c>
      <c r="E5" s="13" t="s">
        <v>2453</v>
      </c>
      <c r="F5" s="13" t="s">
        <v>1606</v>
      </c>
      <c r="G5" s="13" t="s">
        <v>2453</v>
      </c>
      <c r="H5" s="13" t="s">
        <v>2453</v>
      </c>
      <c r="I5" s="13" t="s">
        <v>2546</v>
      </c>
      <c r="J5" s="13" t="s">
        <v>2424</v>
      </c>
      <c r="K5" s="13" t="s">
        <v>2538</v>
      </c>
      <c r="L5" s="13" t="s">
        <v>2529</v>
      </c>
      <c r="M5" s="13" t="s">
        <v>2453</v>
      </c>
      <c r="N5" s="13" t="s">
        <v>1606</v>
      </c>
      <c r="O5" s="13" t="s">
        <v>2453</v>
      </c>
      <c r="P5" s="13" t="s">
        <v>2453</v>
      </c>
      <c r="Q5" s="39">
        <v>1</v>
      </c>
    </row>
    <row r="6" spans="1:17" x14ac:dyDescent="0.25">
      <c r="B6" s="42" t="s">
        <v>2544</v>
      </c>
      <c r="C6" s="42" t="s">
        <v>44</v>
      </c>
      <c r="D6" s="42" t="s">
        <v>2453</v>
      </c>
      <c r="E6" s="42" t="s">
        <v>2453</v>
      </c>
      <c r="F6" s="42" t="s">
        <v>1606</v>
      </c>
      <c r="G6" s="42" t="s">
        <v>2453</v>
      </c>
      <c r="H6" s="42" t="s">
        <v>2453</v>
      </c>
      <c r="I6" s="42" t="s">
        <v>2549</v>
      </c>
      <c r="J6" s="42" t="s">
        <v>2544</v>
      </c>
      <c r="K6" s="42" t="s">
        <v>2538</v>
      </c>
      <c r="L6" s="42" t="s">
        <v>2529</v>
      </c>
      <c r="M6" s="42" t="s">
        <v>2453</v>
      </c>
      <c r="N6" s="42" t="s">
        <v>1606</v>
      </c>
      <c r="O6" s="42" t="s">
        <v>2453</v>
      </c>
      <c r="P6" s="42" t="s">
        <v>2453</v>
      </c>
      <c r="Q6" s="43">
        <v>1</v>
      </c>
    </row>
    <row r="7" spans="1:17" x14ac:dyDescent="0.25">
      <c r="B7" s="13" t="s">
        <v>2540</v>
      </c>
      <c r="C7" s="13" t="s">
        <v>44</v>
      </c>
      <c r="D7" s="13" t="s">
        <v>2525</v>
      </c>
      <c r="E7" s="13" t="s">
        <v>1628</v>
      </c>
      <c r="F7" s="13" t="s">
        <v>2453</v>
      </c>
      <c r="G7" s="13" t="s">
        <v>2526</v>
      </c>
      <c r="H7" s="13" t="s">
        <v>2527</v>
      </c>
      <c r="I7" s="13" t="s">
        <v>2532</v>
      </c>
      <c r="J7" s="13" t="s">
        <v>2540</v>
      </c>
      <c r="K7" s="13" t="s">
        <v>2538</v>
      </c>
      <c r="L7" s="13" t="s">
        <v>2529</v>
      </c>
      <c r="M7" s="13" t="s">
        <v>2453</v>
      </c>
      <c r="N7" s="13" t="s">
        <v>1628</v>
      </c>
      <c r="O7" s="13" t="s">
        <v>2453</v>
      </c>
      <c r="P7" s="13" t="s">
        <v>2453</v>
      </c>
      <c r="Q7" s="39">
        <v>1</v>
      </c>
    </row>
    <row r="8" spans="1:17" x14ac:dyDescent="0.25">
      <c r="B8" s="13" t="s">
        <v>2424</v>
      </c>
      <c r="C8" s="13" t="s">
        <v>44</v>
      </c>
      <c r="D8" s="13" t="s">
        <v>2453</v>
      </c>
      <c r="E8" s="13" t="s">
        <v>2453</v>
      </c>
      <c r="F8" s="13" t="s">
        <v>1606</v>
      </c>
      <c r="G8" s="13" t="s">
        <v>2453</v>
      </c>
      <c r="H8" s="13" t="s">
        <v>2453</v>
      </c>
      <c r="I8" s="13" t="s">
        <v>2530</v>
      </c>
      <c r="J8" s="13" t="s">
        <v>2424</v>
      </c>
      <c r="K8" s="13" t="s">
        <v>2538</v>
      </c>
      <c r="L8" s="13" t="s">
        <v>2525</v>
      </c>
      <c r="M8" s="13" t="s">
        <v>1606</v>
      </c>
      <c r="N8" s="13" t="s">
        <v>2453</v>
      </c>
      <c r="O8" s="13" t="s">
        <v>2526</v>
      </c>
      <c r="P8" s="13" t="s">
        <v>2527</v>
      </c>
      <c r="Q8" s="39">
        <v>1</v>
      </c>
    </row>
    <row r="9" spans="1:17" x14ac:dyDescent="0.25">
      <c r="B9" s="13" t="s">
        <v>2424</v>
      </c>
      <c r="C9" s="13" t="s">
        <v>44</v>
      </c>
      <c r="D9" s="13" t="s">
        <v>2453</v>
      </c>
      <c r="E9" s="13" t="s">
        <v>2453</v>
      </c>
      <c r="F9" s="13" t="s">
        <v>1606</v>
      </c>
      <c r="G9" s="13" t="s">
        <v>2453</v>
      </c>
      <c r="H9" s="13" t="s">
        <v>2453</v>
      </c>
      <c r="I9" s="13" t="s">
        <v>2550</v>
      </c>
      <c r="J9" s="13" t="s">
        <v>2424</v>
      </c>
      <c r="K9" s="13" t="s">
        <v>2538</v>
      </c>
      <c r="L9" s="13" t="s">
        <v>2529</v>
      </c>
      <c r="M9" s="13" t="s">
        <v>2453</v>
      </c>
      <c r="N9" s="13" t="s">
        <v>1606</v>
      </c>
      <c r="O9" s="13" t="s">
        <v>2453</v>
      </c>
      <c r="P9" s="13" t="s">
        <v>2453</v>
      </c>
      <c r="Q9" s="39">
        <v>1</v>
      </c>
    </row>
    <row r="10" spans="1:17" x14ac:dyDescent="0.25">
      <c r="B10" s="13" t="s">
        <v>2542</v>
      </c>
      <c r="C10" s="13" t="s">
        <v>44</v>
      </c>
      <c r="D10" s="13" t="s">
        <v>2525</v>
      </c>
      <c r="E10" s="13" t="s">
        <v>1628</v>
      </c>
      <c r="F10" s="13" t="s">
        <v>2453</v>
      </c>
      <c r="G10" s="13" t="s">
        <v>2526</v>
      </c>
      <c r="H10" s="13" t="s">
        <v>2527</v>
      </c>
      <c r="I10" s="13" t="s">
        <v>2532</v>
      </c>
      <c r="J10" s="13" t="s">
        <v>2542</v>
      </c>
      <c r="K10" s="13" t="s">
        <v>2538</v>
      </c>
      <c r="L10" s="13" t="s">
        <v>2529</v>
      </c>
      <c r="M10" s="13" t="s">
        <v>2453</v>
      </c>
      <c r="N10" s="13" t="s">
        <v>1628</v>
      </c>
      <c r="O10" s="13" t="s">
        <v>2453</v>
      </c>
      <c r="P10" s="13" t="s">
        <v>2453</v>
      </c>
      <c r="Q10" s="39">
        <v>1</v>
      </c>
    </row>
    <row r="11" spans="1:17" x14ac:dyDescent="0.25">
      <c r="A11" s="47" t="s">
        <v>1701</v>
      </c>
      <c r="B11" s="40" t="s">
        <v>2453</v>
      </c>
      <c r="C11" s="40" t="s">
        <v>1587</v>
      </c>
      <c r="D11" s="40" t="s">
        <v>2453</v>
      </c>
      <c r="E11" s="40" t="s">
        <v>2453</v>
      </c>
      <c r="F11" s="40" t="s">
        <v>1606</v>
      </c>
      <c r="G11" s="40" t="s">
        <v>2453</v>
      </c>
      <c r="H11" s="40" t="s">
        <v>2453</v>
      </c>
      <c r="I11" s="40" t="s">
        <v>2531</v>
      </c>
      <c r="J11" s="40" t="s">
        <v>2453</v>
      </c>
      <c r="K11" s="40" t="s">
        <v>2541</v>
      </c>
      <c r="L11" s="40" t="s">
        <v>2525</v>
      </c>
      <c r="M11" s="40" t="s">
        <v>1606</v>
      </c>
      <c r="N11" s="40" t="s">
        <v>2453</v>
      </c>
      <c r="O11" s="40" t="s">
        <v>2526</v>
      </c>
      <c r="P11" s="40" t="s">
        <v>2528</v>
      </c>
      <c r="Q11" s="41">
        <v>2</v>
      </c>
    </row>
    <row r="12" spans="1:17" x14ac:dyDescent="0.25">
      <c r="B12" s="13" t="s">
        <v>2453</v>
      </c>
      <c r="C12" s="13" t="s">
        <v>1587</v>
      </c>
      <c r="D12" s="13" t="s">
        <v>2453</v>
      </c>
      <c r="E12" s="13" t="s">
        <v>2453</v>
      </c>
      <c r="F12" s="13" t="s">
        <v>1606</v>
      </c>
      <c r="G12" s="13" t="s">
        <v>2453</v>
      </c>
      <c r="H12" s="13" t="s">
        <v>2453</v>
      </c>
      <c r="I12" s="13" t="s">
        <v>2546</v>
      </c>
      <c r="J12" s="13" t="s">
        <v>2453</v>
      </c>
      <c r="K12" s="13" t="s">
        <v>2541</v>
      </c>
      <c r="L12" s="13" t="s">
        <v>2529</v>
      </c>
      <c r="M12" s="13" t="s">
        <v>2453</v>
      </c>
      <c r="N12" s="13" t="s">
        <v>1606</v>
      </c>
      <c r="O12" s="13" t="s">
        <v>2453</v>
      </c>
      <c r="P12" s="13" t="s">
        <v>2453</v>
      </c>
      <c r="Q12" s="39">
        <v>2</v>
      </c>
    </row>
    <row r="13" spans="1:17" x14ac:dyDescent="0.25">
      <c r="B13" s="13" t="s">
        <v>2453</v>
      </c>
      <c r="C13" s="13" t="s">
        <v>1587</v>
      </c>
      <c r="D13" s="13" t="s">
        <v>2525</v>
      </c>
      <c r="E13" s="13" t="s">
        <v>1606</v>
      </c>
      <c r="F13" s="13" t="s">
        <v>2453</v>
      </c>
      <c r="G13" s="13" t="s">
        <v>2526</v>
      </c>
      <c r="H13" s="13" t="s">
        <v>2527</v>
      </c>
      <c r="I13" s="13" t="s">
        <v>2533</v>
      </c>
      <c r="J13" s="13" t="s">
        <v>2453</v>
      </c>
      <c r="K13" s="13" t="s">
        <v>2541</v>
      </c>
      <c r="L13" s="13" t="s">
        <v>2525</v>
      </c>
      <c r="M13" s="13" t="s">
        <v>1606</v>
      </c>
      <c r="N13" s="13" t="s">
        <v>2453</v>
      </c>
      <c r="O13" s="13" t="s">
        <v>2526</v>
      </c>
      <c r="P13" s="13" t="s">
        <v>2528</v>
      </c>
      <c r="Q13" s="39">
        <v>2</v>
      </c>
    </row>
    <row r="14" spans="1:17" x14ac:dyDescent="0.25">
      <c r="B14" s="13" t="s">
        <v>2411</v>
      </c>
      <c r="C14" s="13" t="s">
        <v>44</v>
      </c>
      <c r="D14" s="13" t="s">
        <v>2453</v>
      </c>
      <c r="E14" s="13" t="s">
        <v>2453</v>
      </c>
      <c r="F14" s="13" t="s">
        <v>1628</v>
      </c>
      <c r="G14" s="13" t="s">
        <v>2453</v>
      </c>
      <c r="H14" s="13" t="s">
        <v>2453</v>
      </c>
      <c r="I14" s="13" t="s">
        <v>2552</v>
      </c>
      <c r="J14" s="13" t="s">
        <v>2411</v>
      </c>
      <c r="K14" s="13" t="s">
        <v>2538</v>
      </c>
      <c r="L14" s="13" t="s">
        <v>2529</v>
      </c>
      <c r="M14" s="13" t="s">
        <v>2453</v>
      </c>
      <c r="N14" s="13" t="s">
        <v>1606</v>
      </c>
      <c r="O14" s="13" t="s">
        <v>2453</v>
      </c>
      <c r="P14" s="13" t="s">
        <v>2453</v>
      </c>
      <c r="Q14" s="39">
        <v>4</v>
      </c>
    </row>
    <row r="15" spans="1:17" x14ac:dyDescent="0.25">
      <c r="B15" s="13" t="s">
        <v>2411</v>
      </c>
      <c r="C15" s="13" t="s">
        <v>44</v>
      </c>
      <c r="D15" s="13" t="s">
        <v>2453</v>
      </c>
      <c r="E15" s="13" t="s">
        <v>2453</v>
      </c>
      <c r="F15" s="13" t="s">
        <v>1606</v>
      </c>
      <c r="G15" s="13" t="s">
        <v>2453</v>
      </c>
      <c r="H15" s="13" t="s">
        <v>2453</v>
      </c>
      <c r="I15" s="13" t="s">
        <v>2530</v>
      </c>
      <c r="J15" s="13" t="s">
        <v>2411</v>
      </c>
      <c r="K15" s="13" t="s">
        <v>2538</v>
      </c>
      <c r="L15" s="13" t="s">
        <v>2525</v>
      </c>
      <c r="M15" s="13" t="s">
        <v>1606</v>
      </c>
      <c r="N15" s="13" t="s">
        <v>2453</v>
      </c>
      <c r="O15" s="13" t="s">
        <v>2526</v>
      </c>
      <c r="P15" s="13" t="s">
        <v>2528</v>
      </c>
      <c r="Q15" s="39">
        <v>4</v>
      </c>
    </row>
    <row r="16" spans="1:17" x14ac:dyDescent="0.25">
      <c r="B16" s="13" t="s">
        <v>2545</v>
      </c>
      <c r="C16" s="13" t="s">
        <v>44</v>
      </c>
      <c r="D16" s="13" t="s">
        <v>2453</v>
      </c>
      <c r="E16" s="13" t="s">
        <v>2453</v>
      </c>
      <c r="F16" s="13" t="s">
        <v>1628</v>
      </c>
      <c r="G16" s="13" t="s">
        <v>2453</v>
      </c>
      <c r="H16" s="13" t="s">
        <v>2453</v>
      </c>
      <c r="I16" s="13" t="s">
        <v>2547</v>
      </c>
      <c r="J16" s="13" t="s">
        <v>2545</v>
      </c>
      <c r="K16" s="13" t="s">
        <v>2538</v>
      </c>
      <c r="L16" s="13" t="s">
        <v>2529</v>
      </c>
      <c r="M16" s="13" t="s">
        <v>2453</v>
      </c>
      <c r="N16" s="13" t="s">
        <v>1628</v>
      </c>
      <c r="O16" s="13" t="s">
        <v>2453</v>
      </c>
      <c r="P16" s="13" t="s">
        <v>2453</v>
      </c>
      <c r="Q16" s="39">
        <v>4</v>
      </c>
    </row>
    <row r="17" spans="2:17" x14ac:dyDescent="0.25">
      <c r="B17" s="13" t="s">
        <v>2453</v>
      </c>
      <c r="C17" s="13" t="s">
        <v>1587</v>
      </c>
      <c r="D17" s="13" t="s">
        <v>2453</v>
      </c>
      <c r="E17" s="13" t="s">
        <v>2453</v>
      </c>
      <c r="F17" s="13" t="s">
        <v>1606</v>
      </c>
      <c r="G17" s="13" t="s">
        <v>2453</v>
      </c>
      <c r="H17" s="13" t="s">
        <v>2453</v>
      </c>
      <c r="I17" s="13" t="s">
        <v>2531</v>
      </c>
      <c r="J17" s="13" t="s">
        <v>2453</v>
      </c>
      <c r="K17" s="13" t="s">
        <v>2541</v>
      </c>
      <c r="L17" s="13" t="s">
        <v>2529</v>
      </c>
      <c r="M17" s="13" t="s">
        <v>2453</v>
      </c>
      <c r="N17" s="13" t="s">
        <v>1606</v>
      </c>
      <c r="O17" s="13" t="s">
        <v>2453</v>
      </c>
      <c r="P17" s="13" t="s">
        <v>2453</v>
      </c>
      <c r="Q17" s="39">
        <v>5</v>
      </c>
    </row>
    <row r="18" spans="2:17" x14ac:dyDescent="0.25">
      <c r="B18" s="13" t="s">
        <v>2424</v>
      </c>
      <c r="C18" s="13" t="s">
        <v>44</v>
      </c>
      <c r="D18" s="13" t="s">
        <v>2453</v>
      </c>
      <c r="E18" s="13" t="s">
        <v>2453</v>
      </c>
      <c r="F18" s="13" t="s">
        <v>1606</v>
      </c>
      <c r="G18" s="13" t="s">
        <v>2453</v>
      </c>
      <c r="H18" s="13" t="s">
        <v>2453</v>
      </c>
      <c r="I18" s="13" t="s">
        <v>2531</v>
      </c>
      <c r="J18" s="13" t="s">
        <v>2424</v>
      </c>
      <c r="K18" s="13" t="s">
        <v>2538</v>
      </c>
      <c r="L18" s="13" t="s">
        <v>2525</v>
      </c>
      <c r="M18" s="13" t="s">
        <v>1606</v>
      </c>
      <c r="N18" s="13" t="s">
        <v>2453</v>
      </c>
      <c r="O18" s="13" t="s">
        <v>2526</v>
      </c>
      <c r="P18" s="13" t="s">
        <v>2527</v>
      </c>
      <c r="Q18" s="39">
        <v>5</v>
      </c>
    </row>
    <row r="19" spans="2:17" x14ac:dyDescent="0.25">
      <c r="B19" s="13" t="s">
        <v>2411</v>
      </c>
      <c r="C19" s="13" t="s">
        <v>44</v>
      </c>
      <c r="D19" s="13" t="s">
        <v>2525</v>
      </c>
      <c r="E19" s="13" t="s">
        <v>1606</v>
      </c>
      <c r="F19" s="13" t="s">
        <v>2453</v>
      </c>
      <c r="G19" s="13" t="s">
        <v>2526</v>
      </c>
      <c r="H19" s="13" t="s">
        <v>2528</v>
      </c>
      <c r="I19" s="13" t="s">
        <v>2535</v>
      </c>
      <c r="J19" s="13" t="s">
        <v>2411</v>
      </c>
      <c r="K19" s="13" t="s">
        <v>2538</v>
      </c>
      <c r="L19" s="13" t="s">
        <v>2529</v>
      </c>
      <c r="M19" s="13" t="s">
        <v>2453</v>
      </c>
      <c r="N19" s="13" t="s">
        <v>1606</v>
      </c>
      <c r="O19" s="13" t="s">
        <v>2453</v>
      </c>
      <c r="P19" s="13" t="s">
        <v>2453</v>
      </c>
      <c r="Q19" s="39">
        <v>5</v>
      </c>
    </row>
    <row r="20" spans="2:17" x14ac:dyDescent="0.25">
      <c r="B20" s="13" t="s">
        <v>2453</v>
      </c>
      <c r="C20" s="13" t="s">
        <v>1587</v>
      </c>
      <c r="D20" s="13" t="s">
        <v>2529</v>
      </c>
      <c r="E20" s="13" t="s">
        <v>2453</v>
      </c>
      <c r="F20" s="13" t="s">
        <v>2453</v>
      </c>
      <c r="G20" s="13" t="s">
        <v>2453</v>
      </c>
      <c r="H20" s="13" t="s">
        <v>2453</v>
      </c>
      <c r="I20" s="13" t="s">
        <v>2534</v>
      </c>
      <c r="J20" s="13" t="s">
        <v>2453</v>
      </c>
      <c r="K20" s="13" t="s">
        <v>2541</v>
      </c>
      <c r="L20" s="13" t="s">
        <v>2525</v>
      </c>
      <c r="M20" s="13" t="s">
        <v>1606</v>
      </c>
      <c r="N20" s="13" t="s">
        <v>2453</v>
      </c>
      <c r="O20" s="13" t="s">
        <v>2527</v>
      </c>
      <c r="P20" s="13" t="s">
        <v>2453</v>
      </c>
      <c r="Q20" s="39">
        <v>6</v>
      </c>
    </row>
    <row r="21" spans="2:17" x14ac:dyDescent="0.25">
      <c r="B21" s="13" t="s">
        <v>2453</v>
      </c>
      <c r="C21" s="13" t="s">
        <v>1587</v>
      </c>
      <c r="D21" s="13" t="s">
        <v>2453</v>
      </c>
      <c r="E21" s="13" t="s">
        <v>2453</v>
      </c>
      <c r="F21" s="13" t="s">
        <v>1606</v>
      </c>
      <c r="G21" s="13" t="s">
        <v>2453</v>
      </c>
      <c r="H21" s="13" t="s">
        <v>2453</v>
      </c>
      <c r="I21" s="13" t="s">
        <v>2530</v>
      </c>
      <c r="J21" s="13" t="s">
        <v>2453</v>
      </c>
      <c r="K21" s="13" t="s">
        <v>2541</v>
      </c>
      <c r="L21" s="13" t="s">
        <v>2529</v>
      </c>
      <c r="M21" s="13" t="s">
        <v>2453</v>
      </c>
      <c r="N21" s="13" t="s">
        <v>1606</v>
      </c>
      <c r="O21" s="13" t="s">
        <v>2453</v>
      </c>
      <c r="P21" s="13" t="s">
        <v>2453</v>
      </c>
      <c r="Q21" s="39">
        <v>6</v>
      </c>
    </row>
    <row r="22" spans="2:17" x14ac:dyDescent="0.25">
      <c r="B22" s="13" t="s">
        <v>2411</v>
      </c>
      <c r="C22" s="13" t="s">
        <v>44</v>
      </c>
      <c r="D22" s="13" t="s">
        <v>2453</v>
      </c>
      <c r="E22" s="13" t="s">
        <v>2453</v>
      </c>
      <c r="F22" s="13" t="s">
        <v>1628</v>
      </c>
      <c r="G22" s="13" t="s">
        <v>2453</v>
      </c>
      <c r="H22" s="13" t="s">
        <v>2453</v>
      </c>
      <c r="I22" s="13" t="s">
        <v>2552</v>
      </c>
      <c r="J22" s="13" t="s">
        <v>2411</v>
      </c>
      <c r="K22" s="13" t="s">
        <v>2538</v>
      </c>
      <c r="L22" s="13" t="s">
        <v>2525</v>
      </c>
      <c r="M22" s="13" t="s">
        <v>1606</v>
      </c>
      <c r="N22" s="13" t="s">
        <v>2453</v>
      </c>
      <c r="O22" s="13" t="s">
        <v>2526</v>
      </c>
      <c r="P22" s="13" t="s">
        <v>2528</v>
      </c>
      <c r="Q22" s="39">
        <v>7</v>
      </c>
    </row>
    <row r="23" spans="2:17" x14ac:dyDescent="0.25">
      <c r="B23" s="13" t="s">
        <v>2424</v>
      </c>
      <c r="C23" s="13" t="s">
        <v>44</v>
      </c>
      <c r="D23" s="13" t="s">
        <v>2453</v>
      </c>
      <c r="E23" s="13" t="s">
        <v>2453</v>
      </c>
      <c r="F23" s="13" t="s">
        <v>1606</v>
      </c>
      <c r="G23" s="13" t="s">
        <v>2453</v>
      </c>
      <c r="H23" s="13" t="s">
        <v>2453</v>
      </c>
      <c r="I23" s="13" t="s">
        <v>2530</v>
      </c>
      <c r="J23" s="13" t="s">
        <v>2424</v>
      </c>
      <c r="K23" s="13" t="s">
        <v>2538</v>
      </c>
      <c r="L23" s="13" t="s">
        <v>2525</v>
      </c>
      <c r="M23" s="13" t="s">
        <v>1606</v>
      </c>
      <c r="N23" s="13" t="s">
        <v>2453</v>
      </c>
      <c r="O23" s="13" t="s">
        <v>2526</v>
      </c>
      <c r="P23" s="13" t="s">
        <v>2528</v>
      </c>
      <c r="Q23" s="39">
        <v>7</v>
      </c>
    </row>
    <row r="24" spans="2:17" x14ac:dyDescent="0.25">
      <c r="B24" s="13" t="s">
        <v>2411</v>
      </c>
      <c r="C24" s="13" t="s">
        <v>44</v>
      </c>
      <c r="D24" s="13" t="s">
        <v>2453</v>
      </c>
      <c r="E24" s="13" t="s">
        <v>2453</v>
      </c>
      <c r="F24" s="13" t="s">
        <v>1606</v>
      </c>
      <c r="G24" s="13" t="s">
        <v>2453</v>
      </c>
      <c r="H24" s="13" t="s">
        <v>2453</v>
      </c>
      <c r="I24" s="13" t="s">
        <v>2531</v>
      </c>
      <c r="J24" s="13" t="s">
        <v>2411</v>
      </c>
      <c r="K24" s="13" t="s">
        <v>2538</v>
      </c>
      <c r="L24" s="13" t="s">
        <v>2525</v>
      </c>
      <c r="M24" s="13" t="s">
        <v>1606</v>
      </c>
      <c r="N24" s="13" t="s">
        <v>2453</v>
      </c>
      <c r="O24" s="13" t="s">
        <v>2526</v>
      </c>
      <c r="P24" s="13" t="s">
        <v>2528</v>
      </c>
      <c r="Q24" s="39">
        <v>10</v>
      </c>
    </row>
    <row r="25" spans="2:17" x14ac:dyDescent="0.25">
      <c r="B25" s="13" t="s">
        <v>2424</v>
      </c>
      <c r="C25" s="13" t="s">
        <v>44</v>
      </c>
      <c r="D25" s="13" t="s">
        <v>2453</v>
      </c>
      <c r="E25" s="13" t="s">
        <v>2453</v>
      </c>
      <c r="F25" s="13" t="s">
        <v>1606</v>
      </c>
      <c r="G25" s="13" t="s">
        <v>2453</v>
      </c>
      <c r="H25" s="13" t="s">
        <v>2453</v>
      </c>
      <c r="I25" s="13" t="s">
        <v>2531</v>
      </c>
      <c r="J25" s="13" t="s">
        <v>2424</v>
      </c>
      <c r="K25" s="13" t="s">
        <v>2538</v>
      </c>
      <c r="L25" s="13" t="s">
        <v>2525</v>
      </c>
      <c r="M25" s="13" t="s">
        <v>1606</v>
      </c>
      <c r="N25" s="13" t="s">
        <v>2453</v>
      </c>
      <c r="O25" s="13" t="s">
        <v>2526</v>
      </c>
      <c r="P25" s="13" t="s">
        <v>2528</v>
      </c>
      <c r="Q25" s="39">
        <v>12</v>
      </c>
    </row>
    <row r="26" spans="2:17" x14ac:dyDescent="0.25">
      <c r="B26" s="13" t="s">
        <v>2411</v>
      </c>
      <c r="C26" s="13" t="s">
        <v>44</v>
      </c>
      <c r="D26" s="13" t="s">
        <v>2453</v>
      </c>
      <c r="E26" s="13" t="s">
        <v>2453</v>
      </c>
      <c r="F26" s="13" t="s">
        <v>1606</v>
      </c>
      <c r="G26" s="13" t="s">
        <v>2453</v>
      </c>
      <c r="H26" s="13" t="s">
        <v>2453</v>
      </c>
      <c r="I26" s="13" t="s">
        <v>2530</v>
      </c>
      <c r="J26" s="13" t="s">
        <v>2411</v>
      </c>
      <c r="K26" s="13" t="s">
        <v>2538</v>
      </c>
      <c r="L26" s="13" t="s">
        <v>2529</v>
      </c>
      <c r="M26" s="13" t="s">
        <v>2453</v>
      </c>
      <c r="N26" s="13" t="s">
        <v>1606</v>
      </c>
      <c r="O26" s="13" t="s">
        <v>2453</v>
      </c>
      <c r="P26" s="13" t="s">
        <v>2453</v>
      </c>
      <c r="Q26" s="39">
        <v>14</v>
      </c>
    </row>
    <row r="27" spans="2:17" x14ac:dyDescent="0.25">
      <c r="B27" s="13" t="s">
        <v>2411</v>
      </c>
      <c r="C27" s="13" t="s">
        <v>44</v>
      </c>
      <c r="D27" s="13" t="s">
        <v>2525</v>
      </c>
      <c r="E27" s="13" t="s">
        <v>1606</v>
      </c>
      <c r="F27" s="13" t="s">
        <v>2453</v>
      </c>
      <c r="G27" s="13" t="s">
        <v>2526</v>
      </c>
      <c r="H27" s="13" t="s">
        <v>2528</v>
      </c>
      <c r="I27" s="13" t="s">
        <v>2456</v>
      </c>
      <c r="J27" s="13" t="s">
        <v>2411</v>
      </c>
      <c r="K27" s="13" t="s">
        <v>2538</v>
      </c>
      <c r="L27" s="13" t="s">
        <v>2529</v>
      </c>
      <c r="M27" s="13" t="s">
        <v>2453</v>
      </c>
      <c r="N27" s="13" t="s">
        <v>1606</v>
      </c>
      <c r="O27" s="13" t="s">
        <v>2453</v>
      </c>
      <c r="P27" s="13" t="s">
        <v>2453</v>
      </c>
      <c r="Q27" s="39">
        <v>16</v>
      </c>
    </row>
    <row r="28" spans="2:17" x14ac:dyDescent="0.25">
      <c r="B28" s="13" t="s">
        <v>2453</v>
      </c>
      <c r="C28" s="13" t="s">
        <v>1587</v>
      </c>
      <c r="D28" s="13" t="s">
        <v>2453</v>
      </c>
      <c r="E28" s="13" t="s">
        <v>2453</v>
      </c>
      <c r="F28" s="13" t="s">
        <v>1606</v>
      </c>
      <c r="G28" s="13" t="s">
        <v>2453</v>
      </c>
      <c r="H28" s="13" t="s">
        <v>2453</v>
      </c>
      <c r="I28" s="13" t="s">
        <v>2553</v>
      </c>
      <c r="J28" s="13" t="s">
        <v>2453</v>
      </c>
      <c r="K28" s="13" t="s">
        <v>2541</v>
      </c>
      <c r="L28" s="13" t="s">
        <v>2529</v>
      </c>
      <c r="M28" s="13" t="s">
        <v>2453</v>
      </c>
      <c r="N28" s="13" t="s">
        <v>1606</v>
      </c>
      <c r="O28" s="13" t="s">
        <v>2453</v>
      </c>
      <c r="P28" s="13" t="s">
        <v>2453</v>
      </c>
      <c r="Q28" s="39">
        <v>19</v>
      </c>
    </row>
    <row r="29" spans="2:17" x14ac:dyDescent="0.25">
      <c r="B29" s="13" t="s">
        <v>2424</v>
      </c>
      <c r="C29" s="13" t="s">
        <v>44</v>
      </c>
      <c r="D29" s="13" t="s">
        <v>2525</v>
      </c>
      <c r="E29" s="13" t="s">
        <v>1606</v>
      </c>
      <c r="F29" s="13" t="s">
        <v>2453</v>
      </c>
      <c r="G29" s="13" t="s">
        <v>2526</v>
      </c>
      <c r="H29" s="13" t="s">
        <v>2527</v>
      </c>
      <c r="I29" s="13" t="s">
        <v>2533</v>
      </c>
      <c r="J29" s="13" t="s">
        <v>2424</v>
      </c>
      <c r="K29" s="13" t="s">
        <v>2538</v>
      </c>
      <c r="L29" s="13" t="s">
        <v>2525</v>
      </c>
      <c r="M29" s="13" t="s">
        <v>1606</v>
      </c>
      <c r="N29" s="13" t="s">
        <v>2453</v>
      </c>
      <c r="O29" s="13" t="s">
        <v>2526</v>
      </c>
      <c r="P29" s="13" t="s">
        <v>2528</v>
      </c>
      <c r="Q29" s="39">
        <v>21</v>
      </c>
    </row>
    <row r="30" spans="2:17" x14ac:dyDescent="0.25">
      <c r="B30" s="13" t="s">
        <v>2411</v>
      </c>
      <c r="C30" s="13" t="s">
        <v>44</v>
      </c>
      <c r="D30" s="13" t="s">
        <v>2453</v>
      </c>
      <c r="E30" s="13" t="s">
        <v>2453</v>
      </c>
      <c r="F30" s="13" t="s">
        <v>1606</v>
      </c>
      <c r="G30" s="13" t="s">
        <v>2453</v>
      </c>
      <c r="H30" s="13" t="s">
        <v>2453</v>
      </c>
      <c r="I30" s="13" t="s">
        <v>2531</v>
      </c>
      <c r="J30" s="13" t="s">
        <v>2411</v>
      </c>
      <c r="K30" s="13" t="s">
        <v>2538</v>
      </c>
      <c r="L30" s="13" t="s">
        <v>2529</v>
      </c>
      <c r="M30" s="13" t="s">
        <v>2453</v>
      </c>
      <c r="N30" s="13" t="s">
        <v>1606</v>
      </c>
      <c r="O30" s="13" t="s">
        <v>2453</v>
      </c>
      <c r="P30" s="13" t="s">
        <v>2453</v>
      </c>
      <c r="Q30" s="39">
        <v>22</v>
      </c>
    </row>
    <row r="31" spans="2:17" x14ac:dyDescent="0.25">
      <c r="B31" s="13" t="s">
        <v>2424</v>
      </c>
      <c r="C31" s="13" t="s">
        <v>44</v>
      </c>
      <c r="D31" s="13" t="s">
        <v>2525</v>
      </c>
      <c r="E31" s="13" t="s">
        <v>1606</v>
      </c>
      <c r="F31" s="13" t="s">
        <v>2453</v>
      </c>
      <c r="G31" s="13" t="s">
        <v>2526</v>
      </c>
      <c r="H31" s="13" t="s">
        <v>2528</v>
      </c>
      <c r="I31" s="13" t="s">
        <v>2535</v>
      </c>
      <c r="J31" s="13" t="s">
        <v>2424</v>
      </c>
      <c r="K31" s="13" t="s">
        <v>2538</v>
      </c>
      <c r="L31" s="13" t="s">
        <v>2529</v>
      </c>
      <c r="M31" s="13" t="s">
        <v>2453</v>
      </c>
      <c r="N31" s="13" t="s">
        <v>1606</v>
      </c>
      <c r="O31" s="13" t="s">
        <v>2453</v>
      </c>
      <c r="P31" s="13" t="s">
        <v>2453</v>
      </c>
      <c r="Q31" s="39">
        <v>23</v>
      </c>
    </row>
    <row r="32" spans="2:17" x14ac:dyDescent="0.25">
      <c r="B32" s="13" t="s">
        <v>2424</v>
      </c>
      <c r="C32" s="13" t="s">
        <v>44</v>
      </c>
      <c r="D32" s="13" t="s">
        <v>2453</v>
      </c>
      <c r="E32" s="13" t="s">
        <v>2453</v>
      </c>
      <c r="F32" s="13" t="s">
        <v>1606</v>
      </c>
      <c r="G32" s="13" t="s">
        <v>2453</v>
      </c>
      <c r="H32" s="13" t="s">
        <v>2453</v>
      </c>
      <c r="I32" s="13" t="s">
        <v>2530</v>
      </c>
      <c r="J32" s="13" t="s">
        <v>2424</v>
      </c>
      <c r="K32" s="13" t="s">
        <v>2538</v>
      </c>
      <c r="L32" s="13" t="s">
        <v>2529</v>
      </c>
      <c r="M32" s="13" t="s">
        <v>2453</v>
      </c>
      <c r="N32" s="13" t="s">
        <v>1606</v>
      </c>
      <c r="O32" s="13" t="s">
        <v>2453</v>
      </c>
      <c r="P32" s="13" t="s">
        <v>2453</v>
      </c>
      <c r="Q32" s="39">
        <v>24</v>
      </c>
    </row>
    <row r="33" spans="2:17" x14ac:dyDescent="0.25">
      <c r="B33" s="13" t="s">
        <v>2424</v>
      </c>
      <c r="C33" s="13" t="s">
        <v>44</v>
      </c>
      <c r="D33" s="13" t="s">
        <v>2453</v>
      </c>
      <c r="E33" s="13" t="s">
        <v>2453</v>
      </c>
      <c r="F33" s="13" t="s">
        <v>1606</v>
      </c>
      <c r="G33" s="13" t="s">
        <v>2453</v>
      </c>
      <c r="H33" s="13" t="s">
        <v>2453</v>
      </c>
      <c r="I33" s="13" t="s">
        <v>2531</v>
      </c>
      <c r="J33" s="13" t="s">
        <v>2424</v>
      </c>
      <c r="K33" s="13" t="s">
        <v>2538</v>
      </c>
      <c r="L33" s="13" t="s">
        <v>2529</v>
      </c>
      <c r="M33" s="13" t="s">
        <v>2453</v>
      </c>
      <c r="N33" s="13" t="s">
        <v>1606</v>
      </c>
      <c r="O33" s="13" t="s">
        <v>2453</v>
      </c>
      <c r="P33" s="13" t="s">
        <v>2453</v>
      </c>
      <c r="Q33" s="39">
        <v>33</v>
      </c>
    </row>
    <row r="34" spans="2:17" x14ac:dyDescent="0.25">
      <c r="B34" s="13" t="s">
        <v>2424</v>
      </c>
      <c r="C34" s="13" t="s">
        <v>44</v>
      </c>
      <c r="D34" s="13" t="s">
        <v>2525</v>
      </c>
      <c r="E34" s="13" t="s">
        <v>1606</v>
      </c>
      <c r="F34" s="13" t="s">
        <v>2453</v>
      </c>
      <c r="G34" s="13" t="s">
        <v>2526</v>
      </c>
      <c r="H34" s="13" t="s">
        <v>2528</v>
      </c>
      <c r="I34" s="13" t="s">
        <v>2456</v>
      </c>
      <c r="J34" s="13" t="s">
        <v>2424</v>
      </c>
      <c r="K34" s="13" t="s">
        <v>2538</v>
      </c>
      <c r="L34" s="13" t="s">
        <v>2529</v>
      </c>
      <c r="M34" s="13" t="s">
        <v>2453</v>
      </c>
      <c r="N34" s="13" t="s">
        <v>1606</v>
      </c>
      <c r="O34" s="13" t="s">
        <v>2453</v>
      </c>
      <c r="P34" s="13" t="s">
        <v>2453</v>
      </c>
      <c r="Q34" s="39">
        <v>39</v>
      </c>
    </row>
    <row r="35" spans="2:17" x14ac:dyDescent="0.25">
      <c r="B35" s="13" t="s">
        <v>2424</v>
      </c>
      <c r="C35" s="13" t="s">
        <v>44</v>
      </c>
      <c r="D35" s="13" t="s">
        <v>2525</v>
      </c>
      <c r="E35" s="13" t="s">
        <v>1606</v>
      </c>
      <c r="F35" s="13" t="s">
        <v>2453</v>
      </c>
      <c r="G35" s="13" t="s">
        <v>2526</v>
      </c>
      <c r="H35" s="13" t="s">
        <v>2527</v>
      </c>
      <c r="I35" s="13" t="s">
        <v>2533</v>
      </c>
      <c r="J35" s="13" t="s">
        <v>2424</v>
      </c>
      <c r="K35" s="13" t="s">
        <v>2538</v>
      </c>
      <c r="L35" s="13" t="s">
        <v>2529</v>
      </c>
      <c r="M35" s="13" t="s">
        <v>2453</v>
      </c>
      <c r="N35" s="13" t="s">
        <v>1606</v>
      </c>
      <c r="O35" s="13" t="s">
        <v>2453</v>
      </c>
      <c r="P35" s="13" t="s">
        <v>2453</v>
      </c>
      <c r="Q35" s="39">
        <v>55</v>
      </c>
    </row>
    <row r="36" spans="2:17" x14ac:dyDescent="0.25">
      <c r="B36" s="13" t="s">
        <v>2453</v>
      </c>
      <c r="C36" s="13" t="s">
        <v>1587</v>
      </c>
      <c r="D36" s="13" t="s">
        <v>2453</v>
      </c>
      <c r="E36" s="13" t="s">
        <v>2453</v>
      </c>
      <c r="F36" s="13" t="s">
        <v>1606</v>
      </c>
      <c r="G36" s="13" t="s">
        <v>2453</v>
      </c>
      <c r="H36" s="13" t="s">
        <v>2453</v>
      </c>
      <c r="I36" s="13" t="s">
        <v>2551</v>
      </c>
      <c r="J36" s="13" t="s">
        <v>2453</v>
      </c>
      <c r="K36" s="13" t="s">
        <v>2541</v>
      </c>
      <c r="L36" s="13" t="s">
        <v>2529</v>
      </c>
      <c r="M36" s="13" t="s">
        <v>2453</v>
      </c>
      <c r="N36" s="13" t="s">
        <v>1606</v>
      </c>
      <c r="O36" s="13" t="s">
        <v>2453</v>
      </c>
      <c r="P36" s="13" t="s">
        <v>2453</v>
      </c>
      <c r="Q36" s="39">
        <v>402</v>
      </c>
    </row>
    <row r="37" spans="2:17" x14ac:dyDescent="0.25">
      <c r="B37" s="13" t="s">
        <v>2453</v>
      </c>
      <c r="C37" s="13" t="s">
        <v>1587</v>
      </c>
      <c r="D37" s="13" t="s">
        <v>2453</v>
      </c>
      <c r="E37" s="13" t="s">
        <v>2453</v>
      </c>
      <c r="F37" s="13" t="s">
        <v>1606</v>
      </c>
      <c r="G37" s="13" t="s">
        <v>2453</v>
      </c>
      <c r="H37" s="13" t="s">
        <v>2453</v>
      </c>
      <c r="I37" s="13" t="s">
        <v>2549</v>
      </c>
      <c r="J37" s="13" t="s">
        <v>2453</v>
      </c>
      <c r="K37" s="13" t="s">
        <v>2541</v>
      </c>
      <c r="L37" s="13" t="s">
        <v>2529</v>
      </c>
      <c r="M37" s="13" t="s">
        <v>2453</v>
      </c>
      <c r="N37" s="13" t="s">
        <v>1606</v>
      </c>
      <c r="O37" s="13" t="s">
        <v>2453</v>
      </c>
      <c r="P37" s="13" t="s">
        <v>2453</v>
      </c>
      <c r="Q37" s="39">
        <v>455</v>
      </c>
    </row>
    <row r="38" spans="2:17" x14ac:dyDescent="0.25">
      <c r="B38" s="13" t="s">
        <v>2457</v>
      </c>
      <c r="C38" s="13" t="s">
        <v>44</v>
      </c>
      <c r="D38" s="13" t="s">
        <v>2453</v>
      </c>
      <c r="E38" s="13" t="s">
        <v>2453</v>
      </c>
      <c r="F38" s="13" t="s">
        <v>1628</v>
      </c>
      <c r="G38" s="13" t="s">
        <v>2453</v>
      </c>
      <c r="H38" s="13" t="s">
        <v>2453</v>
      </c>
      <c r="I38" s="13" t="s">
        <v>2548</v>
      </c>
      <c r="J38" s="13" t="s">
        <v>2457</v>
      </c>
      <c r="K38" s="13" t="s">
        <v>2538</v>
      </c>
      <c r="L38" s="13" t="s">
        <v>2529</v>
      </c>
      <c r="M38" s="13" t="s">
        <v>2453</v>
      </c>
      <c r="N38" s="13" t="s">
        <v>1628</v>
      </c>
      <c r="O38" s="13" t="s">
        <v>2453</v>
      </c>
      <c r="P38" s="13" t="s">
        <v>2453</v>
      </c>
      <c r="Q38" s="39">
        <v>456</v>
      </c>
    </row>
    <row r="39" spans="2:17" x14ac:dyDescent="0.25">
      <c r="B39" s="13" t="s">
        <v>2411</v>
      </c>
      <c r="C39" s="13" t="s">
        <v>44</v>
      </c>
      <c r="D39" s="13" t="s">
        <v>2453</v>
      </c>
      <c r="E39" s="13" t="s">
        <v>2453</v>
      </c>
      <c r="F39" s="13" t="s">
        <v>1628</v>
      </c>
      <c r="G39" s="13" t="s">
        <v>2453</v>
      </c>
      <c r="H39" s="13" t="s">
        <v>2453</v>
      </c>
      <c r="I39" s="13" t="s">
        <v>2552</v>
      </c>
      <c r="J39" s="13" t="s">
        <v>2411</v>
      </c>
      <c r="K39" s="13" t="s">
        <v>2538</v>
      </c>
      <c r="L39" s="13" t="s">
        <v>2529</v>
      </c>
      <c r="M39" s="13" t="s">
        <v>2453</v>
      </c>
      <c r="N39" s="13" t="s">
        <v>1628</v>
      </c>
      <c r="O39" s="13" t="s">
        <v>2453</v>
      </c>
      <c r="P39" s="13" t="s">
        <v>2453</v>
      </c>
      <c r="Q39" s="39">
        <v>499</v>
      </c>
    </row>
    <row r="40" spans="2:17" x14ac:dyDescent="0.25">
      <c r="B40" s="13" t="s">
        <v>2424</v>
      </c>
      <c r="C40" s="13" t="s">
        <v>44</v>
      </c>
      <c r="D40" s="13" t="s">
        <v>2453</v>
      </c>
      <c r="E40" s="13" t="s">
        <v>2453</v>
      </c>
      <c r="F40" s="13" t="s">
        <v>1606</v>
      </c>
      <c r="G40" s="13" t="s">
        <v>2453</v>
      </c>
      <c r="H40" s="13" t="s">
        <v>2453</v>
      </c>
      <c r="I40" s="13" t="s">
        <v>2553</v>
      </c>
      <c r="J40" s="13" t="s">
        <v>2424</v>
      </c>
      <c r="K40" s="13" t="s">
        <v>2538</v>
      </c>
      <c r="L40" s="13" t="s">
        <v>2529</v>
      </c>
      <c r="M40" s="13" t="s">
        <v>2453</v>
      </c>
      <c r="N40" s="13" t="s">
        <v>1606</v>
      </c>
      <c r="O40" s="13" t="s">
        <v>2453</v>
      </c>
      <c r="P40" s="13" t="s">
        <v>2453</v>
      </c>
      <c r="Q40" s="39">
        <v>650</v>
      </c>
    </row>
    <row r="41" spans="2:17" x14ac:dyDescent="0.25">
      <c r="B41" s="13" t="s">
        <v>2411</v>
      </c>
      <c r="C41" s="13" t="s">
        <v>44</v>
      </c>
      <c r="D41" s="13" t="s">
        <v>2453</v>
      </c>
      <c r="E41" s="13" t="s">
        <v>2453</v>
      </c>
      <c r="F41" s="13" t="s">
        <v>1606</v>
      </c>
      <c r="G41" s="13" t="s">
        <v>2453</v>
      </c>
      <c r="H41" s="13" t="s">
        <v>2453</v>
      </c>
      <c r="I41" s="13" t="s">
        <v>2553</v>
      </c>
      <c r="J41" s="13" t="s">
        <v>2411</v>
      </c>
      <c r="K41" s="13" t="s">
        <v>2538</v>
      </c>
      <c r="L41" s="13" t="s">
        <v>2529</v>
      </c>
      <c r="M41" s="13" t="s">
        <v>2453</v>
      </c>
      <c r="N41" s="13" t="s">
        <v>1606</v>
      </c>
      <c r="O41" s="13" t="s">
        <v>2453</v>
      </c>
      <c r="P41" s="13" t="s">
        <v>2453</v>
      </c>
      <c r="Q41" s="39">
        <v>669</v>
      </c>
    </row>
    <row r="42" spans="2:17" x14ac:dyDescent="0.25">
      <c r="B42" s="13" t="s">
        <v>2543</v>
      </c>
      <c r="C42" s="13" t="s">
        <v>44</v>
      </c>
      <c r="D42" s="13" t="s">
        <v>2453</v>
      </c>
      <c r="E42" s="13" t="s">
        <v>2453</v>
      </c>
      <c r="F42" s="13" t="s">
        <v>1628</v>
      </c>
      <c r="G42" s="13" t="s">
        <v>2453</v>
      </c>
      <c r="H42" s="13" t="s">
        <v>2453</v>
      </c>
      <c r="I42" s="13" t="s">
        <v>2547</v>
      </c>
      <c r="J42" s="13" t="s">
        <v>2543</v>
      </c>
      <c r="K42" s="13" t="s">
        <v>2538</v>
      </c>
      <c r="L42" s="13" t="s">
        <v>2529</v>
      </c>
      <c r="M42" s="13" t="s">
        <v>2453</v>
      </c>
      <c r="N42" s="13" t="s">
        <v>1628</v>
      </c>
      <c r="O42" s="13" t="s">
        <v>2453</v>
      </c>
      <c r="P42" s="13" t="s">
        <v>2453</v>
      </c>
      <c r="Q42" s="39">
        <v>1198</v>
      </c>
    </row>
    <row r="43" spans="2:17" x14ac:dyDescent="0.25">
      <c r="B43" s="13" t="s">
        <v>2411</v>
      </c>
      <c r="C43" s="13" t="s">
        <v>44</v>
      </c>
      <c r="D43" s="13" t="s">
        <v>2453</v>
      </c>
      <c r="E43" s="13" t="s">
        <v>2453</v>
      </c>
      <c r="F43" s="13" t="s">
        <v>1606</v>
      </c>
      <c r="G43" s="13" t="s">
        <v>2453</v>
      </c>
      <c r="H43" s="13" t="s">
        <v>2453</v>
      </c>
      <c r="I43" s="13" t="s">
        <v>2549</v>
      </c>
      <c r="J43" s="13" t="s">
        <v>2411</v>
      </c>
      <c r="K43" s="13" t="s">
        <v>2538</v>
      </c>
      <c r="L43" s="13" t="s">
        <v>2529</v>
      </c>
      <c r="M43" s="13" t="s">
        <v>2453</v>
      </c>
      <c r="N43" s="13" t="s">
        <v>1606</v>
      </c>
      <c r="O43" s="13" t="s">
        <v>2453</v>
      </c>
      <c r="P43" s="13" t="s">
        <v>2453</v>
      </c>
      <c r="Q43" s="39">
        <v>1424</v>
      </c>
    </row>
    <row r="44" spans="2:17" x14ac:dyDescent="0.25">
      <c r="B44" s="13" t="s">
        <v>2411</v>
      </c>
      <c r="C44" s="13" t="s">
        <v>44</v>
      </c>
      <c r="D44" s="13" t="s">
        <v>2453</v>
      </c>
      <c r="E44" s="13" t="s">
        <v>2453</v>
      </c>
      <c r="F44" s="13" t="s">
        <v>1606</v>
      </c>
      <c r="G44" s="13" t="s">
        <v>2453</v>
      </c>
      <c r="H44" s="13" t="s">
        <v>2453</v>
      </c>
      <c r="I44" s="13" t="s">
        <v>2551</v>
      </c>
      <c r="J44" s="13" t="s">
        <v>2411</v>
      </c>
      <c r="K44" s="13" t="s">
        <v>2538</v>
      </c>
      <c r="L44" s="13" t="s">
        <v>2529</v>
      </c>
      <c r="M44" s="13" t="s">
        <v>2453</v>
      </c>
      <c r="N44" s="13" t="s">
        <v>1606</v>
      </c>
      <c r="O44" s="13" t="s">
        <v>2453</v>
      </c>
      <c r="P44" s="13" t="s">
        <v>2453</v>
      </c>
      <c r="Q44" s="39">
        <v>2434</v>
      </c>
    </row>
    <row r="45" spans="2:17" x14ac:dyDescent="0.25">
      <c r="B45" s="13" t="s">
        <v>2424</v>
      </c>
      <c r="C45" s="13" t="s">
        <v>44</v>
      </c>
      <c r="D45" s="13" t="s">
        <v>2453</v>
      </c>
      <c r="E45" s="13" t="s">
        <v>2453</v>
      </c>
      <c r="F45" s="13" t="s">
        <v>1606</v>
      </c>
      <c r="G45" s="13" t="s">
        <v>2453</v>
      </c>
      <c r="H45" s="13" t="s">
        <v>2453</v>
      </c>
      <c r="I45" s="13" t="s">
        <v>2549</v>
      </c>
      <c r="J45" s="13" t="s">
        <v>2424</v>
      </c>
      <c r="K45" s="13" t="s">
        <v>2538</v>
      </c>
      <c r="L45" s="13" t="s">
        <v>2529</v>
      </c>
      <c r="M45" s="13" t="s">
        <v>2453</v>
      </c>
      <c r="N45" s="13" t="s">
        <v>1606</v>
      </c>
      <c r="O45" s="13" t="s">
        <v>2453</v>
      </c>
      <c r="P45" s="13" t="s">
        <v>2453</v>
      </c>
      <c r="Q45" s="39">
        <v>4961</v>
      </c>
    </row>
    <row r="46" spans="2:17" x14ac:dyDescent="0.25">
      <c r="B46" s="13" t="s">
        <v>2424</v>
      </c>
      <c r="C46" s="13" t="s">
        <v>44</v>
      </c>
      <c r="D46" s="13" t="s">
        <v>2453</v>
      </c>
      <c r="E46" s="13" t="s">
        <v>2453</v>
      </c>
      <c r="F46" s="13" t="s">
        <v>1606</v>
      </c>
      <c r="G46" s="13" t="s">
        <v>2453</v>
      </c>
      <c r="H46" s="13" t="s">
        <v>2453</v>
      </c>
      <c r="I46" s="13" t="s">
        <v>2551</v>
      </c>
      <c r="J46" s="13" t="s">
        <v>2424</v>
      </c>
      <c r="K46" s="13" t="s">
        <v>2538</v>
      </c>
      <c r="L46" s="13" t="s">
        <v>2529</v>
      </c>
      <c r="M46" s="13" t="s">
        <v>2453</v>
      </c>
      <c r="N46" s="13" t="s">
        <v>1606</v>
      </c>
      <c r="O46" s="13" t="s">
        <v>2453</v>
      </c>
      <c r="P46" s="13" t="s">
        <v>2453</v>
      </c>
      <c r="Q46" s="39">
        <v>5041</v>
      </c>
    </row>
    <row r="48" spans="2:17" x14ac:dyDescent="0.25">
      <c r="B48" s="44" t="s">
        <v>1701</v>
      </c>
    </row>
    <row r="49" spans="2:136" x14ac:dyDescent="0.25">
      <c r="B49" s="14" t="s">
        <v>8</v>
      </c>
      <c r="C49" s="14" t="s">
        <v>9</v>
      </c>
      <c r="D49" s="14" t="s">
        <v>10</v>
      </c>
      <c r="E49" s="14" t="s">
        <v>11</v>
      </c>
      <c r="F49" s="14" t="s">
        <v>12</v>
      </c>
      <c r="G49" s="14" t="s">
        <v>19</v>
      </c>
      <c r="H49" s="14" t="s">
        <v>2556</v>
      </c>
      <c r="I49" s="14" t="s">
        <v>2557</v>
      </c>
      <c r="J49" s="14" t="s">
        <v>29</v>
      </c>
      <c r="K49" s="14" t="s">
        <v>21</v>
      </c>
      <c r="L49" s="14" t="s">
        <v>2382</v>
      </c>
      <c r="M49" s="14" t="s">
        <v>2558</v>
      </c>
      <c r="N49" s="14" t="s">
        <v>2559</v>
      </c>
      <c r="O49" s="14" t="s">
        <v>18</v>
      </c>
      <c r="P49" s="14" t="s">
        <v>2560</v>
      </c>
      <c r="Q49" s="14" t="s">
        <v>22</v>
      </c>
      <c r="R49" s="14" t="s">
        <v>2561</v>
      </c>
      <c r="S49" s="14" t="s">
        <v>25</v>
      </c>
      <c r="T49" s="14" t="s">
        <v>2562</v>
      </c>
      <c r="U49" s="14" t="s">
        <v>2563</v>
      </c>
      <c r="V49" s="14" t="s">
        <v>2564</v>
      </c>
      <c r="W49" s="14" t="s">
        <v>2565</v>
      </c>
      <c r="X49" s="14" t="s">
        <v>27</v>
      </c>
      <c r="Y49" s="14" t="s">
        <v>26</v>
      </c>
      <c r="Z49" s="14" t="s">
        <v>2566</v>
      </c>
      <c r="AA49" s="14" t="s">
        <v>2567</v>
      </c>
      <c r="AB49" s="14" t="s">
        <v>2568</v>
      </c>
      <c r="AC49" s="14" t="s">
        <v>2569</v>
      </c>
      <c r="AD49" s="14" t="s">
        <v>2570</v>
      </c>
      <c r="AE49" s="14" t="s">
        <v>17</v>
      </c>
      <c r="AF49" s="14" t="s">
        <v>32</v>
      </c>
      <c r="AG49" s="14" t="s">
        <v>33</v>
      </c>
      <c r="AH49" s="14" t="s">
        <v>2571</v>
      </c>
      <c r="AI49" s="14" t="s">
        <v>31</v>
      </c>
      <c r="AJ49" s="14" t="s">
        <v>28</v>
      </c>
      <c r="AK49" s="14" t="s">
        <v>2406</v>
      </c>
      <c r="AL49" s="14" t="s">
        <v>2572</v>
      </c>
      <c r="AM49" s="14" t="s">
        <v>2573</v>
      </c>
      <c r="AN49" s="14" t="s">
        <v>2574</v>
      </c>
      <c r="AO49" s="14" t="s">
        <v>2575</v>
      </c>
      <c r="AP49" s="14" t="s">
        <v>2576</v>
      </c>
      <c r="AQ49" s="14" t="s">
        <v>24</v>
      </c>
      <c r="AR49" s="14" t="s">
        <v>30</v>
      </c>
      <c r="AS49" s="14" t="s">
        <v>16</v>
      </c>
      <c r="AT49" s="14" t="s">
        <v>23</v>
      </c>
      <c r="AU49" s="14" t="s">
        <v>2577</v>
      </c>
      <c r="AV49" s="14" t="s">
        <v>2578</v>
      </c>
      <c r="AW49" s="14" t="s">
        <v>2579</v>
      </c>
      <c r="AX49" s="14" t="s">
        <v>2379</v>
      </c>
      <c r="AY49" s="14" t="s">
        <v>13</v>
      </c>
      <c r="AZ49" s="14" t="s">
        <v>14</v>
      </c>
      <c r="BA49" s="14" t="s">
        <v>15</v>
      </c>
      <c r="BB49" s="14" t="s">
        <v>2580</v>
      </c>
      <c r="BC49" s="14" t="s">
        <v>2409</v>
      </c>
      <c r="BD49" s="14" t="s">
        <v>2581</v>
      </c>
      <c r="BE49" s="14" t="s">
        <v>2582</v>
      </c>
      <c r="BF49" s="14" t="s">
        <v>2583</v>
      </c>
      <c r="BG49" s="14" t="s">
        <v>2584</v>
      </c>
      <c r="BH49" s="14" t="s">
        <v>2585</v>
      </c>
      <c r="BI49" s="14" t="s">
        <v>2586</v>
      </c>
      <c r="BJ49" s="14" t="s">
        <v>36</v>
      </c>
      <c r="BK49" s="14" t="s">
        <v>38</v>
      </c>
      <c r="BL49" s="14" t="s">
        <v>39</v>
      </c>
      <c r="BM49" s="14" t="s">
        <v>40</v>
      </c>
      <c r="BN49" s="14" t="s">
        <v>41</v>
      </c>
      <c r="BO49" s="14" t="s">
        <v>42</v>
      </c>
      <c r="BP49" s="14" t="s">
        <v>2587</v>
      </c>
      <c r="BQ49" s="14" t="s">
        <v>2588</v>
      </c>
      <c r="BR49" s="14" t="s">
        <v>2589</v>
      </c>
      <c r="BS49" s="14" t="s">
        <v>2590</v>
      </c>
      <c r="BT49" s="14" t="s">
        <v>2591</v>
      </c>
      <c r="BU49" s="14" t="s">
        <v>2592</v>
      </c>
      <c r="BV49" s="14" t="s">
        <v>2593</v>
      </c>
      <c r="BW49" s="14" t="s">
        <v>2594</v>
      </c>
      <c r="BX49" s="14" t="s">
        <v>2595</v>
      </c>
      <c r="BY49" s="14" t="s">
        <v>2596</v>
      </c>
      <c r="BZ49" s="14" t="s">
        <v>2597</v>
      </c>
      <c r="CA49" s="14" t="s">
        <v>2598</v>
      </c>
      <c r="CB49" s="14" t="s">
        <v>2599</v>
      </c>
      <c r="CC49" s="14" t="s">
        <v>2600</v>
      </c>
      <c r="CD49" s="14" t="s">
        <v>2601</v>
      </c>
      <c r="CE49" s="14" t="s">
        <v>2602</v>
      </c>
      <c r="CF49" s="14" t="s">
        <v>2603</v>
      </c>
      <c r="CG49" s="14" t="s">
        <v>2604</v>
      </c>
      <c r="CH49" s="14" t="s">
        <v>2605</v>
      </c>
      <c r="CI49" s="14" t="s">
        <v>2606</v>
      </c>
      <c r="CJ49" s="14" t="s">
        <v>2607</v>
      </c>
      <c r="CK49" s="14" t="s">
        <v>2608</v>
      </c>
      <c r="CL49" s="14" t="s">
        <v>2609</v>
      </c>
      <c r="CM49" s="14" t="s">
        <v>2610</v>
      </c>
      <c r="CN49" s="14" t="s">
        <v>2611</v>
      </c>
      <c r="CO49" s="14" t="s">
        <v>2612</v>
      </c>
      <c r="CP49" s="14" t="s">
        <v>2613</v>
      </c>
      <c r="CQ49" s="14" t="s">
        <v>2614</v>
      </c>
      <c r="CR49" s="14" t="s">
        <v>2615</v>
      </c>
      <c r="CS49" s="14" t="s">
        <v>2616</v>
      </c>
      <c r="CT49" s="14" t="s">
        <v>2617</v>
      </c>
      <c r="CU49" s="14" t="s">
        <v>2618</v>
      </c>
      <c r="CV49" s="14" t="s">
        <v>2619</v>
      </c>
      <c r="CW49" s="14" t="s">
        <v>2620</v>
      </c>
      <c r="CX49" s="14" t="s">
        <v>2621</v>
      </c>
      <c r="CY49" s="14" t="s">
        <v>2622</v>
      </c>
      <c r="CZ49" s="14" t="s">
        <v>2623</v>
      </c>
      <c r="DA49" s="14" t="s">
        <v>2624</v>
      </c>
      <c r="DB49" s="14" t="s">
        <v>2625</v>
      </c>
      <c r="DC49" s="14" t="s">
        <v>2626</v>
      </c>
      <c r="DD49" s="14" t="s">
        <v>2627</v>
      </c>
      <c r="DE49" s="14" t="s">
        <v>2628</v>
      </c>
      <c r="DF49" s="14" t="s">
        <v>2629</v>
      </c>
      <c r="DG49" s="14" t="s">
        <v>2630</v>
      </c>
      <c r="DH49" s="14" t="s">
        <v>2631</v>
      </c>
      <c r="DI49" s="14" t="s">
        <v>2632</v>
      </c>
      <c r="DJ49" s="14" t="s">
        <v>2633</v>
      </c>
      <c r="DK49" s="14" t="s">
        <v>2634</v>
      </c>
      <c r="DL49" s="14" t="s">
        <v>2635</v>
      </c>
      <c r="DM49" s="14" t="s">
        <v>2636</v>
      </c>
      <c r="DN49" s="14" t="s">
        <v>2637</v>
      </c>
      <c r="DO49" s="14" t="s">
        <v>2638</v>
      </c>
      <c r="DP49" s="14" t="s">
        <v>2639</v>
      </c>
      <c r="DQ49" s="14" t="s">
        <v>2640</v>
      </c>
      <c r="DR49" s="14" t="s">
        <v>2641</v>
      </c>
      <c r="DS49" s="14" t="s">
        <v>2642</v>
      </c>
      <c r="DT49" s="14" t="s">
        <v>2643</v>
      </c>
      <c r="DU49" s="14" t="s">
        <v>2644</v>
      </c>
      <c r="DV49" s="14" t="s">
        <v>2645</v>
      </c>
      <c r="DW49" s="14" t="s">
        <v>2646</v>
      </c>
      <c r="DX49" s="14" t="s">
        <v>2647</v>
      </c>
      <c r="DY49" s="14" t="s">
        <v>2648</v>
      </c>
      <c r="DZ49" s="14" t="s">
        <v>2649</v>
      </c>
      <c r="EA49" s="14" t="s">
        <v>2650</v>
      </c>
      <c r="EB49" s="14" t="s">
        <v>2651</v>
      </c>
      <c r="EC49" s="14" t="s">
        <v>2652</v>
      </c>
      <c r="ED49" s="14" t="s">
        <v>2653</v>
      </c>
      <c r="EE49" s="14" t="s">
        <v>2654</v>
      </c>
      <c r="EF49" s="14" t="s">
        <v>2524</v>
      </c>
    </row>
    <row r="50" spans="2:136" x14ac:dyDescent="0.25">
      <c r="B50" s="13" t="s">
        <v>2659</v>
      </c>
      <c r="C50" s="13" t="s">
        <v>45</v>
      </c>
      <c r="D50" s="13" t="s">
        <v>46</v>
      </c>
      <c r="E50" s="13" t="s">
        <v>2660</v>
      </c>
      <c r="F50" s="13" t="s">
        <v>48</v>
      </c>
      <c r="G50" s="13" t="s">
        <v>1587</v>
      </c>
      <c r="H50" s="13" t="s">
        <v>2661</v>
      </c>
      <c r="I50" s="13" t="s">
        <v>2655</v>
      </c>
      <c r="J50" s="13" t="s">
        <v>2662</v>
      </c>
      <c r="K50" s="13" t="s">
        <v>2414</v>
      </c>
      <c r="L50" s="13" t="s">
        <v>2663</v>
      </c>
      <c r="M50" s="13" t="s">
        <v>2664</v>
      </c>
      <c r="N50" s="13" t="s">
        <v>2659</v>
      </c>
      <c r="O50" s="13" t="s">
        <v>2656</v>
      </c>
      <c r="P50" s="13" t="s">
        <v>2659</v>
      </c>
      <c r="Q50" s="13" t="s">
        <v>2412</v>
      </c>
      <c r="R50" s="13" t="s">
        <v>2664</v>
      </c>
      <c r="S50" s="13" t="s">
        <v>2665</v>
      </c>
      <c r="T50" s="45" t="s">
        <v>2412</v>
      </c>
      <c r="U50" s="45" t="s">
        <v>2412</v>
      </c>
      <c r="V50" s="45" t="s">
        <v>2412</v>
      </c>
      <c r="W50" s="45" t="s">
        <v>2659</v>
      </c>
      <c r="X50" s="45" t="s">
        <v>1587</v>
      </c>
      <c r="Y50" s="45" t="s">
        <v>44</v>
      </c>
      <c r="Z50" s="13" t="s">
        <v>2663</v>
      </c>
      <c r="AA50" s="13" t="s">
        <v>2666</v>
      </c>
      <c r="AB50" s="13" t="s">
        <v>2666</v>
      </c>
      <c r="AC50" s="13" t="s">
        <v>2667</v>
      </c>
      <c r="AD50" s="13" t="s">
        <v>2667</v>
      </c>
      <c r="AE50" s="13" t="s">
        <v>1701</v>
      </c>
      <c r="AF50" s="13" t="s">
        <v>2481</v>
      </c>
      <c r="AG50" s="13" t="s">
        <v>2657</v>
      </c>
      <c r="AH50" s="13" t="s">
        <v>2667</v>
      </c>
      <c r="AI50" s="13" t="s">
        <v>2668</v>
      </c>
      <c r="AJ50" s="13" t="s">
        <v>2385</v>
      </c>
      <c r="AK50" s="13" t="s">
        <v>2658</v>
      </c>
      <c r="AL50" s="13" t="s">
        <v>2663</v>
      </c>
      <c r="AM50" s="13" t="s">
        <v>2666</v>
      </c>
      <c r="AN50" s="13" t="s">
        <v>2412</v>
      </c>
      <c r="AO50" s="13" t="s">
        <v>2412</v>
      </c>
      <c r="AP50" s="13" t="s">
        <v>2412</v>
      </c>
      <c r="AQ50" s="13" t="s">
        <v>2412</v>
      </c>
      <c r="AR50" s="13" t="s">
        <v>2412</v>
      </c>
      <c r="AS50" s="13" t="s">
        <v>2412</v>
      </c>
      <c r="AT50" s="13" t="s">
        <v>2412</v>
      </c>
      <c r="AU50" s="13" t="s">
        <v>2412</v>
      </c>
      <c r="AV50" s="13" t="s">
        <v>2663</v>
      </c>
      <c r="AW50" s="13" t="s">
        <v>2663</v>
      </c>
      <c r="AX50" s="13" t="s">
        <v>2663</v>
      </c>
      <c r="AY50" s="13" t="s">
        <v>2109</v>
      </c>
      <c r="AZ50" s="13" t="s">
        <v>2428</v>
      </c>
      <c r="BA50" s="13" t="s">
        <v>2426</v>
      </c>
      <c r="BB50" s="13" t="s">
        <v>2663</v>
      </c>
      <c r="BC50" s="13" t="s">
        <v>2669</v>
      </c>
      <c r="BD50" s="13" t="s">
        <v>1587</v>
      </c>
      <c r="BE50" s="13" t="s">
        <v>44</v>
      </c>
      <c r="BF50" s="13" t="s">
        <v>44</v>
      </c>
      <c r="BG50" s="13" t="s">
        <v>1587</v>
      </c>
      <c r="BH50" s="13" t="s">
        <v>44</v>
      </c>
      <c r="BI50" s="13" t="s">
        <v>44</v>
      </c>
      <c r="BJ50" s="13" t="s">
        <v>2453</v>
      </c>
      <c r="BK50" s="13" t="s">
        <v>1606</v>
      </c>
      <c r="BL50" s="13" t="s">
        <v>2453</v>
      </c>
      <c r="BM50" s="13" t="s">
        <v>2453</v>
      </c>
      <c r="BN50" s="13" t="s">
        <v>2453</v>
      </c>
      <c r="BO50" s="13" t="s">
        <v>2453</v>
      </c>
      <c r="BP50" s="13" t="s">
        <v>1587</v>
      </c>
      <c r="BQ50" s="13" t="s">
        <v>1587</v>
      </c>
      <c r="BR50" s="13" t="s">
        <v>1587</v>
      </c>
      <c r="BS50" s="13" t="s">
        <v>1587</v>
      </c>
      <c r="BT50" s="13" t="s">
        <v>1587</v>
      </c>
      <c r="BU50" s="13" t="s">
        <v>1587</v>
      </c>
      <c r="BV50" s="13" t="s">
        <v>1587</v>
      </c>
      <c r="BW50" s="13" t="s">
        <v>1587</v>
      </c>
      <c r="BX50" s="13" t="s">
        <v>1587</v>
      </c>
      <c r="BY50" s="13" t="s">
        <v>1587</v>
      </c>
      <c r="BZ50" s="13" t="s">
        <v>1587</v>
      </c>
      <c r="CA50" s="13" t="s">
        <v>1587</v>
      </c>
      <c r="CB50" s="13" t="s">
        <v>1587</v>
      </c>
      <c r="CC50" s="13" t="s">
        <v>1587</v>
      </c>
      <c r="CD50" s="13" t="s">
        <v>1587</v>
      </c>
      <c r="CE50" s="13" t="s">
        <v>1587</v>
      </c>
      <c r="CF50" s="13" t="s">
        <v>1587</v>
      </c>
      <c r="CG50" s="13" t="s">
        <v>1587</v>
      </c>
      <c r="CH50" s="13" t="s">
        <v>1587</v>
      </c>
      <c r="CI50" s="13" t="s">
        <v>1587</v>
      </c>
      <c r="CJ50" s="13" t="s">
        <v>1587</v>
      </c>
      <c r="CK50" s="13" t="s">
        <v>1587</v>
      </c>
      <c r="CL50" s="13" t="s">
        <v>1587</v>
      </c>
      <c r="CM50" s="13" t="s">
        <v>1587</v>
      </c>
      <c r="CN50" s="13" t="s">
        <v>44</v>
      </c>
      <c r="CO50" s="13" t="s">
        <v>1587</v>
      </c>
      <c r="CP50" s="13" t="s">
        <v>1587</v>
      </c>
      <c r="CQ50" s="13" t="s">
        <v>1587</v>
      </c>
      <c r="CR50" s="13" t="s">
        <v>1587</v>
      </c>
      <c r="CS50" s="13" t="s">
        <v>1587</v>
      </c>
      <c r="CT50" s="13" t="s">
        <v>1587</v>
      </c>
      <c r="CU50" s="13" t="s">
        <v>1587</v>
      </c>
      <c r="CV50" s="13" t="s">
        <v>1587</v>
      </c>
      <c r="CW50" s="13" t="s">
        <v>1587</v>
      </c>
      <c r="CX50" s="13" t="s">
        <v>1587</v>
      </c>
      <c r="CY50" s="13" t="s">
        <v>1587</v>
      </c>
      <c r="CZ50" s="13" t="s">
        <v>1587</v>
      </c>
      <c r="DA50" s="13" t="s">
        <v>1587</v>
      </c>
      <c r="DB50" s="13" t="s">
        <v>1587</v>
      </c>
      <c r="DC50" s="13" t="s">
        <v>1587</v>
      </c>
      <c r="DD50" s="13" t="s">
        <v>1587</v>
      </c>
      <c r="DE50" s="13" t="s">
        <v>1587</v>
      </c>
      <c r="DF50" s="13" t="s">
        <v>1587</v>
      </c>
      <c r="DG50" s="13" t="s">
        <v>1587</v>
      </c>
      <c r="DH50" s="13" t="s">
        <v>1587</v>
      </c>
      <c r="DI50" s="13" t="s">
        <v>1587</v>
      </c>
      <c r="DJ50" s="13" t="s">
        <v>1587</v>
      </c>
      <c r="DK50" s="13" t="s">
        <v>1587</v>
      </c>
      <c r="DL50" s="13" t="s">
        <v>1587</v>
      </c>
      <c r="DM50" s="13" t="s">
        <v>1587</v>
      </c>
      <c r="DN50" s="13" t="s">
        <v>1587</v>
      </c>
      <c r="DO50" s="13" t="s">
        <v>1587</v>
      </c>
      <c r="DP50" s="13" t="s">
        <v>1587</v>
      </c>
      <c r="DQ50" s="13" t="s">
        <v>1587</v>
      </c>
      <c r="DR50" s="13" t="s">
        <v>1587</v>
      </c>
      <c r="DS50" s="13" t="s">
        <v>1587</v>
      </c>
      <c r="DT50" s="13" t="s">
        <v>1587</v>
      </c>
      <c r="DU50" s="13" t="s">
        <v>1587</v>
      </c>
      <c r="DV50" s="13" t="s">
        <v>1587</v>
      </c>
      <c r="DW50" s="13" t="s">
        <v>1587</v>
      </c>
      <c r="DX50" s="13" t="s">
        <v>1587</v>
      </c>
      <c r="DY50" s="13" t="s">
        <v>1587</v>
      </c>
      <c r="DZ50" s="13" t="s">
        <v>1587</v>
      </c>
      <c r="EA50" s="13" t="s">
        <v>44</v>
      </c>
      <c r="EB50" s="13" t="s">
        <v>1587</v>
      </c>
      <c r="EC50" s="13" t="s">
        <v>1587</v>
      </c>
      <c r="ED50" s="13" t="s">
        <v>1587</v>
      </c>
      <c r="EE50" s="13" t="s">
        <v>1488</v>
      </c>
      <c r="EF50" s="13" t="s">
        <v>2531</v>
      </c>
    </row>
    <row r="51" spans="2:136" x14ac:dyDescent="0.25">
      <c r="B51" s="13" t="s">
        <v>2659</v>
      </c>
      <c r="C51" s="13" t="s">
        <v>45</v>
      </c>
      <c r="D51" s="13" t="s">
        <v>46</v>
      </c>
      <c r="E51" s="13" t="s">
        <v>2660</v>
      </c>
      <c r="F51" s="13" t="s">
        <v>48</v>
      </c>
      <c r="G51" s="13" t="s">
        <v>1587</v>
      </c>
      <c r="H51" s="13" t="s">
        <v>2661</v>
      </c>
      <c r="I51" s="13" t="s">
        <v>2655</v>
      </c>
      <c r="J51" s="13" t="s">
        <v>2662</v>
      </c>
      <c r="K51" s="13" t="s">
        <v>2414</v>
      </c>
      <c r="L51" s="13" t="s">
        <v>2663</v>
      </c>
      <c r="M51" s="13" t="s">
        <v>2664</v>
      </c>
      <c r="N51" s="13" t="s">
        <v>2659</v>
      </c>
      <c r="O51" s="13" t="s">
        <v>2656</v>
      </c>
      <c r="P51" s="13" t="s">
        <v>2659</v>
      </c>
      <c r="Q51" s="13" t="s">
        <v>2412</v>
      </c>
      <c r="R51" s="13" t="s">
        <v>2664</v>
      </c>
      <c r="S51" s="13" t="s">
        <v>2665</v>
      </c>
      <c r="T51" s="45" t="s">
        <v>2412</v>
      </c>
      <c r="U51" s="45" t="s">
        <v>2412</v>
      </c>
      <c r="V51" s="45" t="s">
        <v>2412</v>
      </c>
      <c r="W51" s="45" t="s">
        <v>2659</v>
      </c>
      <c r="X51" s="45" t="s">
        <v>1587</v>
      </c>
      <c r="Y51" s="45" t="s">
        <v>44</v>
      </c>
      <c r="Z51" s="13" t="s">
        <v>2663</v>
      </c>
      <c r="AA51" s="13" t="s">
        <v>2666</v>
      </c>
      <c r="AB51" s="13" t="s">
        <v>2666</v>
      </c>
      <c r="AC51" s="13" t="s">
        <v>2667</v>
      </c>
      <c r="AD51" s="13" t="s">
        <v>2667</v>
      </c>
      <c r="AE51" s="13" t="s">
        <v>1701</v>
      </c>
      <c r="AF51" s="13" t="s">
        <v>2481</v>
      </c>
      <c r="AG51" s="13" t="s">
        <v>2657</v>
      </c>
      <c r="AH51" s="13" t="s">
        <v>2667</v>
      </c>
      <c r="AI51" s="13" t="s">
        <v>2668</v>
      </c>
      <c r="AJ51" s="13" t="s">
        <v>2385</v>
      </c>
      <c r="AK51" s="13" t="s">
        <v>2658</v>
      </c>
      <c r="AL51" s="13" t="s">
        <v>2663</v>
      </c>
      <c r="AM51" s="13" t="s">
        <v>2666</v>
      </c>
      <c r="AN51" s="13" t="s">
        <v>2412</v>
      </c>
      <c r="AO51" s="13" t="s">
        <v>2412</v>
      </c>
      <c r="AP51" s="13" t="s">
        <v>2412</v>
      </c>
      <c r="AQ51" s="13" t="s">
        <v>2412</v>
      </c>
      <c r="AR51" s="13" t="s">
        <v>2412</v>
      </c>
      <c r="AS51" s="13" t="s">
        <v>2412</v>
      </c>
      <c r="AT51" s="13" t="s">
        <v>2412</v>
      </c>
      <c r="AU51" s="13" t="s">
        <v>2412</v>
      </c>
      <c r="AV51" s="13" t="s">
        <v>2663</v>
      </c>
      <c r="AW51" s="13" t="s">
        <v>2663</v>
      </c>
      <c r="AX51" s="13" t="s">
        <v>2663</v>
      </c>
      <c r="AY51" s="13" t="s">
        <v>2109</v>
      </c>
      <c r="AZ51" s="13" t="s">
        <v>2414</v>
      </c>
      <c r="BA51" s="13" t="s">
        <v>2426</v>
      </c>
      <c r="BB51" s="13" t="s">
        <v>2663</v>
      </c>
      <c r="BC51" s="13" t="s">
        <v>2669</v>
      </c>
      <c r="BD51" s="13" t="s">
        <v>1587</v>
      </c>
      <c r="BE51" s="13" t="s">
        <v>44</v>
      </c>
      <c r="BF51" s="13" t="s">
        <v>44</v>
      </c>
      <c r="BG51" s="13" t="s">
        <v>1587</v>
      </c>
      <c r="BH51" s="13" t="s">
        <v>44</v>
      </c>
      <c r="BI51" s="13" t="s">
        <v>44</v>
      </c>
      <c r="BJ51" s="13" t="s">
        <v>2453</v>
      </c>
      <c r="BK51" s="13" t="s">
        <v>1606</v>
      </c>
      <c r="BL51" s="13" t="s">
        <v>2453</v>
      </c>
      <c r="BM51" s="13" t="s">
        <v>2453</v>
      </c>
      <c r="BN51" s="13" t="s">
        <v>2453</v>
      </c>
      <c r="BO51" s="13" t="s">
        <v>2453</v>
      </c>
      <c r="BP51" s="13" t="s">
        <v>1587</v>
      </c>
      <c r="BQ51" s="13" t="s">
        <v>1587</v>
      </c>
      <c r="BR51" s="13" t="s">
        <v>1587</v>
      </c>
      <c r="BS51" s="13" t="s">
        <v>1587</v>
      </c>
      <c r="BT51" s="13" t="s">
        <v>1587</v>
      </c>
      <c r="BU51" s="13" t="s">
        <v>1587</v>
      </c>
      <c r="BV51" s="13" t="s">
        <v>1587</v>
      </c>
      <c r="BW51" s="13" t="s">
        <v>1587</v>
      </c>
      <c r="BX51" s="13" t="s">
        <v>1587</v>
      </c>
      <c r="BY51" s="13" t="s">
        <v>1587</v>
      </c>
      <c r="BZ51" s="13" t="s">
        <v>1587</v>
      </c>
      <c r="CA51" s="13" t="s">
        <v>1587</v>
      </c>
      <c r="CB51" s="13" t="s">
        <v>1587</v>
      </c>
      <c r="CC51" s="13" t="s">
        <v>1587</v>
      </c>
      <c r="CD51" s="13" t="s">
        <v>1587</v>
      </c>
      <c r="CE51" s="13" t="s">
        <v>1587</v>
      </c>
      <c r="CF51" s="13" t="s">
        <v>1587</v>
      </c>
      <c r="CG51" s="13" t="s">
        <v>1587</v>
      </c>
      <c r="CH51" s="13" t="s">
        <v>1587</v>
      </c>
      <c r="CI51" s="13" t="s">
        <v>1587</v>
      </c>
      <c r="CJ51" s="13" t="s">
        <v>1587</v>
      </c>
      <c r="CK51" s="13" t="s">
        <v>1587</v>
      </c>
      <c r="CL51" s="13" t="s">
        <v>1587</v>
      </c>
      <c r="CM51" s="13" t="s">
        <v>1587</v>
      </c>
      <c r="CN51" s="13" t="s">
        <v>44</v>
      </c>
      <c r="CO51" s="13" t="s">
        <v>1587</v>
      </c>
      <c r="CP51" s="13" t="s">
        <v>1587</v>
      </c>
      <c r="CQ51" s="13" t="s">
        <v>1587</v>
      </c>
      <c r="CR51" s="13" t="s">
        <v>1587</v>
      </c>
      <c r="CS51" s="13" t="s">
        <v>1587</v>
      </c>
      <c r="CT51" s="13" t="s">
        <v>1587</v>
      </c>
      <c r="CU51" s="13" t="s">
        <v>1587</v>
      </c>
      <c r="CV51" s="13" t="s">
        <v>1587</v>
      </c>
      <c r="CW51" s="13" t="s">
        <v>1587</v>
      </c>
      <c r="CX51" s="13" t="s">
        <v>1587</v>
      </c>
      <c r="CY51" s="13" t="s">
        <v>1587</v>
      </c>
      <c r="CZ51" s="13" t="s">
        <v>1587</v>
      </c>
      <c r="DA51" s="13" t="s">
        <v>1587</v>
      </c>
      <c r="DB51" s="13" t="s">
        <v>1587</v>
      </c>
      <c r="DC51" s="13" t="s">
        <v>1587</v>
      </c>
      <c r="DD51" s="13" t="s">
        <v>1587</v>
      </c>
      <c r="DE51" s="13" t="s">
        <v>1587</v>
      </c>
      <c r="DF51" s="13" t="s">
        <v>1587</v>
      </c>
      <c r="DG51" s="13" t="s">
        <v>1587</v>
      </c>
      <c r="DH51" s="13" t="s">
        <v>1587</v>
      </c>
      <c r="DI51" s="13" t="s">
        <v>1587</v>
      </c>
      <c r="DJ51" s="13" t="s">
        <v>1587</v>
      </c>
      <c r="DK51" s="13" t="s">
        <v>1587</v>
      </c>
      <c r="DL51" s="13" t="s">
        <v>1587</v>
      </c>
      <c r="DM51" s="13" t="s">
        <v>1587</v>
      </c>
      <c r="DN51" s="13" t="s">
        <v>1587</v>
      </c>
      <c r="DO51" s="13" t="s">
        <v>1587</v>
      </c>
      <c r="DP51" s="13" t="s">
        <v>1587</v>
      </c>
      <c r="DQ51" s="13" t="s">
        <v>1587</v>
      </c>
      <c r="DR51" s="13" t="s">
        <v>1587</v>
      </c>
      <c r="DS51" s="13" t="s">
        <v>1587</v>
      </c>
      <c r="DT51" s="13" t="s">
        <v>1587</v>
      </c>
      <c r="DU51" s="13" t="s">
        <v>1587</v>
      </c>
      <c r="DV51" s="13" t="s">
        <v>1587</v>
      </c>
      <c r="DW51" s="13" t="s">
        <v>1587</v>
      </c>
      <c r="DX51" s="13" t="s">
        <v>1587</v>
      </c>
      <c r="DY51" s="13" t="s">
        <v>1587</v>
      </c>
      <c r="DZ51" s="13" t="s">
        <v>1587</v>
      </c>
      <c r="EA51" s="13" t="s">
        <v>44</v>
      </c>
      <c r="EB51" s="13" t="s">
        <v>1587</v>
      </c>
      <c r="EC51" s="13" t="s">
        <v>1587</v>
      </c>
      <c r="ED51" s="13" t="s">
        <v>1587</v>
      </c>
      <c r="EE51" s="13" t="s">
        <v>1488</v>
      </c>
      <c r="EF51" s="13" t="s">
        <v>2531</v>
      </c>
    </row>
    <row r="53" spans="2:136" x14ac:dyDescent="0.25">
      <c r="B53" s="2" t="s">
        <v>0</v>
      </c>
      <c r="C53" s="2" t="s">
        <v>1</v>
      </c>
      <c r="D53" s="2" t="s">
        <v>2</v>
      </c>
      <c r="E53" s="2" t="s">
        <v>3</v>
      </c>
      <c r="F53" s="2" t="s">
        <v>4</v>
      </c>
      <c r="G53" s="2" t="s">
        <v>5</v>
      </c>
      <c r="H53" s="2" t="s">
        <v>6</v>
      </c>
      <c r="I53" s="2" t="s">
        <v>7</v>
      </c>
      <c r="J53" s="2" t="s">
        <v>8</v>
      </c>
      <c r="K53" s="2" t="s">
        <v>9</v>
      </c>
      <c r="L53" s="2" t="s">
        <v>10</v>
      </c>
      <c r="M53" s="2" t="s">
        <v>11</v>
      </c>
      <c r="N53" s="2" t="s">
        <v>12</v>
      </c>
      <c r="O53" s="2" t="s">
        <v>13</v>
      </c>
      <c r="P53" s="2" t="s">
        <v>14</v>
      </c>
      <c r="Q53" s="2" t="s">
        <v>15</v>
      </c>
      <c r="R53" s="2" t="s">
        <v>16</v>
      </c>
      <c r="S53" s="2" t="s">
        <v>17</v>
      </c>
      <c r="T53" s="2" t="s">
        <v>18</v>
      </c>
      <c r="U53" s="2" t="s">
        <v>19</v>
      </c>
      <c r="V53" s="2" t="s">
        <v>20</v>
      </c>
      <c r="W53" s="2" t="s">
        <v>21</v>
      </c>
      <c r="X53" s="2" t="s">
        <v>22</v>
      </c>
      <c r="Y53" s="2" t="s">
        <v>23</v>
      </c>
      <c r="Z53" s="2" t="s">
        <v>24</v>
      </c>
      <c r="AA53" s="2" t="s">
        <v>25</v>
      </c>
      <c r="AB53" s="2" t="s">
        <v>26</v>
      </c>
      <c r="AC53" s="2" t="s">
        <v>27</v>
      </c>
      <c r="AD53" s="2" t="s">
        <v>28</v>
      </c>
      <c r="AE53" s="2" t="s">
        <v>29</v>
      </c>
      <c r="AF53" s="2" t="s">
        <v>30</v>
      </c>
      <c r="AG53" s="2" t="s">
        <v>31</v>
      </c>
      <c r="AH53" s="2" t="s">
        <v>32</v>
      </c>
      <c r="AI53" s="2" t="s">
        <v>33</v>
      </c>
      <c r="AJ53" s="2" t="s">
        <v>34</v>
      </c>
      <c r="AK53" s="2" t="s">
        <v>35</v>
      </c>
      <c r="AL53" s="2" t="s">
        <v>36</v>
      </c>
      <c r="AM53" s="2" t="s">
        <v>37</v>
      </c>
      <c r="AN53" s="2" t="s">
        <v>38</v>
      </c>
      <c r="AO53" s="2" t="s">
        <v>39</v>
      </c>
      <c r="AP53" s="2" t="s">
        <v>40</v>
      </c>
      <c r="AQ53" s="2" t="s">
        <v>41</v>
      </c>
      <c r="AR53" s="2" t="s">
        <v>42</v>
      </c>
    </row>
    <row r="54" spans="2:136" x14ac:dyDescent="0.25">
      <c r="B54" s="1" t="s">
        <v>1574</v>
      </c>
      <c r="C54" s="1">
        <v>18</v>
      </c>
      <c r="D54" s="1" t="s">
        <v>1585</v>
      </c>
      <c r="E54" s="1" t="s">
        <v>1606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1619</v>
      </c>
      <c r="T54" s="1" t="s">
        <v>1604</v>
      </c>
      <c r="U54" s="1"/>
      <c r="V54" s="1"/>
      <c r="W54" s="1" t="s">
        <v>1608</v>
      </c>
      <c r="X54" s="1"/>
      <c r="Y54" s="1"/>
      <c r="Z54" s="1"/>
      <c r="AA54" s="1" t="s">
        <v>1609</v>
      </c>
      <c r="AB54" s="46" t="s">
        <v>1587</v>
      </c>
      <c r="AC54" s="46" t="s">
        <v>1587</v>
      </c>
      <c r="AD54" s="1" t="s">
        <v>1610</v>
      </c>
      <c r="AE54" s="1"/>
      <c r="AF54" s="1"/>
      <c r="AG54" s="1" t="s">
        <v>1620</v>
      </c>
      <c r="AH54" s="1" t="s">
        <v>1621</v>
      </c>
      <c r="AI54" s="1"/>
      <c r="AJ54" s="1"/>
      <c r="AK54" s="1"/>
      <c r="AL54" s="1"/>
      <c r="AM54" s="1"/>
      <c r="AN54" s="1"/>
      <c r="AO54" s="1" t="s">
        <v>1611</v>
      </c>
      <c r="AP54" s="1" t="s">
        <v>1580</v>
      </c>
      <c r="AQ54" s="1" t="s">
        <v>1581</v>
      </c>
      <c r="AR54" s="1" t="s">
        <v>1622</v>
      </c>
    </row>
    <row r="55" spans="2:136" x14ac:dyDescent="0.25">
      <c r="B55" s="1" t="s">
        <v>1574</v>
      </c>
      <c r="C55" s="1">
        <v>19</v>
      </c>
      <c r="D55" s="1" t="s">
        <v>1585</v>
      </c>
      <c r="E55" s="1" t="s">
        <v>1606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1619</v>
      </c>
      <c r="T55" s="1" t="s">
        <v>1604</v>
      </c>
      <c r="U55" s="1"/>
      <c r="V55" s="1"/>
      <c r="W55" s="1" t="s">
        <v>1608</v>
      </c>
      <c r="X55" s="1"/>
      <c r="Y55" s="1"/>
      <c r="Z55" s="1"/>
      <c r="AA55" s="1" t="s">
        <v>1609</v>
      </c>
      <c r="AB55" s="46" t="s">
        <v>1587</v>
      </c>
      <c r="AC55" s="46" t="s">
        <v>1587</v>
      </c>
      <c r="AD55" s="1" t="s">
        <v>1610</v>
      </c>
      <c r="AE55" s="1"/>
      <c r="AF55" s="1"/>
      <c r="AG55" s="1" t="s">
        <v>1623</v>
      </c>
      <c r="AH55" s="1" t="s">
        <v>1621</v>
      </c>
      <c r="AI55" s="1"/>
      <c r="AJ55" s="1"/>
      <c r="AK55" s="1"/>
      <c r="AL55" s="1"/>
      <c r="AM55" s="1"/>
      <c r="AN55" s="1"/>
      <c r="AO55" s="1" t="s">
        <v>1611</v>
      </c>
      <c r="AP55" s="1" t="s">
        <v>1580</v>
      </c>
      <c r="AQ55" s="1" t="s">
        <v>1581</v>
      </c>
      <c r="AR55" s="1" t="s">
        <v>1622</v>
      </c>
    </row>
    <row r="56" spans="2:136" x14ac:dyDescent="0.25">
      <c r="B56" s="1" t="s">
        <v>1574</v>
      </c>
      <c r="C56" s="1">
        <v>22</v>
      </c>
      <c r="D56" s="1" t="s">
        <v>1585</v>
      </c>
      <c r="E56" s="1" t="s">
        <v>1606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1604</v>
      </c>
      <c r="U56" s="1"/>
      <c r="V56" s="1"/>
      <c r="W56" s="1" t="s">
        <v>1608</v>
      </c>
      <c r="X56" s="1"/>
      <c r="Y56" s="1"/>
      <c r="Z56" s="1"/>
      <c r="AA56" s="1" t="s">
        <v>1609</v>
      </c>
      <c r="AB56" s="46" t="s">
        <v>1587</v>
      </c>
      <c r="AC56" s="46" t="s">
        <v>1587</v>
      </c>
      <c r="AD56" s="1" t="s">
        <v>1610</v>
      </c>
      <c r="AE56" s="1"/>
      <c r="AF56" s="1"/>
      <c r="AG56" s="1" t="s">
        <v>1625</v>
      </c>
      <c r="AH56" s="1" t="s">
        <v>1621</v>
      </c>
      <c r="AI56" s="1" t="s">
        <v>1626</v>
      </c>
      <c r="AJ56" s="1" t="s">
        <v>1627</v>
      </c>
      <c r="AK56" s="1"/>
      <c r="AL56" s="1"/>
      <c r="AM56" s="1"/>
      <c r="AN56" s="1"/>
      <c r="AO56" s="1" t="s">
        <v>1611</v>
      </c>
      <c r="AP56" s="1" t="s">
        <v>1580</v>
      </c>
      <c r="AQ56" s="1" t="s">
        <v>1581</v>
      </c>
      <c r="AR56" s="1" t="s">
        <v>1622</v>
      </c>
    </row>
  </sheetData>
  <autoFilter ref="B2:Q46">
    <sortState ref="B3:Q46">
      <sortCondition ref="Q2:Q46"/>
    </sortState>
  </autoFilter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V47"/>
  <sheetViews>
    <sheetView showGridLines="0" workbookViewId="0">
      <selection activeCell="J15" sqref="J15"/>
    </sheetView>
  </sheetViews>
  <sheetFormatPr defaultRowHeight="15" x14ac:dyDescent="0.25"/>
  <cols>
    <col min="1" max="1" width="3.7109375" customWidth="1"/>
    <col min="2" max="2" width="11" bestFit="1" customWidth="1"/>
    <col min="3" max="4" width="33.85546875" bestFit="1" customWidth="1"/>
    <col min="5" max="5" width="9.28515625" bestFit="1" customWidth="1"/>
    <col min="6" max="6" width="10.42578125" bestFit="1" customWidth="1"/>
  </cols>
  <sheetData>
    <row r="2" spans="2:22" x14ac:dyDescent="0.25">
      <c r="B2" s="21" t="s">
        <v>2478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4" spans="2:22" x14ac:dyDescent="0.25">
      <c r="B4" s="12" t="s">
        <v>8</v>
      </c>
      <c r="C4" s="12" t="s">
        <v>2382</v>
      </c>
      <c r="D4" s="12" t="s">
        <v>2381</v>
      </c>
      <c r="E4" s="12" t="s">
        <v>14</v>
      </c>
      <c r="F4" s="12" t="s">
        <v>29</v>
      </c>
    </row>
    <row r="5" spans="2:22" x14ac:dyDescent="0.25">
      <c r="B5" s="19" t="s">
        <v>1503</v>
      </c>
      <c r="C5" s="19" t="s">
        <v>2467</v>
      </c>
      <c r="D5" s="19" t="s">
        <v>2463</v>
      </c>
      <c r="E5" s="19" t="s">
        <v>2468</v>
      </c>
      <c r="F5" s="19" t="s">
        <v>2469</v>
      </c>
      <c r="H5" s="20" t="s">
        <v>2472</v>
      </c>
      <c r="I5" s="20" t="s">
        <v>2473</v>
      </c>
    </row>
    <row r="6" spans="2:22" x14ac:dyDescent="0.25">
      <c r="B6" s="19" t="s">
        <v>1503</v>
      </c>
      <c r="C6" s="19" t="s">
        <v>2467</v>
      </c>
      <c r="D6" s="19" t="s">
        <v>2466</v>
      </c>
      <c r="E6" s="19" t="s">
        <v>2464</v>
      </c>
      <c r="F6" s="19" t="s">
        <v>2469</v>
      </c>
      <c r="G6" t="s">
        <v>2504</v>
      </c>
      <c r="H6" s="20" t="s">
        <v>2468</v>
      </c>
      <c r="I6" s="20" t="s">
        <v>2474</v>
      </c>
    </row>
    <row r="7" spans="2:22" x14ac:dyDescent="0.25">
      <c r="B7" s="19" t="s">
        <v>1503</v>
      </c>
      <c r="C7" s="19" t="s">
        <v>2467</v>
      </c>
      <c r="D7" s="19" t="s">
        <v>2471</v>
      </c>
      <c r="E7" s="19"/>
      <c r="F7" s="19" t="s">
        <v>2469</v>
      </c>
    </row>
    <row r="8" spans="2:22" x14ac:dyDescent="0.25">
      <c r="B8" s="17" t="s">
        <v>1503</v>
      </c>
      <c r="C8" s="17" t="s">
        <v>2470</v>
      </c>
      <c r="D8" s="17" t="s">
        <v>2463</v>
      </c>
      <c r="E8" s="17" t="s">
        <v>2468</v>
      </c>
      <c r="F8" s="17" t="s">
        <v>2469</v>
      </c>
    </row>
    <row r="9" spans="2:22" x14ac:dyDescent="0.25">
      <c r="B9" s="17" t="s">
        <v>1503</v>
      </c>
      <c r="C9" s="17" t="s">
        <v>2470</v>
      </c>
      <c r="D9" s="17" t="s">
        <v>2466</v>
      </c>
      <c r="E9" s="17" t="s">
        <v>2464</v>
      </c>
      <c r="F9" s="17" t="s">
        <v>2469</v>
      </c>
    </row>
    <row r="10" spans="2:22" x14ac:dyDescent="0.25">
      <c r="B10" s="18" t="s">
        <v>1503</v>
      </c>
      <c r="C10" s="18" t="s">
        <v>2465</v>
      </c>
      <c r="D10" s="18" t="s">
        <v>2466</v>
      </c>
      <c r="E10" s="18" t="s">
        <v>2464</v>
      </c>
      <c r="F10" s="18" t="s">
        <v>2469</v>
      </c>
      <c r="G10" t="s">
        <v>2502</v>
      </c>
    </row>
    <row r="11" spans="2:22" x14ac:dyDescent="0.25">
      <c r="B11" s="16" t="s">
        <v>1503</v>
      </c>
      <c r="C11" s="24" t="s">
        <v>2490</v>
      </c>
      <c r="D11" s="24" t="s">
        <v>2491</v>
      </c>
      <c r="E11" s="24" t="s">
        <v>2492</v>
      </c>
      <c r="F11" s="24" t="s">
        <v>2493</v>
      </c>
    </row>
    <row r="13" spans="2:22" x14ac:dyDescent="0.25">
      <c r="B13" s="21" t="s">
        <v>2479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5" spans="2:22" x14ac:dyDescent="0.25">
      <c r="B15" s="12" t="s">
        <v>8</v>
      </c>
      <c r="C15" s="12" t="s">
        <v>2382</v>
      </c>
      <c r="D15" s="12" t="s">
        <v>2381</v>
      </c>
      <c r="E15" s="12" t="s">
        <v>14</v>
      </c>
      <c r="F15" s="12" t="s">
        <v>29</v>
      </c>
    </row>
    <row r="16" spans="2:22" x14ac:dyDescent="0.25">
      <c r="B16" s="10" t="s">
        <v>1508</v>
      </c>
      <c r="C16" s="10" t="s">
        <v>2475</v>
      </c>
      <c r="D16" s="19" t="s">
        <v>2412</v>
      </c>
      <c r="E16" s="10" t="s">
        <v>2412</v>
      </c>
      <c r="F16" s="10" t="s">
        <v>2476</v>
      </c>
      <c r="G16" s="10" t="s">
        <v>2503</v>
      </c>
      <c r="H16" s="10" t="s">
        <v>2477</v>
      </c>
    </row>
    <row r="18" spans="2:22" x14ac:dyDescent="0.25">
      <c r="B18" s="21" t="s">
        <v>2489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20" spans="2:22" x14ac:dyDescent="0.25">
      <c r="B20" s="12" t="s">
        <v>2382</v>
      </c>
      <c r="C20" s="12" t="s">
        <v>2410</v>
      </c>
      <c r="D20" s="12" t="s">
        <v>2408</v>
      </c>
      <c r="E20" s="12" t="s">
        <v>2409</v>
      </c>
      <c r="F20" s="12" t="s">
        <v>2408</v>
      </c>
      <c r="G20" s="12" t="s">
        <v>2407</v>
      </c>
      <c r="H20" s="12" t="s">
        <v>2407</v>
      </c>
      <c r="I20" s="12" t="s">
        <v>17</v>
      </c>
      <c r="J20" s="12" t="s">
        <v>32</v>
      </c>
      <c r="K20" s="12" t="s">
        <v>33</v>
      </c>
      <c r="L20" s="12" t="s">
        <v>2407</v>
      </c>
      <c r="M20" s="12" t="s">
        <v>31</v>
      </c>
      <c r="N20" s="12" t="s">
        <v>28</v>
      </c>
      <c r="O20" s="12" t="s">
        <v>2406</v>
      </c>
      <c r="P20" s="12" t="s">
        <v>2405</v>
      </c>
      <c r="Q20" s="12" t="s">
        <v>2404</v>
      </c>
      <c r="R20" s="12" t="s">
        <v>2402</v>
      </c>
      <c r="S20" s="12" t="s">
        <v>2400</v>
      </c>
    </row>
    <row r="21" spans="2:22" x14ac:dyDescent="0.25">
      <c r="B21" s="10" t="s">
        <v>2483</v>
      </c>
      <c r="C21" s="10" t="s">
        <v>2483</v>
      </c>
      <c r="D21" s="10" t="s">
        <v>2484</v>
      </c>
      <c r="E21" s="19"/>
      <c r="F21" s="10" t="s">
        <v>2484</v>
      </c>
      <c r="G21" s="10" t="s">
        <v>2485</v>
      </c>
      <c r="H21" s="10" t="s">
        <v>2485</v>
      </c>
      <c r="I21" s="10" t="s">
        <v>2480</v>
      </c>
      <c r="J21" s="10" t="s">
        <v>2481</v>
      </c>
      <c r="K21" s="10" t="s">
        <v>2412</v>
      </c>
      <c r="L21" s="10" t="s">
        <v>2485</v>
      </c>
      <c r="M21" s="10" t="s">
        <v>1403</v>
      </c>
      <c r="N21" s="10" t="s">
        <v>2486</v>
      </c>
      <c r="O21" s="10" t="s">
        <v>2482</v>
      </c>
      <c r="P21" s="10" t="s">
        <v>1637</v>
      </c>
      <c r="Q21" s="10" t="s">
        <v>1587</v>
      </c>
      <c r="R21" s="10" t="s">
        <v>1587</v>
      </c>
      <c r="S21" s="10" t="s">
        <v>1587</v>
      </c>
    </row>
    <row r="22" spans="2:22" x14ac:dyDescent="0.25">
      <c r="B22" s="10" t="s">
        <v>2483</v>
      </c>
      <c r="C22" s="10" t="s">
        <v>2483</v>
      </c>
      <c r="D22" s="10" t="s">
        <v>2487</v>
      </c>
      <c r="E22" s="19" t="s">
        <v>2488</v>
      </c>
      <c r="F22" s="10" t="s">
        <v>2487</v>
      </c>
      <c r="G22" s="10" t="s">
        <v>2485</v>
      </c>
      <c r="H22" s="10" t="s">
        <v>2485</v>
      </c>
      <c r="I22" s="10" t="s">
        <v>2480</v>
      </c>
      <c r="J22" s="10" t="s">
        <v>2481</v>
      </c>
      <c r="K22" s="10" t="s">
        <v>2412</v>
      </c>
      <c r="L22" s="10" t="s">
        <v>2485</v>
      </c>
      <c r="M22" s="10" t="s">
        <v>1403</v>
      </c>
      <c r="N22" s="10" t="s">
        <v>2486</v>
      </c>
      <c r="O22" s="10" t="s">
        <v>2482</v>
      </c>
      <c r="P22" s="10" t="s">
        <v>1637</v>
      </c>
      <c r="Q22" s="10" t="s">
        <v>1587</v>
      </c>
      <c r="R22" s="10" t="s">
        <v>1587</v>
      </c>
      <c r="S22" s="10" t="s">
        <v>1587</v>
      </c>
    </row>
    <row r="23" spans="2:22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2:22" x14ac:dyDescent="0.25">
      <c r="B24" s="10" t="s">
        <v>43</v>
      </c>
      <c r="C24" s="10">
        <v>1192</v>
      </c>
      <c r="D24" s="10" t="s">
        <v>1545</v>
      </c>
      <c r="E24" s="10" t="s">
        <v>1546</v>
      </c>
      <c r="F24" s="10" t="s">
        <v>1539</v>
      </c>
      <c r="G24" s="10" t="s">
        <v>1559</v>
      </c>
      <c r="H24" s="10"/>
      <c r="I24" s="10"/>
      <c r="J24" s="19" t="s">
        <v>1557</v>
      </c>
      <c r="K24" s="19" t="s">
        <v>1560</v>
      </c>
      <c r="L24" s="10"/>
      <c r="M24" s="10"/>
      <c r="N24" s="10"/>
      <c r="O24" s="10">
        <v>1</v>
      </c>
      <c r="P24" s="10" t="s">
        <v>209</v>
      </c>
      <c r="Q24" s="10"/>
      <c r="R24" s="10"/>
      <c r="S24" s="10"/>
    </row>
    <row r="26" spans="2:22" x14ac:dyDescent="0.25">
      <c r="B26" s="21" t="s">
        <v>2499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8" spans="2:22" x14ac:dyDescent="0.25">
      <c r="B28" s="6" t="s">
        <v>2382</v>
      </c>
      <c r="C28" s="6" t="s">
        <v>2381</v>
      </c>
      <c r="D28" s="6" t="s">
        <v>2380</v>
      </c>
      <c r="E28" s="6" t="s">
        <v>2379</v>
      </c>
      <c r="F28" s="6" t="s">
        <v>13</v>
      </c>
      <c r="G28" s="6" t="s">
        <v>14</v>
      </c>
      <c r="H28" s="6" t="s">
        <v>15</v>
      </c>
    </row>
    <row r="29" spans="2:22" x14ac:dyDescent="0.25">
      <c r="B29" t="s">
        <v>2451</v>
      </c>
      <c r="C29" t="s">
        <v>2451</v>
      </c>
      <c r="D29" t="s">
        <v>2451</v>
      </c>
      <c r="E29" t="s">
        <v>2451</v>
      </c>
      <c r="F29" t="s">
        <v>2267</v>
      </c>
      <c r="G29" t="s">
        <v>2447</v>
      </c>
      <c r="H29" t="s">
        <v>2449</v>
      </c>
    </row>
    <row r="30" spans="2:22" x14ac:dyDescent="0.25">
      <c r="B30" s="23" t="s">
        <v>2451</v>
      </c>
      <c r="C30" s="23" t="s">
        <v>2451</v>
      </c>
      <c r="D30" s="23" t="s">
        <v>2451</v>
      </c>
      <c r="E30" s="23" t="s">
        <v>2451</v>
      </c>
      <c r="F30" s="23" t="s">
        <v>2056</v>
      </c>
      <c r="G30" s="23" t="s">
        <v>2428</v>
      </c>
      <c r="H30" s="23" t="s">
        <v>2449</v>
      </c>
    </row>
    <row r="31" spans="2:22" x14ac:dyDescent="0.25">
      <c r="B31" t="s">
        <v>2451</v>
      </c>
      <c r="C31" t="s">
        <v>2451</v>
      </c>
      <c r="D31" t="s">
        <v>2451</v>
      </c>
      <c r="E31" t="s">
        <v>2451</v>
      </c>
      <c r="F31" t="s">
        <v>2267</v>
      </c>
      <c r="G31" t="s">
        <v>2450</v>
      </c>
      <c r="H31" t="s">
        <v>2449</v>
      </c>
    </row>
    <row r="33" spans="2:22" x14ac:dyDescent="0.25">
      <c r="B33" s="6" t="s">
        <v>2382</v>
      </c>
      <c r="C33" s="6" t="s">
        <v>2381</v>
      </c>
      <c r="D33" s="6" t="s">
        <v>2380</v>
      </c>
      <c r="E33" s="6" t="s">
        <v>2379</v>
      </c>
      <c r="F33" s="6" t="s">
        <v>13</v>
      </c>
      <c r="G33" s="6" t="s">
        <v>14</v>
      </c>
      <c r="H33" s="6" t="s">
        <v>15</v>
      </c>
      <c r="I33" s="6" t="s">
        <v>2422</v>
      </c>
      <c r="J33" s="6" t="s">
        <v>2421</v>
      </c>
      <c r="K33" s="6" t="s">
        <v>2420</v>
      </c>
      <c r="L33" s="6" t="s">
        <v>2419</v>
      </c>
      <c r="M33" s="6" t="s">
        <v>2418</v>
      </c>
      <c r="N33" s="6" t="s">
        <v>2417</v>
      </c>
      <c r="O33" s="6" t="s">
        <v>2416</v>
      </c>
      <c r="P33" s="6" t="s">
        <v>2415</v>
      </c>
    </row>
    <row r="34" spans="2:22" x14ac:dyDescent="0.25">
      <c r="B34" t="s">
        <v>2444</v>
      </c>
      <c r="C34" t="s">
        <v>2444</v>
      </c>
      <c r="D34" t="s">
        <v>2444</v>
      </c>
      <c r="E34" t="s">
        <v>2444</v>
      </c>
      <c r="F34" t="s">
        <v>2134</v>
      </c>
      <c r="G34" t="s">
        <v>2447</v>
      </c>
      <c r="H34" t="s">
        <v>2426</v>
      </c>
      <c r="I34" t="s">
        <v>2412</v>
      </c>
      <c r="J34" t="s">
        <v>2412</v>
      </c>
      <c r="K34" t="s">
        <v>2412</v>
      </c>
      <c r="L34" t="s">
        <v>2412</v>
      </c>
      <c r="M34" t="s">
        <v>2412</v>
      </c>
      <c r="N34" t="s">
        <v>2412</v>
      </c>
      <c r="O34" t="s">
        <v>2446</v>
      </c>
      <c r="P34" t="s">
        <v>2445</v>
      </c>
    </row>
    <row r="35" spans="2:22" x14ac:dyDescent="0.25">
      <c r="B35" t="s">
        <v>2444</v>
      </c>
      <c r="C35" t="s">
        <v>2444</v>
      </c>
      <c r="D35" t="s">
        <v>2444</v>
      </c>
      <c r="E35" t="s">
        <v>2444</v>
      </c>
      <c r="F35" t="s">
        <v>2134</v>
      </c>
      <c r="G35" t="s">
        <v>2428</v>
      </c>
      <c r="H35" t="s">
        <v>2426</v>
      </c>
      <c r="I35" t="s">
        <v>2412</v>
      </c>
      <c r="J35" t="s">
        <v>2412</v>
      </c>
      <c r="K35" t="s">
        <v>2412</v>
      </c>
      <c r="L35" t="s">
        <v>2412</v>
      </c>
      <c r="M35" t="s">
        <v>2412</v>
      </c>
      <c r="N35" t="s">
        <v>2412</v>
      </c>
      <c r="O35" t="s">
        <v>2446</v>
      </c>
      <c r="P35" t="s">
        <v>2445</v>
      </c>
    </row>
    <row r="36" spans="2:22" x14ac:dyDescent="0.25">
      <c r="B36" s="23" t="s">
        <v>2444</v>
      </c>
      <c r="C36" s="23" t="s">
        <v>2444</v>
      </c>
      <c r="D36" s="23" t="s">
        <v>2444</v>
      </c>
      <c r="E36" s="23" t="s">
        <v>2444</v>
      </c>
      <c r="F36" s="23" t="s">
        <v>2134</v>
      </c>
      <c r="G36" s="23" t="s">
        <v>2443</v>
      </c>
      <c r="H36" s="23" t="s">
        <v>2426</v>
      </c>
      <c r="I36" s="23" t="s">
        <v>2412</v>
      </c>
      <c r="J36" s="23" t="s">
        <v>2412</v>
      </c>
      <c r="K36" s="23" t="s">
        <v>2412</v>
      </c>
      <c r="L36" s="23" t="s">
        <v>2412</v>
      </c>
      <c r="M36" s="23" t="s">
        <v>2412</v>
      </c>
      <c r="N36" s="23" t="s">
        <v>2412</v>
      </c>
      <c r="O36" s="23" t="s">
        <v>2442</v>
      </c>
      <c r="P36" s="23" t="s">
        <v>2441</v>
      </c>
    </row>
    <row r="38" spans="2:22" x14ac:dyDescent="0.25">
      <c r="B38" s="21" t="s">
        <v>2501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40" spans="2:22" x14ac:dyDescent="0.25">
      <c r="B40" s="12" t="s">
        <v>2382</v>
      </c>
      <c r="C40" s="12" t="s">
        <v>2381</v>
      </c>
      <c r="D40" s="12" t="s">
        <v>2380</v>
      </c>
      <c r="E40" s="12" t="s">
        <v>2379</v>
      </c>
      <c r="F40" s="12" t="s">
        <v>13</v>
      </c>
      <c r="G40" s="12" t="s">
        <v>14</v>
      </c>
      <c r="H40" s="12" t="s">
        <v>15</v>
      </c>
      <c r="I40" s="12" t="s">
        <v>2422</v>
      </c>
      <c r="J40" s="12" t="s">
        <v>2421</v>
      </c>
      <c r="K40" s="12" t="s">
        <v>2420</v>
      </c>
      <c r="L40" s="12" t="s">
        <v>2419</v>
      </c>
      <c r="M40" s="12" t="s">
        <v>2418</v>
      </c>
      <c r="N40" s="12" t="s">
        <v>2417</v>
      </c>
      <c r="O40" s="12" t="s">
        <v>2416</v>
      </c>
      <c r="P40" s="12" t="s">
        <v>2415</v>
      </c>
    </row>
    <row r="41" spans="2:22" x14ac:dyDescent="0.25">
      <c r="B41" s="19" t="s">
        <v>2498</v>
      </c>
      <c r="C41" s="19" t="s">
        <v>2498</v>
      </c>
      <c r="D41" s="19" t="s">
        <v>2498</v>
      </c>
      <c r="E41" s="19" t="s">
        <v>2498</v>
      </c>
      <c r="F41" s="19" t="s">
        <v>2267</v>
      </c>
      <c r="G41" s="19" t="s">
        <v>2447</v>
      </c>
      <c r="H41" s="19" t="s">
        <v>2449</v>
      </c>
      <c r="I41" s="19" t="s">
        <v>2412</v>
      </c>
      <c r="J41" s="19" t="s">
        <v>2412</v>
      </c>
      <c r="K41" s="19" t="s">
        <v>2412</v>
      </c>
      <c r="L41" s="19" t="s">
        <v>2412</v>
      </c>
      <c r="M41" s="19" t="s">
        <v>2412</v>
      </c>
      <c r="N41" s="19" t="s">
        <v>2412</v>
      </c>
      <c r="O41" s="19" t="s">
        <v>2446</v>
      </c>
      <c r="P41" s="19" t="s">
        <v>2445</v>
      </c>
    </row>
    <row r="42" spans="2:22" x14ac:dyDescent="0.25">
      <c r="B42" s="19" t="s">
        <v>2498</v>
      </c>
      <c r="C42" s="19" t="s">
        <v>2498</v>
      </c>
      <c r="D42" s="19" t="s">
        <v>2498</v>
      </c>
      <c r="E42" s="19" t="s">
        <v>2498</v>
      </c>
      <c r="F42" s="19" t="s">
        <v>2267</v>
      </c>
      <c r="G42" s="19" t="s">
        <v>2494</v>
      </c>
      <c r="H42" s="19" t="s">
        <v>2449</v>
      </c>
      <c r="I42" s="19" t="s">
        <v>2412</v>
      </c>
      <c r="J42" s="19" t="s">
        <v>2412</v>
      </c>
      <c r="K42" s="19" t="s">
        <v>2412</v>
      </c>
      <c r="L42" s="19" t="s">
        <v>2412</v>
      </c>
      <c r="M42" s="19" t="s">
        <v>2412</v>
      </c>
      <c r="N42" s="19" t="s">
        <v>2412</v>
      </c>
      <c r="O42" s="19" t="s">
        <v>2446</v>
      </c>
      <c r="P42" s="19" t="s">
        <v>2445</v>
      </c>
    </row>
    <row r="43" spans="2:22" x14ac:dyDescent="0.25">
      <c r="B43" s="19" t="s">
        <v>2498</v>
      </c>
      <c r="C43" s="19" t="s">
        <v>2498</v>
      </c>
      <c r="D43" s="19" t="s">
        <v>2498</v>
      </c>
      <c r="E43" s="19" t="s">
        <v>2498</v>
      </c>
      <c r="F43" s="19" t="s">
        <v>2056</v>
      </c>
      <c r="G43" s="19" t="s">
        <v>2428</v>
      </c>
      <c r="H43" s="19" t="s">
        <v>2449</v>
      </c>
      <c r="I43" s="19" t="s">
        <v>2412</v>
      </c>
      <c r="J43" s="19" t="s">
        <v>2412</v>
      </c>
      <c r="K43" s="19" t="s">
        <v>2412</v>
      </c>
      <c r="L43" s="19" t="s">
        <v>2412</v>
      </c>
      <c r="M43" s="19" t="s">
        <v>2412</v>
      </c>
      <c r="N43" s="19" t="s">
        <v>2412</v>
      </c>
      <c r="O43" s="19" t="s">
        <v>2460</v>
      </c>
      <c r="P43" s="19" t="s">
        <v>2435</v>
      </c>
    </row>
    <row r="44" spans="2:22" x14ac:dyDescent="0.25">
      <c r="B44" s="19" t="s">
        <v>2498</v>
      </c>
      <c r="C44" s="19" t="s">
        <v>2498</v>
      </c>
      <c r="D44" s="19" t="s">
        <v>2498</v>
      </c>
      <c r="E44" s="19" t="s">
        <v>2498</v>
      </c>
      <c r="F44" s="19" t="s">
        <v>2267</v>
      </c>
      <c r="G44" s="19" t="s">
        <v>2495</v>
      </c>
      <c r="H44" s="19" t="s">
        <v>2449</v>
      </c>
      <c r="I44" s="19" t="s">
        <v>2412</v>
      </c>
      <c r="J44" s="19" t="s">
        <v>2412</v>
      </c>
      <c r="K44" s="19" t="s">
        <v>2412</v>
      </c>
      <c r="L44" s="19" t="s">
        <v>2412</v>
      </c>
      <c r="M44" s="19" t="s">
        <v>2412</v>
      </c>
      <c r="N44" s="19" t="s">
        <v>2412</v>
      </c>
      <c r="O44" s="19" t="s">
        <v>2446</v>
      </c>
      <c r="P44" s="19" t="s">
        <v>2445</v>
      </c>
    </row>
    <row r="45" spans="2:22" x14ac:dyDescent="0.25">
      <c r="B45" s="15" t="s">
        <v>2498</v>
      </c>
      <c r="C45" s="15" t="s">
        <v>2496</v>
      </c>
      <c r="D45" s="15" t="s">
        <v>2498</v>
      </c>
      <c r="E45" s="15" t="s">
        <v>2496</v>
      </c>
      <c r="F45" s="15" t="s">
        <v>2267</v>
      </c>
      <c r="G45" s="15" t="s">
        <v>2497</v>
      </c>
      <c r="H45" s="15" t="s">
        <v>2449</v>
      </c>
      <c r="I45" s="15" t="s">
        <v>2412</v>
      </c>
      <c r="J45" s="15" t="s">
        <v>2412</v>
      </c>
      <c r="K45" s="15" t="s">
        <v>2412</v>
      </c>
      <c r="L45" s="15" t="s">
        <v>2412</v>
      </c>
      <c r="M45" s="15" t="s">
        <v>2412</v>
      </c>
      <c r="N45" s="15" t="s">
        <v>2412</v>
      </c>
      <c r="O45" s="15" t="s">
        <v>2446</v>
      </c>
      <c r="P45" s="15" t="s">
        <v>2445</v>
      </c>
    </row>
    <row r="47" spans="2:22" x14ac:dyDescent="0.25">
      <c r="B47" s="25" t="s">
        <v>2500</v>
      </c>
    </row>
  </sheetData>
  <autoFilter ref="B4:F10">
    <sortState ref="B5:F11">
      <sortCondition ref="C4:C11"/>
    </sortState>
  </autoFilter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E82846C-DD13-4FDC-A18B-B9E77D26AADC}"/>
</file>

<file path=customXml/itemProps2.xml><?xml version="1.0" encoding="utf-8"?>
<ds:datastoreItem xmlns:ds="http://schemas.openxmlformats.org/officeDocument/2006/customXml" ds:itemID="{D489FF93-82B4-4F15-8197-9F9408F7D983}"/>
</file>

<file path=customXml/itemProps3.xml><?xml version="1.0" encoding="utf-8"?>
<ds:datastoreItem xmlns:ds="http://schemas.openxmlformats.org/officeDocument/2006/customXml" ds:itemID="{540BC0E7-AFDA-4C14-9F2B-DB857221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Versão Importada</vt:lpstr>
      <vt:lpstr>1º Marcação&gt;&gt;</vt:lpstr>
      <vt:lpstr>1A. Operação</vt:lpstr>
      <vt:lpstr>1B. Cliente</vt:lpstr>
      <vt:lpstr>1C. Produto</vt:lpstr>
      <vt:lpstr>Pais e Filhos</vt:lpstr>
      <vt:lpstr>2º Marcação &gt;&gt; </vt:lpstr>
      <vt:lpstr>Regras</vt:lpstr>
      <vt:lpstr>Sheet4</vt:lpstr>
      <vt:lpstr>Incidências &gt;&gt;</vt:lpstr>
      <vt:lpstr>v1</vt:lpstr>
      <vt:lpstr>v2</vt:lpstr>
      <vt:lpstr>Outros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2025-04-08T09:07:00Z</dcterms:created>
  <dcterms:modified xsi:type="dcterms:W3CDTF">2025-04-23T23:44:20Z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2025-04-08T09:07:32Z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e11b95c2-2534-4458-9912-ffa6ac1859f0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