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5125" windowHeight="12180"/>
  </bookViews>
  <sheets>
    <sheet name="1. Incidências" sheetId="1" r:id="rId1"/>
    <sheet name="2. Evidências &gt;&gt;" sheetId="2" r:id="rId2"/>
    <sheet name="ID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26" i="1" l="1"/>
  <c r="B27" i="1" s="1"/>
  <c r="B28" i="1" s="1"/>
  <c r="B29" i="1" s="1"/>
  <c r="B30" i="1" s="1"/>
  <c r="B31" i="1" s="1"/>
  <c r="B32" i="1" s="1"/>
  <c r="E19" i="1" l="1"/>
  <c r="E18" i="1"/>
  <c r="E17" i="1"/>
  <c r="E16" i="1"/>
  <c r="E15" i="1"/>
  <c r="E14" i="1"/>
  <c r="E13" i="1" l="1"/>
  <c r="F15" i="1" s="1"/>
  <c r="F17" i="1" l="1"/>
  <c r="F19" i="1"/>
  <c r="F18" i="1"/>
  <c r="F14" i="1"/>
  <c r="F16" i="1"/>
</calcChain>
</file>

<file path=xl/sharedStrings.xml><?xml version="1.0" encoding="utf-8"?>
<sst xmlns="http://schemas.openxmlformats.org/spreadsheetml/2006/main" count="203" uniqueCount="98">
  <si>
    <t>Testes | Resumo de Incidências</t>
  </si>
  <si>
    <t>ID Issue</t>
  </si>
  <si>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</si>
  <si>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</si>
  <si>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</si>
  <si>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</si>
  <si>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</si>
  <si>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</si>
  <si>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</si>
  <si>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</si>
  <si>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</si>
  <si>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Consistência LT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</si>
  <si>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</si>
  <si>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</si>
  <si>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</si>
  <si>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</si>
  <si>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</si>
  <si>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</si>
  <si>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</si>
  <si>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</si>
  <si>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verificadas, pela equipa de Testes, no decorrer das análises às tabelas da Loan Tape no âmbito de Pilar3. </t>
    </r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</si>
  <si>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</si>
  <si>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</si>
  <si>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</si>
  <si>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</si>
  <si>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</si>
  <si>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</si>
  <si>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</si>
  <si>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IT Team</t>
  </si>
  <si>
    <t>BU_ESG_WORK.MODESG_OUT_BENS_IMOVEIS</t>
  </si>
  <si>
    <t>2024-09-30</t>
  </si>
  <si>
    <r>
      <t>Campo SCP1_EMSS aprovisionado incorretamente de acordo com a especificação funcional</t>
    </r>
    <r>
      <rPr>
        <i/>
        <sz val="11"/>
        <color theme="1"/>
        <rFont val="Calibri"/>
        <family val="2"/>
      </rPr>
      <t xml:space="preserve"> "Re-especificação de Emissões Tabela Bens Imóveis_v1.0"</t>
    </r>
    <r>
      <rPr>
        <sz val="11"/>
        <color theme="1"/>
        <rFont val="Calibri"/>
        <family val="2"/>
      </rPr>
      <t xml:space="preserve">. Na alternativa 3 </t>
    </r>
    <r>
      <rPr>
        <i/>
        <sz val="11"/>
        <color theme="1"/>
        <rFont val="Calibri"/>
        <family val="2"/>
      </rPr>
      <t>"Estimated based on number of buildings"</t>
    </r>
    <r>
      <rPr>
        <sz val="11"/>
        <color theme="1"/>
        <rFont val="Calibri"/>
        <family val="2"/>
      </rPr>
      <t xml:space="preserve"> o cálculo do número de bens não está calculado conforme especificado. </t>
    </r>
  </si>
  <si>
    <t>N/A</t>
  </si>
  <si>
    <r>
      <t>Campo SCP1_EMSS aprovisionado incorretamente de acordo com a especificação funcional</t>
    </r>
    <r>
      <rPr>
        <i/>
        <sz val="11"/>
        <color theme="1"/>
        <rFont val="Calibri"/>
        <family val="2"/>
      </rPr>
      <t xml:space="preserve"> "Re-especificação de Emissões Tabela Bens Imóveis_v1.0"</t>
    </r>
    <r>
      <rPr>
        <sz val="11"/>
        <color theme="1"/>
        <rFont val="Calibri"/>
        <family val="2"/>
      </rPr>
      <t xml:space="preserve">. Na alternativa 3 </t>
    </r>
    <r>
      <rPr>
        <i/>
        <sz val="11"/>
        <color theme="1"/>
        <rFont val="Calibri"/>
        <family val="2"/>
      </rPr>
      <t>"Estimated based on number of buildings"</t>
    </r>
    <r>
      <rPr>
        <sz val="11"/>
        <color theme="1"/>
        <rFont val="Calibri"/>
        <family val="2"/>
      </rPr>
      <t xml:space="preserve"> deve ser incluido os bens que apresentam uma área útil igual a zero e caso detenham um EPC este deve ser ignorado no cruzamento.</t>
    </r>
  </si>
  <si>
    <t>Fechada</t>
  </si>
  <si>
    <t>BU_ESG_WORK.MODESG_OUT_EMSS_VCLS</t>
  </si>
  <si>
    <t>2024-10-31</t>
  </si>
  <si>
    <r>
      <t xml:space="preserve">Campo SCP1_EMSS aprovisionado incorretamente de acordo com a especificação funcional. Na alternativa 3 </t>
    </r>
    <r>
      <rPr>
        <i/>
        <sz val="11"/>
        <color theme="1"/>
        <rFont val="Calibri"/>
        <family val="2"/>
      </rPr>
      <t xml:space="preserve">"Distance by country/state - unknown vehicle type" </t>
    </r>
    <r>
      <rPr>
        <sz val="11"/>
        <color theme="1"/>
        <rFont val="Calibri"/>
        <family val="2"/>
      </rPr>
      <t xml:space="preserve">deve ser aprovisionado valor de acordo com a variável </t>
    </r>
    <r>
      <rPr>
        <i/>
        <sz val="11"/>
        <color theme="1"/>
        <rFont val="Calibri"/>
        <family val="2"/>
      </rPr>
      <t>tipo_veiculo</t>
    </r>
    <r>
      <rPr>
        <sz val="11"/>
        <color theme="1"/>
        <rFont val="Calibri"/>
        <family val="2"/>
      </rPr>
      <t>.</t>
    </r>
  </si>
  <si>
    <r>
      <t xml:space="preserve">Campo SCP1_EMSS aprovisionado incorretamente de acordo com a especificação funcional. A abordagem da alternativa 2 </t>
    </r>
    <r>
      <rPr>
        <i/>
        <sz val="11"/>
        <color theme="1"/>
        <rFont val="Calibri"/>
        <family val="2"/>
      </rPr>
      <t xml:space="preserve">"Average distance per country" </t>
    </r>
    <r>
      <rPr>
        <sz val="11"/>
        <color theme="1"/>
        <rFont val="Calibri"/>
        <family val="2"/>
      </rPr>
      <t xml:space="preserve">apenas pode ser considerada caso o nível de aceitação associada ao cruzamento do modelo seja superior a 75%. </t>
    </r>
  </si>
  <si>
    <t>Cancelada</t>
  </si>
  <si>
    <t xml:space="preserve">Campo SCP1_EMSS aprovisionado incorretamente de acordo com a especificação funcional. Os campos de origens das scope 1 e scope 2 devem ser coerentes entre eles. </t>
  </si>
  <si>
    <t xml:space="preserve">Alteração na metodologia subjacente na especificação funcional. </t>
  </si>
  <si>
    <t xml:space="preserve">Afeta todos os campos relacionados com as emissões. </t>
  </si>
  <si>
    <t>Campo SCP1_EMSS aprovisionado incorretamente de acordo com a especificação funcional. Os campos de emissões devem ser aprovisionados de acordo com a ordem especificada.</t>
  </si>
  <si>
    <t xml:space="preserve">Campo SCP1_EMSS aprovisionado incorretamente de acordo com a especificação funcional. No cálculo do nível de aceitação da abordagem da alternativa 2 "Average distance per country" não proceder a arredondamentos. </t>
  </si>
  <si>
    <t>Afeta todos os campos.</t>
  </si>
  <si>
    <t>Diferença de universo.</t>
  </si>
  <si>
    <t>Alto</t>
  </si>
  <si>
    <t>BU_ESG_WORK.MODESG_OUT_EMPR_INFO_NFIN</t>
  </si>
  <si>
    <t>BU_ESG_WORK.MODESG_OUT_EMSS_FNCD</t>
  </si>
  <si>
    <t>2024-12-31</t>
  </si>
  <si>
    <r>
      <t xml:space="preserve">Campo </t>
    </r>
    <r>
      <rPr>
        <i/>
        <sz val="11"/>
        <color theme="1"/>
        <rFont val="Calibri"/>
        <family val="2"/>
      </rPr>
      <t>amount</t>
    </r>
    <r>
      <rPr>
        <sz val="11"/>
        <color theme="1"/>
        <rFont val="Calibri"/>
        <family val="2"/>
      </rPr>
      <t xml:space="preserve"> aprovisionado incorretamente de acordo com a especificação funcional.</t>
    </r>
  </si>
  <si>
    <t>Aberta</t>
  </si>
  <si>
    <t xml:space="preserve">Campo de emissão de scope 1 aprovisionado incorretamente de acordo com a especificação funcional. Adicionalmente, alterar o formato do campo. </t>
  </si>
  <si>
    <t xml:space="preserve">Campo de emissão de scope 2 aprovisionado incorretamente de acordo com a especificação funcional. Adicionalmente, alterar o formato do campo. </t>
  </si>
  <si>
    <t xml:space="preserve">Campo de emissão de scope 3 aprovisionado incorretamente de acordo com a especificação funcional. Adicionalmente, alterar o formato do campo. </t>
  </si>
  <si>
    <t>zcliente</t>
  </si>
  <si>
    <t>scp1_emss</t>
  </si>
  <si>
    <t>scp2_emss</t>
  </si>
  <si>
    <t>scp3_emss</t>
  </si>
  <si>
    <t>origem_scp1_emss</t>
  </si>
  <si>
    <t>origem_scp2_emss</t>
  </si>
  <si>
    <t>origem_scp3_emss</t>
  </si>
  <si>
    <t>divida_total</t>
  </si>
  <si>
    <t>capital_proprio</t>
  </si>
  <si>
    <t>3421002235</t>
  </si>
  <si>
    <t>BCL_DQS1_SCIB</t>
  </si>
  <si>
    <t>BCL_DQS4_SCIB</t>
  </si>
  <si>
    <t>chave</t>
  </si>
  <si>
    <t>chave_bem</t>
  </si>
  <si>
    <t>cempresa</t>
  </si>
  <si>
    <t>cbalcao</t>
  </si>
  <si>
    <t>cnumecta</t>
  </si>
  <si>
    <t>zdeposit</t>
  </si>
  <si>
    <t>cempbem</t>
  </si>
  <si>
    <t>ckbalbem</t>
  </si>
  <si>
    <t>ckctabem</t>
  </si>
  <si>
    <t>ckrefbem</t>
  </si>
  <si>
    <t>amount</t>
  </si>
  <si>
    <t>scp1_emss_fncd</t>
  </si>
  <si>
    <t>scp2_emss_fncd</t>
  </si>
  <si>
    <t>scp3_emss_fncd</t>
  </si>
  <si>
    <t>ckutulmo</t>
  </si>
  <si>
    <t>htimest</t>
  </si>
  <si>
    <t>ref_date</t>
  </si>
  <si>
    <t>cod_visao</t>
  </si>
  <si>
    <t>89000020180925471001520240603671</t>
  </si>
  <si>
    <t>89</t>
  </si>
  <si>
    <t>0000</t>
  </si>
  <si>
    <t>20180925471</t>
  </si>
  <si>
    <t>001520240603671</t>
  </si>
  <si>
    <t>NULL</t>
  </si>
  <si>
    <t>E859358</t>
  </si>
  <si>
    <t>2025-06-04 18:01:07.595</t>
  </si>
  <si>
    <t>1</t>
  </si>
  <si>
    <t>89000020180925471001520240678097</t>
  </si>
  <si>
    <t>001520240678097</t>
  </si>
  <si>
    <t>Exemplo na sheet 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</si>
</sst>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1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8" fillId="3" borderId="0" xfId="0" applyFont="1" applyFill="1" applyAlignment="1">
      <alignment horizontal="left"/>
    </xf>
    <xf numFmtId="0" fontId="11" fillId="3" borderId="8" xfId="0" applyFont="1" applyFill="1" applyBorder="1" applyAlignment="1">
      <alignment horizontal="left"/>
    </xf>
    <xf numFmtId="0" fontId="10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1" fillId="3" borderId="8" xfId="0" applyFont="1" applyFill="1" applyBorder="1" applyAlignment="1">
      <alignment horizontal="right"/>
    </xf>
    <xf numFmtId="0" fontId="13" fillId="3" borderId="0" xfId="0" applyFont="1" applyFill="1" applyAlignment="1">
      <alignment horizontal="left" indent="2"/>
    </xf>
    <xf numFmtId="0" fontId="13" fillId="3" borderId="0" xfId="0" applyFont="1" applyFill="1"/>
    <xf numFmtId="0" fontId="13" fillId="3" borderId="0" xfId="0" applyFont="1" applyFill="1" applyAlignment="1">
      <alignment horizontal="right"/>
    </xf>
    <xf numFmtId="0" fontId="13" fillId="3" borderId="0" xfId="0" applyFont="1" applyFill="1" applyAlignment="1">
      <alignment horizontal="left" indent="4"/>
    </xf>
    <xf numFmtId="9" fontId="14" fillId="3" borderId="0" xfId="1" applyFont="1" applyFill="1" applyBorder="1" applyAlignment="1">
      <alignment horizontal="right"/>
    </xf>
    <xf numFmtId="0" fontId="8" fillId="3" borderId="11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14" fontId="9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3" fillId="3" borderId="8" xfId="0" applyFont="1" applyFill="1" applyBorder="1" applyAlignment="1">
      <alignment horizontal="left" indent="4"/>
    </xf>
    <xf numFmtId="0" fontId="13" fillId="3" borderId="8" xfId="0" applyFont="1" applyFill="1" applyBorder="1"/>
    <xf numFmtId="0" fontId="13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9" fontId="6" fillId="3" borderId="8" xfId="1" applyFont="1" applyFill="1" applyBorder="1" applyAlignment="1">
      <alignment horizontal="right"/>
    </xf>
    <xf numFmtId="0" fontId="15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Fill="1" applyBorder="1" applyAlignment="1">
      <alignment horizontal="center" vertical="center"/>
    </xf>
    <xf numFmtId="164" fontId="1" fillId="0" borderId="13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1424727</xdr:colOff>
      <xdr:row>3</xdr:row>
      <xdr:rowOff>114880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FD9FC778-387E-4F33-9BC3-56E2AE6C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138" y="190500"/>
          <a:ext cx="942064" cy="49588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138661</xdr:rowOff>
    </xdr:from>
    <xdr:to>
      <xdr:col>3</xdr:col>
      <xdr:colOff>210041</xdr:colOff>
      <xdr:row>3</xdr:row>
      <xdr:rowOff>38100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F080B35A-491B-4E4D-BDBE-47B84F19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247650" y="329161"/>
          <a:ext cx="1095866" cy="280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showGridLines="0" tabSelected="1" zoomScale="80" zoomScaleNormal="80" workbookViewId="0">
      <pane ySplit="24" topLeftCell="A33" activePane="bottomLeft" state="frozen"/>
      <selection pane="bottomLeft"/>
    </sheetView>
  </sheetViews>
  <sheetFormatPr defaultColWidth="0" defaultRowHeight="15" zeroHeight="1"/>
  <cols>
    <col min="1" max="2" width="3.75" style="1" customWidth="1"/>
    <col min="3" max="3" width="9.625" style="1" customWidth="1"/>
    <col min="4" max="4" width="39.375" style="1" bestFit="1" customWidth="1"/>
    <col min="5" max="6" width="22.75" style="1" customWidth="1"/>
    <col min="7" max="7" width="16" style="1" customWidth="1"/>
    <col min="8" max="8" width="89.625" style="1" customWidth="1"/>
    <col min="9" max="10" width="16" style="1" customWidth="1"/>
    <col min="11" max="11" width="35.375" style="1" customWidth="1"/>
    <col min="12" max="14" width="16" style="1" customWidth="1"/>
    <col min="15" max="15" width="3.75" style="1" customWidth="1"/>
    <col min="16" max="16" width="3.75" style="1" hidden="1" customWidth="1"/>
    <col min="17" max="17" width="0" style="1" hidden="1" customWidth="1"/>
    <col min="18" max="18" width="3.75" style="1" hidden="1" customWidth="1"/>
    <col min="19" max="16384" width="9.125" style="1" hidden="1"/>
  </cols>
  <sheetData>
    <row r="1" spans="2:14" s="3" customFormat="1"/>
    <row r="2" spans="2:14" s="3" customFormat="1"/>
    <row r="3" spans="2:14" s="3" customFormat="1"/>
    <row r="4" spans="2:14" s="3" customFormat="1"/>
    <row r="5" spans="2:14" s="4" customFormat="1" ht="3" customHeight="1"/>
    <row r="6" spans="2:14"/>
    <row r="7" spans="2:14" ht="26.25">
      <c r="B7" s="5" t="s">
        <v>0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/>
    <row r="9" spans="2:14" ht="3.95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75">
      <c r="B10" s="10"/>
      <c r="C10" s="27" t="s">
        <v>20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5" customHeight="1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75">
      <c r="B12" s="10"/>
      <c r="C12" s="17" t="s">
        <v>15</v>
      </c>
      <c r="D12" s="18"/>
      <c r="E12" s="21" t="s">
        <v>13</v>
      </c>
      <c r="F12" s="21" t="s">
        <v>14</v>
      </c>
      <c r="G12" s="3"/>
      <c r="H12" s="3"/>
      <c r="I12" s="3"/>
      <c r="J12" s="3"/>
      <c r="K12" s="3"/>
      <c r="L12" s="3"/>
      <c r="M12" s="3"/>
      <c r="N12" s="11"/>
    </row>
    <row r="13" spans="2:14" ht="17.25">
      <c r="B13" s="10"/>
      <c r="C13" s="22" t="s">
        <v>16</v>
      </c>
      <c r="D13" s="23"/>
      <c r="E13" s="24">
        <f>+SUM(E14:E19)</f>
        <v>12</v>
      </c>
      <c r="F13" s="19" t="s">
        <v>18</v>
      </c>
      <c r="G13" s="3"/>
      <c r="H13" s="3"/>
      <c r="I13" s="3"/>
      <c r="J13" s="3"/>
      <c r="K13" s="3"/>
      <c r="L13" s="3"/>
      <c r="M13" s="3"/>
      <c r="N13" s="11"/>
    </row>
    <row r="14" spans="2:14" ht="17.25">
      <c r="B14" s="10"/>
      <c r="C14" s="25" t="s">
        <v>17</v>
      </c>
      <c r="D14" s="23"/>
      <c r="E14" s="24">
        <f>+COUNTIF(N:N,"Aberta")</f>
        <v>3</v>
      </c>
      <c r="F14" s="20">
        <f>+E14/$E$13</f>
        <v>0.25</v>
      </c>
      <c r="G14" s="3"/>
      <c r="H14" s="3"/>
      <c r="I14" s="3"/>
      <c r="J14" s="3"/>
      <c r="K14" s="3"/>
      <c r="L14" s="3"/>
      <c r="M14" s="3"/>
      <c r="N14" s="11"/>
    </row>
    <row r="15" spans="2:14" ht="17.25">
      <c r="B15" s="10"/>
      <c r="C15" s="25" t="s">
        <v>21</v>
      </c>
      <c r="D15" s="23"/>
      <c r="E15" s="24">
        <f>+COUNTIF(N:N,"Em correção")</f>
        <v>0</v>
      </c>
      <c r="F15" s="20">
        <f t="shared" ref="F15:F19" si="0">+E15/$E$13</f>
        <v>0</v>
      </c>
      <c r="G15" s="3"/>
      <c r="H15" s="3"/>
      <c r="I15" s="3"/>
      <c r="J15" s="3"/>
      <c r="K15" s="3"/>
      <c r="L15" s="3"/>
      <c r="M15" s="3"/>
      <c r="N15" s="11"/>
    </row>
    <row r="16" spans="2:14" ht="17.25">
      <c r="B16" s="10"/>
      <c r="C16" s="25" t="s">
        <v>22</v>
      </c>
      <c r="D16" s="23"/>
      <c r="E16" s="24">
        <f>+COUNTIF(N:N,"Cancelada")</f>
        <v>2</v>
      </c>
      <c r="F16" s="20">
        <f t="shared" si="0"/>
        <v>0.16666666666666666</v>
      </c>
      <c r="G16" s="3"/>
      <c r="H16" s="3"/>
      <c r="I16" s="3"/>
      <c r="J16" s="3"/>
      <c r="K16" s="3"/>
      <c r="L16" s="3"/>
      <c r="M16" s="3"/>
      <c r="N16" s="11"/>
    </row>
    <row r="17" spans="2:14" ht="17.25">
      <c r="B17" s="10"/>
      <c r="C17" s="25" t="s">
        <v>23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.25">
      <c r="B18" s="10"/>
      <c r="C18" s="25" t="s">
        <v>24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.25">
      <c r="B19" s="10"/>
      <c r="C19" s="32" t="s">
        <v>25</v>
      </c>
      <c r="D19" s="33"/>
      <c r="E19" s="34">
        <f>+COUNTIF(N:N,"Fechada")</f>
        <v>7</v>
      </c>
      <c r="F19" s="40">
        <f t="shared" si="0"/>
        <v>0.58333333333333337</v>
      </c>
      <c r="G19" s="3"/>
      <c r="H19" s="3"/>
      <c r="I19" s="3"/>
      <c r="J19" s="3"/>
      <c r="K19" s="3"/>
      <c r="L19" s="3"/>
      <c r="M19" s="3"/>
      <c r="N19" s="11"/>
    </row>
    <row r="20" spans="2:14" ht="3.95" customHeight="1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75">
      <c r="B21" s="10"/>
      <c r="C21" s="30" t="s">
        <v>19</v>
      </c>
      <c r="D21" s="30"/>
      <c r="E21" s="31"/>
      <c r="F21" s="31">
        <v>45448</v>
      </c>
      <c r="G21" s="3"/>
      <c r="H21" s="3"/>
      <c r="I21" s="3"/>
      <c r="J21" s="3"/>
      <c r="K21" s="3"/>
      <c r="L21" s="3"/>
      <c r="M21" s="3"/>
      <c r="N21" s="11"/>
    </row>
    <row r="22" spans="2:14" ht="3.95" customHeight="1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/>
    <row r="24" spans="2:14" s="2" customFormat="1" ht="28.5" customHeight="1">
      <c r="B24" s="45" t="s">
        <v>1</v>
      </c>
      <c r="C24" s="45"/>
      <c r="D24" s="35" t="s">
        <v>2</v>
      </c>
      <c r="E24" s="35" t="s">
        <v>3</v>
      </c>
      <c r="F24" s="35" t="s">
        <v>10</v>
      </c>
      <c r="G24" s="35" t="s">
        <v>5</v>
      </c>
      <c r="H24" s="35" t="s">
        <v>4</v>
      </c>
      <c r="I24" s="35" t="s">
        <v>6</v>
      </c>
      <c r="J24" s="35" t="s">
        <v>7</v>
      </c>
      <c r="K24" s="35" t="s">
        <v>12</v>
      </c>
      <c r="L24" s="35" t="s">
        <v>9</v>
      </c>
      <c r="M24" s="35" t="s">
        <v>8</v>
      </c>
      <c r="N24" s="41" t="s">
        <v>26</v>
      </c>
    </row>
    <row r="25" spans="2:14" s="15" customFormat="1" ht="69" customHeight="1">
      <c r="B25" s="46">
        <v>1</v>
      </c>
      <c r="C25" s="46"/>
      <c r="D25" s="36" t="s">
        <v>29</v>
      </c>
      <c r="E25" s="36" t="s">
        <v>42</v>
      </c>
      <c r="F25" s="37" t="s">
        <v>30</v>
      </c>
      <c r="G25" s="36" t="s">
        <v>11</v>
      </c>
      <c r="H25" s="38" t="s">
        <v>31</v>
      </c>
      <c r="I25" s="36" t="s">
        <v>27</v>
      </c>
      <c r="J25" s="39">
        <v>45604</v>
      </c>
      <c r="K25" s="38" t="s">
        <v>32</v>
      </c>
      <c r="L25" s="42" t="s">
        <v>28</v>
      </c>
      <c r="M25" s="39">
        <v>45609</v>
      </c>
      <c r="N25" s="42" t="s">
        <v>34</v>
      </c>
    </row>
    <row r="26" spans="2:14" s="15" customFormat="1" ht="69" customHeight="1">
      <c r="B26" s="43">
        <f>+B25+1</f>
        <v>2</v>
      </c>
      <c r="C26" s="44"/>
      <c r="D26" s="36" t="s">
        <v>29</v>
      </c>
      <c r="E26" s="36" t="s">
        <v>42</v>
      </c>
      <c r="F26" s="37" t="s">
        <v>30</v>
      </c>
      <c r="G26" s="36" t="s">
        <v>11</v>
      </c>
      <c r="H26" s="38" t="s">
        <v>33</v>
      </c>
      <c r="I26" s="36" t="s">
        <v>27</v>
      </c>
      <c r="J26" s="39">
        <v>45604</v>
      </c>
      <c r="K26" s="38" t="s">
        <v>32</v>
      </c>
      <c r="L26" s="42" t="s">
        <v>28</v>
      </c>
      <c r="M26" s="39">
        <v>45609</v>
      </c>
      <c r="N26" s="42" t="s">
        <v>34</v>
      </c>
    </row>
    <row r="27" spans="2:14" s="15" customFormat="1" ht="69" customHeight="1">
      <c r="B27" s="43">
        <f t="shared" ref="B27:B32" si="1">+B26+1</f>
        <v>3</v>
      </c>
      <c r="C27" s="44"/>
      <c r="D27" s="36" t="s">
        <v>35</v>
      </c>
      <c r="E27" s="36" t="s">
        <v>42</v>
      </c>
      <c r="F27" s="37" t="s">
        <v>36</v>
      </c>
      <c r="G27" s="36" t="s">
        <v>11</v>
      </c>
      <c r="H27" s="38" t="s">
        <v>37</v>
      </c>
      <c r="I27" s="36" t="s">
        <v>27</v>
      </c>
      <c r="J27" s="39">
        <v>45621</v>
      </c>
      <c r="K27" s="38" t="s">
        <v>32</v>
      </c>
      <c r="L27" s="42" t="s">
        <v>28</v>
      </c>
      <c r="M27" s="39">
        <v>45625</v>
      </c>
      <c r="N27" s="42" t="s">
        <v>39</v>
      </c>
    </row>
    <row r="28" spans="2:14" s="15" customFormat="1" ht="69" customHeight="1">
      <c r="B28" s="43">
        <f t="shared" si="1"/>
        <v>4</v>
      </c>
      <c r="C28" s="44"/>
      <c r="D28" s="36" t="s">
        <v>35</v>
      </c>
      <c r="E28" s="36" t="s">
        <v>42</v>
      </c>
      <c r="F28" s="37" t="s">
        <v>36</v>
      </c>
      <c r="G28" s="36" t="s">
        <v>11</v>
      </c>
      <c r="H28" s="38" t="s">
        <v>38</v>
      </c>
      <c r="I28" s="36" t="s">
        <v>27</v>
      </c>
      <c r="J28" s="39">
        <v>45621</v>
      </c>
      <c r="K28" s="38" t="s">
        <v>41</v>
      </c>
      <c r="L28" s="42" t="s">
        <v>28</v>
      </c>
      <c r="M28" s="39">
        <v>45625</v>
      </c>
      <c r="N28" s="42" t="s">
        <v>39</v>
      </c>
    </row>
    <row r="29" spans="2:14" s="15" customFormat="1" ht="69" customHeight="1">
      <c r="B29" s="47">
        <f t="shared" si="1"/>
        <v>5</v>
      </c>
      <c r="C29" s="48"/>
      <c r="D29" s="36" t="s">
        <v>35</v>
      </c>
      <c r="E29" s="36" t="s">
        <v>42</v>
      </c>
      <c r="F29" s="37" t="s">
        <v>36</v>
      </c>
      <c r="G29" s="36" t="s">
        <v>11</v>
      </c>
      <c r="H29" s="38" t="s">
        <v>40</v>
      </c>
      <c r="I29" s="36" t="s">
        <v>27</v>
      </c>
      <c r="J29" s="39">
        <v>45622</v>
      </c>
      <c r="K29" s="38" t="s">
        <v>32</v>
      </c>
      <c r="L29" s="42" t="s">
        <v>28</v>
      </c>
      <c r="M29" s="39">
        <v>45625</v>
      </c>
      <c r="N29" s="42" t="s">
        <v>34</v>
      </c>
    </row>
    <row r="30" spans="2:14" s="15" customFormat="1" ht="69" customHeight="1">
      <c r="B30" s="43">
        <f t="shared" si="1"/>
        <v>6</v>
      </c>
      <c r="C30" s="44"/>
      <c r="D30" s="36" t="s">
        <v>35</v>
      </c>
      <c r="E30" s="36" t="s">
        <v>42</v>
      </c>
      <c r="F30" s="37" t="s">
        <v>36</v>
      </c>
      <c r="G30" s="36" t="s">
        <v>11</v>
      </c>
      <c r="H30" s="38" t="s">
        <v>43</v>
      </c>
      <c r="I30" s="36" t="s">
        <v>27</v>
      </c>
      <c r="J30" s="39">
        <v>45628</v>
      </c>
      <c r="K30" s="38" t="s">
        <v>32</v>
      </c>
      <c r="L30" s="42" t="s">
        <v>28</v>
      </c>
      <c r="M30" s="39">
        <v>45630</v>
      </c>
      <c r="N30" s="42" t="s">
        <v>34</v>
      </c>
    </row>
    <row r="31" spans="2:14" s="15" customFormat="1" ht="69" customHeight="1">
      <c r="B31" s="43">
        <f t="shared" si="1"/>
        <v>7</v>
      </c>
      <c r="C31" s="44"/>
      <c r="D31" s="36" t="s">
        <v>35</v>
      </c>
      <c r="E31" s="36" t="s">
        <v>42</v>
      </c>
      <c r="F31" s="37" t="s">
        <v>36</v>
      </c>
      <c r="G31" s="36" t="s">
        <v>11</v>
      </c>
      <c r="H31" s="38" t="s">
        <v>44</v>
      </c>
      <c r="I31" s="36" t="s">
        <v>27</v>
      </c>
      <c r="J31" s="39">
        <v>45631</v>
      </c>
      <c r="K31" s="38" t="s">
        <v>32</v>
      </c>
      <c r="L31" s="42" t="s">
        <v>28</v>
      </c>
      <c r="M31" s="39">
        <v>45632</v>
      </c>
      <c r="N31" s="42" t="s">
        <v>34</v>
      </c>
    </row>
    <row r="32" spans="2:14" s="15" customFormat="1" ht="69" customHeight="1">
      <c r="B32" s="43">
        <f t="shared" si="1"/>
        <v>8</v>
      </c>
      <c r="C32" s="44"/>
      <c r="D32" s="36" t="s">
        <v>48</v>
      </c>
      <c r="E32" s="36" t="s">
        <v>45</v>
      </c>
      <c r="F32" s="37" t="s">
        <v>36</v>
      </c>
      <c r="G32" s="36" t="s">
        <v>11</v>
      </c>
      <c r="H32" s="38" t="s">
        <v>46</v>
      </c>
      <c r="I32" s="36" t="s">
        <v>47</v>
      </c>
      <c r="J32" s="39">
        <v>45635</v>
      </c>
      <c r="K32" s="38" t="s">
        <v>32</v>
      </c>
      <c r="L32" s="42" t="s">
        <v>28</v>
      </c>
      <c r="M32" s="39">
        <v>45635</v>
      </c>
      <c r="N32" s="42" t="s">
        <v>34</v>
      </c>
    </row>
    <row r="33" spans="2:14" s="15" customFormat="1" ht="69" customHeight="1">
      <c r="B33" s="43">
        <f>+B32+1</f>
        <v>9</v>
      </c>
      <c r="C33" s="44"/>
      <c r="D33" s="36" t="s">
        <v>49</v>
      </c>
      <c r="E33" s="36" t="s">
        <v>45</v>
      </c>
      <c r="F33" s="37" t="s">
        <v>50</v>
      </c>
      <c r="G33" s="36" t="s">
        <v>11</v>
      </c>
      <c r="H33" s="38" t="s">
        <v>51</v>
      </c>
      <c r="I33" s="36" t="s">
        <v>47</v>
      </c>
      <c r="J33" s="39">
        <v>45439</v>
      </c>
      <c r="K33" s="38" t="s">
        <v>32</v>
      </c>
      <c r="L33" s="42" t="s">
        <v>28</v>
      </c>
      <c r="M33" s="39">
        <v>45445</v>
      </c>
      <c r="N33" s="42" t="s">
        <v>34</v>
      </c>
    </row>
    <row r="34" spans="2:14" s="15" customFormat="1" ht="69" customHeight="1">
      <c r="B34" s="43">
        <f>+B33+1</f>
        <v>10</v>
      </c>
      <c r="C34" s="44"/>
      <c r="D34" s="36" t="s">
        <v>49</v>
      </c>
      <c r="E34" s="36" t="s">
        <v>45</v>
      </c>
      <c r="F34" s="37" t="s">
        <v>50</v>
      </c>
      <c r="G34" s="36" t="s">
        <v>11</v>
      </c>
      <c r="H34" s="38" t="s">
        <v>53</v>
      </c>
      <c r="I34" s="36" t="s">
        <v>47</v>
      </c>
      <c r="J34" s="39">
        <v>45448</v>
      </c>
      <c r="K34" s="38" t="s">
        <v>97</v>
      </c>
      <c r="L34" s="42" t="s">
        <v>28</v>
      </c>
      <c r="M34" s="39"/>
      <c r="N34" s="42" t="s">
        <v>52</v>
      </c>
    </row>
    <row r="35" spans="2:14" s="15" customFormat="1" ht="69" customHeight="1">
      <c r="B35" s="43">
        <f>+B34+1</f>
        <v>11</v>
      </c>
      <c r="C35" s="44"/>
      <c r="D35" s="36" t="s">
        <v>49</v>
      </c>
      <c r="E35" s="36" t="s">
        <v>45</v>
      </c>
      <c r="F35" s="37" t="s">
        <v>50</v>
      </c>
      <c r="G35" s="36" t="s">
        <v>11</v>
      </c>
      <c r="H35" s="38" t="s">
        <v>54</v>
      </c>
      <c r="I35" s="36" t="s">
        <v>47</v>
      </c>
      <c r="J35" s="39">
        <v>45448</v>
      </c>
      <c r="K35" s="38" t="s">
        <v>97</v>
      </c>
      <c r="L35" s="42" t="s">
        <v>28</v>
      </c>
      <c r="M35" s="39"/>
      <c r="N35" s="42" t="s">
        <v>52</v>
      </c>
    </row>
    <row r="36" spans="2:14" s="15" customFormat="1" ht="69" customHeight="1">
      <c r="B36" s="43">
        <f>+B35+1</f>
        <v>12</v>
      </c>
      <c r="C36" s="44"/>
      <c r="D36" s="36" t="s">
        <v>49</v>
      </c>
      <c r="E36" s="36" t="s">
        <v>45</v>
      </c>
      <c r="F36" s="37" t="s">
        <v>50</v>
      </c>
      <c r="G36" s="36" t="s">
        <v>11</v>
      </c>
      <c r="H36" s="38" t="s">
        <v>55</v>
      </c>
      <c r="I36" s="36" t="s">
        <v>47</v>
      </c>
      <c r="J36" s="39">
        <v>45448</v>
      </c>
      <c r="K36" s="38" t="s">
        <v>97</v>
      </c>
      <c r="L36" s="42" t="s">
        <v>28</v>
      </c>
      <c r="M36" s="39"/>
      <c r="N36" s="42" t="s">
        <v>52</v>
      </c>
    </row>
    <row r="37" spans="2:14"/>
    <row r="38" spans="2:14"/>
  </sheetData>
  <mergeCells count="13">
    <mergeCell ref="B35:C35"/>
    <mergeCell ref="B36:C36"/>
    <mergeCell ref="B34:C34"/>
    <mergeCell ref="B24:C24"/>
    <mergeCell ref="B25:C25"/>
    <mergeCell ref="B32:C32"/>
    <mergeCell ref="B26:C26"/>
    <mergeCell ref="B27:C27"/>
    <mergeCell ref="B28:C28"/>
    <mergeCell ref="B29:C29"/>
    <mergeCell ref="B30:C30"/>
    <mergeCell ref="B31:C31"/>
    <mergeCell ref="B33:C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showGridLines="0" workbookViewId="0">
      <selection activeCell="K17" sqref="K17"/>
    </sheetView>
  </sheetViews>
  <sheetFormatPr defaultRowHeight="14.25"/>
  <sheetData>
    <row r="1" spans="1:2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22">
      <c r="A2" t="s">
        <v>65</v>
      </c>
      <c r="B2">
        <v>53066418</v>
      </c>
      <c r="C2">
        <v>4023258</v>
      </c>
      <c r="D2">
        <v>121774522</v>
      </c>
      <c r="E2" t="s">
        <v>66</v>
      </c>
      <c r="F2" t="s">
        <v>66</v>
      </c>
      <c r="G2" t="s">
        <v>67</v>
      </c>
      <c r="H2">
        <v>75113</v>
      </c>
      <c r="I2">
        <v>45109</v>
      </c>
    </row>
    <row r="4" spans="1:22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56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60</v>
      </c>
      <c r="Q4" t="s">
        <v>61</v>
      </c>
      <c r="R4" t="s">
        <v>62</v>
      </c>
      <c r="S4" t="s">
        <v>82</v>
      </c>
      <c r="T4" t="s">
        <v>83</v>
      </c>
      <c r="U4" t="s">
        <v>84</v>
      </c>
      <c r="V4" t="s">
        <v>85</v>
      </c>
    </row>
    <row r="5" spans="1:22">
      <c r="A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65</v>
      </c>
      <c r="H5" t="s">
        <v>91</v>
      </c>
      <c r="I5" t="s">
        <v>91</v>
      </c>
      <c r="J5" t="s">
        <v>91</v>
      </c>
      <c r="K5" t="s">
        <v>91</v>
      </c>
      <c r="L5">
        <v>-3873.27</v>
      </c>
      <c r="M5" s="49">
        <v>-1709693.855124</v>
      </c>
      <c r="N5">
        <v>-129621.326244</v>
      </c>
      <c r="O5">
        <v>-3923331.5497960001</v>
      </c>
      <c r="P5" t="s">
        <v>66</v>
      </c>
      <c r="Q5" t="s">
        <v>66</v>
      </c>
      <c r="R5" t="s">
        <v>67</v>
      </c>
      <c r="S5" t="s">
        <v>92</v>
      </c>
      <c r="T5" t="s">
        <v>93</v>
      </c>
      <c r="U5" t="s">
        <v>50</v>
      </c>
      <c r="V5" t="s">
        <v>94</v>
      </c>
    </row>
    <row r="6" spans="1:22">
      <c r="A6" t="s">
        <v>95</v>
      </c>
      <c r="C6" t="s">
        <v>87</v>
      </c>
      <c r="D6" t="s">
        <v>88</v>
      </c>
      <c r="E6" t="s">
        <v>89</v>
      </c>
      <c r="F6" t="s">
        <v>96</v>
      </c>
      <c r="G6" t="s">
        <v>65</v>
      </c>
      <c r="H6" t="s">
        <v>91</v>
      </c>
      <c r="I6" t="s">
        <v>91</v>
      </c>
      <c r="J6" t="s">
        <v>91</v>
      </c>
      <c r="K6" t="s">
        <v>91</v>
      </c>
      <c r="L6">
        <v>-3873.27</v>
      </c>
      <c r="M6" s="49">
        <v>-1709693.855124</v>
      </c>
      <c r="N6">
        <v>-129621.326244</v>
      </c>
      <c r="O6">
        <v>-3923331.5497960001</v>
      </c>
      <c r="P6" t="s">
        <v>66</v>
      </c>
      <c r="Q6" t="s">
        <v>66</v>
      </c>
      <c r="R6" t="s">
        <v>67</v>
      </c>
      <c r="S6" t="s">
        <v>92</v>
      </c>
      <c r="T6" t="s">
        <v>93</v>
      </c>
      <c r="U6" t="s">
        <v>50</v>
      </c>
      <c r="V6" t="s">
        <v>94</v>
      </c>
    </row>
    <row r="8" spans="1:22">
      <c r="M8" s="49">
        <v>-1709675.1413789489</v>
      </c>
      <c r="N8" s="50">
        <v>-18.713745051063597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B9A82-650A-4193-AA73-21795EEBD263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683c779-04fc-4b63-89c9-6c25ffa1c0a4"/>
    <ds:schemaRef ds:uri="http://schemas.microsoft.com/office/2006/metadata/properties"/>
    <ds:schemaRef ds:uri="http://purl.org/dc/terms/"/>
    <ds:schemaRef ds:uri="http://schemas.openxmlformats.org/package/2006/metadata/core-properties"/>
    <ds:schemaRef ds:uri="6ea7b29d-57ec-408d-9ea9-cf73b04f66d5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A0A297-194E-4952-B11A-0D17A1E23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Incidências</vt:lpstr>
      <vt:lpstr>2. Evidências &gt;&gt;</vt:lpstr>
      <vt:lpstr>ID1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Hélder Filipe Felicidade Fernandes</cp:lastModifiedBy>
  <dcterms:created xsi:type="dcterms:W3CDTF">2024-10-18T11:34:51Z</dcterms:created>
  <dcterms:modified xsi:type="dcterms:W3CDTF">2025-06-06T00:11:14Z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