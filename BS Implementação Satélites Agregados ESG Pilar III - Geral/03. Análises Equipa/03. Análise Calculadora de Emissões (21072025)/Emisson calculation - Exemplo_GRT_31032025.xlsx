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x459707\Downloads\"/>
    </mc:Choice>
  </mc:AlternateContent>
  <xr:revisionPtr revIDLastSave="0" documentId="8_{ECD451EA-EEF3-495C-A6CC-8B149011617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2" r:id="rId1"/>
    <sheet name="Sheet" sheetId="1" r:id="rId2"/>
  </sheets>
  <definedNames>
    <definedName name="_xlnm._FilterDatabase" localSheetId="0" hidden="1">Sheet1!$A$2:$AA$90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2" l="1"/>
  <c r="N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N28" i="2"/>
  <c r="N88" i="2"/>
  <c r="N15" i="2"/>
  <c r="N14" i="2"/>
  <c r="N13" i="2"/>
  <c r="N34" i="2"/>
  <c r="N8" i="2"/>
  <c r="N7" i="2"/>
  <c r="N6" i="2"/>
  <c r="N5" i="2"/>
  <c r="N4" i="2"/>
  <c r="N90" i="2" l="1"/>
  <c r="N89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3" i="2"/>
  <c r="N32" i="2"/>
  <c r="N31" i="2"/>
  <c r="N30" i="2"/>
  <c r="N29" i="2"/>
  <c r="N27" i="2"/>
  <c r="N26" i="2"/>
  <c r="N25" i="2"/>
  <c r="N24" i="2"/>
  <c r="N23" i="2"/>
  <c r="N22" i="2"/>
  <c r="N21" i="2"/>
  <c r="N20" i="2"/>
  <c r="N19" i="2"/>
  <c r="N18" i="2"/>
  <c r="N17" i="2"/>
  <c r="N16" i="2"/>
  <c r="N12" i="2"/>
  <c r="N11" i="2"/>
  <c r="N10" i="2"/>
  <c r="N9" i="2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<sst xmlns="http://schemas.openxmlformats.org/spreadsheetml/2006/main" count="1526" uniqueCount="120">
  <si>
    <t>entidade</t>
  </si>
  <si>
    <t>cempresa_ct</t>
  </si>
  <si>
    <t>cbalcao_ct</t>
  </si>
  <si>
    <t>cnumecta_ct</t>
  </si>
  <si>
    <t>zdeposit_ct</t>
  </si>
  <si>
    <t>zcliente</t>
  </si>
  <si>
    <t>ckbalbem</t>
  </si>
  <si>
    <t>ckctabem</t>
  </si>
  <si>
    <t>ckrefbem</t>
  </si>
  <si>
    <t>Building Loans Outstanding</t>
  </si>
  <si>
    <t>Property Value at Origination</t>
  </si>
  <si>
    <t>numero de edificios financiados</t>
  </si>
  <si>
    <t>Building Loans Outstanding/Property Value at Origination</t>
  </si>
  <si>
    <t>scope1_emission_factor_eu</t>
  </si>
  <si>
    <t>scope2_emission_factor_eu</t>
  </si>
  <si>
    <t>Método de Cálculo</t>
  </si>
  <si>
    <t>Emissões Scope 1</t>
  </si>
  <si>
    <t>Emissões Scope 2</t>
  </si>
  <si>
    <t>00100</t>
  </si>
  <si>
    <t>31</t>
  </si>
  <si>
    <t>0008</t>
  </si>
  <si>
    <t>01119435096</t>
  </si>
  <si>
    <t>000000000000000</t>
  </si>
  <si>
    <t>2100139297</t>
  </si>
  <si>
    <t>0832</t>
  </si>
  <si>
    <t>15181510000</t>
  </si>
  <si>
    <t>Number of buildings</t>
  </si>
  <si>
    <t>15181300000</t>
  </si>
  <si>
    <t>15181610000</t>
  </si>
  <si>
    <t>15181130000</t>
  </si>
  <si>
    <t>15181450000</t>
  </si>
  <si>
    <t>15181660000</t>
  </si>
  <si>
    <t>15181060000</t>
  </si>
  <si>
    <t>15181010000</t>
  </si>
  <si>
    <t>15181550000</t>
  </si>
  <si>
    <t>15180830000</t>
  </si>
  <si>
    <t>15180950000</t>
  </si>
  <si>
    <t>15181540000</t>
  </si>
  <si>
    <t>15181160000</t>
  </si>
  <si>
    <t>15181400000</t>
  </si>
  <si>
    <t>15181040000</t>
  </si>
  <si>
    <t>15181710000</t>
  </si>
  <si>
    <t>15180840000</t>
  </si>
  <si>
    <t>15180890000</t>
  </si>
  <si>
    <t>15180970000</t>
  </si>
  <si>
    <t>15181210000</t>
  </si>
  <si>
    <t>15181320000</t>
  </si>
  <si>
    <t>15181350000</t>
  </si>
  <si>
    <t>15181520000</t>
  </si>
  <si>
    <t>15181530000</t>
  </si>
  <si>
    <t>15181590000</t>
  </si>
  <si>
    <t>15180860000</t>
  </si>
  <si>
    <t>15180900000</t>
  </si>
  <si>
    <t>15181680000</t>
  </si>
  <si>
    <t>15181640000</t>
  </si>
  <si>
    <t>15181340000</t>
  </si>
  <si>
    <t>15180920000</t>
  </si>
  <si>
    <t>15181470000</t>
  </si>
  <si>
    <t>15181330000</t>
  </si>
  <si>
    <t>15180810000</t>
  </si>
  <si>
    <t>15180820000</t>
  </si>
  <si>
    <t>15181070000</t>
  </si>
  <si>
    <t>15181190000</t>
  </si>
  <si>
    <t>15181100000</t>
  </si>
  <si>
    <t>15181600000</t>
  </si>
  <si>
    <t>15181730000</t>
  </si>
  <si>
    <t>15181290000</t>
  </si>
  <si>
    <t>15181090000</t>
  </si>
  <si>
    <t>15181570000</t>
  </si>
  <si>
    <t>15181000000</t>
  </si>
  <si>
    <t>15181460000</t>
  </si>
  <si>
    <t>15181420000</t>
  </si>
  <si>
    <t>15181580000</t>
  </si>
  <si>
    <t>15181050000</t>
  </si>
  <si>
    <t>15181490000</t>
  </si>
  <si>
    <t>15180850000</t>
  </si>
  <si>
    <t>15181480000</t>
  </si>
  <si>
    <t>15181430000</t>
  </si>
  <si>
    <t>15180990000</t>
  </si>
  <si>
    <t>15180800000</t>
  </si>
  <si>
    <t>15181030000</t>
  </si>
  <si>
    <t>15181690000</t>
  </si>
  <si>
    <t>15181500000</t>
  </si>
  <si>
    <t>15181110000</t>
  </si>
  <si>
    <t>15181630000</t>
  </si>
  <si>
    <t>15180960000</t>
  </si>
  <si>
    <t>15180910000</t>
  </si>
  <si>
    <t>15180940000</t>
  </si>
  <si>
    <t>15181080000</t>
  </si>
  <si>
    <t>15181270000</t>
  </si>
  <si>
    <t>15181650000</t>
  </si>
  <si>
    <t>15180930000</t>
  </si>
  <si>
    <t>15180790000</t>
  </si>
  <si>
    <t>15181560000</t>
  </si>
  <si>
    <t>15181260000</t>
  </si>
  <si>
    <t>15180870000</t>
  </si>
  <si>
    <t>15181670000</t>
  </si>
  <si>
    <t>15180980000</t>
  </si>
  <si>
    <t>15181410000</t>
  </si>
  <si>
    <t>15181700000</t>
  </si>
  <si>
    <t>15181120000</t>
  </si>
  <si>
    <t>15181720000</t>
  </si>
  <si>
    <t>15181360000</t>
  </si>
  <si>
    <t>15181280000</t>
  </si>
  <si>
    <t>15181020000</t>
  </si>
  <si>
    <t>15181390000</t>
  </si>
  <si>
    <t>15180880000</t>
  </si>
  <si>
    <t>15181370000</t>
  </si>
  <si>
    <t>15181740000</t>
  </si>
  <si>
    <t>15181620000</t>
  </si>
  <si>
    <t>15181310000</t>
  </si>
  <si>
    <t>15181440000</t>
  </si>
  <si>
    <t>15181380000</t>
  </si>
  <si>
    <t>15181250000</t>
  </si>
  <si>
    <t>mavalbem</t>
  </si>
  <si>
    <t>mavaliaa</t>
  </si>
  <si>
    <t>montante_coberto</t>
  </si>
  <si>
    <t>sum_mavaliaa</t>
  </si>
  <si>
    <t>mont_repart</t>
  </si>
  <si>
    <t>flag_colateral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</si>
</sst>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 style="dotted">
        <color theme="0" tint="-0.34998626667073579"/>
      </top>
      <bottom style="dotted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 style="dotted">
        <color theme="0" tint="-0.34998626667073579"/>
      </bottom>
      <diagonal/>
    </border>
    <border>
      <left/>
      <right/>
      <top style="medium">
        <color indexed="64"/>
      </top>
      <bottom style="dotted">
        <color theme="0" tint="-0.34998626667073579"/>
      </bottom>
      <diagonal/>
    </border>
    <border>
      <left/>
      <right/>
      <top style="medium">
        <color indexed="64"/>
      </top>
      <bottom style="dashed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 style="dotted">
        <color theme="0" tint="-0.34998626667073579"/>
      </bottom>
      <diagonal/>
    </border>
    <border>
      <left style="medium">
        <color indexed="64"/>
      </left>
      <right/>
      <top style="dotted">
        <color theme="0" tint="-0.34998626667073579"/>
      </top>
      <bottom style="dotted">
        <color theme="0" tint="-0.34998626667073579"/>
      </bottom>
      <diagonal/>
    </border>
    <border>
      <left/>
      <right style="medium">
        <color indexed="64"/>
      </right>
      <top style="dotted">
        <color theme="0" tint="-0.34998626667073579"/>
      </top>
      <bottom style="dotted">
        <color theme="0" tint="-0.34998626667073579"/>
      </bottom>
      <diagonal/>
    </border>
    <border>
      <left style="medium">
        <color indexed="64"/>
      </left>
      <right/>
      <top style="dotted">
        <color theme="0" tint="-0.34998626667073579"/>
      </top>
      <bottom style="medium">
        <color indexed="64"/>
      </bottom>
      <diagonal/>
    </border>
    <border>
      <left/>
      <right/>
      <top style="dotted">
        <color theme="0" tint="-0.34998626667073579"/>
      </top>
      <bottom style="medium">
        <color indexed="64"/>
      </bottom>
      <diagonal/>
    </border>
    <border>
      <left/>
      <right style="medium">
        <color indexed="64"/>
      </right>
      <top style="dotted">
        <color theme="0" tint="-0.34998626667073579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4" fontId="0" fillId="0" borderId="0" xfId="0" applyNumberFormat="1"/>
    <xf numFmtId="0" fontId="0" fillId="0" borderId="1" xfId="0" applyBorder="1"/>
    <xf numFmtId="43" fontId="0" fillId="0" borderId="1" xfId="1" applyFont="1" applyBorder="1"/>
    <xf numFmtId="2" fontId="0" fillId="0" borderId="1" xfId="0" applyNumberFormat="1" applyBorder="1"/>
    <xf numFmtId="4" fontId="0" fillId="0" borderId="1" xfId="0" applyNumberFormat="1" applyBorder="1"/>
    <xf numFmtId="0" fontId="0" fillId="4" borderId="0" xfId="0" applyFill="1"/>
    <xf numFmtId="0" fontId="0" fillId="0" borderId="0" xfId="0" applyFill="1"/>
    <xf numFmtId="4" fontId="0" fillId="0" borderId="0" xfId="0" applyNumberFormat="1" applyFill="1"/>
    <xf numFmtId="0" fontId="2" fillId="2" borderId="2" xfId="0" applyFont="1" applyFill="1" applyBorder="1"/>
    <xf numFmtId="0" fontId="2" fillId="2" borderId="3" xfId="0" applyFont="1" applyFill="1" applyBorder="1"/>
    <xf numFmtId="0" fontId="2" fillId="3" borderId="4" xfId="0" applyFont="1" applyFill="1" applyBorder="1"/>
    <xf numFmtId="0" fontId="2" fillId="3" borderId="3" xfId="0" applyFont="1" applyFill="1" applyBorder="1"/>
    <xf numFmtId="0" fontId="2" fillId="3" borderId="5" xfId="0" applyFont="1" applyFill="1" applyBorder="1"/>
    <xf numFmtId="0" fontId="0" fillId="0" borderId="6" xfId="0" applyBorder="1"/>
    <xf numFmtId="2" fontId="0" fillId="0" borderId="7" xfId="0" applyNumberFormat="1" applyBorder="1"/>
    <xf numFmtId="0" fontId="0" fillId="0" borderId="8" xfId="0" applyBorder="1"/>
    <xf numFmtId="0" fontId="0" fillId="0" borderId="9" xfId="0" applyBorder="1"/>
    <xf numFmtId="4" fontId="0" fillId="0" borderId="9" xfId="0" applyNumberFormat="1" applyBorder="1"/>
    <xf numFmtId="43" fontId="0" fillId="0" borderId="9" xfId="1" applyFont="1" applyBorder="1"/>
    <xf numFmtId="2" fontId="0" fillId="0" borderId="9" xfId="0" applyNumberFormat="1" applyBorder="1"/>
    <xf numFmtId="2" fontId="0" fillId="0" borderId="10" xfId="0" applyNumberFormat="1" applyBorder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1"/>
  <sheetViews>
    <sheetView showGridLines="0" tabSelected="1" topLeftCell="H1" workbookViewId="0">
      <selection activeCell="K22" sqref="K22"/>
    </sheetView>
  </sheetViews>
  <sheetFormatPr baseColWidth="10" defaultColWidth="0" defaultRowHeight="14.5" zeroHeight="1" x14ac:dyDescent="0.35"/>
  <cols>
    <col min="1" max="1" width="3.54296875" customWidth="1"/>
    <col min="2" max="2" width="11.81640625" customWidth="1"/>
    <col min="3" max="5" width="8.7265625" customWidth="1"/>
    <col min="6" max="6" width="15.81640625" bestFit="1" customWidth="1"/>
    <col min="7" max="7" width="10.81640625" bestFit="1" customWidth="1"/>
    <col min="8" max="8" width="9.1796875" bestFit="1" customWidth="1"/>
    <col min="9" max="10" width="8.7265625" customWidth="1"/>
    <col min="11" max="11" width="28.81640625" customWidth="1"/>
    <col min="12" max="12" width="26.81640625" customWidth="1"/>
    <col min="13" max="13" width="18.453125" customWidth="1"/>
    <col min="14" max="14" width="22" customWidth="1"/>
    <col min="15" max="15" width="24.1796875" customWidth="1"/>
    <col min="16" max="16" width="14.453125" customWidth="1"/>
    <col min="17" max="17" width="19.7265625" bestFit="1" customWidth="1"/>
    <col min="18" max="18" width="19.26953125" customWidth="1"/>
    <col min="19" max="19" width="15.453125" bestFit="1" customWidth="1"/>
    <col min="20" max="20" width="3.54296875" customWidth="1"/>
    <col min="21" max="22" width="8.7265625" hidden="1" customWidth="1"/>
    <col min="23" max="27" width="0" hidden="1" customWidth="1"/>
    <col min="28" max="16384" width="8.7265625" hidden="1"/>
  </cols>
  <sheetData>
    <row r="1" spans="2:19" ht="15" thickBot="1" x14ac:dyDescent="0.4">
      <c r="M1" s="6"/>
    </row>
    <row r="2" spans="2:19" x14ac:dyDescent="0.35">
      <c r="B2" s="9" t="s">
        <v>0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I2" s="10" t="s">
        <v>7</v>
      </c>
      <c r="J2" s="10" t="s">
        <v>8</v>
      </c>
      <c r="K2" s="10" t="s">
        <v>9</v>
      </c>
      <c r="L2" s="10" t="s">
        <v>10</v>
      </c>
      <c r="M2" s="10" t="s">
        <v>11</v>
      </c>
      <c r="N2" s="10" t="s">
        <v>12</v>
      </c>
      <c r="O2" s="10" t="s">
        <v>13</v>
      </c>
      <c r="P2" s="10" t="s">
        <v>14</v>
      </c>
      <c r="Q2" s="11" t="s">
        <v>15</v>
      </c>
      <c r="R2" s="12" t="s">
        <v>16</v>
      </c>
      <c r="S2" s="13" t="s">
        <v>17</v>
      </c>
    </row>
    <row r="3" spans="2:19" x14ac:dyDescent="0.35">
      <c r="B3" s="14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22</v>
      </c>
      <c r="K3" s="5">
        <v>1245.8318231988001</v>
      </c>
      <c r="L3" s="5">
        <v>4159</v>
      </c>
      <c r="M3" s="2">
        <v>1</v>
      </c>
      <c r="N3" s="2">
        <f>K3/L3</f>
        <v>0.29955081106006254</v>
      </c>
      <c r="O3" s="2">
        <v>4.3641500000000004</v>
      </c>
      <c r="P3" s="2">
        <v>23.435700000000001</v>
      </c>
      <c r="Q3" s="3" t="s">
        <v>26</v>
      </c>
      <c r="R3" s="4">
        <f>(O3*$M$3)*((SUM($K$3:$K$90)/SUM($L$3:$L$90)))</f>
        <v>1.3072876075683724</v>
      </c>
      <c r="S3" s="15">
        <f>(P3*$M$3)*((SUM($K$3:$K$90)/SUM($L$3:$L$90)))</f>
        <v>7.0201987064354121</v>
      </c>
    </row>
    <row r="4" spans="2:19" x14ac:dyDescent="0.35">
      <c r="B4" s="14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24</v>
      </c>
      <c r="I4" s="2" t="s">
        <v>27</v>
      </c>
      <c r="J4" s="2" t="s">
        <v>22</v>
      </c>
      <c r="K4" s="5">
        <v>413.68056839920001</v>
      </c>
      <c r="L4" s="5">
        <v>1381</v>
      </c>
      <c r="M4" s="2">
        <v>1</v>
      </c>
      <c r="N4" s="2">
        <f t="shared" ref="N3:N8" si="0">K4/L4</f>
        <v>0.29955146154902246</v>
      </c>
      <c r="O4" s="2">
        <v>4.3641500000000004</v>
      </c>
      <c r="P4" s="2">
        <v>23.435700000000001</v>
      </c>
      <c r="Q4" s="3" t="s">
        <v>26</v>
      </c>
      <c r="R4" s="4">
        <f t="shared" ref="R4:R67" si="1">(O4*$M$3)*((SUM($K$3:$K$90)/SUM($L$3:$L$90)))</f>
        <v>1.3072876075683724</v>
      </c>
      <c r="S4" s="15">
        <f t="shared" ref="S4:S67" si="2">(P4*$M$3)*((SUM($K$3:$K$90)/SUM($L$3:$L$90)))</f>
        <v>7.0201987064354121</v>
      </c>
    </row>
    <row r="5" spans="2:19" x14ac:dyDescent="0.35">
      <c r="B5" s="14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  <c r="H5" s="2" t="s">
        <v>24</v>
      </c>
      <c r="I5" s="2" t="s">
        <v>28</v>
      </c>
      <c r="J5" s="2" t="s">
        <v>22</v>
      </c>
      <c r="K5" s="5">
        <v>985.82634179130002</v>
      </c>
      <c r="L5" s="5">
        <v>3291</v>
      </c>
      <c r="M5" s="2">
        <v>1</v>
      </c>
      <c r="N5" s="2">
        <f t="shared" si="0"/>
        <v>0.29955221567648133</v>
      </c>
      <c r="O5" s="2">
        <v>4.3641500000000004</v>
      </c>
      <c r="P5" s="2">
        <v>23.435700000000001</v>
      </c>
      <c r="Q5" s="3" t="s">
        <v>26</v>
      </c>
      <c r="R5" s="4">
        <f t="shared" si="1"/>
        <v>1.3072876075683724</v>
      </c>
      <c r="S5" s="15">
        <f t="shared" si="2"/>
        <v>7.0201987064354121</v>
      </c>
    </row>
    <row r="6" spans="2:19" x14ac:dyDescent="0.35">
      <c r="B6" s="14" t="s">
        <v>18</v>
      </c>
      <c r="C6" s="2" t="s">
        <v>19</v>
      </c>
      <c r="D6" s="2" t="s">
        <v>20</v>
      </c>
      <c r="E6" s="2" t="s">
        <v>21</v>
      </c>
      <c r="F6" s="2" t="s">
        <v>22</v>
      </c>
      <c r="G6" s="2" t="s">
        <v>23</v>
      </c>
      <c r="H6" s="2" t="s">
        <v>24</v>
      </c>
      <c r="I6" s="2" t="s">
        <v>29</v>
      </c>
      <c r="J6" s="2" t="s">
        <v>22</v>
      </c>
      <c r="K6" s="5">
        <v>637.74246731740004</v>
      </c>
      <c r="L6" s="5">
        <v>2129</v>
      </c>
      <c r="M6" s="2">
        <v>1</v>
      </c>
      <c r="N6" s="2">
        <f t="shared" si="0"/>
        <v>0.29955024298609678</v>
      </c>
      <c r="O6" s="2">
        <v>4.3641500000000004</v>
      </c>
      <c r="P6" s="2">
        <v>23.435700000000001</v>
      </c>
      <c r="Q6" s="3" t="s">
        <v>26</v>
      </c>
      <c r="R6" s="4">
        <f t="shared" si="1"/>
        <v>1.3072876075683724</v>
      </c>
      <c r="S6" s="15">
        <f t="shared" si="2"/>
        <v>7.0201987064354121</v>
      </c>
    </row>
    <row r="7" spans="2:19" x14ac:dyDescent="0.35">
      <c r="B7" s="14" t="s">
        <v>18</v>
      </c>
      <c r="C7" s="2" t="s">
        <v>19</v>
      </c>
      <c r="D7" s="2" t="s">
        <v>20</v>
      </c>
      <c r="E7" s="2" t="s">
        <v>21</v>
      </c>
      <c r="F7" s="2" t="s">
        <v>22</v>
      </c>
      <c r="G7" s="2" t="s">
        <v>23</v>
      </c>
      <c r="H7" s="2" t="s">
        <v>24</v>
      </c>
      <c r="I7" s="2" t="s">
        <v>30</v>
      </c>
      <c r="J7" s="2" t="s">
        <v>22</v>
      </c>
      <c r="K7" s="5">
        <v>171.645895043</v>
      </c>
      <c r="L7" s="5">
        <v>573</v>
      </c>
      <c r="M7" s="2">
        <v>1</v>
      </c>
      <c r="N7" s="2">
        <f t="shared" si="0"/>
        <v>0.29955653585165792</v>
      </c>
      <c r="O7" s="2">
        <v>4.3641500000000004</v>
      </c>
      <c r="P7" s="2">
        <v>23.435700000000001</v>
      </c>
      <c r="Q7" s="3" t="s">
        <v>26</v>
      </c>
      <c r="R7" s="4">
        <f t="shared" si="1"/>
        <v>1.3072876075683724</v>
      </c>
      <c r="S7" s="15">
        <f t="shared" si="2"/>
        <v>7.0201987064354121</v>
      </c>
    </row>
    <row r="8" spans="2:19" x14ac:dyDescent="0.35">
      <c r="B8" s="14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31</v>
      </c>
      <c r="J8" s="2" t="s">
        <v>22</v>
      </c>
      <c r="K8" s="5">
        <v>365.15211102990003</v>
      </c>
      <c r="L8" s="5">
        <v>1219</v>
      </c>
      <c r="M8" s="2">
        <v>1</v>
      </c>
      <c r="N8" s="2">
        <f t="shared" si="0"/>
        <v>0.2995505422722724</v>
      </c>
      <c r="O8" s="2">
        <v>4.3641500000000004</v>
      </c>
      <c r="P8" s="2">
        <v>23.435700000000001</v>
      </c>
      <c r="Q8" s="3" t="s">
        <v>26</v>
      </c>
      <c r="R8" s="4">
        <f t="shared" si="1"/>
        <v>1.3072876075683724</v>
      </c>
      <c r="S8" s="15">
        <f t="shared" si="2"/>
        <v>7.0201987064354121</v>
      </c>
    </row>
    <row r="9" spans="2:19" x14ac:dyDescent="0.35">
      <c r="B9" s="14" t="s">
        <v>18</v>
      </c>
      <c r="C9" s="2" t="s">
        <v>19</v>
      </c>
      <c r="D9" s="2" t="s">
        <v>20</v>
      </c>
      <c r="E9" s="2" t="s">
        <v>21</v>
      </c>
      <c r="F9" s="2" t="s">
        <v>22</v>
      </c>
      <c r="G9" s="2" t="s">
        <v>23</v>
      </c>
      <c r="H9" s="2" t="s">
        <v>24</v>
      </c>
      <c r="I9" s="2" t="s">
        <v>32</v>
      </c>
      <c r="J9" s="2" t="s">
        <v>22</v>
      </c>
      <c r="K9" s="5">
        <v>2980.2419178130999</v>
      </c>
      <c r="L9" s="5">
        <v>9949</v>
      </c>
      <c r="M9" s="2">
        <v>1</v>
      </c>
      <c r="N9" s="2">
        <f t="shared" ref="N9:N67" si="3">K9/L9</f>
        <v>0.29955190650448288</v>
      </c>
      <c r="O9" s="2">
        <v>4.3641500000000004</v>
      </c>
      <c r="P9" s="2">
        <v>23.435700000000001</v>
      </c>
      <c r="Q9" s="3" t="s">
        <v>26</v>
      </c>
      <c r="R9" s="4">
        <f t="shared" si="1"/>
        <v>1.3072876075683724</v>
      </c>
      <c r="S9" s="15">
        <f t="shared" si="2"/>
        <v>7.0201987064354121</v>
      </c>
    </row>
    <row r="10" spans="2:19" x14ac:dyDescent="0.35">
      <c r="B10" s="14" t="s">
        <v>18</v>
      </c>
      <c r="C10" s="2" t="s">
        <v>19</v>
      </c>
      <c r="D10" s="2" t="s">
        <v>20</v>
      </c>
      <c r="E10" s="2" t="s">
        <v>21</v>
      </c>
      <c r="F10" s="2" t="s">
        <v>22</v>
      </c>
      <c r="G10" s="2" t="s">
        <v>23</v>
      </c>
      <c r="H10" s="2" t="s">
        <v>24</v>
      </c>
      <c r="I10" s="2" t="s">
        <v>33</v>
      </c>
      <c r="J10" s="2" t="s">
        <v>22</v>
      </c>
      <c r="K10" s="5">
        <v>2452.7232905774999</v>
      </c>
      <c r="L10" s="5">
        <v>8188</v>
      </c>
      <c r="M10" s="2">
        <v>1</v>
      </c>
      <c r="N10" s="2">
        <f t="shared" si="3"/>
        <v>0.29955096367580603</v>
      </c>
      <c r="O10" s="2">
        <v>4.3641500000000004</v>
      </c>
      <c r="P10" s="2">
        <v>23.435700000000001</v>
      </c>
      <c r="Q10" s="3" t="s">
        <v>26</v>
      </c>
      <c r="R10" s="4">
        <f t="shared" si="1"/>
        <v>1.3072876075683724</v>
      </c>
      <c r="S10" s="15">
        <f t="shared" si="2"/>
        <v>7.0201987064354121</v>
      </c>
    </row>
    <row r="11" spans="2:19" x14ac:dyDescent="0.35">
      <c r="B11" s="14" t="s">
        <v>18</v>
      </c>
      <c r="C11" s="2" t="s">
        <v>19</v>
      </c>
      <c r="D11" s="2" t="s">
        <v>20</v>
      </c>
      <c r="E11" s="2" t="s">
        <v>21</v>
      </c>
      <c r="F11" s="2" t="s">
        <v>22</v>
      </c>
      <c r="G11" s="2" t="s">
        <v>23</v>
      </c>
      <c r="H11" s="2" t="s">
        <v>24</v>
      </c>
      <c r="I11" s="2" t="s">
        <v>34</v>
      </c>
      <c r="J11" s="2" t="s">
        <v>22</v>
      </c>
      <c r="K11" s="5">
        <v>792.01336947920004</v>
      </c>
      <c r="L11" s="5">
        <v>2644</v>
      </c>
      <c r="M11" s="2">
        <v>1</v>
      </c>
      <c r="N11" s="2">
        <f t="shared" si="3"/>
        <v>0.29955119874402419</v>
      </c>
      <c r="O11" s="2">
        <v>4.3641500000000004</v>
      </c>
      <c r="P11" s="2">
        <v>23.435700000000001</v>
      </c>
      <c r="Q11" s="3" t="s">
        <v>26</v>
      </c>
      <c r="R11" s="4">
        <f t="shared" si="1"/>
        <v>1.3072876075683724</v>
      </c>
      <c r="S11" s="15">
        <f t="shared" si="2"/>
        <v>7.0201987064354121</v>
      </c>
    </row>
    <row r="12" spans="2:19" x14ac:dyDescent="0.35">
      <c r="B12" s="14" t="s">
        <v>18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35</v>
      </c>
      <c r="J12" s="2" t="s">
        <v>22</v>
      </c>
      <c r="K12" s="5">
        <v>167.4496258252</v>
      </c>
      <c r="L12" s="5">
        <v>559</v>
      </c>
      <c r="M12" s="2">
        <v>1</v>
      </c>
      <c r="N12" s="2">
        <f t="shared" si="3"/>
        <v>0.29955210344400718</v>
      </c>
      <c r="O12" s="2">
        <v>4.3641500000000004</v>
      </c>
      <c r="P12" s="2">
        <v>23.435700000000001</v>
      </c>
      <c r="Q12" s="3" t="s">
        <v>26</v>
      </c>
      <c r="R12" s="4">
        <f t="shared" si="1"/>
        <v>1.3072876075683724</v>
      </c>
      <c r="S12" s="15">
        <f t="shared" si="2"/>
        <v>7.0201987064354121</v>
      </c>
    </row>
    <row r="13" spans="2:19" x14ac:dyDescent="0.35">
      <c r="B13" s="14" t="s">
        <v>18</v>
      </c>
      <c r="C13" s="2" t="s">
        <v>19</v>
      </c>
      <c r="D13" s="2" t="s">
        <v>20</v>
      </c>
      <c r="E13" s="2" t="s">
        <v>21</v>
      </c>
      <c r="F13" s="2" t="s">
        <v>22</v>
      </c>
      <c r="G13" s="2" t="s">
        <v>23</v>
      </c>
      <c r="H13" s="2" t="s">
        <v>24</v>
      </c>
      <c r="I13" s="2" t="s">
        <v>36</v>
      </c>
      <c r="J13" s="2" t="s">
        <v>22</v>
      </c>
      <c r="K13" s="5">
        <v>180.927240267</v>
      </c>
      <c r="L13" s="5">
        <v>604</v>
      </c>
      <c r="M13" s="2">
        <v>1</v>
      </c>
      <c r="N13" s="2">
        <f>K13/L13</f>
        <v>0.2995484110380795</v>
      </c>
      <c r="O13" s="2">
        <v>4.3641500000000004</v>
      </c>
      <c r="P13" s="2">
        <v>23.435700000000001</v>
      </c>
      <c r="Q13" s="3" t="s">
        <v>26</v>
      </c>
      <c r="R13" s="4">
        <f t="shared" si="1"/>
        <v>1.3072876075683724</v>
      </c>
      <c r="S13" s="15">
        <f t="shared" si="2"/>
        <v>7.0201987064354121</v>
      </c>
    </row>
    <row r="14" spans="2:19" x14ac:dyDescent="0.35">
      <c r="B14" s="14" t="s">
        <v>18</v>
      </c>
      <c r="C14" s="2" t="s">
        <v>19</v>
      </c>
      <c r="D14" s="2" t="s">
        <v>20</v>
      </c>
      <c r="E14" s="2" t="s">
        <v>21</v>
      </c>
      <c r="F14" s="2" t="s">
        <v>22</v>
      </c>
      <c r="G14" s="2" t="s">
        <v>23</v>
      </c>
      <c r="H14" s="2" t="s">
        <v>24</v>
      </c>
      <c r="I14" s="2" t="s">
        <v>37</v>
      </c>
      <c r="J14" s="2" t="s">
        <v>22</v>
      </c>
      <c r="K14" s="5">
        <v>2697.7567036512</v>
      </c>
      <c r="L14" s="5">
        <v>9006</v>
      </c>
      <c r="M14" s="2">
        <v>1</v>
      </c>
      <c r="N14" s="2">
        <f>K14/L14</f>
        <v>0.29955104415403067</v>
      </c>
      <c r="O14" s="2">
        <v>4.3641500000000004</v>
      </c>
      <c r="P14" s="2">
        <v>23.435700000000001</v>
      </c>
      <c r="Q14" s="3" t="s">
        <v>26</v>
      </c>
      <c r="R14" s="4">
        <f t="shared" si="1"/>
        <v>1.3072876075683724</v>
      </c>
      <c r="S14" s="15">
        <f t="shared" si="2"/>
        <v>7.0201987064354121</v>
      </c>
    </row>
    <row r="15" spans="2:19" x14ac:dyDescent="0.35">
      <c r="B15" s="14" t="s">
        <v>18</v>
      </c>
      <c r="C15" s="2" t="s">
        <v>19</v>
      </c>
      <c r="D15" s="2" t="s">
        <v>20</v>
      </c>
      <c r="E15" s="2" t="s">
        <v>21</v>
      </c>
      <c r="F15" s="2" t="s">
        <v>22</v>
      </c>
      <c r="G15" s="2" t="s">
        <v>23</v>
      </c>
      <c r="H15" s="2" t="s">
        <v>24</v>
      </c>
      <c r="I15" s="2" t="s">
        <v>38</v>
      </c>
      <c r="J15" s="2" t="s">
        <v>22</v>
      </c>
      <c r="K15" s="5">
        <v>809.08357242190004</v>
      </c>
      <c r="L15" s="5">
        <v>2701</v>
      </c>
      <c r="M15" s="2">
        <v>1</v>
      </c>
      <c r="N15" s="2">
        <f>K15/L15</f>
        <v>0.29954963806808593</v>
      </c>
      <c r="O15" s="2">
        <v>4.3641500000000004</v>
      </c>
      <c r="P15" s="2">
        <v>23.435700000000001</v>
      </c>
      <c r="Q15" s="3" t="s">
        <v>26</v>
      </c>
      <c r="R15" s="4">
        <f t="shared" si="1"/>
        <v>1.3072876075683724</v>
      </c>
      <c r="S15" s="15">
        <f t="shared" si="2"/>
        <v>7.0201987064354121</v>
      </c>
    </row>
    <row r="16" spans="2:19" x14ac:dyDescent="0.35">
      <c r="B16" s="14" t="s">
        <v>18</v>
      </c>
      <c r="C16" s="2" t="s">
        <v>19</v>
      </c>
      <c r="D16" s="2" t="s">
        <v>20</v>
      </c>
      <c r="E16" s="2" t="s">
        <v>21</v>
      </c>
      <c r="F16" s="2" t="s">
        <v>22</v>
      </c>
      <c r="G16" s="2" t="s">
        <v>23</v>
      </c>
      <c r="H16" s="2" t="s">
        <v>24</v>
      </c>
      <c r="I16" s="2" t="s">
        <v>39</v>
      </c>
      <c r="J16" s="2" t="s">
        <v>22</v>
      </c>
      <c r="K16" s="5">
        <v>442.14008310830002</v>
      </c>
      <c r="L16" s="5">
        <v>1476</v>
      </c>
      <c r="M16" s="2">
        <v>1</v>
      </c>
      <c r="N16" s="2">
        <f t="shared" si="3"/>
        <v>0.29955290183489164</v>
      </c>
      <c r="O16" s="2">
        <v>4.3641500000000004</v>
      </c>
      <c r="P16" s="2">
        <v>23.435700000000001</v>
      </c>
      <c r="Q16" s="3" t="s">
        <v>26</v>
      </c>
      <c r="R16" s="4">
        <f t="shared" si="1"/>
        <v>1.3072876075683724</v>
      </c>
      <c r="S16" s="15">
        <f t="shared" si="2"/>
        <v>7.0201987064354121</v>
      </c>
    </row>
    <row r="17" spans="2:19" x14ac:dyDescent="0.35">
      <c r="B17" s="14" t="s">
        <v>18</v>
      </c>
      <c r="C17" s="2" t="s">
        <v>19</v>
      </c>
      <c r="D17" s="2" t="s">
        <v>20</v>
      </c>
      <c r="E17" s="2" t="s">
        <v>21</v>
      </c>
      <c r="F17" s="2" t="s">
        <v>22</v>
      </c>
      <c r="G17" s="2" t="s">
        <v>23</v>
      </c>
      <c r="H17" s="2" t="s">
        <v>24</v>
      </c>
      <c r="I17" s="2" t="s">
        <v>40</v>
      </c>
      <c r="J17" s="2" t="s">
        <v>22</v>
      </c>
      <c r="K17" s="5">
        <v>927.10806854259999</v>
      </c>
      <c r="L17" s="5">
        <v>3095</v>
      </c>
      <c r="M17" s="2">
        <v>1</v>
      </c>
      <c r="N17" s="2">
        <f t="shared" si="3"/>
        <v>0.29955026447256866</v>
      </c>
      <c r="O17" s="2">
        <v>4.3641500000000004</v>
      </c>
      <c r="P17" s="2">
        <v>23.435700000000001</v>
      </c>
      <c r="Q17" s="3" t="s">
        <v>26</v>
      </c>
      <c r="R17" s="4">
        <f t="shared" si="1"/>
        <v>1.3072876075683724</v>
      </c>
      <c r="S17" s="15">
        <f t="shared" si="2"/>
        <v>7.0201987064354121</v>
      </c>
    </row>
    <row r="18" spans="2:19" x14ac:dyDescent="0.35">
      <c r="B18" s="14" t="s">
        <v>18</v>
      </c>
      <c r="C18" s="2" t="s">
        <v>19</v>
      </c>
      <c r="D18" s="2" t="s">
        <v>20</v>
      </c>
      <c r="E18" s="2" t="s">
        <v>21</v>
      </c>
      <c r="F18" s="2" t="s">
        <v>22</v>
      </c>
      <c r="G18" s="2" t="s">
        <v>23</v>
      </c>
      <c r="H18" s="2" t="s">
        <v>24</v>
      </c>
      <c r="I18" s="2" t="s">
        <v>41</v>
      </c>
      <c r="J18" s="2" t="s">
        <v>22</v>
      </c>
      <c r="K18" s="5">
        <v>227.3575630274</v>
      </c>
      <c r="L18" s="5">
        <v>759</v>
      </c>
      <c r="M18" s="2">
        <v>1</v>
      </c>
      <c r="N18" s="2">
        <f t="shared" si="3"/>
        <v>0.29954883139314886</v>
      </c>
      <c r="O18" s="2">
        <v>4.3641500000000004</v>
      </c>
      <c r="P18" s="2">
        <v>23.435700000000001</v>
      </c>
      <c r="Q18" s="3" t="s">
        <v>26</v>
      </c>
      <c r="R18" s="4">
        <f t="shared" si="1"/>
        <v>1.3072876075683724</v>
      </c>
      <c r="S18" s="15">
        <f t="shared" si="2"/>
        <v>7.0201987064354121</v>
      </c>
    </row>
    <row r="19" spans="2:19" x14ac:dyDescent="0.35">
      <c r="B19" s="14" t="s">
        <v>18</v>
      </c>
      <c r="C19" s="2" t="s">
        <v>19</v>
      </c>
      <c r="D19" s="2" t="s">
        <v>20</v>
      </c>
      <c r="E19" s="2" t="s">
        <v>21</v>
      </c>
      <c r="F19" s="2" t="s">
        <v>22</v>
      </c>
      <c r="G19" s="2" t="s">
        <v>23</v>
      </c>
      <c r="H19" s="2" t="s">
        <v>24</v>
      </c>
      <c r="I19" s="2" t="s">
        <v>42</v>
      </c>
      <c r="J19" s="2" t="s">
        <v>22</v>
      </c>
      <c r="K19" s="5">
        <v>445.4337808308</v>
      </c>
      <c r="L19" s="5">
        <v>1487</v>
      </c>
      <c r="M19" s="2">
        <v>1</v>
      </c>
      <c r="N19" s="2">
        <f t="shared" si="3"/>
        <v>0.29955197096893071</v>
      </c>
      <c r="O19" s="2">
        <v>4.3641500000000004</v>
      </c>
      <c r="P19" s="2">
        <v>23.435700000000001</v>
      </c>
      <c r="Q19" s="3" t="s">
        <v>26</v>
      </c>
      <c r="R19" s="4">
        <f t="shared" si="1"/>
        <v>1.3072876075683724</v>
      </c>
      <c r="S19" s="15">
        <f t="shared" si="2"/>
        <v>7.0201987064354121</v>
      </c>
    </row>
    <row r="20" spans="2:19" x14ac:dyDescent="0.35">
      <c r="B20" s="14" t="s">
        <v>18</v>
      </c>
      <c r="C20" s="2" t="s">
        <v>19</v>
      </c>
      <c r="D20" s="2" t="s">
        <v>20</v>
      </c>
      <c r="E20" s="2" t="s">
        <v>21</v>
      </c>
      <c r="F20" s="2" t="s">
        <v>22</v>
      </c>
      <c r="G20" s="2" t="s">
        <v>23</v>
      </c>
      <c r="H20" s="2" t="s">
        <v>24</v>
      </c>
      <c r="I20" s="2" t="s">
        <v>43</v>
      </c>
      <c r="J20" s="2" t="s">
        <v>22</v>
      </c>
      <c r="K20" s="5">
        <v>150.67831366089999</v>
      </c>
      <c r="L20" s="5">
        <v>503</v>
      </c>
      <c r="M20" s="2">
        <v>1</v>
      </c>
      <c r="N20" s="2">
        <f t="shared" si="3"/>
        <v>0.29955927169165009</v>
      </c>
      <c r="O20" s="2">
        <v>4.3641500000000004</v>
      </c>
      <c r="P20" s="2">
        <v>23.435700000000001</v>
      </c>
      <c r="Q20" s="3" t="s">
        <v>26</v>
      </c>
      <c r="R20" s="4">
        <f t="shared" si="1"/>
        <v>1.3072876075683724</v>
      </c>
      <c r="S20" s="15">
        <f t="shared" si="2"/>
        <v>7.0201987064354121</v>
      </c>
    </row>
    <row r="21" spans="2:19" x14ac:dyDescent="0.35">
      <c r="B21" s="14" t="s">
        <v>18</v>
      </c>
      <c r="C21" s="2" t="s">
        <v>19</v>
      </c>
      <c r="D21" s="2" t="s">
        <v>20</v>
      </c>
      <c r="E21" s="2" t="s">
        <v>21</v>
      </c>
      <c r="F21" s="2" t="s">
        <v>22</v>
      </c>
      <c r="G21" s="2" t="s">
        <v>23</v>
      </c>
      <c r="H21" s="2" t="s">
        <v>24</v>
      </c>
      <c r="I21" s="2" t="s">
        <v>44</v>
      </c>
      <c r="J21" s="2" t="s">
        <v>22</v>
      </c>
      <c r="K21" s="5">
        <v>311.52874572090002</v>
      </c>
      <c r="L21" s="5">
        <v>1040</v>
      </c>
      <c r="M21" s="2">
        <v>1</v>
      </c>
      <c r="N21" s="2">
        <f t="shared" si="3"/>
        <v>0.29954687088548076</v>
      </c>
      <c r="O21" s="2">
        <v>4.3641500000000004</v>
      </c>
      <c r="P21" s="2">
        <v>23.435700000000001</v>
      </c>
      <c r="Q21" s="3" t="s">
        <v>26</v>
      </c>
      <c r="R21" s="4">
        <f t="shared" si="1"/>
        <v>1.3072876075683724</v>
      </c>
      <c r="S21" s="15">
        <f t="shared" si="2"/>
        <v>7.0201987064354121</v>
      </c>
    </row>
    <row r="22" spans="2:19" x14ac:dyDescent="0.35">
      <c r="B22" s="14" t="s">
        <v>18</v>
      </c>
      <c r="C22" s="2" t="s">
        <v>19</v>
      </c>
      <c r="D22" s="2" t="s">
        <v>20</v>
      </c>
      <c r="E22" s="2" t="s">
        <v>21</v>
      </c>
      <c r="F22" s="2" t="s">
        <v>22</v>
      </c>
      <c r="G22" s="2" t="s">
        <v>23</v>
      </c>
      <c r="H22" s="2" t="s">
        <v>24</v>
      </c>
      <c r="I22" s="2" t="s">
        <v>45</v>
      </c>
      <c r="J22" s="2" t="s">
        <v>22</v>
      </c>
      <c r="K22" s="5">
        <v>711.1378508949</v>
      </c>
      <c r="L22" s="5">
        <v>2374</v>
      </c>
      <c r="M22" s="2">
        <v>1</v>
      </c>
      <c r="N22" s="2">
        <f t="shared" si="3"/>
        <v>0.2995525909414069</v>
      </c>
      <c r="O22" s="2">
        <v>4.3641500000000004</v>
      </c>
      <c r="P22" s="2">
        <v>23.435700000000001</v>
      </c>
      <c r="Q22" s="3" t="s">
        <v>26</v>
      </c>
      <c r="R22" s="4">
        <f t="shared" si="1"/>
        <v>1.3072876075683724</v>
      </c>
      <c r="S22" s="15">
        <f t="shared" si="2"/>
        <v>7.0201987064354121</v>
      </c>
    </row>
    <row r="23" spans="2:19" x14ac:dyDescent="0.35">
      <c r="B23" s="14" t="s">
        <v>18</v>
      </c>
      <c r="C23" s="2" t="s">
        <v>19</v>
      </c>
      <c r="D23" s="2" t="s">
        <v>20</v>
      </c>
      <c r="E23" s="2" t="s">
        <v>21</v>
      </c>
      <c r="F23" s="2" t="s">
        <v>22</v>
      </c>
      <c r="G23" s="2" t="s">
        <v>23</v>
      </c>
      <c r="H23" s="2" t="s">
        <v>24</v>
      </c>
      <c r="I23" s="2" t="s">
        <v>46</v>
      </c>
      <c r="J23" s="2" t="s">
        <v>22</v>
      </c>
      <c r="K23" s="5">
        <v>571.83901706690006</v>
      </c>
      <c r="L23" s="5">
        <v>1909</v>
      </c>
      <c r="M23" s="2">
        <v>1</v>
      </c>
      <c r="N23" s="2">
        <f t="shared" si="3"/>
        <v>0.29954898746301734</v>
      </c>
      <c r="O23" s="2">
        <v>4.3641500000000004</v>
      </c>
      <c r="P23" s="2">
        <v>23.435700000000001</v>
      </c>
      <c r="Q23" s="3" t="s">
        <v>26</v>
      </c>
      <c r="R23" s="4">
        <f t="shared" si="1"/>
        <v>1.3072876075683724</v>
      </c>
      <c r="S23" s="15">
        <f t="shared" si="2"/>
        <v>7.0201987064354121</v>
      </c>
    </row>
    <row r="24" spans="2:19" x14ac:dyDescent="0.35">
      <c r="B24" s="14" t="s">
        <v>18</v>
      </c>
      <c r="C24" s="2" t="s">
        <v>19</v>
      </c>
      <c r="D24" s="2" t="s">
        <v>20</v>
      </c>
      <c r="E24" s="2" t="s">
        <v>21</v>
      </c>
      <c r="F24" s="2" t="s">
        <v>22</v>
      </c>
      <c r="G24" s="2" t="s">
        <v>23</v>
      </c>
      <c r="H24" s="2" t="s">
        <v>24</v>
      </c>
      <c r="I24" s="2" t="s">
        <v>47</v>
      </c>
      <c r="J24" s="2" t="s">
        <v>22</v>
      </c>
      <c r="K24" s="5">
        <v>4548.9937648859004</v>
      </c>
      <c r="L24" s="5">
        <v>15186</v>
      </c>
      <c r="M24" s="2">
        <v>1</v>
      </c>
      <c r="N24" s="2">
        <f t="shared" si="3"/>
        <v>0.29955180856617281</v>
      </c>
      <c r="O24" s="2">
        <v>4.3641500000000004</v>
      </c>
      <c r="P24" s="2">
        <v>23.435700000000001</v>
      </c>
      <c r="Q24" s="3" t="s">
        <v>26</v>
      </c>
      <c r="R24" s="4">
        <f t="shared" si="1"/>
        <v>1.3072876075683724</v>
      </c>
      <c r="S24" s="15">
        <f t="shared" si="2"/>
        <v>7.0201987064354121</v>
      </c>
    </row>
    <row r="25" spans="2:19" x14ac:dyDescent="0.35">
      <c r="B25" s="14" t="s">
        <v>18</v>
      </c>
      <c r="C25" s="2" t="s">
        <v>19</v>
      </c>
      <c r="D25" s="2" t="s">
        <v>20</v>
      </c>
      <c r="E25" s="2" t="s">
        <v>21</v>
      </c>
      <c r="F25" s="2" t="s">
        <v>22</v>
      </c>
      <c r="G25" s="2" t="s">
        <v>23</v>
      </c>
      <c r="H25" s="2" t="s">
        <v>24</v>
      </c>
      <c r="I25" s="2" t="s">
        <v>48</v>
      </c>
      <c r="J25" s="2" t="s">
        <v>22</v>
      </c>
      <c r="K25" s="5">
        <v>2423.0662463681001</v>
      </c>
      <c r="L25" s="5">
        <v>8089</v>
      </c>
      <c r="M25" s="2">
        <v>1</v>
      </c>
      <c r="N25" s="2">
        <f t="shared" si="3"/>
        <v>0.2995507783864631</v>
      </c>
      <c r="O25" s="2">
        <v>4.3641500000000004</v>
      </c>
      <c r="P25" s="2">
        <v>23.435700000000001</v>
      </c>
      <c r="Q25" s="3" t="s">
        <v>26</v>
      </c>
      <c r="R25" s="4">
        <f t="shared" si="1"/>
        <v>1.3072876075683724</v>
      </c>
      <c r="S25" s="15">
        <f t="shared" si="2"/>
        <v>7.0201987064354121</v>
      </c>
    </row>
    <row r="26" spans="2:19" x14ac:dyDescent="0.35">
      <c r="B26" s="14" t="s">
        <v>18</v>
      </c>
      <c r="C26" s="2" t="s">
        <v>19</v>
      </c>
      <c r="D26" s="2" t="s">
        <v>20</v>
      </c>
      <c r="E26" s="2" t="s">
        <v>21</v>
      </c>
      <c r="F26" s="2" t="s">
        <v>22</v>
      </c>
      <c r="G26" s="2" t="s">
        <v>23</v>
      </c>
      <c r="H26" s="2" t="s">
        <v>24</v>
      </c>
      <c r="I26" s="2" t="s">
        <v>49</v>
      </c>
      <c r="J26" s="2" t="s">
        <v>22</v>
      </c>
      <c r="K26" s="5">
        <v>264.80149856880001</v>
      </c>
      <c r="L26" s="5">
        <v>884</v>
      </c>
      <c r="M26" s="2">
        <v>1</v>
      </c>
      <c r="N26" s="2">
        <f t="shared" si="3"/>
        <v>0.29954920652579187</v>
      </c>
      <c r="O26" s="2">
        <v>4.3641500000000004</v>
      </c>
      <c r="P26" s="2">
        <v>23.435700000000001</v>
      </c>
      <c r="Q26" s="3" t="s">
        <v>26</v>
      </c>
      <c r="R26" s="4">
        <f t="shared" si="1"/>
        <v>1.3072876075683724</v>
      </c>
      <c r="S26" s="15">
        <f t="shared" si="2"/>
        <v>7.0201987064354121</v>
      </c>
    </row>
    <row r="27" spans="2:19" x14ac:dyDescent="0.35">
      <c r="B27" s="14" t="s">
        <v>18</v>
      </c>
      <c r="C27" s="2" t="s">
        <v>19</v>
      </c>
      <c r="D27" s="2" t="s">
        <v>20</v>
      </c>
      <c r="E27" s="2" t="s">
        <v>21</v>
      </c>
      <c r="F27" s="2" t="s">
        <v>22</v>
      </c>
      <c r="G27" s="2" t="s">
        <v>23</v>
      </c>
      <c r="H27" s="2" t="s">
        <v>24</v>
      </c>
      <c r="I27" s="2" t="s">
        <v>50</v>
      </c>
      <c r="J27" s="2" t="s">
        <v>22</v>
      </c>
      <c r="K27" s="5">
        <v>470.89455582239998</v>
      </c>
      <c r="L27" s="5">
        <v>1572</v>
      </c>
      <c r="M27" s="2">
        <v>1</v>
      </c>
      <c r="N27" s="2">
        <f t="shared" si="3"/>
        <v>0.29955124416183204</v>
      </c>
      <c r="O27" s="2">
        <v>4.3641500000000004</v>
      </c>
      <c r="P27" s="2">
        <v>23.435700000000001</v>
      </c>
      <c r="Q27" s="3" t="s">
        <v>26</v>
      </c>
      <c r="R27" s="4">
        <f t="shared" si="1"/>
        <v>1.3072876075683724</v>
      </c>
      <c r="S27" s="15">
        <f t="shared" si="2"/>
        <v>7.0201987064354121</v>
      </c>
    </row>
    <row r="28" spans="2:19" x14ac:dyDescent="0.35">
      <c r="B28" s="14" t="s">
        <v>18</v>
      </c>
      <c r="C28" s="2" t="s">
        <v>19</v>
      </c>
      <c r="D28" s="2" t="s">
        <v>20</v>
      </c>
      <c r="E28" s="2" t="s">
        <v>21</v>
      </c>
      <c r="F28" s="2" t="s">
        <v>22</v>
      </c>
      <c r="G28" s="2" t="s">
        <v>23</v>
      </c>
      <c r="H28" s="2" t="s">
        <v>24</v>
      </c>
      <c r="I28" s="2" t="s">
        <v>51</v>
      </c>
      <c r="J28" s="2" t="s">
        <v>22</v>
      </c>
      <c r="K28" s="5">
        <v>2.9495800499999999E-2</v>
      </c>
      <c r="L28" s="5">
        <v>0.09</v>
      </c>
      <c r="M28" s="2">
        <v>1</v>
      </c>
      <c r="N28" s="2">
        <f>K28/L28</f>
        <v>0.32773111666666666</v>
      </c>
      <c r="O28" s="2">
        <v>4.3641500000000004</v>
      </c>
      <c r="P28" s="2">
        <v>23.435700000000001</v>
      </c>
      <c r="Q28" s="3" t="s">
        <v>26</v>
      </c>
      <c r="R28" s="4">
        <f t="shared" si="1"/>
        <v>1.3072876075683724</v>
      </c>
      <c r="S28" s="15">
        <f t="shared" si="2"/>
        <v>7.0201987064354121</v>
      </c>
    </row>
    <row r="29" spans="2:19" x14ac:dyDescent="0.35">
      <c r="B29" s="14" t="s">
        <v>18</v>
      </c>
      <c r="C29" s="2" t="s">
        <v>19</v>
      </c>
      <c r="D29" s="2" t="s">
        <v>20</v>
      </c>
      <c r="E29" s="2" t="s">
        <v>21</v>
      </c>
      <c r="F29" s="2" t="s">
        <v>22</v>
      </c>
      <c r="G29" s="2" t="s">
        <v>23</v>
      </c>
      <c r="H29" s="2" t="s">
        <v>24</v>
      </c>
      <c r="I29" s="2" t="s">
        <v>52</v>
      </c>
      <c r="J29" s="2" t="s">
        <v>22</v>
      </c>
      <c r="K29" s="5">
        <v>351.6744965881</v>
      </c>
      <c r="L29" s="5">
        <v>1174</v>
      </c>
      <c r="M29" s="2">
        <v>1</v>
      </c>
      <c r="N29" s="2">
        <f t="shared" si="3"/>
        <v>0.29955238210229984</v>
      </c>
      <c r="O29" s="2">
        <v>4.3641500000000004</v>
      </c>
      <c r="P29" s="2">
        <v>23.435700000000001</v>
      </c>
      <c r="Q29" s="3" t="s">
        <v>26</v>
      </c>
      <c r="R29" s="4">
        <f t="shared" si="1"/>
        <v>1.3072876075683724</v>
      </c>
      <c r="S29" s="15">
        <f t="shared" si="2"/>
        <v>7.0201987064354121</v>
      </c>
    </row>
    <row r="30" spans="2:19" x14ac:dyDescent="0.35">
      <c r="B30" s="14" t="s">
        <v>18</v>
      </c>
      <c r="C30" s="2" t="s">
        <v>19</v>
      </c>
      <c r="D30" s="2" t="s">
        <v>20</v>
      </c>
      <c r="E30" s="2" t="s">
        <v>21</v>
      </c>
      <c r="F30" s="2" t="s">
        <v>22</v>
      </c>
      <c r="G30" s="2" t="s">
        <v>23</v>
      </c>
      <c r="H30" s="2" t="s">
        <v>24</v>
      </c>
      <c r="I30" s="2" t="s">
        <v>53</v>
      </c>
      <c r="J30" s="2" t="s">
        <v>22</v>
      </c>
      <c r="K30" s="5">
        <v>847.72503746359996</v>
      </c>
      <c r="L30" s="5">
        <v>2830</v>
      </c>
      <c r="M30" s="2">
        <v>1</v>
      </c>
      <c r="N30" s="2">
        <f t="shared" si="3"/>
        <v>0.29954948320268548</v>
      </c>
      <c r="O30" s="2">
        <v>4.3641500000000004</v>
      </c>
      <c r="P30" s="2">
        <v>23.435700000000001</v>
      </c>
      <c r="Q30" s="3" t="s">
        <v>26</v>
      </c>
      <c r="R30" s="4">
        <f t="shared" si="1"/>
        <v>1.3072876075683724</v>
      </c>
      <c r="S30" s="15">
        <f t="shared" si="2"/>
        <v>7.0201987064354121</v>
      </c>
    </row>
    <row r="31" spans="2:19" x14ac:dyDescent="0.35">
      <c r="B31" s="14" t="s">
        <v>18</v>
      </c>
      <c r="C31" s="2" t="s">
        <v>19</v>
      </c>
      <c r="D31" s="2" t="s">
        <v>20</v>
      </c>
      <c r="E31" s="2" t="s">
        <v>21</v>
      </c>
      <c r="F31" s="2" t="s">
        <v>22</v>
      </c>
      <c r="G31" s="2" t="s">
        <v>23</v>
      </c>
      <c r="H31" s="2" t="s">
        <v>24</v>
      </c>
      <c r="I31" s="2" t="s">
        <v>54</v>
      </c>
      <c r="J31" s="2" t="s">
        <v>22</v>
      </c>
      <c r="K31" s="5">
        <v>282.47538222840001</v>
      </c>
      <c r="L31" s="5">
        <v>943</v>
      </c>
      <c r="M31" s="2">
        <v>1</v>
      </c>
      <c r="N31" s="2">
        <f t="shared" si="3"/>
        <v>0.29954971604284203</v>
      </c>
      <c r="O31" s="2">
        <v>4.3641500000000004</v>
      </c>
      <c r="P31" s="2">
        <v>23.435700000000001</v>
      </c>
      <c r="Q31" s="3" t="s">
        <v>26</v>
      </c>
      <c r="R31" s="4">
        <f t="shared" si="1"/>
        <v>1.3072876075683724</v>
      </c>
      <c r="S31" s="15">
        <f t="shared" si="2"/>
        <v>7.0201987064354121</v>
      </c>
    </row>
    <row r="32" spans="2:19" x14ac:dyDescent="0.35">
      <c r="B32" s="14" t="s">
        <v>18</v>
      </c>
      <c r="C32" s="2" t="s">
        <v>19</v>
      </c>
      <c r="D32" s="2" t="s">
        <v>20</v>
      </c>
      <c r="E32" s="2" t="s">
        <v>21</v>
      </c>
      <c r="F32" s="2" t="s">
        <v>22</v>
      </c>
      <c r="G32" s="2" t="s">
        <v>23</v>
      </c>
      <c r="H32" s="2" t="s">
        <v>24</v>
      </c>
      <c r="I32" s="2" t="s">
        <v>55</v>
      </c>
      <c r="J32" s="2" t="s">
        <v>22</v>
      </c>
      <c r="K32" s="5">
        <v>964.85876040920004</v>
      </c>
      <c r="L32" s="5">
        <v>3221</v>
      </c>
      <c r="M32" s="2">
        <v>1</v>
      </c>
      <c r="N32" s="2">
        <f t="shared" si="3"/>
        <v>0.29955254902489914</v>
      </c>
      <c r="O32" s="2">
        <v>4.3641500000000004</v>
      </c>
      <c r="P32" s="2">
        <v>23.435700000000001</v>
      </c>
      <c r="Q32" s="3" t="s">
        <v>26</v>
      </c>
      <c r="R32" s="4">
        <f t="shared" si="1"/>
        <v>1.3072876075683724</v>
      </c>
      <c r="S32" s="15">
        <f t="shared" si="2"/>
        <v>7.0201987064354121</v>
      </c>
    </row>
    <row r="33" spans="2:19" x14ac:dyDescent="0.35">
      <c r="B33" s="14" t="s">
        <v>18</v>
      </c>
      <c r="C33" s="2" t="s">
        <v>19</v>
      </c>
      <c r="D33" s="2" t="s">
        <v>20</v>
      </c>
      <c r="E33" s="2" t="s">
        <v>21</v>
      </c>
      <c r="F33" s="2" t="s">
        <v>22</v>
      </c>
      <c r="G33" s="2" t="s">
        <v>23</v>
      </c>
      <c r="H33" s="2" t="s">
        <v>24</v>
      </c>
      <c r="I33" s="2" t="s">
        <v>56</v>
      </c>
      <c r="J33" s="2" t="s">
        <v>22</v>
      </c>
      <c r="K33" s="5">
        <v>361.55952252899999</v>
      </c>
      <c r="L33" s="5">
        <v>1207</v>
      </c>
      <c r="M33" s="2">
        <v>1</v>
      </c>
      <c r="N33" s="2">
        <f t="shared" si="3"/>
        <v>0.29955221419138361</v>
      </c>
      <c r="O33" s="2">
        <v>4.3641500000000004</v>
      </c>
      <c r="P33" s="2">
        <v>23.435700000000001</v>
      </c>
      <c r="Q33" s="3" t="s">
        <v>26</v>
      </c>
      <c r="R33" s="4">
        <f t="shared" si="1"/>
        <v>1.3072876075683724</v>
      </c>
      <c r="S33" s="15">
        <f t="shared" si="2"/>
        <v>7.0201987064354121</v>
      </c>
    </row>
    <row r="34" spans="2:19" x14ac:dyDescent="0.35">
      <c r="B34" s="14" t="s">
        <v>18</v>
      </c>
      <c r="C34" s="2" t="s">
        <v>19</v>
      </c>
      <c r="D34" s="2" t="s">
        <v>20</v>
      </c>
      <c r="E34" s="2" t="s">
        <v>21</v>
      </c>
      <c r="F34" s="2" t="s">
        <v>22</v>
      </c>
      <c r="G34" s="2" t="s">
        <v>23</v>
      </c>
      <c r="H34" s="2" t="s">
        <v>24</v>
      </c>
      <c r="I34" s="2" t="s">
        <v>57</v>
      </c>
      <c r="J34" s="2" t="s">
        <v>22</v>
      </c>
      <c r="K34" s="5">
        <v>941.79107803149998</v>
      </c>
      <c r="L34" s="5">
        <v>3144</v>
      </c>
      <c r="M34" s="2">
        <v>1</v>
      </c>
      <c r="N34" s="2">
        <f>K34/L34</f>
        <v>0.29955186960289437</v>
      </c>
      <c r="O34" s="2">
        <v>4.3641500000000004</v>
      </c>
      <c r="P34" s="2">
        <v>23.435700000000001</v>
      </c>
      <c r="Q34" s="3" t="s">
        <v>26</v>
      </c>
      <c r="R34" s="4">
        <f t="shared" si="1"/>
        <v>1.3072876075683724</v>
      </c>
      <c r="S34" s="15">
        <f t="shared" si="2"/>
        <v>7.0201987064354121</v>
      </c>
    </row>
    <row r="35" spans="2:19" x14ac:dyDescent="0.35">
      <c r="B35" s="14" t="s">
        <v>18</v>
      </c>
      <c r="C35" s="2" t="s">
        <v>19</v>
      </c>
      <c r="D35" s="2" t="s">
        <v>20</v>
      </c>
      <c r="E35" s="2" t="s">
        <v>21</v>
      </c>
      <c r="F35" s="2" t="s">
        <v>22</v>
      </c>
      <c r="G35" s="2" t="s">
        <v>23</v>
      </c>
      <c r="H35" s="2" t="s">
        <v>24</v>
      </c>
      <c r="I35" s="2" t="s">
        <v>58</v>
      </c>
      <c r="J35" s="2" t="s">
        <v>22</v>
      </c>
      <c r="K35" s="5">
        <v>2984.4283550974001</v>
      </c>
      <c r="L35" s="5">
        <v>9963</v>
      </c>
      <c r="M35" s="2">
        <v>1</v>
      </c>
      <c r="N35" s="2">
        <f t="shared" si="3"/>
        <v>0.29955117485670985</v>
      </c>
      <c r="O35" s="2">
        <v>4.3641500000000004</v>
      </c>
      <c r="P35" s="2">
        <v>23.435700000000001</v>
      </c>
      <c r="Q35" s="3" t="s">
        <v>26</v>
      </c>
      <c r="R35" s="4">
        <f t="shared" si="1"/>
        <v>1.3072876075683724</v>
      </c>
      <c r="S35" s="15">
        <f t="shared" si="2"/>
        <v>7.0201987064354121</v>
      </c>
    </row>
    <row r="36" spans="2:19" x14ac:dyDescent="0.35">
      <c r="B36" s="14" t="s">
        <v>18</v>
      </c>
      <c r="C36" s="2" t="s">
        <v>19</v>
      </c>
      <c r="D36" s="2" t="s">
        <v>20</v>
      </c>
      <c r="E36" s="2" t="s">
        <v>21</v>
      </c>
      <c r="F36" s="2" t="s">
        <v>22</v>
      </c>
      <c r="G36" s="2" t="s">
        <v>23</v>
      </c>
      <c r="H36" s="2" t="s">
        <v>24</v>
      </c>
      <c r="I36" s="2" t="s">
        <v>59</v>
      </c>
      <c r="J36" s="2" t="s">
        <v>22</v>
      </c>
      <c r="K36" s="5">
        <v>381.9253895809</v>
      </c>
      <c r="L36" s="5">
        <v>1275</v>
      </c>
      <c r="M36" s="2">
        <v>1</v>
      </c>
      <c r="N36" s="2">
        <f t="shared" si="3"/>
        <v>0.29954932516149019</v>
      </c>
      <c r="O36" s="2">
        <v>4.3641500000000004</v>
      </c>
      <c r="P36" s="2">
        <v>23.435700000000001</v>
      </c>
      <c r="Q36" s="3" t="s">
        <v>26</v>
      </c>
      <c r="R36" s="4">
        <f t="shared" si="1"/>
        <v>1.3072876075683724</v>
      </c>
      <c r="S36" s="15">
        <f t="shared" si="2"/>
        <v>7.0201987064354121</v>
      </c>
    </row>
    <row r="37" spans="2:19" x14ac:dyDescent="0.35">
      <c r="B37" s="14" t="s">
        <v>18</v>
      </c>
      <c r="C37" s="2" t="s">
        <v>19</v>
      </c>
      <c r="D37" s="2" t="s">
        <v>20</v>
      </c>
      <c r="E37" s="2" t="s">
        <v>21</v>
      </c>
      <c r="F37" s="2" t="s">
        <v>22</v>
      </c>
      <c r="G37" s="2" t="s">
        <v>23</v>
      </c>
      <c r="H37" s="2" t="s">
        <v>24</v>
      </c>
      <c r="I37" s="2" t="s">
        <v>60</v>
      </c>
      <c r="J37" s="2" t="s">
        <v>22</v>
      </c>
      <c r="K37" s="5">
        <v>167.4496258252</v>
      </c>
      <c r="L37" s="5">
        <v>559</v>
      </c>
      <c r="M37" s="2">
        <v>1</v>
      </c>
      <c r="N37" s="2">
        <f t="shared" si="3"/>
        <v>0.29955210344400718</v>
      </c>
      <c r="O37" s="2">
        <v>4.3641500000000004</v>
      </c>
      <c r="P37" s="2">
        <v>23.435700000000001</v>
      </c>
      <c r="Q37" s="3" t="s">
        <v>26</v>
      </c>
      <c r="R37" s="4">
        <f t="shared" si="1"/>
        <v>1.3072876075683724</v>
      </c>
      <c r="S37" s="15">
        <f t="shared" si="2"/>
        <v>7.0201987064354121</v>
      </c>
    </row>
    <row r="38" spans="2:19" x14ac:dyDescent="0.35">
      <c r="B38" s="14" t="s">
        <v>18</v>
      </c>
      <c r="C38" s="2" t="s">
        <v>19</v>
      </c>
      <c r="D38" s="2" t="s">
        <v>20</v>
      </c>
      <c r="E38" s="2" t="s">
        <v>21</v>
      </c>
      <c r="F38" s="2" t="s">
        <v>22</v>
      </c>
      <c r="G38" s="2" t="s">
        <v>23</v>
      </c>
      <c r="H38" s="2" t="s">
        <v>24</v>
      </c>
      <c r="I38" s="2" t="s">
        <v>61</v>
      </c>
      <c r="J38" s="2" t="s">
        <v>22</v>
      </c>
      <c r="K38" s="5">
        <v>2207.3949194987999</v>
      </c>
      <c r="L38" s="5">
        <v>7369</v>
      </c>
      <c r="M38" s="2">
        <v>1</v>
      </c>
      <c r="N38" s="2">
        <f t="shared" si="3"/>
        <v>0.29955148860073277</v>
      </c>
      <c r="O38" s="2">
        <v>4.3641500000000004</v>
      </c>
      <c r="P38" s="2">
        <v>23.435700000000001</v>
      </c>
      <c r="Q38" s="3" t="s">
        <v>26</v>
      </c>
      <c r="R38" s="4">
        <f t="shared" si="1"/>
        <v>1.3072876075683724</v>
      </c>
      <c r="S38" s="15">
        <f t="shared" si="2"/>
        <v>7.0201987064354121</v>
      </c>
    </row>
    <row r="39" spans="2:19" x14ac:dyDescent="0.35">
      <c r="B39" s="14" t="s">
        <v>18</v>
      </c>
      <c r="C39" s="2" t="s">
        <v>19</v>
      </c>
      <c r="D39" s="2" t="s">
        <v>20</v>
      </c>
      <c r="E39" s="2" t="s">
        <v>21</v>
      </c>
      <c r="F39" s="2" t="s">
        <v>22</v>
      </c>
      <c r="G39" s="2" t="s">
        <v>23</v>
      </c>
      <c r="H39" s="2" t="s">
        <v>24</v>
      </c>
      <c r="I39" s="2" t="s">
        <v>62</v>
      </c>
      <c r="J39" s="2" t="s">
        <v>22</v>
      </c>
      <c r="K39" s="5">
        <v>1942.2945301515999</v>
      </c>
      <c r="L39" s="5">
        <v>6484</v>
      </c>
      <c r="M39" s="2">
        <v>1</v>
      </c>
      <c r="N39" s="2">
        <f t="shared" si="3"/>
        <v>0.29955190162732881</v>
      </c>
      <c r="O39" s="2">
        <v>4.3641500000000004</v>
      </c>
      <c r="P39" s="2">
        <v>23.435700000000001</v>
      </c>
      <c r="Q39" s="3" t="s">
        <v>26</v>
      </c>
      <c r="R39" s="4">
        <f t="shared" si="1"/>
        <v>1.3072876075683724</v>
      </c>
      <c r="S39" s="15">
        <f t="shared" si="2"/>
        <v>7.0201987064354121</v>
      </c>
    </row>
    <row r="40" spans="2:19" x14ac:dyDescent="0.35">
      <c r="B40" s="14" t="s">
        <v>18</v>
      </c>
      <c r="C40" s="2" t="s">
        <v>19</v>
      </c>
      <c r="D40" s="2" t="s">
        <v>20</v>
      </c>
      <c r="E40" s="2" t="s">
        <v>21</v>
      </c>
      <c r="F40" s="2" t="s">
        <v>22</v>
      </c>
      <c r="G40" s="2" t="s">
        <v>23</v>
      </c>
      <c r="H40" s="2" t="s">
        <v>24</v>
      </c>
      <c r="I40" s="2" t="s">
        <v>63</v>
      </c>
      <c r="J40" s="2" t="s">
        <v>22</v>
      </c>
      <c r="K40" s="5">
        <v>1545.0903159116999</v>
      </c>
      <c r="L40" s="5">
        <v>5158</v>
      </c>
      <c r="M40" s="2">
        <v>1</v>
      </c>
      <c r="N40" s="2">
        <f t="shared" si="3"/>
        <v>0.2995522132438348</v>
      </c>
      <c r="O40" s="2">
        <v>4.3641500000000004</v>
      </c>
      <c r="P40" s="2">
        <v>23.435700000000001</v>
      </c>
      <c r="Q40" s="3" t="s">
        <v>26</v>
      </c>
      <c r="R40" s="4">
        <f t="shared" si="1"/>
        <v>1.3072876075683724</v>
      </c>
      <c r="S40" s="15">
        <f t="shared" si="2"/>
        <v>7.0201987064354121</v>
      </c>
    </row>
    <row r="41" spans="2:19" x14ac:dyDescent="0.35">
      <c r="B41" s="14" t="s">
        <v>18</v>
      </c>
      <c r="C41" s="2" t="s">
        <v>19</v>
      </c>
      <c r="D41" s="2" t="s">
        <v>20</v>
      </c>
      <c r="E41" s="2" t="s">
        <v>21</v>
      </c>
      <c r="F41" s="2" t="s">
        <v>22</v>
      </c>
      <c r="G41" s="2" t="s">
        <v>23</v>
      </c>
      <c r="H41" s="2" t="s">
        <v>24</v>
      </c>
      <c r="I41" s="2" t="s">
        <v>64</v>
      </c>
      <c r="J41" s="2" t="s">
        <v>22</v>
      </c>
      <c r="K41" s="5">
        <v>3310.9390010856</v>
      </c>
      <c r="L41" s="5">
        <v>11053</v>
      </c>
      <c r="M41" s="2">
        <v>1</v>
      </c>
      <c r="N41" s="2">
        <f t="shared" si="3"/>
        <v>0.29955116267851262</v>
      </c>
      <c r="O41" s="2">
        <v>4.3641500000000004</v>
      </c>
      <c r="P41" s="2">
        <v>23.435700000000001</v>
      </c>
      <c r="Q41" s="3" t="s">
        <v>26</v>
      </c>
      <c r="R41" s="4">
        <f t="shared" si="1"/>
        <v>1.3072876075683724</v>
      </c>
      <c r="S41" s="15">
        <f t="shared" si="2"/>
        <v>7.0201987064354121</v>
      </c>
    </row>
    <row r="42" spans="2:19" x14ac:dyDescent="0.35">
      <c r="B42" s="14" t="s">
        <v>18</v>
      </c>
      <c r="C42" s="2" t="s">
        <v>19</v>
      </c>
      <c r="D42" s="2" t="s">
        <v>20</v>
      </c>
      <c r="E42" s="2" t="s">
        <v>21</v>
      </c>
      <c r="F42" s="2" t="s">
        <v>22</v>
      </c>
      <c r="G42" s="2" t="s">
        <v>23</v>
      </c>
      <c r="H42" s="2" t="s">
        <v>24</v>
      </c>
      <c r="I42" s="2" t="s">
        <v>65</v>
      </c>
      <c r="J42" s="2" t="s">
        <v>22</v>
      </c>
      <c r="K42" s="5">
        <v>2129.5083086985001</v>
      </c>
      <c r="L42" s="5">
        <v>7109</v>
      </c>
      <c r="M42" s="2">
        <v>1</v>
      </c>
      <c r="N42" s="2">
        <f t="shared" si="3"/>
        <v>0.29955103512427911</v>
      </c>
      <c r="O42" s="2">
        <v>4.3641500000000004</v>
      </c>
      <c r="P42" s="2">
        <v>23.435700000000001</v>
      </c>
      <c r="Q42" s="3" t="s">
        <v>26</v>
      </c>
      <c r="R42" s="4">
        <f t="shared" si="1"/>
        <v>1.3072876075683724</v>
      </c>
      <c r="S42" s="15">
        <f t="shared" si="2"/>
        <v>7.0201987064354121</v>
      </c>
    </row>
    <row r="43" spans="2:19" x14ac:dyDescent="0.35">
      <c r="B43" s="14" t="s">
        <v>18</v>
      </c>
      <c r="C43" s="2" t="s">
        <v>19</v>
      </c>
      <c r="D43" s="2" t="s">
        <v>20</v>
      </c>
      <c r="E43" s="2" t="s">
        <v>21</v>
      </c>
      <c r="F43" s="2" t="s">
        <v>22</v>
      </c>
      <c r="G43" s="2" t="s">
        <v>23</v>
      </c>
      <c r="H43" s="2" t="s">
        <v>24</v>
      </c>
      <c r="I43" s="2" t="s">
        <v>66</v>
      </c>
      <c r="J43" s="2" t="s">
        <v>22</v>
      </c>
      <c r="K43" s="5">
        <v>1791.9131408824001</v>
      </c>
      <c r="L43" s="5">
        <v>5982</v>
      </c>
      <c r="M43" s="2">
        <v>1</v>
      </c>
      <c r="N43" s="2">
        <f t="shared" si="3"/>
        <v>0.29955084267509197</v>
      </c>
      <c r="O43" s="2">
        <v>4.3641500000000004</v>
      </c>
      <c r="P43" s="2">
        <v>23.435700000000001</v>
      </c>
      <c r="Q43" s="3" t="s">
        <v>26</v>
      </c>
      <c r="R43" s="4">
        <f t="shared" si="1"/>
        <v>1.3072876075683724</v>
      </c>
      <c r="S43" s="15">
        <f t="shared" si="2"/>
        <v>7.0201987064354121</v>
      </c>
    </row>
    <row r="44" spans="2:19" x14ac:dyDescent="0.35">
      <c r="B44" s="14" t="s">
        <v>18</v>
      </c>
      <c r="C44" s="2" t="s">
        <v>19</v>
      </c>
      <c r="D44" s="2" t="s">
        <v>20</v>
      </c>
      <c r="E44" s="2" t="s">
        <v>21</v>
      </c>
      <c r="F44" s="2" t="s">
        <v>22</v>
      </c>
      <c r="G44" s="2" t="s">
        <v>23</v>
      </c>
      <c r="H44" s="2" t="s">
        <v>24</v>
      </c>
      <c r="I44" s="2" t="s">
        <v>67</v>
      </c>
      <c r="J44" s="2" t="s">
        <v>22</v>
      </c>
      <c r="K44" s="5">
        <v>10202.424350920401</v>
      </c>
      <c r="L44" s="5">
        <v>34059</v>
      </c>
      <c r="M44" s="2">
        <v>1</v>
      </c>
      <c r="N44" s="2">
        <f t="shared" si="3"/>
        <v>0.29955149449251006</v>
      </c>
      <c r="O44" s="2">
        <v>4.3641500000000004</v>
      </c>
      <c r="P44" s="2">
        <v>23.435700000000001</v>
      </c>
      <c r="Q44" s="3" t="s">
        <v>26</v>
      </c>
      <c r="R44" s="4">
        <f t="shared" si="1"/>
        <v>1.3072876075683724</v>
      </c>
      <c r="S44" s="15">
        <f t="shared" si="2"/>
        <v>7.0201987064354121</v>
      </c>
    </row>
    <row r="45" spans="2:19" x14ac:dyDescent="0.35">
      <c r="B45" s="14" t="s">
        <v>18</v>
      </c>
      <c r="C45" s="2" t="s">
        <v>19</v>
      </c>
      <c r="D45" s="2" t="s">
        <v>20</v>
      </c>
      <c r="E45" s="2" t="s">
        <v>21</v>
      </c>
      <c r="F45" s="2" t="s">
        <v>22</v>
      </c>
      <c r="G45" s="2" t="s">
        <v>23</v>
      </c>
      <c r="H45" s="2" t="s">
        <v>24</v>
      </c>
      <c r="I45" s="2" t="s">
        <v>68</v>
      </c>
      <c r="J45" s="2" t="s">
        <v>22</v>
      </c>
      <c r="K45" s="5">
        <v>1655.3259543137001</v>
      </c>
      <c r="L45" s="5">
        <v>5526</v>
      </c>
      <c r="M45" s="2">
        <v>1</v>
      </c>
      <c r="N45" s="2">
        <f t="shared" si="3"/>
        <v>0.29955228995904815</v>
      </c>
      <c r="O45" s="2">
        <v>4.3641500000000004</v>
      </c>
      <c r="P45" s="2">
        <v>23.435700000000001</v>
      </c>
      <c r="Q45" s="3" t="s">
        <v>26</v>
      </c>
      <c r="R45" s="4">
        <f t="shared" si="1"/>
        <v>1.3072876075683724</v>
      </c>
      <c r="S45" s="15">
        <f t="shared" si="2"/>
        <v>7.0201987064354121</v>
      </c>
    </row>
    <row r="46" spans="2:19" x14ac:dyDescent="0.35">
      <c r="B46" s="14" t="s">
        <v>18</v>
      </c>
      <c r="C46" s="2" t="s">
        <v>19</v>
      </c>
      <c r="D46" s="2" t="s">
        <v>20</v>
      </c>
      <c r="E46" s="2" t="s">
        <v>21</v>
      </c>
      <c r="F46" s="2" t="s">
        <v>22</v>
      </c>
      <c r="G46" s="2" t="s">
        <v>23</v>
      </c>
      <c r="H46" s="2" t="s">
        <v>24</v>
      </c>
      <c r="I46" s="2" t="s">
        <v>69</v>
      </c>
      <c r="J46" s="2" t="s">
        <v>22</v>
      </c>
      <c r="K46" s="5">
        <v>2790.3184583935999</v>
      </c>
      <c r="L46" s="5">
        <v>9315</v>
      </c>
      <c r="M46" s="2">
        <v>1</v>
      </c>
      <c r="N46" s="2">
        <f t="shared" si="3"/>
        <v>0.29955109590913581</v>
      </c>
      <c r="O46" s="2">
        <v>4.3641500000000004</v>
      </c>
      <c r="P46" s="2">
        <v>23.435700000000001</v>
      </c>
      <c r="Q46" s="3" t="s">
        <v>26</v>
      </c>
      <c r="R46" s="4">
        <f t="shared" si="1"/>
        <v>1.3072876075683724</v>
      </c>
      <c r="S46" s="15">
        <f t="shared" si="2"/>
        <v>7.0201987064354121</v>
      </c>
    </row>
    <row r="47" spans="2:19" x14ac:dyDescent="0.35">
      <c r="B47" s="14" t="s">
        <v>18</v>
      </c>
      <c r="C47" s="2" t="s">
        <v>19</v>
      </c>
      <c r="D47" s="2" t="s">
        <v>20</v>
      </c>
      <c r="E47" s="2" t="s">
        <v>21</v>
      </c>
      <c r="F47" s="2" t="s">
        <v>22</v>
      </c>
      <c r="G47" s="2" t="s">
        <v>23</v>
      </c>
      <c r="H47" s="2" t="s">
        <v>24</v>
      </c>
      <c r="I47" s="2" t="s">
        <v>70</v>
      </c>
      <c r="J47" s="2" t="s">
        <v>22</v>
      </c>
      <c r="K47" s="5">
        <v>1044.8336738849</v>
      </c>
      <c r="L47" s="5">
        <v>3488</v>
      </c>
      <c r="M47" s="2">
        <v>1</v>
      </c>
      <c r="N47" s="2">
        <f t="shared" si="3"/>
        <v>0.29955093861379012</v>
      </c>
      <c r="O47" s="2">
        <v>4.3641500000000004</v>
      </c>
      <c r="P47" s="2">
        <v>23.435700000000001</v>
      </c>
      <c r="Q47" s="3" t="s">
        <v>26</v>
      </c>
      <c r="R47" s="4">
        <f t="shared" si="1"/>
        <v>1.3072876075683724</v>
      </c>
      <c r="S47" s="15">
        <f t="shared" si="2"/>
        <v>7.0201987064354121</v>
      </c>
    </row>
    <row r="48" spans="2:19" x14ac:dyDescent="0.35">
      <c r="B48" s="14" t="s">
        <v>18</v>
      </c>
      <c r="C48" s="2" t="s">
        <v>19</v>
      </c>
      <c r="D48" s="2" t="s">
        <v>20</v>
      </c>
      <c r="E48" s="2" t="s">
        <v>21</v>
      </c>
      <c r="F48" s="2" t="s">
        <v>22</v>
      </c>
      <c r="G48" s="2" t="s">
        <v>23</v>
      </c>
      <c r="H48" s="2" t="s">
        <v>24</v>
      </c>
      <c r="I48" s="2" t="s">
        <v>71</v>
      </c>
      <c r="J48" s="2" t="s">
        <v>22</v>
      </c>
      <c r="K48" s="5">
        <v>2587.5308971826998</v>
      </c>
      <c r="L48" s="5">
        <v>8638</v>
      </c>
      <c r="M48" s="2">
        <v>1</v>
      </c>
      <c r="N48" s="2">
        <f t="shared" si="3"/>
        <v>0.29955208348954615</v>
      </c>
      <c r="O48" s="2">
        <v>4.3641500000000004</v>
      </c>
      <c r="P48" s="2">
        <v>23.435700000000001</v>
      </c>
      <c r="Q48" s="3" t="s">
        <v>26</v>
      </c>
      <c r="R48" s="4">
        <f t="shared" si="1"/>
        <v>1.3072876075683724</v>
      </c>
      <c r="S48" s="15">
        <f t="shared" si="2"/>
        <v>7.0201987064354121</v>
      </c>
    </row>
    <row r="49" spans="2:19" x14ac:dyDescent="0.35">
      <c r="B49" s="14" t="s">
        <v>18</v>
      </c>
      <c r="C49" s="2" t="s">
        <v>19</v>
      </c>
      <c r="D49" s="2" t="s">
        <v>20</v>
      </c>
      <c r="E49" s="2" t="s">
        <v>21</v>
      </c>
      <c r="F49" s="2" t="s">
        <v>22</v>
      </c>
      <c r="G49" s="2" t="s">
        <v>23</v>
      </c>
      <c r="H49" s="2" t="s">
        <v>24</v>
      </c>
      <c r="I49" s="2" t="s">
        <v>72</v>
      </c>
      <c r="J49" s="2" t="s">
        <v>22</v>
      </c>
      <c r="K49" s="5">
        <v>1800.0067885395999</v>
      </c>
      <c r="L49" s="5">
        <v>6009</v>
      </c>
      <c r="M49" s="2">
        <v>1</v>
      </c>
      <c r="N49" s="2">
        <f t="shared" si="3"/>
        <v>0.29955180371769013</v>
      </c>
      <c r="O49" s="2">
        <v>4.3641500000000004</v>
      </c>
      <c r="P49" s="2">
        <v>23.435700000000001</v>
      </c>
      <c r="Q49" s="3" t="s">
        <v>26</v>
      </c>
      <c r="R49" s="4">
        <f t="shared" si="1"/>
        <v>1.3072876075683724</v>
      </c>
      <c r="S49" s="15">
        <f t="shared" si="2"/>
        <v>7.0201987064354121</v>
      </c>
    </row>
    <row r="50" spans="2:19" x14ac:dyDescent="0.35">
      <c r="B50" s="14" t="s">
        <v>18</v>
      </c>
      <c r="C50" s="2" t="s">
        <v>19</v>
      </c>
      <c r="D50" s="2" t="s">
        <v>20</v>
      </c>
      <c r="E50" s="2" t="s">
        <v>21</v>
      </c>
      <c r="F50" s="2" t="s">
        <v>22</v>
      </c>
      <c r="G50" s="2" t="s">
        <v>23</v>
      </c>
      <c r="H50" s="2" t="s">
        <v>24</v>
      </c>
      <c r="I50" s="2" t="s">
        <v>73</v>
      </c>
      <c r="J50" s="2" t="s">
        <v>22</v>
      </c>
      <c r="K50" s="5">
        <v>588.62212755140001</v>
      </c>
      <c r="L50" s="5">
        <v>1965</v>
      </c>
      <c r="M50" s="2">
        <v>1</v>
      </c>
      <c r="N50" s="2">
        <f t="shared" si="3"/>
        <v>0.29955324557323154</v>
      </c>
      <c r="O50" s="2">
        <v>4.3641500000000004</v>
      </c>
      <c r="P50" s="2">
        <v>23.435700000000001</v>
      </c>
      <c r="Q50" s="3" t="s">
        <v>26</v>
      </c>
      <c r="R50" s="4">
        <f t="shared" si="1"/>
        <v>1.3072876075683724</v>
      </c>
      <c r="S50" s="15">
        <f t="shared" si="2"/>
        <v>7.0201987064354121</v>
      </c>
    </row>
    <row r="51" spans="2:19" x14ac:dyDescent="0.35">
      <c r="B51" s="14" t="s">
        <v>18</v>
      </c>
      <c r="C51" s="2" t="s">
        <v>19</v>
      </c>
      <c r="D51" s="2" t="s">
        <v>20</v>
      </c>
      <c r="E51" s="2" t="s">
        <v>21</v>
      </c>
      <c r="F51" s="2" t="s">
        <v>22</v>
      </c>
      <c r="G51" s="2" t="s">
        <v>23</v>
      </c>
      <c r="H51" s="2" t="s">
        <v>24</v>
      </c>
      <c r="I51" s="2" t="s">
        <v>74</v>
      </c>
      <c r="J51" s="2" t="s">
        <v>22</v>
      </c>
      <c r="K51" s="5">
        <v>4218.2868496799001</v>
      </c>
      <c r="L51" s="5">
        <v>14082</v>
      </c>
      <c r="M51" s="2">
        <v>1</v>
      </c>
      <c r="N51" s="2">
        <f t="shared" si="3"/>
        <v>0.29955168652747483</v>
      </c>
      <c r="O51" s="2">
        <v>4.3641500000000004</v>
      </c>
      <c r="P51" s="2">
        <v>23.435700000000001</v>
      </c>
      <c r="Q51" s="3" t="s">
        <v>26</v>
      </c>
      <c r="R51" s="4">
        <f t="shared" si="1"/>
        <v>1.3072876075683724</v>
      </c>
      <c r="S51" s="15">
        <f t="shared" si="2"/>
        <v>7.0201987064354121</v>
      </c>
    </row>
    <row r="52" spans="2:19" x14ac:dyDescent="0.35">
      <c r="B52" s="14" t="s">
        <v>18</v>
      </c>
      <c r="C52" s="2" t="s">
        <v>19</v>
      </c>
      <c r="D52" s="2" t="s">
        <v>20</v>
      </c>
      <c r="E52" s="2" t="s">
        <v>21</v>
      </c>
      <c r="F52" s="2" t="s">
        <v>22</v>
      </c>
      <c r="G52" s="2" t="s">
        <v>23</v>
      </c>
      <c r="H52" s="2" t="s">
        <v>24</v>
      </c>
      <c r="I52" s="2" t="s">
        <v>75</v>
      </c>
      <c r="J52" s="2" t="s">
        <v>22</v>
      </c>
      <c r="K52" s="5">
        <v>495.71428874980001</v>
      </c>
      <c r="L52" s="5">
        <v>1654.84</v>
      </c>
      <c r="M52" s="2">
        <v>1</v>
      </c>
      <c r="N52" s="2">
        <f t="shared" si="3"/>
        <v>0.29955420992349713</v>
      </c>
      <c r="O52" s="2">
        <v>4.3641500000000004</v>
      </c>
      <c r="P52" s="2">
        <v>23.435700000000001</v>
      </c>
      <c r="Q52" s="3" t="s">
        <v>26</v>
      </c>
      <c r="R52" s="4">
        <f t="shared" si="1"/>
        <v>1.3072876075683724</v>
      </c>
      <c r="S52" s="15">
        <f t="shared" si="2"/>
        <v>7.0201987064354121</v>
      </c>
    </row>
    <row r="53" spans="2:19" x14ac:dyDescent="0.35">
      <c r="B53" s="14" t="s">
        <v>18</v>
      </c>
      <c r="C53" s="2" t="s">
        <v>19</v>
      </c>
      <c r="D53" s="2" t="s">
        <v>20</v>
      </c>
      <c r="E53" s="2" t="s">
        <v>21</v>
      </c>
      <c r="F53" s="2" t="s">
        <v>22</v>
      </c>
      <c r="G53" s="2" t="s">
        <v>23</v>
      </c>
      <c r="H53" s="2" t="s">
        <v>24</v>
      </c>
      <c r="I53" s="2" t="s">
        <v>76</v>
      </c>
      <c r="J53" s="2" t="s">
        <v>22</v>
      </c>
      <c r="K53" s="5">
        <v>68.595433642800003</v>
      </c>
      <c r="L53" s="5">
        <v>229</v>
      </c>
      <c r="M53" s="2">
        <v>1</v>
      </c>
      <c r="N53" s="2">
        <f t="shared" si="3"/>
        <v>0.29954337835283845</v>
      </c>
      <c r="O53" s="2">
        <v>4.3641500000000004</v>
      </c>
      <c r="P53" s="2">
        <v>23.435700000000001</v>
      </c>
      <c r="Q53" s="3" t="s">
        <v>26</v>
      </c>
      <c r="R53" s="4">
        <f t="shared" si="1"/>
        <v>1.3072876075683724</v>
      </c>
      <c r="S53" s="15">
        <f t="shared" si="2"/>
        <v>7.0201987064354121</v>
      </c>
    </row>
    <row r="54" spans="2:19" x14ac:dyDescent="0.35">
      <c r="B54" s="14" t="s">
        <v>18</v>
      </c>
      <c r="C54" s="2" t="s">
        <v>19</v>
      </c>
      <c r="D54" s="2" t="s">
        <v>20</v>
      </c>
      <c r="E54" s="2" t="s">
        <v>21</v>
      </c>
      <c r="F54" s="2" t="s">
        <v>22</v>
      </c>
      <c r="G54" s="2" t="s">
        <v>23</v>
      </c>
      <c r="H54" s="2" t="s">
        <v>24</v>
      </c>
      <c r="I54" s="2" t="s">
        <v>77</v>
      </c>
      <c r="J54" s="2" t="s">
        <v>22</v>
      </c>
      <c r="K54" s="5">
        <v>1770.6486351086</v>
      </c>
      <c r="L54" s="5">
        <v>5911</v>
      </c>
      <c r="M54" s="2">
        <v>1</v>
      </c>
      <c r="N54" s="2">
        <f t="shared" si="3"/>
        <v>0.2995514523952969</v>
      </c>
      <c r="O54" s="2">
        <v>4.3641500000000004</v>
      </c>
      <c r="P54" s="2">
        <v>23.435700000000001</v>
      </c>
      <c r="Q54" s="3" t="s">
        <v>26</v>
      </c>
      <c r="R54" s="4">
        <f t="shared" si="1"/>
        <v>1.3072876075683724</v>
      </c>
      <c r="S54" s="15">
        <f t="shared" si="2"/>
        <v>7.0201987064354121</v>
      </c>
    </row>
    <row r="55" spans="2:19" x14ac:dyDescent="0.35">
      <c r="B55" s="14" t="s">
        <v>18</v>
      </c>
      <c r="C55" s="2" t="s">
        <v>19</v>
      </c>
      <c r="D55" s="2" t="s">
        <v>20</v>
      </c>
      <c r="E55" s="2" t="s">
        <v>21</v>
      </c>
      <c r="F55" s="2" t="s">
        <v>22</v>
      </c>
      <c r="G55" s="2" t="s">
        <v>23</v>
      </c>
      <c r="H55" s="2" t="s">
        <v>24</v>
      </c>
      <c r="I55" s="2" t="s">
        <v>78</v>
      </c>
      <c r="J55" s="2" t="s">
        <v>22</v>
      </c>
      <c r="K55" s="5">
        <v>9535.3296293321</v>
      </c>
      <c r="L55" s="5">
        <v>31832</v>
      </c>
      <c r="M55" s="2">
        <v>1</v>
      </c>
      <c r="N55" s="2">
        <f t="shared" si="3"/>
        <v>0.29955169732759801</v>
      </c>
      <c r="O55" s="2">
        <v>4.3641500000000004</v>
      </c>
      <c r="P55" s="2">
        <v>23.435700000000001</v>
      </c>
      <c r="Q55" s="3" t="s">
        <v>26</v>
      </c>
      <c r="R55" s="4">
        <f t="shared" si="1"/>
        <v>1.3072876075683724</v>
      </c>
      <c r="S55" s="15">
        <f t="shared" si="2"/>
        <v>7.0201987064354121</v>
      </c>
    </row>
    <row r="56" spans="2:19" x14ac:dyDescent="0.35">
      <c r="B56" s="14" t="s">
        <v>18</v>
      </c>
      <c r="C56" s="2" t="s">
        <v>19</v>
      </c>
      <c r="D56" s="2" t="s">
        <v>20</v>
      </c>
      <c r="E56" s="2" t="s">
        <v>21</v>
      </c>
      <c r="F56" s="2" t="s">
        <v>22</v>
      </c>
      <c r="G56" s="2" t="s">
        <v>23</v>
      </c>
      <c r="H56" s="2" t="s">
        <v>24</v>
      </c>
      <c r="I56" s="2" t="s">
        <v>79</v>
      </c>
      <c r="J56" s="2" t="s">
        <v>22</v>
      </c>
      <c r="K56" s="5">
        <v>592.80856483570005</v>
      </c>
      <c r="L56" s="5">
        <v>1979</v>
      </c>
      <c r="M56" s="2">
        <v>1</v>
      </c>
      <c r="N56" s="2">
        <f t="shared" si="3"/>
        <v>0.29954955272142497</v>
      </c>
      <c r="O56" s="2">
        <v>4.3641500000000004</v>
      </c>
      <c r="P56" s="2">
        <v>23.435700000000001</v>
      </c>
      <c r="Q56" s="3" t="s">
        <v>26</v>
      </c>
      <c r="R56" s="4">
        <f t="shared" si="1"/>
        <v>1.3072876075683724</v>
      </c>
      <c r="S56" s="15">
        <f t="shared" si="2"/>
        <v>7.0201987064354121</v>
      </c>
    </row>
    <row r="57" spans="2:19" x14ac:dyDescent="0.35">
      <c r="B57" s="14" t="s">
        <v>18</v>
      </c>
      <c r="C57" s="2" t="s">
        <v>19</v>
      </c>
      <c r="D57" s="2" t="s">
        <v>20</v>
      </c>
      <c r="E57" s="2" t="s">
        <v>21</v>
      </c>
      <c r="F57" s="2" t="s">
        <v>22</v>
      </c>
      <c r="G57" s="2" t="s">
        <v>23</v>
      </c>
      <c r="H57" s="2" t="s">
        <v>24</v>
      </c>
      <c r="I57" s="2" t="s">
        <v>80</v>
      </c>
      <c r="J57" s="2" t="s">
        <v>22</v>
      </c>
      <c r="K57" s="5">
        <v>61140.873461420197</v>
      </c>
      <c r="L57" s="5">
        <v>204108</v>
      </c>
      <c r="M57" s="2">
        <v>1</v>
      </c>
      <c r="N57" s="2">
        <f t="shared" si="3"/>
        <v>0.29955157789709463</v>
      </c>
      <c r="O57" s="2">
        <v>4.3641500000000004</v>
      </c>
      <c r="P57" s="2">
        <v>23.435700000000001</v>
      </c>
      <c r="Q57" s="3" t="s">
        <v>26</v>
      </c>
      <c r="R57" s="4">
        <f t="shared" si="1"/>
        <v>1.3072876075683724</v>
      </c>
      <c r="S57" s="15">
        <f t="shared" si="2"/>
        <v>7.0201987064354121</v>
      </c>
    </row>
    <row r="58" spans="2:19" x14ac:dyDescent="0.35">
      <c r="B58" s="14" t="s">
        <v>18</v>
      </c>
      <c r="C58" s="2" t="s">
        <v>19</v>
      </c>
      <c r="D58" s="2" t="s">
        <v>20</v>
      </c>
      <c r="E58" s="2" t="s">
        <v>21</v>
      </c>
      <c r="F58" s="2" t="s">
        <v>22</v>
      </c>
      <c r="G58" s="2" t="s">
        <v>23</v>
      </c>
      <c r="H58" s="2" t="s">
        <v>24</v>
      </c>
      <c r="I58" s="2" t="s">
        <v>81</v>
      </c>
      <c r="J58" s="2" t="s">
        <v>22</v>
      </c>
      <c r="K58" s="5">
        <v>1288.9645154632999</v>
      </c>
      <c r="L58" s="5">
        <v>4303</v>
      </c>
      <c r="M58" s="2">
        <v>1</v>
      </c>
      <c r="N58" s="2">
        <f t="shared" si="3"/>
        <v>0.29955020113021147</v>
      </c>
      <c r="O58" s="2">
        <v>4.3641500000000004</v>
      </c>
      <c r="P58" s="2">
        <v>23.435700000000001</v>
      </c>
      <c r="Q58" s="3" t="s">
        <v>26</v>
      </c>
      <c r="R58" s="4">
        <f t="shared" si="1"/>
        <v>1.3072876075683724</v>
      </c>
      <c r="S58" s="15">
        <f t="shared" si="2"/>
        <v>7.0201987064354121</v>
      </c>
    </row>
    <row r="59" spans="2:19" x14ac:dyDescent="0.35">
      <c r="B59" s="14" t="s">
        <v>18</v>
      </c>
      <c r="C59" s="2" t="s">
        <v>19</v>
      </c>
      <c r="D59" s="2" t="s">
        <v>20</v>
      </c>
      <c r="E59" s="2" t="s">
        <v>21</v>
      </c>
      <c r="F59" s="2" t="s">
        <v>22</v>
      </c>
      <c r="G59" s="2" t="s">
        <v>23</v>
      </c>
      <c r="H59" s="2" t="s">
        <v>24</v>
      </c>
      <c r="I59" s="2" t="s">
        <v>82</v>
      </c>
      <c r="J59" s="2" t="s">
        <v>22</v>
      </c>
      <c r="K59" s="5">
        <v>4218.2868496799001</v>
      </c>
      <c r="L59" s="5">
        <v>14082</v>
      </c>
      <c r="M59" s="2">
        <v>1</v>
      </c>
      <c r="N59" s="2">
        <f t="shared" si="3"/>
        <v>0.29955168652747483</v>
      </c>
      <c r="O59" s="2">
        <v>4.3641500000000004</v>
      </c>
      <c r="P59" s="2">
        <v>23.435700000000001</v>
      </c>
      <c r="Q59" s="3" t="s">
        <v>26</v>
      </c>
      <c r="R59" s="4">
        <f t="shared" si="1"/>
        <v>1.3072876075683724</v>
      </c>
      <c r="S59" s="15">
        <f t="shared" si="2"/>
        <v>7.0201987064354121</v>
      </c>
    </row>
    <row r="60" spans="2:19" x14ac:dyDescent="0.35">
      <c r="B60" s="14" t="s">
        <v>18</v>
      </c>
      <c r="C60" s="2" t="s">
        <v>19</v>
      </c>
      <c r="D60" s="2" t="s">
        <v>20</v>
      </c>
      <c r="E60" s="2" t="s">
        <v>21</v>
      </c>
      <c r="F60" s="2" t="s">
        <v>22</v>
      </c>
      <c r="G60" s="2" t="s">
        <v>23</v>
      </c>
      <c r="H60" s="2" t="s">
        <v>24</v>
      </c>
      <c r="I60" s="2" t="s">
        <v>83</v>
      </c>
      <c r="J60" s="2" t="s">
        <v>22</v>
      </c>
      <c r="K60" s="5">
        <v>1552.8772072437</v>
      </c>
      <c r="L60" s="5">
        <v>5184</v>
      </c>
      <c r="M60" s="2">
        <v>1</v>
      </c>
      <c r="N60" s="2">
        <f t="shared" si="3"/>
        <v>0.29955193040966438</v>
      </c>
      <c r="O60" s="2">
        <v>4.3641500000000004</v>
      </c>
      <c r="P60" s="2">
        <v>23.435700000000001</v>
      </c>
      <c r="Q60" s="3" t="s">
        <v>26</v>
      </c>
      <c r="R60" s="4">
        <f t="shared" si="1"/>
        <v>1.3072876075683724</v>
      </c>
      <c r="S60" s="15">
        <f t="shared" si="2"/>
        <v>7.0201987064354121</v>
      </c>
    </row>
    <row r="61" spans="2:19" x14ac:dyDescent="0.35">
      <c r="B61" s="14" t="s">
        <v>18</v>
      </c>
      <c r="C61" s="2" t="s">
        <v>19</v>
      </c>
      <c r="D61" s="2" t="s">
        <v>20</v>
      </c>
      <c r="E61" s="2" t="s">
        <v>21</v>
      </c>
      <c r="F61" s="2" t="s">
        <v>22</v>
      </c>
      <c r="G61" s="2" t="s">
        <v>23</v>
      </c>
      <c r="H61" s="2" t="s">
        <v>24</v>
      </c>
      <c r="I61" s="2" t="s">
        <v>84</v>
      </c>
      <c r="J61" s="2" t="s">
        <v>22</v>
      </c>
      <c r="K61" s="5">
        <v>689.26966440419994</v>
      </c>
      <c r="L61" s="5">
        <v>2301</v>
      </c>
      <c r="M61" s="2">
        <v>1</v>
      </c>
      <c r="N61" s="2">
        <f t="shared" si="3"/>
        <v>0.29955222268761406</v>
      </c>
      <c r="O61" s="2">
        <v>4.3641500000000004</v>
      </c>
      <c r="P61" s="2">
        <v>23.435700000000001</v>
      </c>
      <c r="Q61" s="3" t="s">
        <v>26</v>
      </c>
      <c r="R61" s="4">
        <f t="shared" si="1"/>
        <v>1.3072876075683724</v>
      </c>
      <c r="S61" s="15">
        <f t="shared" si="2"/>
        <v>7.0201987064354121</v>
      </c>
    </row>
    <row r="62" spans="2:19" x14ac:dyDescent="0.35">
      <c r="B62" s="14" t="s">
        <v>18</v>
      </c>
      <c r="C62" s="2" t="s">
        <v>19</v>
      </c>
      <c r="D62" s="2" t="s">
        <v>20</v>
      </c>
      <c r="E62" s="2" t="s">
        <v>21</v>
      </c>
      <c r="F62" s="2" t="s">
        <v>22</v>
      </c>
      <c r="G62" s="2" t="s">
        <v>23</v>
      </c>
      <c r="H62" s="2" t="s">
        <v>24</v>
      </c>
      <c r="I62" s="2" t="s">
        <v>85</v>
      </c>
      <c r="J62" s="2" t="s">
        <v>22</v>
      </c>
      <c r="K62" s="5">
        <v>783.62279743030001</v>
      </c>
      <c r="L62" s="5">
        <v>2616</v>
      </c>
      <c r="M62" s="2">
        <v>1</v>
      </c>
      <c r="N62" s="2">
        <f t="shared" si="3"/>
        <v>0.2995499990176988</v>
      </c>
      <c r="O62" s="2">
        <v>4.3641500000000004</v>
      </c>
      <c r="P62" s="2">
        <v>23.435700000000001</v>
      </c>
      <c r="Q62" s="3" t="s">
        <v>26</v>
      </c>
      <c r="R62" s="4">
        <f t="shared" si="1"/>
        <v>1.3072876075683724</v>
      </c>
      <c r="S62" s="15">
        <f t="shared" si="2"/>
        <v>7.0201987064354121</v>
      </c>
    </row>
    <row r="63" spans="2:19" x14ac:dyDescent="0.35">
      <c r="B63" s="14" t="s">
        <v>18</v>
      </c>
      <c r="C63" s="2" t="s">
        <v>19</v>
      </c>
      <c r="D63" s="2" t="s">
        <v>20</v>
      </c>
      <c r="E63" s="2" t="s">
        <v>21</v>
      </c>
      <c r="F63" s="2" t="s">
        <v>22</v>
      </c>
      <c r="G63" s="2" t="s">
        <v>23</v>
      </c>
      <c r="H63" s="2" t="s">
        <v>24</v>
      </c>
      <c r="I63" s="2" t="s">
        <v>86</v>
      </c>
      <c r="J63" s="2" t="s">
        <v>22</v>
      </c>
      <c r="K63" s="5">
        <v>422.07114044809998</v>
      </c>
      <c r="L63" s="5">
        <v>1409</v>
      </c>
      <c r="M63" s="2">
        <v>1</v>
      </c>
      <c r="N63" s="2">
        <f t="shared" si="3"/>
        <v>0.29955368378147623</v>
      </c>
      <c r="O63" s="2">
        <v>4.3641500000000004</v>
      </c>
      <c r="P63" s="2">
        <v>23.435700000000001</v>
      </c>
      <c r="Q63" s="3" t="s">
        <v>26</v>
      </c>
      <c r="R63" s="4">
        <f t="shared" si="1"/>
        <v>1.3072876075683724</v>
      </c>
      <c r="S63" s="15">
        <f t="shared" si="2"/>
        <v>7.0201987064354121</v>
      </c>
    </row>
    <row r="64" spans="2:19" x14ac:dyDescent="0.35">
      <c r="B64" s="14" t="s">
        <v>18</v>
      </c>
      <c r="C64" s="2" t="s">
        <v>19</v>
      </c>
      <c r="D64" s="2" t="s">
        <v>20</v>
      </c>
      <c r="E64" s="2" t="s">
        <v>21</v>
      </c>
      <c r="F64" s="2" t="s">
        <v>22</v>
      </c>
      <c r="G64" s="2" t="s">
        <v>23</v>
      </c>
      <c r="H64" s="2" t="s">
        <v>24</v>
      </c>
      <c r="I64" s="2" t="s">
        <v>87</v>
      </c>
      <c r="J64" s="2" t="s">
        <v>22</v>
      </c>
      <c r="K64" s="5">
        <v>180.927240267</v>
      </c>
      <c r="L64" s="5">
        <v>604</v>
      </c>
      <c r="M64" s="2">
        <v>1</v>
      </c>
      <c r="N64" s="2">
        <f t="shared" si="3"/>
        <v>0.2995484110380795</v>
      </c>
      <c r="O64" s="2">
        <v>4.3641500000000004</v>
      </c>
      <c r="P64" s="2">
        <v>23.435700000000001</v>
      </c>
      <c r="Q64" s="3" t="s">
        <v>26</v>
      </c>
      <c r="R64" s="4">
        <f t="shared" si="1"/>
        <v>1.3072876075683724</v>
      </c>
      <c r="S64" s="15">
        <f t="shared" si="2"/>
        <v>7.0201987064354121</v>
      </c>
    </row>
    <row r="65" spans="2:19" x14ac:dyDescent="0.35">
      <c r="B65" s="14" t="s">
        <v>18</v>
      </c>
      <c r="C65" s="2" t="s">
        <v>19</v>
      </c>
      <c r="D65" s="2" t="s">
        <v>20</v>
      </c>
      <c r="E65" s="2" t="s">
        <v>21</v>
      </c>
      <c r="F65" s="2" t="s">
        <v>22</v>
      </c>
      <c r="G65" s="2" t="s">
        <v>23</v>
      </c>
      <c r="H65" s="2" t="s">
        <v>24</v>
      </c>
      <c r="I65" s="2" t="s">
        <v>88</v>
      </c>
      <c r="J65" s="2" t="s">
        <v>22</v>
      </c>
      <c r="K65" s="5">
        <v>3188.1263533504002</v>
      </c>
      <c r="L65" s="5">
        <v>10643</v>
      </c>
      <c r="M65" s="2">
        <v>1</v>
      </c>
      <c r="N65" s="2">
        <f t="shared" si="3"/>
        <v>0.29955147546278305</v>
      </c>
      <c r="O65" s="2">
        <v>4.3641500000000004</v>
      </c>
      <c r="P65" s="2">
        <v>23.435700000000001</v>
      </c>
      <c r="Q65" s="3" t="s">
        <v>26</v>
      </c>
      <c r="R65" s="4">
        <f t="shared" si="1"/>
        <v>1.3072876075683724</v>
      </c>
      <c r="S65" s="15">
        <f t="shared" si="2"/>
        <v>7.0201987064354121</v>
      </c>
    </row>
    <row r="66" spans="2:19" x14ac:dyDescent="0.35">
      <c r="B66" s="14" t="s">
        <v>18</v>
      </c>
      <c r="C66" s="2" t="s">
        <v>19</v>
      </c>
      <c r="D66" s="2" t="s">
        <v>20</v>
      </c>
      <c r="E66" s="2" t="s">
        <v>21</v>
      </c>
      <c r="F66" s="2" t="s">
        <v>22</v>
      </c>
      <c r="G66" s="2" t="s">
        <v>23</v>
      </c>
      <c r="H66" s="2" t="s">
        <v>24</v>
      </c>
      <c r="I66" s="2" t="s">
        <v>89</v>
      </c>
      <c r="J66" s="2" t="s">
        <v>22</v>
      </c>
      <c r="K66" s="5">
        <v>1883.5742905162001</v>
      </c>
      <c r="L66" s="5">
        <v>6288</v>
      </c>
      <c r="M66" s="2">
        <v>1</v>
      </c>
      <c r="N66" s="2">
        <f t="shared" si="3"/>
        <v>0.29955061872076971</v>
      </c>
      <c r="O66" s="2">
        <v>4.3641500000000004</v>
      </c>
      <c r="P66" s="2">
        <v>23.435700000000001</v>
      </c>
      <c r="Q66" s="3" t="s">
        <v>26</v>
      </c>
      <c r="R66" s="4">
        <f t="shared" si="1"/>
        <v>1.3072876075683724</v>
      </c>
      <c r="S66" s="15">
        <f t="shared" si="2"/>
        <v>7.0201987064354121</v>
      </c>
    </row>
    <row r="67" spans="2:19" x14ac:dyDescent="0.35">
      <c r="B67" s="14" t="s">
        <v>18</v>
      </c>
      <c r="C67" s="2" t="s">
        <v>19</v>
      </c>
      <c r="D67" s="2" t="s">
        <v>20</v>
      </c>
      <c r="E67" s="2" t="s">
        <v>21</v>
      </c>
      <c r="F67" s="2" t="s">
        <v>22</v>
      </c>
      <c r="G67" s="2" t="s">
        <v>23</v>
      </c>
      <c r="H67" s="2" t="s">
        <v>24</v>
      </c>
      <c r="I67" s="2" t="s">
        <v>90</v>
      </c>
      <c r="J67" s="2" t="s">
        <v>22</v>
      </c>
      <c r="K67" s="5">
        <v>165.35345760300001</v>
      </c>
      <c r="L67" s="5">
        <v>552</v>
      </c>
      <c r="M67" s="2">
        <v>1</v>
      </c>
      <c r="N67" s="2">
        <f t="shared" si="3"/>
        <v>0.29955336522282611</v>
      </c>
      <c r="O67" s="2">
        <v>4.3641500000000004</v>
      </c>
      <c r="P67" s="2">
        <v>23.435700000000001</v>
      </c>
      <c r="Q67" s="3" t="s">
        <v>26</v>
      </c>
      <c r="R67" s="4">
        <f t="shared" si="1"/>
        <v>1.3072876075683724</v>
      </c>
      <c r="S67" s="15">
        <f t="shared" si="2"/>
        <v>7.0201987064354121</v>
      </c>
    </row>
    <row r="68" spans="2:19" x14ac:dyDescent="0.35">
      <c r="B68" s="14" t="s">
        <v>18</v>
      </c>
      <c r="C68" s="2" t="s">
        <v>19</v>
      </c>
      <c r="D68" s="2" t="s">
        <v>20</v>
      </c>
      <c r="E68" s="2" t="s">
        <v>21</v>
      </c>
      <c r="F68" s="2" t="s">
        <v>22</v>
      </c>
      <c r="G68" s="2" t="s">
        <v>23</v>
      </c>
      <c r="H68" s="2" t="s">
        <v>24</v>
      </c>
      <c r="I68" s="2" t="s">
        <v>91</v>
      </c>
      <c r="J68" s="2" t="s">
        <v>22</v>
      </c>
      <c r="K68" s="5">
        <v>287.86918094650002</v>
      </c>
      <c r="L68" s="5">
        <v>961</v>
      </c>
      <c r="M68" s="2">
        <v>1</v>
      </c>
      <c r="N68" s="2">
        <f t="shared" ref="N68:N90" si="4">K68/L68</f>
        <v>0.29955169713475549</v>
      </c>
      <c r="O68" s="2">
        <v>4.3641500000000004</v>
      </c>
      <c r="P68" s="2">
        <v>23.435700000000001</v>
      </c>
      <c r="Q68" s="3" t="s">
        <v>26</v>
      </c>
      <c r="R68" s="4">
        <f t="shared" ref="R68:R90" si="5">(O68*$M$3)*((SUM($K$3:$K$90)/SUM($L$3:$L$90)))</f>
        <v>1.3072876075683724</v>
      </c>
      <c r="S68" s="15">
        <f t="shared" ref="S68:S90" si="6">(P68*$M$3)*((SUM($K$3:$K$90)/SUM($L$3:$L$90)))</f>
        <v>7.0201987064354121</v>
      </c>
    </row>
    <row r="69" spans="2:19" x14ac:dyDescent="0.35">
      <c r="B69" s="14" t="s">
        <v>18</v>
      </c>
      <c r="C69" s="2" t="s">
        <v>19</v>
      </c>
      <c r="D69" s="2" t="s">
        <v>20</v>
      </c>
      <c r="E69" s="2" t="s">
        <v>21</v>
      </c>
      <c r="F69" s="2" t="s">
        <v>22</v>
      </c>
      <c r="G69" s="2" t="s">
        <v>23</v>
      </c>
      <c r="H69" s="2" t="s">
        <v>24</v>
      </c>
      <c r="I69" s="2" t="s">
        <v>92</v>
      </c>
      <c r="J69" s="2" t="s">
        <v>22</v>
      </c>
      <c r="K69" s="5">
        <v>3345.9898440131001</v>
      </c>
      <c r="L69" s="5">
        <v>11170</v>
      </c>
      <c r="M69" s="2">
        <v>1</v>
      </c>
      <c r="N69" s="2">
        <f t="shared" si="4"/>
        <v>0.2995514632061862</v>
      </c>
      <c r="O69" s="2">
        <v>4.3641500000000004</v>
      </c>
      <c r="P69" s="2">
        <v>23.435700000000001</v>
      </c>
      <c r="Q69" s="3" t="s">
        <v>26</v>
      </c>
      <c r="R69" s="4">
        <f t="shared" si="5"/>
        <v>1.3072876075683724</v>
      </c>
      <c r="S69" s="15">
        <f t="shared" si="6"/>
        <v>7.0201987064354121</v>
      </c>
    </row>
    <row r="70" spans="2:19" x14ac:dyDescent="0.35">
      <c r="B70" s="14" t="s">
        <v>18</v>
      </c>
      <c r="C70" s="2" t="s">
        <v>19</v>
      </c>
      <c r="D70" s="2" t="s">
        <v>20</v>
      </c>
      <c r="E70" s="2" t="s">
        <v>21</v>
      </c>
      <c r="F70" s="2" t="s">
        <v>22</v>
      </c>
      <c r="G70" s="2" t="s">
        <v>23</v>
      </c>
      <c r="H70" s="2" t="s">
        <v>24</v>
      </c>
      <c r="I70" s="2" t="s">
        <v>93</v>
      </c>
      <c r="J70" s="2" t="s">
        <v>22</v>
      </c>
      <c r="K70" s="5">
        <v>156.96091916739999</v>
      </c>
      <c r="L70" s="5">
        <v>524</v>
      </c>
      <c r="M70" s="2">
        <v>1</v>
      </c>
      <c r="N70" s="2">
        <f t="shared" si="4"/>
        <v>0.29954373886908398</v>
      </c>
      <c r="O70" s="2">
        <v>4.3641500000000004</v>
      </c>
      <c r="P70" s="2">
        <v>23.435700000000001</v>
      </c>
      <c r="Q70" s="3" t="s">
        <v>26</v>
      </c>
      <c r="R70" s="4">
        <f t="shared" si="5"/>
        <v>1.3072876075683724</v>
      </c>
      <c r="S70" s="15">
        <f t="shared" si="6"/>
        <v>7.0201987064354121</v>
      </c>
    </row>
    <row r="71" spans="2:19" x14ac:dyDescent="0.35">
      <c r="B71" s="14" t="s">
        <v>18</v>
      </c>
      <c r="C71" s="2" t="s">
        <v>19</v>
      </c>
      <c r="D71" s="2" t="s">
        <v>20</v>
      </c>
      <c r="E71" s="2" t="s">
        <v>21</v>
      </c>
      <c r="F71" s="2" t="s">
        <v>22</v>
      </c>
      <c r="G71" s="2" t="s">
        <v>23</v>
      </c>
      <c r="H71" s="2" t="s">
        <v>24</v>
      </c>
      <c r="I71" s="2" t="s">
        <v>94</v>
      </c>
      <c r="J71" s="2" t="s">
        <v>22</v>
      </c>
      <c r="K71" s="5">
        <v>1633.457767823</v>
      </c>
      <c r="L71" s="5">
        <v>5453</v>
      </c>
      <c r="M71" s="2">
        <v>1</v>
      </c>
      <c r="N71" s="2">
        <f t="shared" si="4"/>
        <v>0.29955213053786905</v>
      </c>
      <c r="O71" s="2">
        <v>4.3641500000000004</v>
      </c>
      <c r="P71" s="2">
        <v>23.435700000000001</v>
      </c>
      <c r="Q71" s="3" t="s">
        <v>26</v>
      </c>
      <c r="R71" s="4">
        <f t="shared" si="5"/>
        <v>1.3072876075683724</v>
      </c>
      <c r="S71" s="15">
        <f t="shared" si="6"/>
        <v>7.0201987064354121</v>
      </c>
    </row>
    <row r="72" spans="2:19" x14ac:dyDescent="0.35">
      <c r="B72" s="14" t="s">
        <v>18</v>
      </c>
      <c r="C72" s="2" t="s">
        <v>19</v>
      </c>
      <c r="D72" s="2" t="s">
        <v>20</v>
      </c>
      <c r="E72" s="2" t="s">
        <v>21</v>
      </c>
      <c r="F72" s="2" t="s">
        <v>22</v>
      </c>
      <c r="G72" s="2" t="s">
        <v>23</v>
      </c>
      <c r="H72" s="2" t="s">
        <v>24</v>
      </c>
      <c r="I72" s="2" t="s">
        <v>95</v>
      </c>
      <c r="J72" s="2" t="s">
        <v>22</v>
      </c>
      <c r="K72" s="5">
        <v>1637.9489950458001</v>
      </c>
      <c r="L72" s="5">
        <v>5468</v>
      </c>
      <c r="M72" s="2">
        <v>1</v>
      </c>
      <c r="N72" s="2">
        <f t="shared" si="4"/>
        <v>0.29955175476331386</v>
      </c>
      <c r="O72" s="2">
        <v>4.3641500000000004</v>
      </c>
      <c r="P72" s="2">
        <v>23.435700000000001</v>
      </c>
      <c r="Q72" s="3" t="s">
        <v>26</v>
      </c>
      <c r="R72" s="4">
        <f t="shared" si="5"/>
        <v>1.3072876075683724</v>
      </c>
      <c r="S72" s="15">
        <f t="shared" si="6"/>
        <v>7.0201987064354121</v>
      </c>
    </row>
    <row r="73" spans="2:19" x14ac:dyDescent="0.35">
      <c r="B73" s="14" t="s">
        <v>18</v>
      </c>
      <c r="C73" s="2" t="s">
        <v>19</v>
      </c>
      <c r="D73" s="2" t="s">
        <v>20</v>
      </c>
      <c r="E73" s="2" t="s">
        <v>21</v>
      </c>
      <c r="F73" s="2" t="s">
        <v>22</v>
      </c>
      <c r="G73" s="2" t="s">
        <v>23</v>
      </c>
      <c r="H73" s="2" t="s">
        <v>24</v>
      </c>
      <c r="I73" s="2" t="s">
        <v>96</v>
      </c>
      <c r="J73" s="2" t="s">
        <v>22</v>
      </c>
      <c r="K73" s="5">
        <v>179.12799643650001</v>
      </c>
      <c r="L73" s="5">
        <v>598</v>
      </c>
      <c r="M73" s="2">
        <v>1</v>
      </c>
      <c r="N73" s="2">
        <f t="shared" si="4"/>
        <v>0.29954514454264214</v>
      </c>
      <c r="O73" s="2">
        <v>4.3641500000000004</v>
      </c>
      <c r="P73" s="2">
        <v>23.435700000000001</v>
      </c>
      <c r="Q73" s="3" t="s">
        <v>26</v>
      </c>
      <c r="R73" s="4">
        <f t="shared" si="5"/>
        <v>1.3072876075683724</v>
      </c>
      <c r="S73" s="15">
        <f t="shared" si="6"/>
        <v>7.0201987064354121</v>
      </c>
    </row>
    <row r="74" spans="2:19" x14ac:dyDescent="0.35">
      <c r="B74" s="14" t="s">
        <v>18</v>
      </c>
      <c r="C74" s="2" t="s">
        <v>19</v>
      </c>
      <c r="D74" s="2" t="s">
        <v>20</v>
      </c>
      <c r="E74" s="2" t="s">
        <v>21</v>
      </c>
      <c r="F74" s="2" t="s">
        <v>22</v>
      </c>
      <c r="G74" s="2" t="s">
        <v>23</v>
      </c>
      <c r="H74" s="2" t="s">
        <v>24</v>
      </c>
      <c r="I74" s="2" t="s">
        <v>97</v>
      </c>
      <c r="J74" s="2" t="s">
        <v>22</v>
      </c>
      <c r="K74" s="5">
        <v>4133.8089106611997</v>
      </c>
      <c r="L74" s="5">
        <v>13800</v>
      </c>
      <c r="M74" s="2">
        <v>1</v>
      </c>
      <c r="N74" s="2">
        <f t="shared" si="4"/>
        <v>0.29955137033776807</v>
      </c>
      <c r="O74" s="2">
        <v>4.3641500000000004</v>
      </c>
      <c r="P74" s="2">
        <v>23.435700000000001</v>
      </c>
      <c r="Q74" s="3" t="s">
        <v>26</v>
      </c>
      <c r="R74" s="4">
        <f t="shared" si="5"/>
        <v>1.3072876075683724</v>
      </c>
      <c r="S74" s="15">
        <f t="shared" si="6"/>
        <v>7.0201987064354121</v>
      </c>
    </row>
    <row r="75" spans="2:19" x14ac:dyDescent="0.35">
      <c r="B75" s="14" t="s">
        <v>18</v>
      </c>
      <c r="C75" s="2" t="s">
        <v>19</v>
      </c>
      <c r="D75" s="2" t="s">
        <v>20</v>
      </c>
      <c r="E75" s="2" t="s">
        <v>21</v>
      </c>
      <c r="F75" s="2" t="s">
        <v>22</v>
      </c>
      <c r="G75" s="2" t="s">
        <v>23</v>
      </c>
      <c r="H75" s="2" t="s">
        <v>24</v>
      </c>
      <c r="I75" s="2" t="s">
        <v>98</v>
      </c>
      <c r="J75" s="2" t="s">
        <v>22</v>
      </c>
      <c r="K75" s="5">
        <v>599.39792666740004</v>
      </c>
      <c r="L75" s="5">
        <v>2001</v>
      </c>
      <c r="M75" s="2">
        <v>1</v>
      </c>
      <c r="N75" s="2">
        <f t="shared" si="4"/>
        <v>0.29954918873933034</v>
      </c>
      <c r="O75" s="2">
        <v>4.3641500000000004</v>
      </c>
      <c r="P75" s="2">
        <v>23.435700000000001</v>
      </c>
      <c r="Q75" s="3" t="s">
        <v>26</v>
      </c>
      <c r="R75" s="4">
        <f t="shared" si="5"/>
        <v>1.3072876075683724</v>
      </c>
      <c r="S75" s="15">
        <f t="shared" si="6"/>
        <v>7.0201987064354121</v>
      </c>
    </row>
    <row r="76" spans="2:19" x14ac:dyDescent="0.35">
      <c r="B76" s="14" t="s">
        <v>18</v>
      </c>
      <c r="C76" s="2" t="s">
        <v>19</v>
      </c>
      <c r="D76" s="2" t="s">
        <v>20</v>
      </c>
      <c r="E76" s="2" t="s">
        <v>21</v>
      </c>
      <c r="F76" s="2" t="s">
        <v>22</v>
      </c>
      <c r="G76" s="2" t="s">
        <v>23</v>
      </c>
      <c r="H76" s="2" t="s">
        <v>24</v>
      </c>
      <c r="I76" s="2" t="s">
        <v>99</v>
      </c>
      <c r="J76" s="2" t="s">
        <v>22</v>
      </c>
      <c r="K76" s="5">
        <v>32.486674670699998</v>
      </c>
      <c r="L76" s="5">
        <v>108.44</v>
      </c>
      <c r="M76" s="2">
        <v>1</v>
      </c>
      <c r="N76" s="2">
        <f t="shared" si="4"/>
        <v>0.29958202389063077</v>
      </c>
      <c r="O76" s="2">
        <v>4.3641500000000004</v>
      </c>
      <c r="P76" s="2">
        <v>23.435700000000001</v>
      </c>
      <c r="Q76" s="3" t="s">
        <v>26</v>
      </c>
      <c r="R76" s="4">
        <f t="shared" si="5"/>
        <v>1.3072876075683724</v>
      </c>
      <c r="S76" s="15">
        <f t="shared" si="6"/>
        <v>7.0201987064354121</v>
      </c>
    </row>
    <row r="77" spans="2:19" x14ac:dyDescent="0.35">
      <c r="B77" s="14" t="s">
        <v>18</v>
      </c>
      <c r="C77" s="2" t="s">
        <v>19</v>
      </c>
      <c r="D77" s="2" t="s">
        <v>20</v>
      </c>
      <c r="E77" s="2" t="s">
        <v>21</v>
      </c>
      <c r="F77" s="2" t="s">
        <v>22</v>
      </c>
      <c r="G77" s="2" t="s">
        <v>23</v>
      </c>
      <c r="H77" s="2" t="s">
        <v>24</v>
      </c>
      <c r="I77" s="2" t="s">
        <v>100</v>
      </c>
      <c r="J77" s="2" t="s">
        <v>22</v>
      </c>
      <c r="K77" s="5">
        <v>733.30492816399999</v>
      </c>
      <c r="L77" s="5">
        <v>2448</v>
      </c>
      <c r="M77" s="2">
        <v>1</v>
      </c>
      <c r="N77" s="2">
        <f t="shared" si="4"/>
        <v>0.2995526667336601</v>
      </c>
      <c r="O77" s="2">
        <v>4.3641500000000004</v>
      </c>
      <c r="P77" s="2">
        <v>23.435700000000001</v>
      </c>
      <c r="Q77" s="3" t="s">
        <v>26</v>
      </c>
      <c r="R77" s="4">
        <f t="shared" si="5"/>
        <v>1.3072876075683724</v>
      </c>
      <c r="S77" s="15">
        <f t="shared" si="6"/>
        <v>7.0201987064354121</v>
      </c>
    </row>
    <row r="78" spans="2:19" x14ac:dyDescent="0.35">
      <c r="B78" s="14" t="s">
        <v>18</v>
      </c>
      <c r="C78" s="2" t="s">
        <v>19</v>
      </c>
      <c r="D78" s="2" t="s">
        <v>20</v>
      </c>
      <c r="E78" s="2" t="s">
        <v>21</v>
      </c>
      <c r="F78" s="2" t="s">
        <v>22</v>
      </c>
      <c r="G78" s="2" t="s">
        <v>23</v>
      </c>
      <c r="H78" s="2" t="s">
        <v>24</v>
      </c>
      <c r="I78" s="2" t="s">
        <v>101</v>
      </c>
      <c r="J78" s="2" t="s">
        <v>22</v>
      </c>
      <c r="K78" s="5">
        <v>6823.4817985887003</v>
      </c>
      <c r="L78" s="5">
        <v>22779</v>
      </c>
      <c r="M78" s="2">
        <v>1</v>
      </c>
      <c r="N78" s="2">
        <f t="shared" si="4"/>
        <v>0.29955142010574215</v>
      </c>
      <c r="O78" s="2">
        <v>4.3641500000000004</v>
      </c>
      <c r="P78" s="2">
        <v>23.435700000000001</v>
      </c>
      <c r="Q78" s="3" t="s">
        <v>26</v>
      </c>
      <c r="R78" s="4">
        <f t="shared" si="5"/>
        <v>1.3072876075683724</v>
      </c>
      <c r="S78" s="15">
        <f t="shared" si="6"/>
        <v>7.0201987064354121</v>
      </c>
    </row>
    <row r="79" spans="2:19" x14ac:dyDescent="0.35">
      <c r="B79" s="14" t="s">
        <v>18</v>
      </c>
      <c r="C79" s="2" t="s">
        <v>19</v>
      </c>
      <c r="D79" s="2" t="s">
        <v>20</v>
      </c>
      <c r="E79" s="2" t="s">
        <v>21</v>
      </c>
      <c r="F79" s="2" t="s">
        <v>22</v>
      </c>
      <c r="G79" s="2" t="s">
        <v>23</v>
      </c>
      <c r="H79" s="2" t="s">
        <v>24</v>
      </c>
      <c r="I79" s="2" t="s">
        <v>102</v>
      </c>
      <c r="J79" s="2" t="s">
        <v>22</v>
      </c>
      <c r="K79" s="5">
        <v>887.57386393909997</v>
      </c>
      <c r="L79" s="5">
        <v>2963</v>
      </c>
      <c r="M79" s="2">
        <v>1</v>
      </c>
      <c r="N79" s="2">
        <f t="shared" si="4"/>
        <v>0.29955243467401282</v>
      </c>
      <c r="O79" s="2">
        <v>4.3641500000000004</v>
      </c>
      <c r="P79" s="2">
        <v>23.435700000000001</v>
      </c>
      <c r="Q79" s="3" t="s">
        <v>26</v>
      </c>
      <c r="R79" s="4">
        <f t="shared" si="5"/>
        <v>1.3072876075683724</v>
      </c>
      <c r="S79" s="15">
        <f t="shared" si="6"/>
        <v>7.0201987064354121</v>
      </c>
    </row>
    <row r="80" spans="2:19" x14ac:dyDescent="0.35">
      <c r="B80" s="14" t="s">
        <v>18</v>
      </c>
      <c r="C80" s="2" t="s">
        <v>19</v>
      </c>
      <c r="D80" s="2" t="s">
        <v>20</v>
      </c>
      <c r="E80" s="2" t="s">
        <v>21</v>
      </c>
      <c r="F80" s="2" t="s">
        <v>22</v>
      </c>
      <c r="G80" s="2" t="s">
        <v>23</v>
      </c>
      <c r="H80" s="2" t="s">
        <v>24</v>
      </c>
      <c r="I80" s="2" t="s">
        <v>103</v>
      </c>
      <c r="J80" s="2" t="s">
        <v>22</v>
      </c>
      <c r="K80" s="5">
        <v>495.75361648379999</v>
      </c>
      <c r="L80" s="5">
        <v>1655</v>
      </c>
      <c r="M80" s="2">
        <v>1</v>
      </c>
      <c r="N80" s="2">
        <f t="shared" si="4"/>
        <v>0.29954901298114806</v>
      </c>
      <c r="O80" s="2">
        <v>4.3641500000000004</v>
      </c>
      <c r="P80" s="2">
        <v>23.435700000000001</v>
      </c>
      <c r="Q80" s="3" t="s">
        <v>26</v>
      </c>
      <c r="R80" s="4">
        <f t="shared" si="5"/>
        <v>1.3072876075683724</v>
      </c>
      <c r="S80" s="15">
        <f t="shared" si="6"/>
        <v>7.0201987064354121</v>
      </c>
    </row>
    <row r="81" spans="2:19" x14ac:dyDescent="0.35">
      <c r="B81" s="14" t="s">
        <v>18</v>
      </c>
      <c r="C81" s="2" t="s">
        <v>19</v>
      </c>
      <c r="D81" s="2" t="s">
        <v>20</v>
      </c>
      <c r="E81" s="2" t="s">
        <v>21</v>
      </c>
      <c r="F81" s="2" t="s">
        <v>22</v>
      </c>
      <c r="G81" s="2" t="s">
        <v>23</v>
      </c>
      <c r="H81" s="2" t="s">
        <v>24</v>
      </c>
      <c r="I81" s="2" t="s">
        <v>104</v>
      </c>
      <c r="J81" s="2" t="s">
        <v>22</v>
      </c>
      <c r="K81" s="5">
        <v>1405.4945576919999</v>
      </c>
      <c r="L81" s="5">
        <v>4692</v>
      </c>
      <c r="M81" s="2">
        <v>1</v>
      </c>
      <c r="N81" s="2">
        <f t="shared" si="4"/>
        <v>0.2995512697553282</v>
      </c>
      <c r="O81" s="2">
        <v>4.3641500000000004</v>
      </c>
      <c r="P81" s="2">
        <v>23.435700000000001</v>
      </c>
      <c r="Q81" s="3" t="s">
        <v>26</v>
      </c>
      <c r="R81" s="4">
        <f t="shared" si="5"/>
        <v>1.3072876075683724</v>
      </c>
      <c r="S81" s="15">
        <f t="shared" si="6"/>
        <v>7.0201987064354121</v>
      </c>
    </row>
    <row r="82" spans="2:19" x14ac:dyDescent="0.35">
      <c r="B82" s="14" t="s">
        <v>18</v>
      </c>
      <c r="C82" s="2" t="s">
        <v>19</v>
      </c>
      <c r="D82" s="2" t="s">
        <v>20</v>
      </c>
      <c r="E82" s="2" t="s">
        <v>21</v>
      </c>
      <c r="F82" s="2" t="s">
        <v>22</v>
      </c>
      <c r="G82" s="2" t="s">
        <v>23</v>
      </c>
      <c r="H82" s="2" t="s">
        <v>24</v>
      </c>
      <c r="I82" s="2" t="s">
        <v>105</v>
      </c>
      <c r="J82" s="2" t="s">
        <v>22</v>
      </c>
      <c r="K82" s="5">
        <v>603.0003471018</v>
      </c>
      <c r="L82" s="5">
        <v>2013</v>
      </c>
      <c r="M82" s="2">
        <v>1</v>
      </c>
      <c r="N82" s="2">
        <f t="shared" si="4"/>
        <v>0.29955307854038749</v>
      </c>
      <c r="O82" s="2">
        <v>4.3641500000000004</v>
      </c>
      <c r="P82" s="2">
        <v>23.435700000000001</v>
      </c>
      <c r="Q82" s="3" t="s">
        <v>26</v>
      </c>
      <c r="R82" s="4">
        <f t="shared" si="5"/>
        <v>1.3072876075683724</v>
      </c>
      <c r="S82" s="15">
        <f t="shared" si="6"/>
        <v>7.0201987064354121</v>
      </c>
    </row>
    <row r="83" spans="2:19" x14ac:dyDescent="0.35">
      <c r="B83" s="14" t="s">
        <v>18</v>
      </c>
      <c r="C83" s="2" t="s">
        <v>19</v>
      </c>
      <c r="D83" s="2" t="s">
        <v>20</v>
      </c>
      <c r="E83" s="2" t="s">
        <v>21</v>
      </c>
      <c r="F83" s="2" t="s">
        <v>22</v>
      </c>
      <c r="G83" s="2" t="s">
        <v>23</v>
      </c>
      <c r="H83" s="2" t="s">
        <v>24</v>
      </c>
      <c r="I83" s="2" t="s">
        <v>106</v>
      </c>
      <c r="J83" s="2" t="s">
        <v>22</v>
      </c>
      <c r="K83" s="5">
        <v>345.08513475640001</v>
      </c>
      <c r="L83" s="5">
        <v>1152</v>
      </c>
      <c r="M83" s="2">
        <v>1</v>
      </c>
      <c r="N83" s="2">
        <f t="shared" si="4"/>
        <v>0.29955306836493056</v>
      </c>
      <c r="O83" s="2">
        <v>4.3641500000000004</v>
      </c>
      <c r="P83" s="2">
        <v>23.435700000000001</v>
      </c>
      <c r="Q83" s="3" t="s">
        <v>26</v>
      </c>
      <c r="R83" s="4">
        <f t="shared" si="5"/>
        <v>1.3072876075683724</v>
      </c>
      <c r="S83" s="15">
        <f t="shared" si="6"/>
        <v>7.0201987064354121</v>
      </c>
    </row>
    <row r="84" spans="2:19" x14ac:dyDescent="0.35">
      <c r="B84" s="14" t="s">
        <v>18</v>
      </c>
      <c r="C84" s="2" t="s">
        <v>19</v>
      </c>
      <c r="D84" s="2" t="s">
        <v>20</v>
      </c>
      <c r="E84" s="2" t="s">
        <v>21</v>
      </c>
      <c r="F84" s="2" t="s">
        <v>22</v>
      </c>
      <c r="G84" s="2" t="s">
        <v>23</v>
      </c>
      <c r="H84" s="2" t="s">
        <v>24</v>
      </c>
      <c r="I84" s="2" t="s">
        <v>107</v>
      </c>
      <c r="J84" s="2" t="s">
        <v>22</v>
      </c>
      <c r="K84" s="5">
        <v>559.26200773369999</v>
      </c>
      <c r="L84" s="5">
        <v>1867</v>
      </c>
      <c r="M84" s="2">
        <v>1</v>
      </c>
      <c r="N84" s="2">
        <f t="shared" si="4"/>
        <v>0.29955115572238883</v>
      </c>
      <c r="O84" s="2">
        <v>4.3641500000000004</v>
      </c>
      <c r="P84" s="2">
        <v>23.435700000000001</v>
      </c>
      <c r="Q84" s="3" t="s">
        <v>26</v>
      </c>
      <c r="R84" s="4">
        <f t="shared" si="5"/>
        <v>1.3072876075683724</v>
      </c>
      <c r="S84" s="15">
        <f t="shared" si="6"/>
        <v>7.0201987064354121</v>
      </c>
    </row>
    <row r="85" spans="2:19" x14ac:dyDescent="0.35">
      <c r="B85" s="14" t="s">
        <v>18</v>
      </c>
      <c r="C85" s="2" t="s">
        <v>19</v>
      </c>
      <c r="D85" s="2" t="s">
        <v>20</v>
      </c>
      <c r="E85" s="2" t="s">
        <v>21</v>
      </c>
      <c r="F85" s="2" t="s">
        <v>22</v>
      </c>
      <c r="G85" s="2" t="s">
        <v>23</v>
      </c>
      <c r="H85" s="2" t="s">
        <v>24</v>
      </c>
      <c r="I85" s="2" t="s">
        <v>108</v>
      </c>
      <c r="J85" s="2" t="s">
        <v>22</v>
      </c>
      <c r="K85" s="5">
        <v>5410.5051395031996</v>
      </c>
      <c r="L85" s="5">
        <v>18062</v>
      </c>
      <c r="M85" s="2">
        <v>1</v>
      </c>
      <c r="N85" s="2">
        <f t="shared" si="4"/>
        <v>0.29955182922728379</v>
      </c>
      <c r="O85" s="2">
        <v>4.3641500000000004</v>
      </c>
      <c r="P85" s="2">
        <v>23.435700000000001</v>
      </c>
      <c r="Q85" s="3" t="s">
        <v>26</v>
      </c>
      <c r="R85" s="4">
        <f t="shared" si="5"/>
        <v>1.3072876075683724</v>
      </c>
      <c r="S85" s="15">
        <f t="shared" si="6"/>
        <v>7.0201987064354121</v>
      </c>
    </row>
    <row r="86" spans="2:19" x14ac:dyDescent="0.35">
      <c r="B86" s="14" t="s">
        <v>18</v>
      </c>
      <c r="C86" s="2" t="s">
        <v>19</v>
      </c>
      <c r="D86" s="2" t="s">
        <v>20</v>
      </c>
      <c r="E86" s="2" t="s">
        <v>21</v>
      </c>
      <c r="F86" s="2" t="s">
        <v>22</v>
      </c>
      <c r="G86" s="2" t="s">
        <v>23</v>
      </c>
      <c r="H86" s="2" t="s">
        <v>24</v>
      </c>
      <c r="I86" s="2" t="s">
        <v>109</v>
      </c>
      <c r="J86" s="2" t="s">
        <v>22</v>
      </c>
      <c r="K86" s="5">
        <v>5448.5429238280003</v>
      </c>
      <c r="L86" s="5">
        <v>18189</v>
      </c>
      <c r="M86" s="2">
        <v>1</v>
      </c>
      <c r="N86" s="2">
        <f t="shared" si="4"/>
        <v>0.29955153795304856</v>
      </c>
      <c r="O86" s="2">
        <v>4.3641500000000004</v>
      </c>
      <c r="P86" s="2">
        <v>23.435700000000001</v>
      </c>
      <c r="Q86" s="3" t="s">
        <v>26</v>
      </c>
      <c r="R86" s="4">
        <f t="shared" si="5"/>
        <v>1.3072876075683724</v>
      </c>
      <c r="S86" s="15">
        <f t="shared" si="6"/>
        <v>7.0201987064354121</v>
      </c>
    </row>
    <row r="87" spans="2:19" x14ac:dyDescent="0.35">
      <c r="B87" s="14" t="s">
        <v>18</v>
      </c>
      <c r="C87" s="2" t="s">
        <v>19</v>
      </c>
      <c r="D87" s="2" t="s">
        <v>20</v>
      </c>
      <c r="E87" s="2" t="s">
        <v>21</v>
      </c>
      <c r="F87" s="2" t="s">
        <v>22</v>
      </c>
      <c r="G87" s="2" t="s">
        <v>23</v>
      </c>
      <c r="H87" s="2" t="s">
        <v>24</v>
      </c>
      <c r="I87" s="2" t="s">
        <v>110</v>
      </c>
      <c r="J87" s="2" t="s">
        <v>22</v>
      </c>
      <c r="K87" s="5">
        <v>558.0644782334</v>
      </c>
      <c r="L87" s="5">
        <v>1863</v>
      </c>
      <c r="M87" s="2">
        <v>1</v>
      </c>
      <c r="N87" s="2">
        <f t="shared" si="4"/>
        <v>0.29955151810703168</v>
      </c>
      <c r="O87" s="2">
        <v>4.3641500000000004</v>
      </c>
      <c r="P87" s="2">
        <v>23.435700000000001</v>
      </c>
      <c r="Q87" s="3" t="s">
        <v>26</v>
      </c>
      <c r="R87" s="4">
        <f t="shared" si="5"/>
        <v>1.3072876075683724</v>
      </c>
      <c r="S87" s="15">
        <f t="shared" si="6"/>
        <v>7.0201987064354121</v>
      </c>
    </row>
    <row r="88" spans="2:19" x14ac:dyDescent="0.35">
      <c r="B88" s="14" t="s">
        <v>18</v>
      </c>
      <c r="C88" s="2" t="s">
        <v>19</v>
      </c>
      <c r="D88" s="2" t="s">
        <v>20</v>
      </c>
      <c r="E88" s="2" t="s">
        <v>21</v>
      </c>
      <c r="F88" s="2" t="s">
        <v>22</v>
      </c>
      <c r="G88" s="2" t="s">
        <v>23</v>
      </c>
      <c r="H88" s="2" t="s">
        <v>24</v>
      </c>
      <c r="I88" s="2" t="s">
        <v>111</v>
      </c>
      <c r="J88" s="2" t="s">
        <v>22</v>
      </c>
      <c r="K88" s="5">
        <v>730.60311283819999</v>
      </c>
      <c r="L88" s="5">
        <v>2439</v>
      </c>
      <c r="M88" s="2">
        <v>1</v>
      </c>
      <c r="N88" s="2">
        <f>K88/L88</f>
        <v>0.29955027176637966</v>
      </c>
      <c r="O88" s="2">
        <v>4.3641500000000004</v>
      </c>
      <c r="P88" s="2">
        <v>23.435700000000001</v>
      </c>
      <c r="Q88" s="3" t="s">
        <v>26</v>
      </c>
      <c r="R88" s="4">
        <f t="shared" si="5"/>
        <v>1.3072876075683724</v>
      </c>
      <c r="S88" s="15">
        <f t="shared" si="6"/>
        <v>7.0201987064354121</v>
      </c>
    </row>
    <row r="89" spans="2:19" x14ac:dyDescent="0.35">
      <c r="B89" s="14" t="s">
        <v>18</v>
      </c>
      <c r="C89" s="2" t="s">
        <v>19</v>
      </c>
      <c r="D89" s="2" t="s">
        <v>20</v>
      </c>
      <c r="E89" s="2" t="s">
        <v>21</v>
      </c>
      <c r="F89" s="2" t="s">
        <v>22</v>
      </c>
      <c r="G89" s="2" t="s">
        <v>23</v>
      </c>
      <c r="H89" s="2" t="s">
        <v>24</v>
      </c>
      <c r="I89" s="2" t="s">
        <v>112</v>
      </c>
      <c r="J89" s="2" t="s">
        <v>22</v>
      </c>
      <c r="K89" s="5">
        <v>26.658304491900001</v>
      </c>
      <c r="L89" s="5">
        <v>89</v>
      </c>
      <c r="M89" s="2">
        <v>1</v>
      </c>
      <c r="N89" s="2">
        <f t="shared" si="4"/>
        <v>0.29953151114494381</v>
      </c>
      <c r="O89" s="2">
        <v>4.3641500000000004</v>
      </c>
      <c r="P89" s="2">
        <v>23.435700000000001</v>
      </c>
      <c r="Q89" s="3" t="s">
        <v>26</v>
      </c>
      <c r="R89" s="4">
        <f t="shared" si="5"/>
        <v>1.3072876075683724</v>
      </c>
      <c r="S89" s="15">
        <f t="shared" si="6"/>
        <v>7.0201987064354121</v>
      </c>
    </row>
    <row r="90" spans="2:19" ht="15" thickBot="1" x14ac:dyDescent="0.4">
      <c r="B90" s="16" t="s">
        <v>18</v>
      </c>
      <c r="C90" s="17" t="s">
        <v>19</v>
      </c>
      <c r="D90" s="17" t="s">
        <v>20</v>
      </c>
      <c r="E90" s="17" t="s">
        <v>21</v>
      </c>
      <c r="F90" s="17" t="s">
        <v>22</v>
      </c>
      <c r="G90" s="17" t="s">
        <v>23</v>
      </c>
      <c r="H90" s="17" t="s">
        <v>24</v>
      </c>
      <c r="I90" s="17" t="s">
        <v>113</v>
      </c>
      <c r="J90" s="17" t="s">
        <v>22</v>
      </c>
      <c r="K90" s="18">
        <v>2133.7026115295998</v>
      </c>
      <c r="L90" s="18">
        <v>7123</v>
      </c>
      <c r="M90" s="17">
        <v>1</v>
      </c>
      <c r="N90" s="17">
        <f t="shared" si="4"/>
        <v>0.29955111772140952</v>
      </c>
      <c r="O90" s="17">
        <v>4.3641500000000004</v>
      </c>
      <c r="P90" s="17">
        <v>23.435700000000001</v>
      </c>
      <c r="Q90" s="19" t="s">
        <v>26</v>
      </c>
      <c r="R90" s="20">
        <f t="shared" si="5"/>
        <v>1.3072876075683724</v>
      </c>
      <c r="S90" s="21">
        <f t="shared" si="6"/>
        <v>7.0201987064354121</v>
      </c>
    </row>
    <row r="91" spans="2:19" x14ac:dyDescent="0.35"/>
  </sheetData>
  <autoFilter ref="A2:AA90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89"/>
  <sheetViews>
    <sheetView topLeftCell="H1" workbookViewId="0">
      <selection activeCell="P1" sqref="P1:S5"/>
    </sheetView>
  </sheetViews>
  <sheetFormatPr baseColWidth="10" defaultColWidth="10.81640625" defaultRowHeight="14.5" x14ac:dyDescent="0.35"/>
  <cols>
    <col min="3" max="3" width="18" customWidth="1"/>
    <col min="6" max="6" width="11.81640625" bestFit="1" customWidth="1"/>
    <col min="7" max="7" width="19.26953125" customWidth="1"/>
    <col min="8" max="8" width="31.1796875" bestFit="1" customWidth="1"/>
    <col min="9" max="9" width="22.54296875" style="6" customWidth="1"/>
    <col min="10" max="10" width="34.1796875" bestFit="1" customWidth="1"/>
    <col min="11" max="11" width="16.54296875" customWidth="1"/>
    <col min="12" max="12" width="16" customWidth="1"/>
    <col min="13" max="13" width="23.1796875" customWidth="1"/>
    <col min="14" max="14" width="13.26953125" customWidth="1"/>
    <col min="16" max="16" width="38" bestFit="1" customWidth="1"/>
    <col min="17" max="17" width="19.81640625" customWidth="1"/>
  </cols>
  <sheetData>
    <row r="1" spans="1:17" x14ac:dyDescent="0.35">
      <c r="A1" t="s">
        <v>1</v>
      </c>
      <c r="B1" t="s">
        <v>2</v>
      </c>
      <c r="C1" t="s">
        <v>3</v>
      </c>
      <c r="D1" t="s">
        <v>4</v>
      </c>
      <c r="E1" t="s">
        <v>6</v>
      </c>
      <c r="F1" t="s">
        <v>7</v>
      </c>
      <c r="G1" t="s">
        <v>8</v>
      </c>
      <c r="I1" s="7" t="s">
        <v>114</v>
      </c>
      <c r="J1" t="s">
        <v>115</v>
      </c>
      <c r="K1" t="s">
        <v>116</v>
      </c>
      <c r="L1" t="s">
        <v>117</v>
      </c>
      <c r="M1" t="s">
        <v>118</v>
      </c>
      <c r="N1" t="s">
        <v>119</v>
      </c>
    </row>
    <row r="2" spans="1:17" x14ac:dyDescent="0.35">
      <c r="A2" t="s">
        <v>19</v>
      </c>
      <c r="B2" t="s">
        <v>20</v>
      </c>
      <c r="C2" t="s">
        <v>21</v>
      </c>
      <c r="D2" t="s">
        <v>22</v>
      </c>
      <c r="E2" t="s">
        <v>24</v>
      </c>
      <c r="F2">
        <v>15181470000</v>
      </c>
      <c r="G2" t="s">
        <v>22</v>
      </c>
      <c r="H2" s="2" t="str">
        <f>CONCATENATE(E2,F2,G2)</f>
        <v>083215181470000000000000000000</v>
      </c>
      <c r="I2" s="8">
        <v>3144</v>
      </c>
      <c r="J2" s="1">
        <v>951.74</v>
      </c>
      <c r="K2" s="1">
        <v>196638.67</v>
      </c>
      <c r="L2" s="1">
        <v>198715.51999999999</v>
      </c>
      <c r="M2" s="1">
        <v>941.79107803149998</v>
      </c>
      <c r="N2">
        <v>1</v>
      </c>
    </row>
    <row r="3" spans="1:17" x14ac:dyDescent="0.35">
      <c r="A3" t="s">
        <v>19</v>
      </c>
      <c r="B3" t="s">
        <v>20</v>
      </c>
      <c r="C3" t="s">
        <v>21</v>
      </c>
      <c r="D3" t="s">
        <v>22</v>
      </c>
      <c r="E3" t="s">
        <v>24</v>
      </c>
      <c r="F3" t="s">
        <v>95</v>
      </c>
      <c r="G3" t="s">
        <v>22</v>
      </c>
      <c r="H3" s="2" t="str">
        <f t="shared" ref="H3:H66" si="0">CONCATENATE(E3,F3,G3)</f>
        <v>083215180870000000000000000000</v>
      </c>
      <c r="I3" s="8">
        <v>5468</v>
      </c>
      <c r="J3" s="1">
        <v>1655.25</v>
      </c>
      <c r="K3" s="1">
        <v>196638.67</v>
      </c>
      <c r="L3" s="1">
        <v>198715.51999999999</v>
      </c>
      <c r="M3" s="1">
        <v>1637.9489950458001</v>
      </c>
      <c r="N3">
        <v>1</v>
      </c>
      <c r="Q3" s="1"/>
    </row>
    <row r="4" spans="1:17" x14ac:dyDescent="0.35">
      <c r="A4" t="s">
        <v>19</v>
      </c>
      <c r="B4" t="s">
        <v>20</v>
      </c>
      <c r="C4" t="s">
        <v>21</v>
      </c>
      <c r="D4" t="s">
        <v>22</v>
      </c>
      <c r="E4" t="s">
        <v>24</v>
      </c>
      <c r="F4" t="s">
        <v>42</v>
      </c>
      <c r="G4" t="s">
        <v>22</v>
      </c>
      <c r="H4" s="2" t="str">
        <f t="shared" si="0"/>
        <v>083215180840000000000000000000</v>
      </c>
      <c r="I4" s="8">
        <v>1487</v>
      </c>
      <c r="J4" s="1">
        <v>450.14</v>
      </c>
      <c r="K4" s="1">
        <v>196638.67</v>
      </c>
      <c r="L4" s="1">
        <v>198715.51999999999</v>
      </c>
      <c r="M4" s="1">
        <v>445.4337808308</v>
      </c>
      <c r="N4">
        <v>1</v>
      </c>
    </row>
    <row r="5" spans="1:17" x14ac:dyDescent="0.35">
      <c r="A5" t="s">
        <v>19</v>
      </c>
      <c r="B5" t="s">
        <v>20</v>
      </c>
      <c r="C5" t="s">
        <v>21</v>
      </c>
      <c r="D5" t="s">
        <v>22</v>
      </c>
      <c r="E5" t="s">
        <v>24</v>
      </c>
      <c r="F5" t="s">
        <v>107</v>
      </c>
      <c r="G5" t="s">
        <v>22</v>
      </c>
      <c r="H5" s="2" t="str">
        <f t="shared" si="0"/>
        <v>083215181370000000000000000000</v>
      </c>
      <c r="I5" s="8">
        <v>1867</v>
      </c>
      <c r="J5" s="1">
        <v>565.16999999999996</v>
      </c>
      <c r="K5" s="1">
        <v>196638.67</v>
      </c>
      <c r="L5" s="1">
        <v>198715.51999999999</v>
      </c>
      <c r="M5" s="1">
        <v>559.26200773369999</v>
      </c>
      <c r="N5">
        <v>1</v>
      </c>
    </row>
    <row r="6" spans="1:17" x14ac:dyDescent="0.35">
      <c r="A6" t="s">
        <v>19</v>
      </c>
      <c r="B6" t="s">
        <v>20</v>
      </c>
      <c r="C6" t="s">
        <v>21</v>
      </c>
      <c r="D6" t="s">
        <v>22</v>
      </c>
      <c r="E6" t="s">
        <v>24</v>
      </c>
      <c r="F6" t="s">
        <v>55</v>
      </c>
      <c r="G6" t="s">
        <v>22</v>
      </c>
      <c r="H6" s="2" t="str">
        <f t="shared" si="0"/>
        <v>083215181340000000000000000000</v>
      </c>
      <c r="I6" s="8">
        <v>3221</v>
      </c>
      <c r="J6" s="1">
        <v>975.05</v>
      </c>
      <c r="K6" s="1">
        <v>196638.67</v>
      </c>
      <c r="L6" s="1">
        <v>198715.51999999999</v>
      </c>
      <c r="M6" s="1">
        <v>964.85876040920004</v>
      </c>
      <c r="N6">
        <v>1</v>
      </c>
    </row>
    <row r="7" spans="1:17" x14ac:dyDescent="0.35">
      <c r="A7" t="s">
        <v>19</v>
      </c>
      <c r="B7" t="s">
        <v>20</v>
      </c>
      <c r="C7" t="s">
        <v>21</v>
      </c>
      <c r="D7" t="s">
        <v>22</v>
      </c>
      <c r="E7" t="s">
        <v>24</v>
      </c>
      <c r="F7" t="s">
        <v>108</v>
      </c>
      <c r="G7" t="s">
        <v>22</v>
      </c>
      <c r="H7" s="2" t="str">
        <f t="shared" si="0"/>
        <v>083215181740000000000000000000</v>
      </c>
      <c r="I7" s="8">
        <v>18062</v>
      </c>
      <c r="J7" s="1">
        <v>5467.65</v>
      </c>
      <c r="K7" s="1">
        <v>196638.67</v>
      </c>
      <c r="L7" s="1">
        <v>198715.51999999999</v>
      </c>
      <c r="M7" s="1">
        <v>5410.5051395031996</v>
      </c>
      <c r="N7">
        <v>1</v>
      </c>
    </row>
    <row r="8" spans="1:17" x14ac:dyDescent="0.35">
      <c r="A8" t="s">
        <v>19</v>
      </c>
      <c r="B8" t="s">
        <v>20</v>
      </c>
      <c r="C8" t="s">
        <v>21</v>
      </c>
      <c r="D8" t="s">
        <v>22</v>
      </c>
      <c r="E8" t="s">
        <v>24</v>
      </c>
      <c r="F8" t="s">
        <v>44</v>
      </c>
      <c r="G8" t="s">
        <v>22</v>
      </c>
      <c r="H8" s="2" t="str">
        <f t="shared" si="0"/>
        <v>083215180970000000000000000000</v>
      </c>
      <c r="I8" s="8">
        <v>1040</v>
      </c>
      <c r="J8" s="1">
        <v>314.82</v>
      </c>
      <c r="K8" s="1">
        <v>196638.67</v>
      </c>
      <c r="L8" s="1">
        <v>198715.51999999999</v>
      </c>
      <c r="M8" s="1">
        <v>311.52874572090002</v>
      </c>
      <c r="N8">
        <v>1</v>
      </c>
    </row>
    <row r="9" spans="1:17" x14ac:dyDescent="0.35">
      <c r="A9" t="s">
        <v>19</v>
      </c>
      <c r="B9" t="s">
        <v>20</v>
      </c>
      <c r="C9" t="s">
        <v>21</v>
      </c>
      <c r="D9" t="s">
        <v>22</v>
      </c>
      <c r="E9" t="s">
        <v>24</v>
      </c>
      <c r="F9" t="s">
        <v>61</v>
      </c>
      <c r="G9" t="s">
        <v>22</v>
      </c>
      <c r="H9" s="2" t="str">
        <f t="shared" si="0"/>
        <v>083215181070000000000000000000</v>
      </c>
      <c r="I9" s="8">
        <v>7369</v>
      </c>
      <c r="J9" s="1">
        <v>2230.71</v>
      </c>
      <c r="K9" s="1">
        <v>196638.67</v>
      </c>
      <c r="L9" s="1">
        <v>198715.51999999999</v>
      </c>
      <c r="M9" s="1">
        <v>2207.3949194987999</v>
      </c>
      <c r="N9">
        <v>1</v>
      </c>
    </row>
    <row r="10" spans="1:17" x14ac:dyDescent="0.35">
      <c r="A10" t="s">
        <v>19</v>
      </c>
      <c r="B10" t="s">
        <v>20</v>
      </c>
      <c r="C10" t="s">
        <v>21</v>
      </c>
      <c r="D10" t="s">
        <v>22</v>
      </c>
      <c r="E10" t="s">
        <v>24</v>
      </c>
      <c r="F10" t="s">
        <v>87</v>
      </c>
      <c r="G10" t="s">
        <v>22</v>
      </c>
      <c r="H10" s="2" t="str">
        <f t="shared" si="0"/>
        <v>083215180940000000000000000000</v>
      </c>
      <c r="I10" s="8">
        <v>604</v>
      </c>
      <c r="J10" s="1">
        <v>182.84</v>
      </c>
      <c r="K10" s="1">
        <v>196638.67</v>
      </c>
      <c r="L10" s="1">
        <v>198715.51999999999</v>
      </c>
      <c r="M10" s="1">
        <v>180.927240267</v>
      </c>
      <c r="N10">
        <v>1</v>
      </c>
    </row>
    <row r="11" spans="1:17" x14ac:dyDescent="0.35">
      <c r="A11" t="s">
        <v>19</v>
      </c>
      <c r="B11" t="s">
        <v>20</v>
      </c>
      <c r="C11" t="s">
        <v>21</v>
      </c>
      <c r="D11" t="s">
        <v>22</v>
      </c>
      <c r="E11" t="s">
        <v>24</v>
      </c>
      <c r="F11" t="s">
        <v>104</v>
      </c>
      <c r="G11" t="s">
        <v>22</v>
      </c>
      <c r="H11" s="2" t="str">
        <f t="shared" si="0"/>
        <v>083215181020000000000000000000</v>
      </c>
      <c r="I11" s="8">
        <v>4692</v>
      </c>
      <c r="J11" s="1">
        <v>1420.34</v>
      </c>
      <c r="K11" s="1">
        <v>196638.67</v>
      </c>
      <c r="L11" s="1">
        <v>198715.51999999999</v>
      </c>
      <c r="M11" s="1">
        <v>1405.4945576919999</v>
      </c>
      <c r="N11">
        <v>1</v>
      </c>
    </row>
    <row r="12" spans="1:17" x14ac:dyDescent="0.35">
      <c r="A12" t="s">
        <v>19</v>
      </c>
      <c r="B12" t="s">
        <v>20</v>
      </c>
      <c r="C12" t="s">
        <v>21</v>
      </c>
      <c r="D12" t="s">
        <v>22</v>
      </c>
      <c r="E12" t="s">
        <v>24</v>
      </c>
      <c r="F12" t="s">
        <v>92</v>
      </c>
      <c r="G12" t="s">
        <v>22</v>
      </c>
      <c r="H12" s="2" t="str">
        <f t="shared" si="0"/>
        <v>083215180790000000000000000000</v>
      </c>
      <c r="I12" s="8">
        <v>11170</v>
      </c>
      <c r="J12" s="1">
        <v>3381.33</v>
      </c>
      <c r="K12" s="1">
        <v>196638.67</v>
      </c>
      <c r="L12" s="1">
        <v>198715.51999999999</v>
      </c>
      <c r="M12" s="1">
        <v>3345.9898440131001</v>
      </c>
      <c r="N12">
        <v>1</v>
      </c>
    </row>
    <row r="13" spans="1:17" x14ac:dyDescent="0.35">
      <c r="A13" t="s">
        <v>19</v>
      </c>
      <c r="B13" t="s">
        <v>20</v>
      </c>
      <c r="C13" t="s">
        <v>21</v>
      </c>
      <c r="D13" t="s">
        <v>22</v>
      </c>
      <c r="E13" t="s">
        <v>24</v>
      </c>
      <c r="F13" t="s">
        <v>45</v>
      </c>
      <c r="G13" t="s">
        <v>22</v>
      </c>
      <c r="H13" s="2" t="str">
        <f t="shared" si="0"/>
        <v>083215181210000000000000000000</v>
      </c>
      <c r="I13" s="8">
        <v>2374</v>
      </c>
      <c r="J13" s="1">
        <v>718.65</v>
      </c>
      <c r="K13" s="1">
        <v>196638.67</v>
      </c>
      <c r="L13" s="1">
        <v>198715.51999999999</v>
      </c>
      <c r="M13" s="1">
        <v>711.1378508949</v>
      </c>
      <c r="N13">
        <v>1</v>
      </c>
    </row>
    <row r="14" spans="1:17" x14ac:dyDescent="0.35">
      <c r="A14" t="s">
        <v>19</v>
      </c>
      <c r="B14" t="s">
        <v>20</v>
      </c>
      <c r="C14" t="s">
        <v>21</v>
      </c>
      <c r="D14" t="s">
        <v>22</v>
      </c>
      <c r="E14" t="s">
        <v>24</v>
      </c>
      <c r="F14" t="s">
        <v>37</v>
      </c>
      <c r="G14" t="s">
        <v>22</v>
      </c>
      <c r="H14" s="2" t="str">
        <f t="shared" si="0"/>
        <v>083215181540000000000000000000</v>
      </c>
      <c r="I14" s="8">
        <v>9006</v>
      </c>
      <c r="J14" s="1">
        <v>2726.25</v>
      </c>
      <c r="K14" s="1">
        <v>196638.67</v>
      </c>
      <c r="L14" s="1">
        <v>198715.51999999999</v>
      </c>
      <c r="M14" s="1">
        <v>2697.7567036512</v>
      </c>
      <c r="N14">
        <v>1</v>
      </c>
    </row>
    <row r="15" spans="1:17" x14ac:dyDescent="0.35">
      <c r="A15" t="s">
        <v>19</v>
      </c>
      <c r="B15" t="s">
        <v>20</v>
      </c>
      <c r="C15" t="s">
        <v>21</v>
      </c>
      <c r="D15" t="s">
        <v>22</v>
      </c>
      <c r="E15" t="s">
        <v>24</v>
      </c>
      <c r="F15" t="s">
        <v>56</v>
      </c>
      <c r="G15" t="s">
        <v>22</v>
      </c>
      <c r="H15" s="2" t="str">
        <f t="shared" si="0"/>
        <v>083215180920000000000000000000</v>
      </c>
      <c r="I15" s="8">
        <v>1207</v>
      </c>
      <c r="J15" s="1">
        <v>365.38</v>
      </c>
      <c r="K15" s="1">
        <v>196638.67</v>
      </c>
      <c r="L15" s="1">
        <v>198715.51999999999</v>
      </c>
      <c r="M15" s="1">
        <v>361.55952252899999</v>
      </c>
      <c r="N15">
        <v>1</v>
      </c>
    </row>
    <row r="16" spans="1:17" x14ac:dyDescent="0.35">
      <c r="A16" t="s">
        <v>19</v>
      </c>
      <c r="B16" t="s">
        <v>20</v>
      </c>
      <c r="C16" t="s">
        <v>21</v>
      </c>
      <c r="D16" t="s">
        <v>22</v>
      </c>
      <c r="E16" t="s">
        <v>24</v>
      </c>
      <c r="F16" t="s">
        <v>68</v>
      </c>
      <c r="G16" t="s">
        <v>22</v>
      </c>
      <c r="H16" s="2" t="str">
        <f t="shared" si="0"/>
        <v>083215181570000000000000000000</v>
      </c>
      <c r="I16" s="8">
        <v>5526</v>
      </c>
      <c r="J16" s="1">
        <v>1672.81</v>
      </c>
      <c r="K16" s="1">
        <v>196638.67</v>
      </c>
      <c r="L16" s="1">
        <v>198715.51999999999</v>
      </c>
      <c r="M16" s="1">
        <v>1655.3259543137001</v>
      </c>
      <c r="N16">
        <v>1</v>
      </c>
    </row>
    <row r="17" spans="1:14" x14ac:dyDescent="0.35">
      <c r="A17" t="s">
        <v>19</v>
      </c>
      <c r="B17" t="s">
        <v>20</v>
      </c>
      <c r="C17" t="s">
        <v>21</v>
      </c>
      <c r="D17" t="s">
        <v>22</v>
      </c>
      <c r="E17" t="s">
        <v>24</v>
      </c>
      <c r="F17" t="s">
        <v>89</v>
      </c>
      <c r="G17" t="s">
        <v>22</v>
      </c>
      <c r="H17" s="2" t="str">
        <f t="shared" si="0"/>
        <v>083215181270000000000000000000</v>
      </c>
      <c r="I17" s="8">
        <v>6288</v>
      </c>
      <c r="J17" s="1">
        <v>1903.47</v>
      </c>
      <c r="K17" s="1">
        <v>196638.67</v>
      </c>
      <c r="L17" s="1">
        <v>198715.51999999999</v>
      </c>
      <c r="M17" s="1">
        <v>1883.5742905162001</v>
      </c>
      <c r="N17">
        <v>1</v>
      </c>
    </row>
    <row r="18" spans="1:14" x14ac:dyDescent="0.35">
      <c r="A18" t="s">
        <v>19</v>
      </c>
      <c r="B18" t="s">
        <v>20</v>
      </c>
      <c r="C18" t="s">
        <v>21</v>
      </c>
      <c r="D18" t="s">
        <v>22</v>
      </c>
      <c r="E18" t="s">
        <v>24</v>
      </c>
      <c r="F18" t="s">
        <v>46</v>
      </c>
      <c r="G18" t="s">
        <v>22</v>
      </c>
      <c r="H18" s="2" t="str">
        <f t="shared" si="0"/>
        <v>083215181320000000000000000000</v>
      </c>
      <c r="I18" s="8">
        <v>1909</v>
      </c>
      <c r="J18" s="1">
        <v>577.88</v>
      </c>
      <c r="K18" s="1">
        <v>196638.67</v>
      </c>
      <c r="L18" s="1">
        <v>198715.51999999999</v>
      </c>
      <c r="M18" s="1">
        <v>571.83901706690006</v>
      </c>
      <c r="N18">
        <v>1</v>
      </c>
    </row>
    <row r="19" spans="1:14" x14ac:dyDescent="0.35">
      <c r="A19" t="s">
        <v>19</v>
      </c>
      <c r="B19" t="s">
        <v>20</v>
      </c>
      <c r="C19" t="s">
        <v>21</v>
      </c>
      <c r="D19" t="s">
        <v>22</v>
      </c>
      <c r="E19" t="s">
        <v>24</v>
      </c>
      <c r="F19" t="s">
        <v>105</v>
      </c>
      <c r="G19" t="s">
        <v>22</v>
      </c>
      <c r="H19" s="2" t="str">
        <f t="shared" si="0"/>
        <v>083215181390000000000000000000</v>
      </c>
      <c r="I19" s="8">
        <v>2013</v>
      </c>
      <c r="J19" s="1">
        <v>609.37</v>
      </c>
      <c r="K19" s="1">
        <v>196638.67</v>
      </c>
      <c r="L19" s="1">
        <v>198715.51999999999</v>
      </c>
      <c r="M19" s="1">
        <v>603.0003471018</v>
      </c>
      <c r="N19">
        <v>1</v>
      </c>
    </row>
    <row r="20" spans="1:14" x14ac:dyDescent="0.35">
      <c r="A20" t="s">
        <v>19</v>
      </c>
      <c r="B20" t="s">
        <v>20</v>
      </c>
      <c r="C20" t="s">
        <v>21</v>
      </c>
      <c r="D20" t="s">
        <v>22</v>
      </c>
      <c r="E20" t="s">
        <v>24</v>
      </c>
      <c r="F20" t="s">
        <v>41</v>
      </c>
      <c r="G20" t="s">
        <v>22</v>
      </c>
      <c r="H20" s="2" t="str">
        <f t="shared" si="0"/>
        <v>083215181710000000000000000000</v>
      </c>
      <c r="I20" s="8">
        <v>759</v>
      </c>
      <c r="J20" s="1">
        <v>229.76</v>
      </c>
      <c r="K20" s="1">
        <v>196638.67</v>
      </c>
      <c r="L20" s="1">
        <v>198715.51999999999</v>
      </c>
      <c r="M20" s="1">
        <v>227.3575630274</v>
      </c>
      <c r="N20">
        <v>1</v>
      </c>
    </row>
    <row r="21" spans="1:14" x14ac:dyDescent="0.35">
      <c r="A21" t="s">
        <v>19</v>
      </c>
      <c r="B21" t="s">
        <v>20</v>
      </c>
      <c r="C21" t="s">
        <v>21</v>
      </c>
      <c r="D21" t="s">
        <v>22</v>
      </c>
      <c r="E21" t="s">
        <v>24</v>
      </c>
      <c r="F21" t="s">
        <v>100</v>
      </c>
      <c r="G21" t="s">
        <v>22</v>
      </c>
      <c r="H21" s="2" t="str">
        <f t="shared" si="0"/>
        <v>083215181120000000000000000000</v>
      </c>
      <c r="I21" s="8">
        <v>2448</v>
      </c>
      <c r="J21" s="1">
        <v>741.05</v>
      </c>
      <c r="K21" s="1">
        <v>196638.67</v>
      </c>
      <c r="L21" s="1">
        <v>198715.51999999999</v>
      </c>
      <c r="M21" s="1">
        <v>733.30492816399999</v>
      </c>
      <c r="N21">
        <v>1</v>
      </c>
    </row>
    <row r="22" spans="1:14" x14ac:dyDescent="0.35">
      <c r="A22" t="s">
        <v>19</v>
      </c>
      <c r="B22" t="s">
        <v>20</v>
      </c>
      <c r="C22" t="s">
        <v>21</v>
      </c>
      <c r="D22" t="s">
        <v>22</v>
      </c>
      <c r="E22" t="s">
        <v>24</v>
      </c>
      <c r="F22" t="s">
        <v>98</v>
      </c>
      <c r="G22" t="s">
        <v>22</v>
      </c>
      <c r="H22" s="2" t="str">
        <f t="shared" si="0"/>
        <v>083215181410000000000000000000</v>
      </c>
      <c r="I22" s="8">
        <v>2001</v>
      </c>
      <c r="J22" s="1">
        <v>605.73</v>
      </c>
      <c r="K22" s="1">
        <v>196638.67</v>
      </c>
      <c r="L22" s="1">
        <v>198715.51999999999</v>
      </c>
      <c r="M22" s="1">
        <v>599.39792666740004</v>
      </c>
      <c r="N22">
        <v>1</v>
      </c>
    </row>
    <row r="23" spans="1:14" x14ac:dyDescent="0.35">
      <c r="A23" t="s">
        <v>19</v>
      </c>
      <c r="B23" t="s">
        <v>20</v>
      </c>
      <c r="C23" t="s">
        <v>21</v>
      </c>
      <c r="D23" t="s">
        <v>22</v>
      </c>
      <c r="E23" t="s">
        <v>24</v>
      </c>
      <c r="F23" t="s">
        <v>71</v>
      </c>
      <c r="G23" t="s">
        <v>22</v>
      </c>
      <c r="H23" s="2" t="str">
        <f t="shared" si="0"/>
        <v>083215181420000000000000000000</v>
      </c>
      <c r="I23" s="8">
        <v>8638</v>
      </c>
      <c r="J23" s="1">
        <v>2614.86</v>
      </c>
      <c r="K23" s="1">
        <v>196638.67</v>
      </c>
      <c r="L23" s="1">
        <v>198715.51999999999</v>
      </c>
      <c r="M23" s="1">
        <v>2587.5308971826998</v>
      </c>
      <c r="N23">
        <v>1</v>
      </c>
    </row>
    <row r="24" spans="1:14" x14ac:dyDescent="0.35">
      <c r="A24" t="s">
        <v>19</v>
      </c>
      <c r="B24" t="s">
        <v>20</v>
      </c>
      <c r="C24" t="s">
        <v>21</v>
      </c>
      <c r="D24" t="s">
        <v>22</v>
      </c>
      <c r="E24" t="s">
        <v>24</v>
      </c>
      <c r="F24" t="s">
        <v>77</v>
      </c>
      <c r="G24" t="s">
        <v>22</v>
      </c>
      <c r="H24" s="2" t="str">
        <f t="shared" si="0"/>
        <v>083215181430000000000000000000</v>
      </c>
      <c r="I24" s="8">
        <v>5911</v>
      </c>
      <c r="J24" s="1">
        <v>1789.35</v>
      </c>
      <c r="K24" s="1">
        <v>196638.67</v>
      </c>
      <c r="L24" s="1">
        <v>198715.51999999999</v>
      </c>
      <c r="M24" s="1">
        <v>1770.6486351086</v>
      </c>
      <c r="N24">
        <v>1</v>
      </c>
    </row>
    <row r="25" spans="1:14" x14ac:dyDescent="0.35">
      <c r="A25" t="s">
        <v>19</v>
      </c>
      <c r="B25" t="s">
        <v>20</v>
      </c>
      <c r="C25" t="s">
        <v>21</v>
      </c>
      <c r="D25" t="s">
        <v>22</v>
      </c>
      <c r="E25" t="s">
        <v>24</v>
      </c>
      <c r="F25" t="s">
        <v>40</v>
      </c>
      <c r="G25" t="s">
        <v>22</v>
      </c>
      <c r="H25" s="2" t="str">
        <f t="shared" si="0"/>
        <v>083215181040000000000000000000</v>
      </c>
      <c r="I25" s="8">
        <v>3095</v>
      </c>
      <c r="J25" s="1">
        <v>936.9</v>
      </c>
      <c r="K25" s="1">
        <v>196638.67</v>
      </c>
      <c r="L25" s="1">
        <v>198715.51999999999</v>
      </c>
      <c r="M25" s="1">
        <v>927.10806854259999</v>
      </c>
      <c r="N25">
        <v>1</v>
      </c>
    </row>
    <row r="26" spans="1:14" x14ac:dyDescent="0.35">
      <c r="A26" t="s">
        <v>19</v>
      </c>
      <c r="B26" t="s">
        <v>20</v>
      </c>
      <c r="C26" t="s">
        <v>21</v>
      </c>
      <c r="D26" t="s">
        <v>22</v>
      </c>
      <c r="E26" t="s">
        <v>24</v>
      </c>
      <c r="F26" t="s">
        <v>96</v>
      </c>
      <c r="G26" t="s">
        <v>22</v>
      </c>
      <c r="H26" s="2" t="str">
        <f t="shared" si="0"/>
        <v>083215181670000000000000000000</v>
      </c>
      <c r="I26" s="8">
        <v>598</v>
      </c>
      <c r="J26" s="1">
        <v>181.02</v>
      </c>
      <c r="K26" s="1">
        <v>196638.67</v>
      </c>
      <c r="L26" s="1">
        <v>198715.51999999999</v>
      </c>
      <c r="M26" s="1">
        <v>179.12799643650001</v>
      </c>
      <c r="N26">
        <v>1</v>
      </c>
    </row>
    <row r="27" spans="1:14" x14ac:dyDescent="0.35">
      <c r="A27" t="s">
        <v>19</v>
      </c>
      <c r="B27" t="s">
        <v>20</v>
      </c>
      <c r="C27" t="s">
        <v>21</v>
      </c>
      <c r="D27" t="s">
        <v>22</v>
      </c>
      <c r="E27" t="s">
        <v>24</v>
      </c>
      <c r="F27" t="s">
        <v>54</v>
      </c>
      <c r="G27" t="s">
        <v>22</v>
      </c>
      <c r="H27" s="2" t="str">
        <f t="shared" si="0"/>
        <v>083215181640000000000000000000</v>
      </c>
      <c r="I27" s="8">
        <v>943</v>
      </c>
      <c r="J27" s="1">
        <v>285.45999999999998</v>
      </c>
      <c r="K27" s="1">
        <v>196638.67</v>
      </c>
      <c r="L27" s="1">
        <v>198715.51999999999</v>
      </c>
      <c r="M27" s="1">
        <v>282.47538222840001</v>
      </c>
      <c r="N27">
        <v>1</v>
      </c>
    </row>
    <row r="28" spans="1:14" x14ac:dyDescent="0.35">
      <c r="A28" t="s">
        <v>19</v>
      </c>
      <c r="B28" t="s">
        <v>20</v>
      </c>
      <c r="C28" t="s">
        <v>21</v>
      </c>
      <c r="D28" t="s">
        <v>22</v>
      </c>
      <c r="E28" t="s">
        <v>24</v>
      </c>
      <c r="F28" t="s">
        <v>43</v>
      </c>
      <c r="G28" t="s">
        <v>22</v>
      </c>
      <c r="H28" s="2" t="str">
        <f t="shared" si="0"/>
        <v>083215180890000000000000000000</v>
      </c>
      <c r="I28" s="8">
        <v>503</v>
      </c>
      <c r="J28" s="1">
        <v>152.27000000000001</v>
      </c>
      <c r="K28" s="1">
        <v>196638.67</v>
      </c>
      <c r="L28" s="1">
        <v>198715.51999999999</v>
      </c>
      <c r="M28" s="1">
        <v>150.67831366089999</v>
      </c>
      <c r="N28">
        <v>1</v>
      </c>
    </row>
    <row r="29" spans="1:14" x14ac:dyDescent="0.35">
      <c r="A29" t="s">
        <v>19</v>
      </c>
      <c r="B29" t="s">
        <v>20</v>
      </c>
      <c r="C29" t="s">
        <v>21</v>
      </c>
      <c r="D29" t="s">
        <v>22</v>
      </c>
      <c r="E29" t="s">
        <v>24</v>
      </c>
      <c r="F29" t="s">
        <v>83</v>
      </c>
      <c r="G29" t="s">
        <v>22</v>
      </c>
      <c r="H29" s="2" t="str">
        <f t="shared" si="0"/>
        <v>083215181110000000000000000000</v>
      </c>
      <c r="I29" s="8">
        <v>5184</v>
      </c>
      <c r="J29" s="1">
        <v>1569.28</v>
      </c>
      <c r="K29" s="1">
        <v>196638.67</v>
      </c>
      <c r="L29" s="1">
        <v>198715.51999999999</v>
      </c>
      <c r="M29" s="1">
        <v>1552.8772072437</v>
      </c>
      <c r="N29">
        <v>1</v>
      </c>
    </row>
    <row r="30" spans="1:14" x14ac:dyDescent="0.35">
      <c r="A30" t="s">
        <v>19</v>
      </c>
      <c r="B30" t="s">
        <v>20</v>
      </c>
      <c r="C30" t="s">
        <v>21</v>
      </c>
      <c r="D30" t="s">
        <v>22</v>
      </c>
      <c r="E30" t="s">
        <v>24</v>
      </c>
      <c r="F30" t="s">
        <v>110</v>
      </c>
      <c r="G30" t="s">
        <v>22</v>
      </c>
      <c r="H30" s="2" t="str">
        <f t="shared" si="0"/>
        <v>083215181310000000000000000000</v>
      </c>
      <c r="I30" s="8">
        <v>1863</v>
      </c>
      <c r="J30" s="1">
        <v>563.96</v>
      </c>
      <c r="K30" s="1">
        <v>196638.67</v>
      </c>
      <c r="L30" s="1">
        <v>198715.51999999999</v>
      </c>
      <c r="M30" s="1">
        <v>558.0644782334</v>
      </c>
      <c r="N30">
        <v>1</v>
      </c>
    </row>
    <row r="31" spans="1:14" x14ac:dyDescent="0.35">
      <c r="A31" t="s">
        <v>19</v>
      </c>
      <c r="B31" t="s">
        <v>20</v>
      </c>
      <c r="C31" t="s">
        <v>21</v>
      </c>
      <c r="D31" t="s">
        <v>22</v>
      </c>
      <c r="E31" t="s">
        <v>24</v>
      </c>
      <c r="F31" t="s">
        <v>111</v>
      </c>
      <c r="G31" t="s">
        <v>22</v>
      </c>
      <c r="H31" s="2" t="str">
        <f t="shared" si="0"/>
        <v>083215181440000000000000000000</v>
      </c>
      <c r="I31" s="8">
        <v>2439</v>
      </c>
      <c r="J31" s="1">
        <v>738.32</v>
      </c>
      <c r="K31" s="1">
        <v>196638.67</v>
      </c>
      <c r="L31" s="1">
        <v>198715.51999999999</v>
      </c>
      <c r="M31" s="1">
        <v>730.60311283819999</v>
      </c>
      <c r="N31">
        <v>1</v>
      </c>
    </row>
    <row r="32" spans="1:14" x14ac:dyDescent="0.35">
      <c r="A32" t="s">
        <v>19</v>
      </c>
      <c r="B32" t="s">
        <v>20</v>
      </c>
      <c r="C32" t="s">
        <v>21</v>
      </c>
      <c r="D32" t="s">
        <v>22</v>
      </c>
      <c r="E32" t="s">
        <v>24</v>
      </c>
      <c r="F32" t="s">
        <v>28</v>
      </c>
      <c r="G32" t="s">
        <v>22</v>
      </c>
      <c r="H32" s="2" t="str">
        <f t="shared" si="0"/>
        <v>083215181610000000000000000000</v>
      </c>
      <c r="I32" s="8">
        <v>3291</v>
      </c>
      <c r="J32" s="1">
        <v>996.24</v>
      </c>
      <c r="K32" s="1">
        <v>196638.67</v>
      </c>
      <c r="L32" s="1">
        <v>198715.51999999999</v>
      </c>
      <c r="M32" s="1">
        <v>985.82634179130002</v>
      </c>
      <c r="N32">
        <v>1</v>
      </c>
    </row>
    <row r="33" spans="1:14" x14ac:dyDescent="0.35">
      <c r="A33" t="s">
        <v>19</v>
      </c>
      <c r="B33" t="s">
        <v>20</v>
      </c>
      <c r="C33" t="s">
        <v>21</v>
      </c>
      <c r="D33" t="s">
        <v>22</v>
      </c>
      <c r="E33" t="s">
        <v>24</v>
      </c>
      <c r="F33" t="s">
        <v>84</v>
      </c>
      <c r="G33" t="s">
        <v>22</v>
      </c>
      <c r="H33" s="2" t="str">
        <f t="shared" si="0"/>
        <v>083215181630000000000000000000</v>
      </c>
      <c r="I33" s="8">
        <v>2301</v>
      </c>
      <c r="J33" s="1">
        <v>696.55</v>
      </c>
      <c r="K33" s="1">
        <v>196638.67</v>
      </c>
      <c r="L33" s="1">
        <v>198715.51999999999</v>
      </c>
      <c r="M33" s="1">
        <v>689.26966440419994</v>
      </c>
      <c r="N33">
        <v>1</v>
      </c>
    </row>
    <row r="34" spans="1:14" x14ac:dyDescent="0.35">
      <c r="A34" t="s">
        <v>19</v>
      </c>
      <c r="B34" t="s">
        <v>20</v>
      </c>
      <c r="C34" t="s">
        <v>21</v>
      </c>
      <c r="D34" t="s">
        <v>22</v>
      </c>
      <c r="E34" t="s">
        <v>24</v>
      </c>
      <c r="F34" t="s">
        <v>35</v>
      </c>
      <c r="G34" t="s">
        <v>22</v>
      </c>
      <c r="H34" s="2" t="str">
        <f t="shared" si="0"/>
        <v>083215180830000000000000000000</v>
      </c>
      <c r="I34" s="8">
        <v>559</v>
      </c>
      <c r="J34" s="1">
        <v>169.22</v>
      </c>
      <c r="K34" s="1">
        <v>196638.67</v>
      </c>
      <c r="L34" s="1">
        <v>198715.51999999999</v>
      </c>
      <c r="M34" s="1">
        <v>167.4496258252</v>
      </c>
      <c r="N34">
        <v>1</v>
      </c>
    </row>
    <row r="35" spans="1:14" x14ac:dyDescent="0.35">
      <c r="A35" t="s">
        <v>19</v>
      </c>
      <c r="B35" t="s">
        <v>20</v>
      </c>
      <c r="C35" t="s">
        <v>21</v>
      </c>
      <c r="D35" t="s">
        <v>22</v>
      </c>
      <c r="E35" t="s">
        <v>24</v>
      </c>
      <c r="F35" t="s">
        <v>49</v>
      </c>
      <c r="G35" t="s">
        <v>22</v>
      </c>
      <c r="H35" s="2" t="str">
        <f t="shared" si="0"/>
        <v>083215181530000000000000000000</v>
      </c>
      <c r="I35" s="8">
        <v>884</v>
      </c>
      <c r="J35" s="1">
        <v>267.60000000000002</v>
      </c>
      <c r="K35" s="1">
        <v>196638.67</v>
      </c>
      <c r="L35" s="1">
        <v>198715.51999999999</v>
      </c>
      <c r="M35" s="1">
        <v>264.80149856880001</v>
      </c>
      <c r="N35">
        <v>1</v>
      </c>
    </row>
    <row r="36" spans="1:14" x14ac:dyDescent="0.35">
      <c r="A36" t="s">
        <v>19</v>
      </c>
      <c r="B36" t="s">
        <v>20</v>
      </c>
      <c r="C36" t="s">
        <v>21</v>
      </c>
      <c r="D36" t="s">
        <v>22</v>
      </c>
      <c r="E36" t="s">
        <v>24</v>
      </c>
      <c r="F36" t="s">
        <v>66</v>
      </c>
      <c r="G36" t="s">
        <v>22</v>
      </c>
      <c r="H36" s="2" t="str">
        <f t="shared" si="0"/>
        <v>083215181290000000000000000000</v>
      </c>
      <c r="I36" s="8">
        <v>5982</v>
      </c>
      <c r="J36" s="1">
        <v>1810.84</v>
      </c>
      <c r="K36" s="1">
        <v>196638.67</v>
      </c>
      <c r="L36" s="1">
        <v>198715.51999999999</v>
      </c>
      <c r="M36" s="1">
        <v>1791.9131408824001</v>
      </c>
      <c r="N36">
        <v>1</v>
      </c>
    </row>
    <row r="37" spans="1:14" x14ac:dyDescent="0.35">
      <c r="A37" t="s">
        <v>19</v>
      </c>
      <c r="B37" t="s">
        <v>20</v>
      </c>
      <c r="C37" t="s">
        <v>21</v>
      </c>
      <c r="D37" t="s">
        <v>22</v>
      </c>
      <c r="E37" t="s">
        <v>24</v>
      </c>
      <c r="F37" t="s">
        <v>67</v>
      </c>
      <c r="G37" t="s">
        <v>22</v>
      </c>
      <c r="H37" s="2" t="str">
        <f t="shared" si="0"/>
        <v>083215181090000000000000000000</v>
      </c>
      <c r="I37" s="8">
        <v>34059</v>
      </c>
      <c r="J37" s="1">
        <v>10310.18</v>
      </c>
      <c r="K37" s="1">
        <v>196638.67</v>
      </c>
      <c r="L37" s="1">
        <v>198715.51999999999</v>
      </c>
      <c r="M37" s="1">
        <v>10202.424350920401</v>
      </c>
      <c r="N37">
        <v>1</v>
      </c>
    </row>
    <row r="38" spans="1:14" x14ac:dyDescent="0.35">
      <c r="A38" t="s">
        <v>19</v>
      </c>
      <c r="B38" t="s">
        <v>20</v>
      </c>
      <c r="C38" t="s">
        <v>21</v>
      </c>
      <c r="D38" t="s">
        <v>22</v>
      </c>
      <c r="E38" t="s">
        <v>24</v>
      </c>
      <c r="F38" t="s">
        <v>106</v>
      </c>
      <c r="G38" t="s">
        <v>22</v>
      </c>
      <c r="H38" s="2" t="str">
        <f t="shared" si="0"/>
        <v>083215180880000000000000000000</v>
      </c>
      <c r="I38" s="8">
        <v>1152</v>
      </c>
      <c r="J38" s="1">
        <v>348.73</v>
      </c>
      <c r="K38" s="1">
        <v>196638.67</v>
      </c>
      <c r="L38" s="1">
        <v>198715.51999999999</v>
      </c>
      <c r="M38" s="1">
        <v>345.08513475640001</v>
      </c>
      <c r="N38">
        <v>1</v>
      </c>
    </row>
    <row r="39" spans="1:14" x14ac:dyDescent="0.35">
      <c r="A39" t="s">
        <v>19</v>
      </c>
      <c r="B39" t="s">
        <v>20</v>
      </c>
      <c r="C39" t="s">
        <v>21</v>
      </c>
      <c r="D39" t="s">
        <v>22</v>
      </c>
      <c r="E39" t="s">
        <v>24</v>
      </c>
      <c r="F39" t="s">
        <v>101</v>
      </c>
      <c r="G39" t="s">
        <v>22</v>
      </c>
      <c r="H39" s="2" t="str">
        <f t="shared" si="0"/>
        <v>083215181720000000000000000000</v>
      </c>
      <c r="I39" s="8">
        <v>22779</v>
      </c>
      <c r="J39" s="1">
        <v>6895.55</v>
      </c>
      <c r="K39" s="1">
        <v>196638.67</v>
      </c>
      <c r="L39" s="1">
        <v>198715.51999999999</v>
      </c>
      <c r="M39" s="1">
        <v>6823.4817985887003</v>
      </c>
      <c r="N39">
        <v>1</v>
      </c>
    </row>
    <row r="40" spans="1:14" x14ac:dyDescent="0.35">
      <c r="A40" t="s">
        <v>19</v>
      </c>
      <c r="B40" t="s">
        <v>20</v>
      </c>
      <c r="C40" t="s">
        <v>21</v>
      </c>
      <c r="D40" t="s">
        <v>22</v>
      </c>
      <c r="E40" t="s">
        <v>24</v>
      </c>
      <c r="F40" t="s">
        <v>86</v>
      </c>
      <c r="G40" t="s">
        <v>22</v>
      </c>
      <c r="H40" s="2" t="str">
        <f t="shared" si="0"/>
        <v>083215180910000000000000000000</v>
      </c>
      <c r="I40" s="8">
        <v>1409</v>
      </c>
      <c r="J40" s="1">
        <v>426.53</v>
      </c>
      <c r="K40" s="1">
        <v>196638.67</v>
      </c>
      <c r="L40" s="1">
        <v>198715.51999999999</v>
      </c>
      <c r="M40" s="1">
        <v>422.07114044809998</v>
      </c>
      <c r="N40">
        <v>1</v>
      </c>
    </row>
    <row r="41" spans="1:14" x14ac:dyDescent="0.35">
      <c r="A41" t="s">
        <v>19</v>
      </c>
      <c r="B41" t="s">
        <v>20</v>
      </c>
      <c r="C41" t="s">
        <v>21</v>
      </c>
      <c r="D41" t="s">
        <v>22</v>
      </c>
      <c r="E41" t="s">
        <v>24</v>
      </c>
      <c r="F41" t="s">
        <v>82</v>
      </c>
      <c r="G41" t="s">
        <v>22</v>
      </c>
      <c r="H41" s="2" t="str">
        <f t="shared" si="0"/>
        <v>083215181500000000000000000000</v>
      </c>
      <c r="I41" s="8">
        <v>14082</v>
      </c>
      <c r="J41" s="1">
        <v>4262.84</v>
      </c>
      <c r="K41" s="1">
        <v>196638.67</v>
      </c>
      <c r="L41" s="1">
        <v>198715.51999999999</v>
      </c>
      <c r="M41" s="1">
        <v>4218.2868496799001</v>
      </c>
      <c r="N41">
        <v>1</v>
      </c>
    </row>
    <row r="42" spans="1:14" x14ac:dyDescent="0.35">
      <c r="A42" t="s">
        <v>19</v>
      </c>
      <c r="B42" t="s">
        <v>20</v>
      </c>
      <c r="C42" t="s">
        <v>21</v>
      </c>
      <c r="D42" t="s">
        <v>22</v>
      </c>
      <c r="E42" t="s">
        <v>24</v>
      </c>
      <c r="F42" t="s">
        <v>78</v>
      </c>
      <c r="G42" t="s">
        <v>22</v>
      </c>
      <c r="H42" s="2" t="str">
        <f t="shared" si="0"/>
        <v>083215180990000000000000000000</v>
      </c>
      <c r="I42" s="8">
        <v>31832</v>
      </c>
      <c r="J42" s="1">
        <v>9636.0400000000009</v>
      </c>
      <c r="K42" s="1">
        <v>196638.67</v>
      </c>
      <c r="L42" s="1">
        <v>198715.51999999999</v>
      </c>
      <c r="M42" s="1">
        <v>9535.3296293321</v>
      </c>
      <c r="N42">
        <v>1</v>
      </c>
    </row>
    <row r="43" spans="1:14" x14ac:dyDescent="0.35">
      <c r="A43" t="s">
        <v>19</v>
      </c>
      <c r="B43" t="s">
        <v>20</v>
      </c>
      <c r="C43" t="s">
        <v>21</v>
      </c>
      <c r="D43" t="s">
        <v>22</v>
      </c>
      <c r="E43" t="s">
        <v>24</v>
      </c>
      <c r="F43" t="s">
        <v>91</v>
      </c>
      <c r="G43" t="s">
        <v>22</v>
      </c>
      <c r="H43" s="2" t="str">
        <f t="shared" si="0"/>
        <v>083215180930000000000000000000</v>
      </c>
      <c r="I43" s="8">
        <v>961</v>
      </c>
      <c r="J43" s="1">
        <v>290.91000000000003</v>
      </c>
      <c r="K43" s="1">
        <v>196638.67</v>
      </c>
      <c r="L43" s="1">
        <v>198715.51999999999</v>
      </c>
      <c r="M43" s="1">
        <v>287.86918094650002</v>
      </c>
      <c r="N43">
        <v>1</v>
      </c>
    </row>
    <row r="44" spans="1:14" x14ac:dyDescent="0.35">
      <c r="A44" t="s">
        <v>19</v>
      </c>
      <c r="B44" t="s">
        <v>20</v>
      </c>
      <c r="C44" t="s">
        <v>21</v>
      </c>
      <c r="D44" t="s">
        <v>22</v>
      </c>
      <c r="E44" t="s">
        <v>24</v>
      </c>
      <c r="F44" t="s">
        <v>99</v>
      </c>
      <c r="G44" t="s">
        <v>22</v>
      </c>
      <c r="H44" s="2" t="str">
        <f t="shared" si="0"/>
        <v>083215181700000000000000000000</v>
      </c>
      <c r="I44" s="8">
        <v>108.44</v>
      </c>
      <c r="J44" s="1">
        <v>32.83</v>
      </c>
      <c r="K44" s="1">
        <v>196638.67</v>
      </c>
      <c r="L44" s="1">
        <v>198715.51999999999</v>
      </c>
      <c r="M44" s="1">
        <v>32.486674670699998</v>
      </c>
      <c r="N44">
        <v>1</v>
      </c>
    </row>
    <row r="45" spans="1:14" x14ac:dyDescent="0.35">
      <c r="A45" t="s">
        <v>19</v>
      </c>
      <c r="B45" t="s">
        <v>20</v>
      </c>
      <c r="C45" t="s">
        <v>21</v>
      </c>
      <c r="D45" t="s">
        <v>22</v>
      </c>
      <c r="E45" t="s">
        <v>24</v>
      </c>
      <c r="F45" t="s">
        <v>72</v>
      </c>
      <c r="G45" t="s">
        <v>22</v>
      </c>
      <c r="H45" s="2" t="str">
        <f t="shared" si="0"/>
        <v>083215181580000000000000000000</v>
      </c>
      <c r="I45" s="8">
        <v>6009</v>
      </c>
      <c r="J45" s="1">
        <v>1819.02</v>
      </c>
      <c r="K45" s="1">
        <v>196638.67</v>
      </c>
      <c r="L45" s="1">
        <v>198715.51999999999</v>
      </c>
      <c r="M45" s="1">
        <v>1800.0067885395999</v>
      </c>
      <c r="N45">
        <v>1</v>
      </c>
    </row>
    <row r="46" spans="1:14" x14ac:dyDescent="0.35">
      <c r="A46" t="s">
        <v>19</v>
      </c>
      <c r="B46" t="s">
        <v>20</v>
      </c>
      <c r="C46" t="s">
        <v>21</v>
      </c>
      <c r="D46" t="s">
        <v>22</v>
      </c>
      <c r="E46" t="s">
        <v>24</v>
      </c>
      <c r="F46" t="s">
        <v>62</v>
      </c>
      <c r="G46" t="s">
        <v>22</v>
      </c>
      <c r="H46" s="2" t="str">
        <f t="shared" si="0"/>
        <v>083215181190000000000000000000</v>
      </c>
      <c r="I46" s="8">
        <v>6484</v>
      </c>
      <c r="J46" s="1">
        <v>1962.81</v>
      </c>
      <c r="K46" s="1">
        <v>196638.67</v>
      </c>
      <c r="L46" s="1">
        <v>198715.51999999999</v>
      </c>
      <c r="M46" s="1">
        <v>1942.2945301515999</v>
      </c>
      <c r="N46">
        <v>1</v>
      </c>
    </row>
    <row r="47" spans="1:14" x14ac:dyDescent="0.35">
      <c r="A47" t="s">
        <v>19</v>
      </c>
      <c r="B47" t="s">
        <v>20</v>
      </c>
      <c r="C47" t="s">
        <v>21</v>
      </c>
      <c r="D47" t="s">
        <v>22</v>
      </c>
      <c r="E47" t="s">
        <v>24</v>
      </c>
      <c r="F47" t="s">
        <v>33</v>
      </c>
      <c r="G47" t="s">
        <v>22</v>
      </c>
      <c r="H47" s="2" t="str">
        <f t="shared" si="0"/>
        <v>083215181010000000000000000000</v>
      </c>
      <c r="I47" s="8">
        <v>8188</v>
      </c>
      <c r="J47" s="1">
        <v>2478.63</v>
      </c>
      <c r="K47" s="1">
        <v>196638.67</v>
      </c>
      <c r="L47" s="1">
        <v>198715.51999999999</v>
      </c>
      <c r="M47" s="1">
        <v>2452.7232905774999</v>
      </c>
      <c r="N47">
        <v>1</v>
      </c>
    </row>
    <row r="48" spans="1:14" x14ac:dyDescent="0.35">
      <c r="A48" t="s">
        <v>19</v>
      </c>
      <c r="B48" t="s">
        <v>20</v>
      </c>
      <c r="C48" t="s">
        <v>21</v>
      </c>
      <c r="D48" t="s">
        <v>22</v>
      </c>
      <c r="E48" t="s">
        <v>24</v>
      </c>
      <c r="F48" t="s">
        <v>25</v>
      </c>
      <c r="G48" t="s">
        <v>22</v>
      </c>
      <c r="H48" s="2" t="str">
        <f t="shared" si="0"/>
        <v>083215181510000000000000000000</v>
      </c>
      <c r="I48" s="8">
        <v>4159</v>
      </c>
      <c r="J48" s="1">
        <v>1258.99</v>
      </c>
      <c r="K48" s="1">
        <v>196638.67</v>
      </c>
      <c r="L48" s="1">
        <v>198715.51999999999</v>
      </c>
      <c r="M48" s="1">
        <v>1245.8318231988001</v>
      </c>
      <c r="N48">
        <v>1</v>
      </c>
    </row>
    <row r="49" spans="1:14" x14ac:dyDescent="0.35">
      <c r="A49" t="s">
        <v>19</v>
      </c>
      <c r="B49" t="s">
        <v>20</v>
      </c>
      <c r="C49" t="s">
        <v>21</v>
      </c>
      <c r="D49" t="s">
        <v>22</v>
      </c>
      <c r="E49" t="s">
        <v>24</v>
      </c>
      <c r="F49" t="s">
        <v>74</v>
      </c>
      <c r="G49" t="s">
        <v>22</v>
      </c>
      <c r="H49" s="2" t="str">
        <f t="shared" si="0"/>
        <v>083215181490000000000000000000</v>
      </c>
      <c r="I49" s="8">
        <v>14082</v>
      </c>
      <c r="J49" s="1">
        <v>4262.84</v>
      </c>
      <c r="K49" s="1">
        <v>196638.67</v>
      </c>
      <c r="L49" s="1">
        <v>198715.51999999999</v>
      </c>
      <c r="M49" s="1">
        <v>4218.2868496799001</v>
      </c>
      <c r="N49">
        <v>1</v>
      </c>
    </row>
    <row r="50" spans="1:14" x14ac:dyDescent="0.35">
      <c r="A50" t="s">
        <v>19</v>
      </c>
      <c r="B50" t="s">
        <v>20</v>
      </c>
      <c r="C50" t="s">
        <v>21</v>
      </c>
      <c r="D50" t="s">
        <v>22</v>
      </c>
      <c r="E50" t="s">
        <v>24</v>
      </c>
      <c r="F50" t="s">
        <v>81</v>
      </c>
      <c r="G50" t="s">
        <v>22</v>
      </c>
      <c r="H50" s="2" t="str">
        <f t="shared" si="0"/>
        <v>083215181690000000000000000000</v>
      </c>
      <c r="I50" s="8">
        <v>4303</v>
      </c>
      <c r="J50" s="1">
        <v>1302.58</v>
      </c>
      <c r="K50" s="1">
        <v>196638.67</v>
      </c>
      <c r="L50" s="1">
        <v>198715.51999999999</v>
      </c>
      <c r="M50" s="1">
        <v>1288.9645154632999</v>
      </c>
      <c r="N50">
        <v>1</v>
      </c>
    </row>
    <row r="51" spans="1:14" x14ac:dyDescent="0.35">
      <c r="A51" t="s">
        <v>19</v>
      </c>
      <c r="B51" t="s">
        <v>20</v>
      </c>
      <c r="C51" t="s">
        <v>21</v>
      </c>
      <c r="D51" t="s">
        <v>22</v>
      </c>
      <c r="E51" t="s">
        <v>24</v>
      </c>
      <c r="F51" t="s">
        <v>60</v>
      </c>
      <c r="G51" t="s">
        <v>22</v>
      </c>
      <c r="H51" s="2" t="str">
        <f t="shared" si="0"/>
        <v>083215180820000000000000000000</v>
      </c>
      <c r="I51" s="8">
        <v>559</v>
      </c>
      <c r="J51" s="1">
        <v>169.22</v>
      </c>
      <c r="K51" s="1">
        <v>196638.67</v>
      </c>
      <c r="L51" s="1">
        <v>198715.51999999999</v>
      </c>
      <c r="M51" s="1">
        <v>167.4496258252</v>
      </c>
      <c r="N51">
        <v>1</v>
      </c>
    </row>
    <row r="52" spans="1:14" x14ac:dyDescent="0.35">
      <c r="A52" t="s">
        <v>19</v>
      </c>
      <c r="B52" t="s">
        <v>20</v>
      </c>
      <c r="C52" t="s">
        <v>21</v>
      </c>
      <c r="D52" t="s">
        <v>22</v>
      </c>
      <c r="E52" t="s">
        <v>24</v>
      </c>
      <c r="F52" t="s">
        <v>59</v>
      </c>
      <c r="G52" t="s">
        <v>22</v>
      </c>
      <c r="H52" s="2" t="str">
        <f t="shared" si="0"/>
        <v>083215180810000000000000000000</v>
      </c>
      <c r="I52" s="8">
        <v>1275</v>
      </c>
      <c r="J52" s="1">
        <v>385.96</v>
      </c>
      <c r="K52" s="1">
        <v>196638.67</v>
      </c>
      <c r="L52" s="1">
        <v>198715.51999999999</v>
      </c>
      <c r="M52" s="1">
        <v>381.9253895809</v>
      </c>
      <c r="N52">
        <v>1</v>
      </c>
    </row>
    <row r="53" spans="1:14" x14ac:dyDescent="0.35">
      <c r="A53" t="s">
        <v>19</v>
      </c>
      <c r="B53" t="s">
        <v>20</v>
      </c>
      <c r="C53" t="s">
        <v>21</v>
      </c>
      <c r="D53" t="s">
        <v>22</v>
      </c>
      <c r="E53" t="s">
        <v>24</v>
      </c>
      <c r="F53" t="s">
        <v>63</v>
      </c>
      <c r="G53" t="s">
        <v>22</v>
      </c>
      <c r="H53" s="2" t="str">
        <f t="shared" si="0"/>
        <v>083215181100000000000000000000</v>
      </c>
      <c r="I53" s="8">
        <v>5158</v>
      </c>
      <c r="J53" s="1">
        <v>1561.41</v>
      </c>
      <c r="K53" s="1">
        <v>196638.67</v>
      </c>
      <c r="L53" s="1">
        <v>198715.51999999999</v>
      </c>
      <c r="M53" s="1">
        <v>1545.0903159116999</v>
      </c>
      <c r="N53">
        <v>1</v>
      </c>
    </row>
    <row r="54" spans="1:14" x14ac:dyDescent="0.35">
      <c r="A54" t="s">
        <v>19</v>
      </c>
      <c r="B54" t="s">
        <v>20</v>
      </c>
      <c r="C54" t="s">
        <v>21</v>
      </c>
      <c r="D54" t="s">
        <v>22</v>
      </c>
      <c r="E54" t="s">
        <v>24</v>
      </c>
      <c r="F54" t="s">
        <v>48</v>
      </c>
      <c r="G54" t="s">
        <v>22</v>
      </c>
      <c r="H54" s="2" t="str">
        <f t="shared" si="0"/>
        <v>083215181520000000000000000000</v>
      </c>
      <c r="I54" s="8">
        <v>8089</v>
      </c>
      <c r="J54" s="1">
        <v>2448.66</v>
      </c>
      <c r="K54" s="1">
        <v>196638.67</v>
      </c>
      <c r="L54" s="1">
        <v>198715.51999999999</v>
      </c>
      <c r="M54" s="1">
        <v>2423.0662463681001</v>
      </c>
      <c r="N54">
        <v>1</v>
      </c>
    </row>
    <row r="55" spans="1:14" x14ac:dyDescent="0.35">
      <c r="A55" t="s">
        <v>19</v>
      </c>
      <c r="B55" t="s">
        <v>20</v>
      </c>
      <c r="C55" t="s">
        <v>21</v>
      </c>
      <c r="D55" t="s">
        <v>22</v>
      </c>
      <c r="E55" t="s">
        <v>24</v>
      </c>
      <c r="F55" t="s">
        <v>39</v>
      </c>
      <c r="G55" t="s">
        <v>22</v>
      </c>
      <c r="H55" s="2" t="str">
        <f t="shared" si="0"/>
        <v>083215181400000000000000000000</v>
      </c>
      <c r="I55" s="8">
        <v>1476</v>
      </c>
      <c r="J55" s="1">
        <v>446.81</v>
      </c>
      <c r="K55" s="1">
        <v>196638.67</v>
      </c>
      <c r="L55" s="1">
        <v>198715.51999999999</v>
      </c>
      <c r="M55" s="1">
        <v>442.14008310830002</v>
      </c>
      <c r="N55">
        <v>1</v>
      </c>
    </row>
    <row r="56" spans="1:14" x14ac:dyDescent="0.35">
      <c r="A56" t="s">
        <v>19</v>
      </c>
      <c r="B56" t="s">
        <v>20</v>
      </c>
      <c r="C56" t="s">
        <v>21</v>
      </c>
      <c r="D56" t="s">
        <v>22</v>
      </c>
      <c r="E56" t="s">
        <v>24</v>
      </c>
      <c r="F56" t="s">
        <v>53</v>
      </c>
      <c r="G56" t="s">
        <v>22</v>
      </c>
      <c r="H56" s="2" t="str">
        <f t="shared" si="0"/>
        <v>083215181680000000000000000000</v>
      </c>
      <c r="I56" s="8">
        <v>2830</v>
      </c>
      <c r="J56" s="1">
        <v>856.68</v>
      </c>
      <c r="K56" s="1">
        <v>196638.67</v>
      </c>
      <c r="L56" s="1">
        <v>198715.51999999999</v>
      </c>
      <c r="M56" s="1">
        <v>847.72503746359996</v>
      </c>
      <c r="N56">
        <v>1</v>
      </c>
    </row>
    <row r="57" spans="1:14" x14ac:dyDescent="0.35">
      <c r="A57" t="s">
        <v>19</v>
      </c>
      <c r="B57" t="s">
        <v>20</v>
      </c>
      <c r="C57" t="s">
        <v>21</v>
      </c>
      <c r="D57" t="s">
        <v>22</v>
      </c>
      <c r="E57" t="s">
        <v>24</v>
      </c>
      <c r="F57" t="s">
        <v>76</v>
      </c>
      <c r="G57" t="s">
        <v>22</v>
      </c>
      <c r="H57" s="2" t="str">
        <f t="shared" si="0"/>
        <v>083215181480000000000000000000</v>
      </c>
      <c r="I57" s="8">
        <v>229</v>
      </c>
      <c r="J57" s="1">
        <v>69.319999999999993</v>
      </c>
      <c r="K57" s="1">
        <v>196638.67</v>
      </c>
      <c r="L57" s="1">
        <v>198715.51999999999</v>
      </c>
      <c r="M57" s="1">
        <v>68.595433642800003</v>
      </c>
      <c r="N57">
        <v>1</v>
      </c>
    </row>
    <row r="58" spans="1:14" x14ac:dyDescent="0.35">
      <c r="A58" t="s">
        <v>19</v>
      </c>
      <c r="B58" t="s">
        <v>20</v>
      </c>
      <c r="C58" t="s">
        <v>21</v>
      </c>
      <c r="D58" t="s">
        <v>22</v>
      </c>
      <c r="E58" t="s">
        <v>24</v>
      </c>
      <c r="F58" t="s">
        <v>27</v>
      </c>
      <c r="G58" t="s">
        <v>22</v>
      </c>
      <c r="H58" s="2" t="str">
        <f t="shared" si="0"/>
        <v>083215181300000000000000000000</v>
      </c>
      <c r="I58" s="8">
        <v>1381</v>
      </c>
      <c r="J58" s="1">
        <v>418.05</v>
      </c>
      <c r="K58" s="1">
        <v>196638.67</v>
      </c>
      <c r="L58" s="1">
        <v>198715.51999999999</v>
      </c>
      <c r="M58" s="1">
        <v>413.68056839920001</v>
      </c>
      <c r="N58">
        <v>1</v>
      </c>
    </row>
    <row r="59" spans="1:14" x14ac:dyDescent="0.35">
      <c r="A59" t="s">
        <v>19</v>
      </c>
      <c r="B59" t="s">
        <v>20</v>
      </c>
      <c r="C59" t="s">
        <v>21</v>
      </c>
      <c r="D59" t="s">
        <v>22</v>
      </c>
      <c r="E59" t="s">
        <v>24</v>
      </c>
      <c r="F59" t="s">
        <v>50</v>
      </c>
      <c r="G59" t="s">
        <v>22</v>
      </c>
      <c r="H59" s="2" t="str">
        <f t="shared" si="0"/>
        <v>083215181590000000000000000000</v>
      </c>
      <c r="I59" s="8">
        <v>1572</v>
      </c>
      <c r="J59" s="1">
        <v>475.87</v>
      </c>
      <c r="K59" s="1">
        <v>196638.67</v>
      </c>
      <c r="L59" s="1">
        <v>198715.51999999999</v>
      </c>
      <c r="M59" s="1">
        <v>470.89455582239998</v>
      </c>
      <c r="N59">
        <v>1</v>
      </c>
    </row>
    <row r="60" spans="1:14" x14ac:dyDescent="0.35">
      <c r="A60" t="s">
        <v>19</v>
      </c>
      <c r="B60" t="s">
        <v>20</v>
      </c>
      <c r="C60" t="s">
        <v>21</v>
      </c>
      <c r="D60" t="s">
        <v>22</v>
      </c>
      <c r="E60" t="s">
        <v>24</v>
      </c>
      <c r="F60" t="s">
        <v>52</v>
      </c>
      <c r="G60" t="s">
        <v>22</v>
      </c>
      <c r="H60" s="2" t="str">
        <f t="shared" si="0"/>
        <v>083215180900000000000000000000</v>
      </c>
      <c r="I60" s="8">
        <v>1174</v>
      </c>
      <c r="J60" s="1">
        <v>355.39</v>
      </c>
      <c r="K60" s="1">
        <v>196638.67</v>
      </c>
      <c r="L60" s="1">
        <v>198715.51999999999</v>
      </c>
      <c r="M60" s="1">
        <v>351.6744965881</v>
      </c>
      <c r="N60">
        <v>1</v>
      </c>
    </row>
    <row r="61" spans="1:14" x14ac:dyDescent="0.35">
      <c r="A61" t="s">
        <v>19</v>
      </c>
      <c r="B61" t="s">
        <v>20</v>
      </c>
      <c r="C61" t="s">
        <v>21</v>
      </c>
      <c r="D61" t="s">
        <v>22</v>
      </c>
      <c r="E61" t="s">
        <v>24</v>
      </c>
      <c r="F61" t="s">
        <v>97</v>
      </c>
      <c r="G61" t="s">
        <v>22</v>
      </c>
      <c r="H61" s="2" t="str">
        <f t="shared" si="0"/>
        <v>083215180980000000000000000000</v>
      </c>
      <c r="I61" s="8">
        <v>13800</v>
      </c>
      <c r="J61" s="1">
        <v>4177.47</v>
      </c>
      <c r="K61" s="1">
        <v>196638.67</v>
      </c>
      <c r="L61" s="1">
        <v>198715.51999999999</v>
      </c>
      <c r="M61" s="1">
        <v>4133.8089106611997</v>
      </c>
      <c r="N61">
        <v>1</v>
      </c>
    </row>
    <row r="62" spans="1:14" x14ac:dyDescent="0.35">
      <c r="A62" t="s">
        <v>19</v>
      </c>
      <c r="B62" t="s">
        <v>20</v>
      </c>
      <c r="C62" t="s">
        <v>21</v>
      </c>
      <c r="D62" t="s">
        <v>22</v>
      </c>
      <c r="E62" t="s">
        <v>24</v>
      </c>
      <c r="F62" t="s">
        <v>109</v>
      </c>
      <c r="G62" t="s">
        <v>22</v>
      </c>
      <c r="H62" s="2" t="str">
        <f t="shared" si="0"/>
        <v>083215181620000000000000000000</v>
      </c>
      <c r="I62" s="8">
        <v>18189</v>
      </c>
      <c r="J62" s="1">
        <v>5506.09</v>
      </c>
      <c r="K62" s="1">
        <v>196638.67</v>
      </c>
      <c r="L62" s="1">
        <v>198715.51999999999</v>
      </c>
      <c r="M62" s="1">
        <v>5448.5429238280003</v>
      </c>
      <c r="N62">
        <v>1</v>
      </c>
    </row>
    <row r="63" spans="1:14" x14ac:dyDescent="0.35">
      <c r="A63" t="s">
        <v>19</v>
      </c>
      <c r="B63" t="s">
        <v>20</v>
      </c>
      <c r="C63" t="s">
        <v>21</v>
      </c>
      <c r="D63" t="s">
        <v>22</v>
      </c>
      <c r="E63" t="s">
        <v>24</v>
      </c>
      <c r="F63" t="s">
        <v>32</v>
      </c>
      <c r="G63" t="s">
        <v>22</v>
      </c>
      <c r="H63" s="2" t="str">
        <f t="shared" si="0"/>
        <v>083215181060000000000000000000</v>
      </c>
      <c r="I63" s="8">
        <v>9949</v>
      </c>
      <c r="J63" s="1">
        <v>3011.72</v>
      </c>
      <c r="K63" s="1">
        <v>196638.67</v>
      </c>
      <c r="L63" s="1">
        <v>198715.51999999999</v>
      </c>
      <c r="M63" s="1">
        <v>2980.2419178130999</v>
      </c>
      <c r="N63">
        <v>1</v>
      </c>
    </row>
    <row r="64" spans="1:14" x14ac:dyDescent="0.35">
      <c r="A64" t="s">
        <v>19</v>
      </c>
      <c r="B64" t="s">
        <v>20</v>
      </c>
      <c r="C64" t="s">
        <v>21</v>
      </c>
      <c r="D64" t="s">
        <v>22</v>
      </c>
      <c r="E64" t="s">
        <v>24</v>
      </c>
      <c r="F64" t="s">
        <v>88</v>
      </c>
      <c r="G64" t="s">
        <v>22</v>
      </c>
      <c r="H64" s="2" t="str">
        <f t="shared" si="0"/>
        <v>083215181080000000000000000000</v>
      </c>
      <c r="I64" s="8">
        <v>10643</v>
      </c>
      <c r="J64" s="1">
        <v>3221.8</v>
      </c>
      <c r="K64" s="1">
        <v>196638.67</v>
      </c>
      <c r="L64" s="1">
        <v>198715.51999999999</v>
      </c>
      <c r="M64" s="1">
        <v>3188.1263533504002</v>
      </c>
      <c r="N64">
        <v>1</v>
      </c>
    </row>
    <row r="65" spans="1:14" x14ac:dyDescent="0.35">
      <c r="A65" t="s">
        <v>19</v>
      </c>
      <c r="B65" t="s">
        <v>20</v>
      </c>
      <c r="C65" t="s">
        <v>21</v>
      </c>
      <c r="D65" t="s">
        <v>22</v>
      </c>
      <c r="E65" t="s">
        <v>24</v>
      </c>
      <c r="F65" t="s">
        <v>103</v>
      </c>
      <c r="G65" t="s">
        <v>22</v>
      </c>
      <c r="H65" s="2" t="str">
        <f t="shared" si="0"/>
        <v>083215181280000000000000000000</v>
      </c>
      <c r="I65" s="8">
        <v>1655</v>
      </c>
      <c r="J65" s="1">
        <v>500.99</v>
      </c>
      <c r="K65" s="1">
        <v>196638.67</v>
      </c>
      <c r="L65" s="1">
        <v>198715.51999999999</v>
      </c>
      <c r="M65" s="1">
        <v>495.75361648379999</v>
      </c>
      <c r="N65">
        <v>1</v>
      </c>
    </row>
    <row r="66" spans="1:14" x14ac:dyDescent="0.35">
      <c r="A66" t="s">
        <v>19</v>
      </c>
      <c r="B66" t="s">
        <v>20</v>
      </c>
      <c r="C66" t="s">
        <v>21</v>
      </c>
      <c r="D66" t="s">
        <v>22</v>
      </c>
      <c r="E66" t="s">
        <v>24</v>
      </c>
      <c r="F66" t="s">
        <v>69</v>
      </c>
      <c r="G66" t="s">
        <v>22</v>
      </c>
      <c r="H66" s="2" t="str">
        <f t="shared" si="0"/>
        <v>083215181000000000000000000000</v>
      </c>
      <c r="I66" s="8">
        <v>9315</v>
      </c>
      <c r="J66" s="1">
        <v>2819.79</v>
      </c>
      <c r="K66" s="1">
        <v>196638.67</v>
      </c>
      <c r="L66" s="1">
        <v>198715.51999999999</v>
      </c>
      <c r="M66" s="1">
        <v>2790.3184583935999</v>
      </c>
      <c r="N66">
        <v>1</v>
      </c>
    </row>
    <row r="67" spans="1:14" x14ac:dyDescent="0.35">
      <c r="A67" t="s">
        <v>19</v>
      </c>
      <c r="B67" t="s">
        <v>20</v>
      </c>
      <c r="C67" t="s">
        <v>21</v>
      </c>
      <c r="D67" t="s">
        <v>22</v>
      </c>
      <c r="E67" t="s">
        <v>24</v>
      </c>
      <c r="F67" t="s">
        <v>79</v>
      </c>
      <c r="G67" t="s">
        <v>22</v>
      </c>
      <c r="H67" s="2" t="str">
        <f t="shared" ref="H67:H89" si="1">CONCATENATE(E67,F67,G67)</f>
        <v>083215180800000000000000000000</v>
      </c>
      <c r="I67" s="8">
        <v>1979</v>
      </c>
      <c r="J67" s="1">
        <v>599.07000000000005</v>
      </c>
      <c r="K67" s="1">
        <v>196638.67</v>
      </c>
      <c r="L67" s="1">
        <v>198715.51999999999</v>
      </c>
      <c r="M67" s="1">
        <v>592.80856483570005</v>
      </c>
      <c r="N67">
        <v>1</v>
      </c>
    </row>
    <row r="68" spans="1:14" x14ac:dyDescent="0.35">
      <c r="A68" t="s">
        <v>19</v>
      </c>
      <c r="B68" t="s">
        <v>20</v>
      </c>
      <c r="C68" t="s">
        <v>21</v>
      </c>
      <c r="D68" t="s">
        <v>22</v>
      </c>
      <c r="E68" t="s">
        <v>24</v>
      </c>
      <c r="F68" t="s">
        <v>112</v>
      </c>
      <c r="G68" t="s">
        <v>22</v>
      </c>
      <c r="H68" s="2" t="str">
        <f t="shared" si="1"/>
        <v>083215181380000000000000000000</v>
      </c>
      <c r="I68" s="8">
        <v>89</v>
      </c>
      <c r="J68" s="1">
        <v>26.94</v>
      </c>
      <c r="K68" s="1">
        <v>196638.67</v>
      </c>
      <c r="L68" s="1">
        <v>198715.51999999999</v>
      </c>
      <c r="M68" s="1">
        <v>26.658304491900001</v>
      </c>
      <c r="N68">
        <v>1</v>
      </c>
    </row>
    <row r="69" spans="1:14" x14ac:dyDescent="0.35">
      <c r="A69" t="s">
        <v>19</v>
      </c>
      <c r="B69" t="s">
        <v>20</v>
      </c>
      <c r="C69" t="s">
        <v>21</v>
      </c>
      <c r="D69" t="s">
        <v>22</v>
      </c>
      <c r="E69" t="s">
        <v>24</v>
      </c>
      <c r="F69" t="s">
        <v>58</v>
      </c>
      <c r="G69" t="s">
        <v>22</v>
      </c>
      <c r="H69" s="2" t="str">
        <f t="shared" si="1"/>
        <v>083215181330000000000000000000</v>
      </c>
      <c r="I69" s="8">
        <v>9963</v>
      </c>
      <c r="J69" s="1">
        <v>3015.95</v>
      </c>
      <c r="K69" s="1">
        <v>196638.67</v>
      </c>
      <c r="L69" s="1">
        <v>198715.51999999999</v>
      </c>
      <c r="M69" s="1">
        <v>2984.4283550974001</v>
      </c>
      <c r="N69">
        <v>1</v>
      </c>
    </row>
    <row r="70" spans="1:14" x14ac:dyDescent="0.35">
      <c r="A70" t="s">
        <v>19</v>
      </c>
      <c r="B70" t="s">
        <v>20</v>
      </c>
      <c r="C70" t="s">
        <v>21</v>
      </c>
      <c r="D70" t="s">
        <v>22</v>
      </c>
      <c r="E70" t="s">
        <v>24</v>
      </c>
      <c r="F70" t="s">
        <v>94</v>
      </c>
      <c r="G70" t="s">
        <v>22</v>
      </c>
      <c r="H70" s="2" t="str">
        <f t="shared" si="1"/>
        <v>083215181260000000000000000000</v>
      </c>
      <c r="I70" s="8">
        <v>5453</v>
      </c>
      <c r="J70" s="1">
        <v>1650.71</v>
      </c>
      <c r="K70" s="1">
        <v>196638.67</v>
      </c>
      <c r="L70" s="1">
        <v>198715.51999999999</v>
      </c>
      <c r="M70" s="1">
        <v>1633.457767823</v>
      </c>
      <c r="N70">
        <v>1</v>
      </c>
    </row>
    <row r="71" spans="1:14" x14ac:dyDescent="0.35">
      <c r="A71" t="s">
        <v>19</v>
      </c>
      <c r="B71" t="s">
        <v>20</v>
      </c>
      <c r="C71" t="s">
        <v>21</v>
      </c>
      <c r="D71" t="s">
        <v>22</v>
      </c>
      <c r="E71" t="s">
        <v>24</v>
      </c>
      <c r="F71" t="s">
        <v>64</v>
      </c>
      <c r="G71" t="s">
        <v>22</v>
      </c>
      <c r="H71" s="2" t="str">
        <f t="shared" si="1"/>
        <v>083215181600000000000000000000</v>
      </c>
      <c r="I71" s="8">
        <v>11053</v>
      </c>
      <c r="J71" s="1">
        <v>3345.91</v>
      </c>
      <c r="K71" s="1">
        <v>196638.67</v>
      </c>
      <c r="L71" s="1">
        <v>198715.51999999999</v>
      </c>
      <c r="M71" s="1">
        <v>3310.9390010856</v>
      </c>
      <c r="N71">
        <v>1</v>
      </c>
    </row>
    <row r="72" spans="1:14" x14ac:dyDescent="0.35">
      <c r="A72" t="s">
        <v>19</v>
      </c>
      <c r="B72" t="s">
        <v>20</v>
      </c>
      <c r="C72" t="s">
        <v>21</v>
      </c>
      <c r="D72" t="s">
        <v>22</v>
      </c>
      <c r="E72" t="s">
        <v>24</v>
      </c>
      <c r="F72" t="s">
        <v>65</v>
      </c>
      <c r="G72" t="s">
        <v>22</v>
      </c>
      <c r="H72" s="2" t="str">
        <f t="shared" si="1"/>
        <v>083215181730000000000000000000</v>
      </c>
      <c r="I72" s="8">
        <v>7109</v>
      </c>
      <c r="J72" s="1">
        <v>2152</v>
      </c>
      <c r="K72" s="1">
        <v>196638.67</v>
      </c>
      <c r="L72" s="1">
        <v>198715.51999999999</v>
      </c>
      <c r="M72" s="1">
        <v>2129.5083086985001</v>
      </c>
      <c r="N72">
        <v>1</v>
      </c>
    </row>
    <row r="73" spans="1:14" x14ac:dyDescent="0.35">
      <c r="A73" t="s">
        <v>19</v>
      </c>
      <c r="B73" t="s">
        <v>20</v>
      </c>
      <c r="C73" t="s">
        <v>21</v>
      </c>
      <c r="D73" t="s">
        <v>22</v>
      </c>
      <c r="E73" t="s">
        <v>24</v>
      </c>
      <c r="F73" t="s">
        <v>73</v>
      </c>
      <c r="G73" t="s">
        <v>22</v>
      </c>
      <c r="H73" s="2" t="str">
        <f t="shared" si="1"/>
        <v>083215181050000000000000000000</v>
      </c>
      <c r="I73" s="8">
        <v>1965</v>
      </c>
      <c r="J73" s="1">
        <v>594.84</v>
      </c>
      <c r="K73" s="1">
        <v>196638.67</v>
      </c>
      <c r="L73" s="1">
        <v>198715.51999999999</v>
      </c>
      <c r="M73" s="1">
        <v>588.62212755140001</v>
      </c>
      <c r="N73">
        <v>1</v>
      </c>
    </row>
    <row r="74" spans="1:14" x14ac:dyDescent="0.35">
      <c r="A74" t="s">
        <v>19</v>
      </c>
      <c r="B74" t="s">
        <v>20</v>
      </c>
      <c r="C74" t="s">
        <v>21</v>
      </c>
      <c r="D74" t="s">
        <v>22</v>
      </c>
      <c r="E74" t="s">
        <v>24</v>
      </c>
      <c r="F74" t="s">
        <v>47</v>
      </c>
      <c r="G74" t="s">
        <v>22</v>
      </c>
      <c r="H74" s="2" t="str">
        <f t="shared" si="1"/>
        <v>083215181350000000000000000000</v>
      </c>
      <c r="I74" s="8">
        <v>15186</v>
      </c>
      <c r="J74" s="1">
        <v>4597.04</v>
      </c>
      <c r="K74" s="1">
        <v>196638.67</v>
      </c>
      <c r="L74" s="1">
        <v>198715.51999999999</v>
      </c>
      <c r="M74" s="1">
        <v>4548.9937648859004</v>
      </c>
      <c r="N74">
        <v>1</v>
      </c>
    </row>
    <row r="75" spans="1:14" x14ac:dyDescent="0.35">
      <c r="A75" t="s">
        <v>19</v>
      </c>
      <c r="B75" t="s">
        <v>20</v>
      </c>
      <c r="C75" t="s">
        <v>21</v>
      </c>
      <c r="D75" t="s">
        <v>22</v>
      </c>
      <c r="E75" t="s">
        <v>24</v>
      </c>
      <c r="F75" t="s">
        <v>113</v>
      </c>
      <c r="G75" t="s">
        <v>22</v>
      </c>
      <c r="H75" s="2" t="str">
        <f t="shared" si="1"/>
        <v>083215181250000000000000000000</v>
      </c>
      <c r="I75" s="8">
        <v>7123</v>
      </c>
      <c r="J75" s="1">
        <v>2156.2399999999998</v>
      </c>
      <c r="K75" s="1">
        <v>196638.67</v>
      </c>
      <c r="L75" s="1">
        <v>198715.51999999999</v>
      </c>
      <c r="M75" s="1">
        <v>2133.7026115295998</v>
      </c>
      <c r="N75">
        <v>1</v>
      </c>
    </row>
    <row r="76" spans="1:14" x14ac:dyDescent="0.35">
      <c r="A76" t="s">
        <v>19</v>
      </c>
      <c r="B76" t="s">
        <v>20</v>
      </c>
      <c r="C76" t="s">
        <v>21</v>
      </c>
      <c r="D76" t="s">
        <v>22</v>
      </c>
      <c r="E76" t="s">
        <v>24</v>
      </c>
      <c r="F76" t="s">
        <v>80</v>
      </c>
      <c r="G76" t="s">
        <v>22</v>
      </c>
      <c r="H76" s="2" t="str">
        <f t="shared" si="1"/>
        <v>083215181030000000000000000000</v>
      </c>
      <c r="I76" s="8">
        <v>204108</v>
      </c>
      <c r="J76" s="1">
        <v>61786.63</v>
      </c>
      <c r="K76" s="1">
        <v>196638.67</v>
      </c>
      <c r="L76" s="1">
        <v>198715.51999999999</v>
      </c>
      <c r="M76" s="1">
        <v>61140.873461420197</v>
      </c>
      <c r="N76">
        <v>1</v>
      </c>
    </row>
    <row r="77" spans="1:14" x14ac:dyDescent="0.35">
      <c r="A77" t="s">
        <v>19</v>
      </c>
      <c r="B77" t="s">
        <v>20</v>
      </c>
      <c r="C77" t="s">
        <v>21</v>
      </c>
      <c r="D77" t="s">
        <v>22</v>
      </c>
      <c r="E77" t="s">
        <v>24</v>
      </c>
      <c r="F77" t="s">
        <v>29</v>
      </c>
      <c r="G77" t="s">
        <v>22</v>
      </c>
      <c r="H77" s="2" t="str">
        <f t="shared" si="1"/>
        <v>083215181130000000000000000000</v>
      </c>
      <c r="I77" s="8">
        <v>2129</v>
      </c>
      <c r="J77" s="1">
        <v>644.48</v>
      </c>
      <c r="K77" s="1">
        <v>196638.67</v>
      </c>
      <c r="L77" s="1">
        <v>198715.51999999999</v>
      </c>
      <c r="M77" s="1">
        <v>637.74246731740004</v>
      </c>
      <c r="N77">
        <v>1</v>
      </c>
    </row>
    <row r="78" spans="1:14" x14ac:dyDescent="0.35">
      <c r="A78" t="s">
        <v>19</v>
      </c>
      <c r="B78" t="s">
        <v>20</v>
      </c>
      <c r="C78" t="s">
        <v>21</v>
      </c>
      <c r="D78" t="s">
        <v>22</v>
      </c>
      <c r="E78" t="s">
        <v>24</v>
      </c>
      <c r="F78" t="s">
        <v>70</v>
      </c>
      <c r="G78" t="s">
        <v>22</v>
      </c>
      <c r="H78" s="2" t="str">
        <f t="shared" si="1"/>
        <v>083215181460000000000000000000</v>
      </c>
      <c r="I78" s="8">
        <v>3488</v>
      </c>
      <c r="J78" s="1">
        <v>1055.8699999999999</v>
      </c>
      <c r="K78" s="1">
        <v>196638.67</v>
      </c>
      <c r="L78" s="1">
        <v>198715.51999999999</v>
      </c>
      <c r="M78" s="1">
        <v>1044.8336738849</v>
      </c>
      <c r="N78">
        <v>1</v>
      </c>
    </row>
    <row r="79" spans="1:14" x14ac:dyDescent="0.35">
      <c r="A79" t="s">
        <v>19</v>
      </c>
      <c r="B79" t="s">
        <v>20</v>
      </c>
      <c r="C79" t="s">
        <v>21</v>
      </c>
      <c r="D79" t="s">
        <v>22</v>
      </c>
      <c r="E79" t="s">
        <v>24</v>
      </c>
      <c r="F79" t="s">
        <v>85</v>
      </c>
      <c r="G79" t="s">
        <v>22</v>
      </c>
      <c r="H79" s="2" t="str">
        <f t="shared" si="1"/>
        <v>083215180960000000000000000000</v>
      </c>
      <c r="I79" s="8">
        <v>2616</v>
      </c>
      <c r="J79" s="1">
        <v>791.9</v>
      </c>
      <c r="K79" s="1">
        <v>196638.67</v>
      </c>
      <c r="L79" s="1">
        <v>198715.51999999999</v>
      </c>
      <c r="M79" s="1">
        <v>783.62279743030001</v>
      </c>
      <c r="N79">
        <v>1</v>
      </c>
    </row>
    <row r="80" spans="1:14" x14ac:dyDescent="0.35">
      <c r="A80" t="s">
        <v>19</v>
      </c>
      <c r="B80" t="s">
        <v>20</v>
      </c>
      <c r="C80" t="s">
        <v>21</v>
      </c>
      <c r="D80" t="s">
        <v>22</v>
      </c>
      <c r="E80" t="s">
        <v>24</v>
      </c>
      <c r="F80" t="s">
        <v>36</v>
      </c>
      <c r="G80" t="s">
        <v>22</v>
      </c>
      <c r="H80" s="2" t="str">
        <f t="shared" si="1"/>
        <v>083215180950000000000000000000</v>
      </c>
      <c r="I80" s="8">
        <v>604</v>
      </c>
      <c r="J80" s="1">
        <v>182.84</v>
      </c>
      <c r="K80" s="1">
        <v>196638.67</v>
      </c>
      <c r="L80" s="1">
        <v>198715.51999999999</v>
      </c>
      <c r="M80" s="1">
        <v>180.927240267</v>
      </c>
      <c r="N80">
        <v>1</v>
      </c>
    </row>
    <row r="81" spans="1:14" x14ac:dyDescent="0.35">
      <c r="A81" t="s">
        <v>19</v>
      </c>
      <c r="B81" t="s">
        <v>20</v>
      </c>
      <c r="C81" t="s">
        <v>21</v>
      </c>
      <c r="D81" t="s">
        <v>22</v>
      </c>
      <c r="E81" t="s">
        <v>24</v>
      </c>
      <c r="F81" t="s">
        <v>102</v>
      </c>
      <c r="G81" t="s">
        <v>22</v>
      </c>
      <c r="H81" s="2" t="str">
        <f t="shared" si="1"/>
        <v>083215181360000000000000000000</v>
      </c>
      <c r="I81" s="8">
        <v>2963</v>
      </c>
      <c r="J81" s="1">
        <v>896.95</v>
      </c>
      <c r="K81" s="1">
        <v>196638.67</v>
      </c>
      <c r="L81" s="1">
        <v>198715.51999999999</v>
      </c>
      <c r="M81" s="1">
        <v>887.57386393909997</v>
      </c>
      <c r="N81">
        <v>1</v>
      </c>
    </row>
    <row r="82" spans="1:14" x14ac:dyDescent="0.35">
      <c r="A82" t="s">
        <v>19</v>
      </c>
      <c r="B82" t="s">
        <v>20</v>
      </c>
      <c r="C82" t="s">
        <v>21</v>
      </c>
      <c r="D82" t="s">
        <v>22</v>
      </c>
      <c r="E82" t="s">
        <v>24</v>
      </c>
      <c r="F82" t="s">
        <v>38</v>
      </c>
      <c r="G82" t="s">
        <v>22</v>
      </c>
      <c r="H82" s="2" t="str">
        <f t="shared" si="1"/>
        <v>083215181160000000000000000000</v>
      </c>
      <c r="I82" s="8">
        <v>2701</v>
      </c>
      <c r="J82" s="1">
        <v>817.63</v>
      </c>
      <c r="K82" s="1">
        <v>196638.67</v>
      </c>
      <c r="L82" s="1">
        <v>198715.51999999999</v>
      </c>
      <c r="M82" s="1">
        <v>809.08357242190004</v>
      </c>
      <c r="N82">
        <v>1</v>
      </c>
    </row>
    <row r="83" spans="1:14" x14ac:dyDescent="0.35">
      <c r="A83" t="s">
        <v>19</v>
      </c>
      <c r="B83" t="s">
        <v>20</v>
      </c>
      <c r="C83" t="s">
        <v>21</v>
      </c>
      <c r="D83" t="s">
        <v>22</v>
      </c>
      <c r="E83" t="s">
        <v>24</v>
      </c>
      <c r="F83" t="s">
        <v>93</v>
      </c>
      <c r="G83" t="s">
        <v>22</v>
      </c>
      <c r="H83" s="2" t="str">
        <f t="shared" si="1"/>
        <v>083215181560000000000000000000</v>
      </c>
      <c r="I83" s="8">
        <v>524</v>
      </c>
      <c r="J83" s="1">
        <v>158.62</v>
      </c>
      <c r="K83" s="1">
        <v>196638.67</v>
      </c>
      <c r="L83" s="1">
        <v>198715.51999999999</v>
      </c>
      <c r="M83" s="1">
        <v>156.96091916739999</v>
      </c>
      <c r="N83">
        <v>1</v>
      </c>
    </row>
    <row r="84" spans="1:14" x14ac:dyDescent="0.35">
      <c r="A84" t="s">
        <v>19</v>
      </c>
      <c r="B84" t="s">
        <v>20</v>
      </c>
      <c r="C84" t="s">
        <v>21</v>
      </c>
      <c r="D84" t="s">
        <v>22</v>
      </c>
      <c r="E84" t="s">
        <v>24</v>
      </c>
      <c r="F84" t="s">
        <v>75</v>
      </c>
      <c r="G84" t="s">
        <v>22</v>
      </c>
      <c r="H84" s="2" t="str">
        <f t="shared" si="1"/>
        <v>083215180850000000000000000000</v>
      </c>
      <c r="I84" s="8">
        <v>1654.84</v>
      </c>
      <c r="J84" s="1">
        <v>500.95</v>
      </c>
      <c r="K84" s="1">
        <v>196638.67</v>
      </c>
      <c r="L84" s="1">
        <v>198715.51999999999</v>
      </c>
      <c r="M84" s="1">
        <v>495.71428874980001</v>
      </c>
      <c r="N84">
        <v>1</v>
      </c>
    </row>
    <row r="85" spans="1:14" x14ac:dyDescent="0.35">
      <c r="A85" t="s">
        <v>19</v>
      </c>
      <c r="B85" t="s">
        <v>20</v>
      </c>
      <c r="C85" t="s">
        <v>21</v>
      </c>
      <c r="D85" t="s">
        <v>22</v>
      </c>
      <c r="E85" t="s">
        <v>24</v>
      </c>
      <c r="F85" t="s">
        <v>31</v>
      </c>
      <c r="G85" t="s">
        <v>22</v>
      </c>
      <c r="H85" s="2" t="str">
        <f t="shared" si="1"/>
        <v>083215181660000000000000000000</v>
      </c>
      <c r="I85" s="8">
        <v>1219</v>
      </c>
      <c r="J85" s="1">
        <v>369.01</v>
      </c>
      <c r="K85" s="1">
        <v>196638.67</v>
      </c>
      <c r="L85" s="1">
        <v>198715.51999999999</v>
      </c>
      <c r="M85" s="1">
        <v>365.15211102990003</v>
      </c>
      <c r="N85">
        <v>1</v>
      </c>
    </row>
    <row r="86" spans="1:14" x14ac:dyDescent="0.35">
      <c r="A86" t="s">
        <v>19</v>
      </c>
      <c r="B86" t="s">
        <v>20</v>
      </c>
      <c r="C86" t="s">
        <v>21</v>
      </c>
      <c r="D86" t="s">
        <v>22</v>
      </c>
      <c r="E86" t="s">
        <v>24</v>
      </c>
      <c r="F86" t="s">
        <v>51</v>
      </c>
      <c r="G86" t="s">
        <v>22</v>
      </c>
      <c r="H86" s="2" t="str">
        <f t="shared" si="1"/>
        <v>083215180860000000000000000000</v>
      </c>
      <c r="I86" s="8">
        <v>0.09</v>
      </c>
      <c r="J86" s="1">
        <v>0.03</v>
      </c>
      <c r="K86" s="1">
        <v>196638.67</v>
      </c>
      <c r="L86" s="1">
        <v>198715.51999999999</v>
      </c>
      <c r="M86" s="1">
        <v>2.9495800499999999E-2</v>
      </c>
      <c r="N86">
        <v>1</v>
      </c>
    </row>
    <row r="87" spans="1:14" x14ac:dyDescent="0.35">
      <c r="A87" t="s">
        <v>19</v>
      </c>
      <c r="B87" t="s">
        <v>20</v>
      </c>
      <c r="C87" t="s">
        <v>21</v>
      </c>
      <c r="D87" t="s">
        <v>22</v>
      </c>
      <c r="E87" t="s">
        <v>24</v>
      </c>
      <c r="F87" t="s">
        <v>30</v>
      </c>
      <c r="G87" t="s">
        <v>22</v>
      </c>
      <c r="H87" s="2" t="str">
        <f t="shared" si="1"/>
        <v>083215181450000000000000000000</v>
      </c>
      <c r="I87" s="8">
        <v>573</v>
      </c>
      <c r="J87" s="1">
        <v>173.46</v>
      </c>
      <c r="K87" s="1">
        <v>196638.67</v>
      </c>
      <c r="L87" s="1">
        <v>198715.51999999999</v>
      </c>
      <c r="M87" s="1">
        <v>171.645895043</v>
      </c>
      <c r="N87">
        <v>1</v>
      </c>
    </row>
    <row r="88" spans="1:14" x14ac:dyDescent="0.35">
      <c r="A88" t="s">
        <v>19</v>
      </c>
      <c r="B88" t="s">
        <v>20</v>
      </c>
      <c r="C88" t="s">
        <v>21</v>
      </c>
      <c r="D88" t="s">
        <v>22</v>
      </c>
      <c r="E88" t="s">
        <v>24</v>
      </c>
      <c r="F88" t="s">
        <v>90</v>
      </c>
      <c r="G88" t="s">
        <v>22</v>
      </c>
      <c r="H88" s="2" t="str">
        <f t="shared" si="1"/>
        <v>083215181650000000000000000000</v>
      </c>
      <c r="I88" s="8">
        <v>552</v>
      </c>
      <c r="J88" s="1">
        <v>167.1</v>
      </c>
      <c r="K88" s="1">
        <v>196638.67</v>
      </c>
      <c r="L88" s="1">
        <v>198715.51999999999</v>
      </c>
      <c r="M88" s="1">
        <v>165.35345760300001</v>
      </c>
      <c r="N88">
        <v>1</v>
      </c>
    </row>
    <row r="89" spans="1:14" x14ac:dyDescent="0.35">
      <c r="A89" t="s">
        <v>19</v>
      </c>
      <c r="B89" t="s">
        <v>20</v>
      </c>
      <c r="C89" t="s">
        <v>21</v>
      </c>
      <c r="D89" t="s">
        <v>22</v>
      </c>
      <c r="E89" t="s">
        <v>24</v>
      </c>
      <c r="F89" t="s">
        <v>34</v>
      </c>
      <c r="G89" t="s">
        <v>22</v>
      </c>
      <c r="H89" s="2" t="str">
        <f t="shared" si="1"/>
        <v>083215181550000000000000000000</v>
      </c>
      <c r="I89" s="8">
        <v>2644</v>
      </c>
      <c r="J89" s="1">
        <v>800.38</v>
      </c>
      <c r="K89" s="1">
        <v>196638.67</v>
      </c>
      <c r="L89" s="1">
        <v>198715.51999999999</v>
      </c>
      <c r="M89" s="1">
        <v>792.01336947920004</v>
      </c>
      <c r="N89">
        <v>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EA532EB-EBD6-4C16-8EBB-D76897A39308}"/>
</file>

<file path=customXml/itemProps2.xml><?xml version="1.0" encoding="utf-8"?>
<ds:datastoreItem xmlns:ds="http://schemas.openxmlformats.org/officeDocument/2006/customXml" ds:itemID="{91733C70-1585-48C8-AF80-4094A80D0FA4}"/>
</file>

<file path=customXml/itemProps3.xml><?xml version="1.0" encoding="utf-8"?>
<ds:datastoreItem xmlns:ds="http://schemas.openxmlformats.org/officeDocument/2006/customXml" ds:itemID="{C5B6BD05-A703-4199-820E-65E3A037741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Catalán Díaz Mónica</cp:lastModifiedBy>
  <cp:revision/>
  <dcterms:created xsi:type="dcterms:W3CDTF">2025-03-16T04:48:38Z</dcterms:created>
  <dcterms:modified xsi:type="dcterms:W3CDTF">2025-03-31T18:55:10Z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2025-03-31T13:22:00Z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53c9f0dc-473c-44de-8b2d-b50d1eab15d7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0x010100AE0148DB1B66DA499B9393429ED53FDC</vt:lpwstr>
  </property>
</Properties>
</file>