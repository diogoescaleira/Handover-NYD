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05. Análises\01. 30JUN2025\"/>
    </mc:Choice>
  </mc:AlternateContent>
  <bookViews>
    <workbookView xWindow="0" yWindow="0" windowWidth="28740" windowHeight="12120" activeTab="1"/>
  </bookViews>
  <sheets>
    <sheet name="Categorias" sheetId="1" r:id="rId1"/>
    <sheet name="Sheet2" sheetId="2" r:id="rId2"/>
  </sheets>
  <externalReferences>
    <externalReference r:id="rId3"/>
  </externalReferences>
  <definedNames>
    <definedName name="_AMO_UniqueIdentifier" hidden="1">"'98fdfd1e-8a18-42d0-9169-4592737fd980'"</definedName>
    <definedName name="asefadf">#REF!</definedName>
    <definedName name="bn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" i="1" l="1"/>
  <c r="L10" i="1" s="1"/>
  <c r="L11" i="1" s="1"/>
  <c r="L12" i="1" s="1"/>
  <c r="L8" i="1"/>
  <c r="L3" i="1"/>
  <c r="L4" i="1" s="1"/>
  <c r="L5" i="1" s="1"/>
  <c r="L6" i="1" s="1"/>
</calcChain>
</file>

<file path=xl/sharedStrings.xml><?xml version="1.0" encoding="utf-8"?>
<sst xmlns="http://schemas.openxmlformats.org/spreadsheetml/2006/main" count="278" uniqueCount="118">
  <si>
    <t>Categorias</t>
  </si>
  <si>
    <t>Descrição</t>
  </si>
  <si>
    <t>SSTNBL_INDCTR</t>
  </si>
  <si>
    <t>Eligible (sustainable)</t>
  </si>
  <si>
    <t>*</t>
  </si>
  <si>
    <t>'A.1.1.'</t>
  </si>
  <si>
    <t>A.1.1. Electricity generation using solar photovoltaic technology</t>
  </si>
  <si>
    <t>EU Taxonomy</t>
  </si>
  <si>
    <t>CCM - Pure / CCA - Pure</t>
  </si>
  <si>
    <t>'A.1.1.',</t>
  </si>
  <si>
    <t>'A.1.3.'</t>
  </si>
  <si>
    <t>A.1.3. Electricity generation from wind power</t>
  </si>
  <si>
    <t>'A.1.3.',</t>
  </si>
  <si>
    <t>'A.1.5.'</t>
  </si>
  <si>
    <t>A.1.5. Electricity generation from hydropower</t>
  </si>
  <si>
    <t>'A.1.5.',</t>
  </si>
  <si>
    <t>'A.1.6.'</t>
  </si>
  <si>
    <t xml:space="preserve">A.1.6. Electricity generation from geothermal energy </t>
  </si>
  <si>
    <t>'A.1.6.',</t>
  </si>
  <si>
    <t>'A.1.9.'</t>
  </si>
  <si>
    <t>A.1.9. Transmission and distribution of electricity</t>
  </si>
  <si>
    <t>'A.1.9.',</t>
  </si>
  <si>
    <t>'A.1.1.','A.1.3.','A.1.5.','A.1.6.','A.1.9.',</t>
  </si>
  <si>
    <t>'A.2.1.'</t>
  </si>
  <si>
    <t>A.2.1. Passenger interurban rail transport</t>
  </si>
  <si>
    <t>EU Taxonomy / Santander Specific</t>
  </si>
  <si>
    <t>CCM - Transition / CCA - Pure</t>
  </si>
  <si>
    <t>'A.2.1.',</t>
  </si>
  <si>
    <t>'A.2.2.'</t>
  </si>
  <si>
    <t>A.2.2. Freight rail transport</t>
  </si>
  <si>
    <t>'A.2.2.',</t>
  </si>
  <si>
    <t>'A.2.3.'</t>
  </si>
  <si>
    <t>A.2.3. Urban and suburban transport, road passenger transport</t>
  </si>
  <si>
    <t>'A.2.3.',</t>
  </si>
  <si>
    <t>'A.2.5.'</t>
  </si>
  <si>
    <t>A.2.5. Transport by motorbikes, passenger cars and light commercial vehicles</t>
  </si>
  <si>
    <t>'A.2.5.',</t>
  </si>
  <si>
    <t>'A.2.7.'</t>
  </si>
  <si>
    <t>A.2.7. Inland passenger water transport</t>
  </si>
  <si>
    <t>'A.2.7.',</t>
  </si>
  <si>
    <t>'A.2.14.'</t>
  </si>
  <si>
    <t>A.2.14. Infrastructure for rail transport</t>
  </si>
  <si>
    <t>CCM - Enabling / CCA - Pure</t>
  </si>
  <si>
    <t>'A.2.14.',</t>
  </si>
  <si>
    <t>A.2.1.','A.2.2.','A.2.3.','A.2.5.','A.2.7.','A.2.14.'</t>
  </si>
  <si>
    <t>'A.3.1.'</t>
  </si>
  <si>
    <t>A.3.1. Construction of new buildings</t>
  </si>
  <si>
    <t>CCM - Pure / CCA - Pure / Circular Ecnomy - Pure</t>
  </si>
  <si>
    <t>'A.3.1.',</t>
  </si>
  <si>
    <t>Santander Specific</t>
  </si>
  <si>
    <t xml:space="preserve">CCM - Pure / CCA - Pure </t>
  </si>
  <si>
    <t>'A.3.2.'</t>
  </si>
  <si>
    <t>A.3.2. Renovation of existing buildings</t>
  </si>
  <si>
    <t>CCM - Transitional  / CCA - Pure / Circular Ecnomy - Pure</t>
  </si>
  <si>
    <t>2/3</t>
  </si>
  <si>
    <t>'A.3.2.',</t>
  </si>
  <si>
    <t>'A.3.7.'</t>
  </si>
  <si>
    <t>A.3.7. Acquisition and ownership</t>
  </si>
  <si>
    <t>'A.3.7.',</t>
  </si>
  <si>
    <t>'A.5.2.'</t>
  </si>
  <si>
    <t>A.5.2. Emergency services</t>
  </si>
  <si>
    <t>CCA - Enabling</t>
  </si>
  <si>
    <t>'A.5.2.',</t>
  </si>
  <si>
    <t>'A.6.19.'</t>
  </si>
  <si>
    <t>A.6.19. Treatment of hazardous waste</t>
  </si>
  <si>
    <t>Circular Ecnomy - Pure / Pollution Prevention - Pure</t>
  </si>
  <si>
    <t>'A.6.19.',</t>
  </si>
  <si>
    <t>TEMOS</t>
  </si>
  <si>
    <t>'A.7.7.'</t>
  </si>
  <si>
    <t>A.7.7. Sustainable growing of crops</t>
  </si>
  <si>
    <t>CCM - Transition / CCA - Enabling / Biodiversity - Enabling</t>
  </si>
  <si>
    <t>'A.7.7.',</t>
  </si>
  <si>
    <t>'A.7.12.'</t>
  </si>
  <si>
    <t>A.7.12. Agricultural Structures</t>
  </si>
  <si>
    <t xml:space="preserve">CCM - Transition / CCA - Enabling </t>
  </si>
  <si>
    <t>'A.7.12.',</t>
  </si>
  <si>
    <t>'A.7.18.'</t>
  </si>
  <si>
    <t>A.7.18. Sustainable Agricultural Production</t>
  </si>
  <si>
    <t>'A.7.18.',</t>
  </si>
  <si>
    <t>'A.8.10.'</t>
  </si>
  <si>
    <t>A.8.10. Manufacture of iron and steel</t>
  </si>
  <si>
    <t>'A.8.10.',</t>
  </si>
  <si>
    <t>'A.8.23.'</t>
  </si>
  <si>
    <t>A.8.23. Manufacture of plastic packaging goods</t>
  </si>
  <si>
    <t>Circular Economy - Pure</t>
  </si>
  <si>
    <t>1</t>
  </si>
  <si>
    <t>'A.8.23.',</t>
  </si>
  <si>
    <t>'KPI Linked - Green'</t>
  </si>
  <si>
    <t>'KPI Linked - Green',</t>
  </si>
  <si>
    <t>'Pure Green counterparty - Default'</t>
  </si>
  <si>
    <t>'Pure Green counterparty - Default',</t>
  </si>
  <si>
    <t>'Student loans'</t>
  </si>
  <si>
    <t>'Student loans',</t>
  </si>
  <si>
    <t>'Sustainability Linked Finance - Default'</t>
  </si>
  <si>
    <t>'Sustainability Linked Finance - Default',</t>
  </si>
  <si>
    <t>San Specific Eligible</t>
  </si>
  <si>
    <t>SSTNBL1</t>
  </si>
  <si>
    <t>EU Taxonomy Eligible</t>
  </si>
  <si>
    <t>SSTNBL3</t>
  </si>
  <si>
    <t>EU Taxonomy &amp; San Specific Eligible</t>
  </si>
  <si>
    <t>Loan Tape</t>
  </si>
  <si>
    <t>ENVRNMNTL_OBJCTV</t>
  </si>
  <si>
    <t>CCM/CCA</t>
  </si>
  <si>
    <t>CCA</t>
  </si>
  <si>
    <t>CCM/CCA/CIRCULAR</t>
  </si>
  <si>
    <t>CIRCULAR/POLLUTION</t>
  </si>
  <si>
    <t>CIRCULAR</t>
  </si>
  <si>
    <t>NÃO CONTRIBUI</t>
  </si>
  <si>
    <t>TYP_ACTVTY</t>
  </si>
  <si>
    <t>FLG_SBSTNTL_CNTRBTN</t>
  </si>
  <si>
    <t>Y</t>
  </si>
  <si>
    <t>N</t>
  </si>
  <si>
    <t>'San Specific Eligible'</t>
  </si>
  <si>
    <t>'EU Taxonomy &amp; San Specific Eligible'</t>
  </si>
  <si>
    <t>'CCM'</t>
  </si>
  <si>
    <t>'CCA'</t>
  </si>
  <si>
    <t>'No'</t>
  </si>
  <si>
    <t>'Transition to a circular economy'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</si>
</sst>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0" borderId="0" xfId="0" applyNumberFormat="1"/>
    <xf numFmtId="0" fontId="0" fillId="0" borderId="0" xfId="0" quotePrefix="1"/>
    <xf numFmtId="0" fontId="0" fillId="3" borderId="0" xfId="0" applyFill="1"/>
    <xf numFmtId="16" fontId="0" fillId="3" borderId="0" xfId="0" quotePrefix="1" applyNumberFormat="1" applyFill="1"/>
    <xf numFmtId="0" fontId="0" fillId="3" borderId="0" xfId="0" applyNumberFormat="1" applyFill="1"/>
    <xf numFmtId="0" fontId="0" fillId="3" borderId="0" xfId="0" quotePrefix="1" applyFill="1"/>
    <xf numFmtId="0" fontId="2" fillId="0" borderId="0" xfId="0" applyFont="1" applyFill="1" applyBorder="1"/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808873/Desktop/02.%20Marca&#231;&#227;o%20Verde/parametriza&#231;&#227;o_cat_atuais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tegorias"/>
      <sheetName val="Controlos LT"/>
      <sheetName val="Parametrização Alinhado"/>
      <sheetName val="Parametrização v2"/>
      <sheetName val="Parametrização_Ordem_4"/>
      <sheetName val="Parametrização_Ordem_5"/>
      <sheetName val="Incidências LT"/>
      <sheetName val="Parametrização v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9"/>
  <sheetViews>
    <sheetView showGridLines="0" workbookViewId="0">
      <selection activeCell="B2" sqref="B2:C28"/>
    </sheetView>
  </sheetViews>
  <sheetFormatPr defaultRowHeight="15" x14ac:dyDescent="0.25"/>
  <cols>
    <col min="1" max="1" width="3.7109375" customWidth="1"/>
    <col min="2" max="2" width="36.42578125" bestFit="1" customWidth="1"/>
    <col min="3" max="3" width="36.42578125" customWidth="1"/>
    <col min="4" max="4" width="70.42578125" bestFit="1" customWidth="1"/>
    <col min="5" max="5" width="31.5703125" customWidth="1"/>
    <col min="6" max="6" width="52.7109375" bestFit="1" customWidth="1"/>
    <col min="7" max="9" width="52.7109375" customWidth="1"/>
    <col min="10" max="10" width="10.28515625" bestFit="1" customWidth="1"/>
  </cols>
  <sheetData>
    <row r="2" spans="1:12" x14ac:dyDescent="0.25">
      <c r="B2" s="1" t="s">
        <v>0</v>
      </c>
      <c r="C2" s="1"/>
      <c r="D2" s="1" t="s">
        <v>1</v>
      </c>
      <c r="E2" s="1" t="s">
        <v>2</v>
      </c>
      <c r="F2" s="1" t="s">
        <v>3</v>
      </c>
      <c r="G2" s="1"/>
      <c r="H2" s="1"/>
      <c r="I2" s="1"/>
    </row>
    <row r="3" spans="1:12" x14ac:dyDescent="0.25">
      <c r="A3" t="s">
        <v>4</v>
      </c>
      <c r="B3" t="s">
        <v>5</v>
      </c>
      <c r="C3">
        <v>210101</v>
      </c>
      <c r="D3" t="s">
        <v>6</v>
      </c>
      <c r="E3" t="s">
        <v>7</v>
      </c>
      <c r="F3" t="s">
        <v>8</v>
      </c>
      <c r="K3" t="s">
        <v>9</v>
      </c>
      <c r="L3" t="str">
        <f>+K3</f>
        <v>'A.1.1.',</v>
      </c>
    </row>
    <row r="4" spans="1:12" x14ac:dyDescent="0.25">
      <c r="A4" t="s">
        <v>4</v>
      </c>
      <c r="B4" t="s">
        <v>10</v>
      </c>
      <c r="C4">
        <v>210103</v>
      </c>
      <c r="D4" t="s">
        <v>11</v>
      </c>
      <c r="E4" t="s">
        <v>7</v>
      </c>
      <c r="F4" t="s">
        <v>8</v>
      </c>
      <c r="K4" t="s">
        <v>12</v>
      </c>
      <c r="L4" t="str">
        <f>+L3&amp;K4</f>
        <v>'A.1.1.','A.1.3.',</v>
      </c>
    </row>
    <row r="5" spans="1:12" x14ac:dyDescent="0.25">
      <c r="A5" t="s">
        <v>4</v>
      </c>
      <c r="B5" t="s">
        <v>13</v>
      </c>
      <c r="C5">
        <v>210105</v>
      </c>
      <c r="D5" t="s">
        <v>14</v>
      </c>
      <c r="E5" t="s">
        <v>7</v>
      </c>
      <c r="F5" t="s">
        <v>8</v>
      </c>
      <c r="K5" t="s">
        <v>15</v>
      </c>
      <c r="L5" t="str">
        <f>+L4&amp;K5</f>
        <v>'A.1.1.','A.1.3.','A.1.5.',</v>
      </c>
    </row>
    <row r="6" spans="1:12" x14ac:dyDescent="0.25">
      <c r="A6" t="s">
        <v>4</v>
      </c>
      <c r="B6" t="s">
        <v>16</v>
      </c>
      <c r="C6">
        <v>210106</v>
      </c>
      <c r="D6" t="s">
        <v>17</v>
      </c>
      <c r="E6" t="s">
        <v>7</v>
      </c>
      <c r="F6" t="s">
        <v>8</v>
      </c>
      <c r="K6" t="s">
        <v>18</v>
      </c>
      <c r="L6" t="str">
        <f>+L5&amp;K6</f>
        <v>'A.1.1.','A.1.3.','A.1.5.','A.1.6.',</v>
      </c>
    </row>
    <row r="7" spans="1:12" x14ac:dyDescent="0.25">
      <c r="A7" t="s">
        <v>4</v>
      </c>
      <c r="B7" t="s">
        <v>19</v>
      </c>
      <c r="C7">
        <v>210419</v>
      </c>
      <c r="D7" t="s">
        <v>20</v>
      </c>
      <c r="E7" t="s">
        <v>7</v>
      </c>
      <c r="F7" t="s">
        <v>8</v>
      </c>
      <c r="K7" t="s">
        <v>21</v>
      </c>
      <c r="L7" t="s">
        <v>22</v>
      </c>
    </row>
    <row r="8" spans="1:12" x14ac:dyDescent="0.25">
      <c r="B8" t="s">
        <v>23</v>
      </c>
      <c r="C8">
        <v>220101</v>
      </c>
      <c r="D8" t="s">
        <v>24</v>
      </c>
      <c r="E8" t="s">
        <v>25</v>
      </c>
      <c r="F8" t="s">
        <v>26</v>
      </c>
      <c r="K8" t="s">
        <v>27</v>
      </c>
      <c r="L8" t="str">
        <f>+K8</f>
        <v>'A.2.1.',</v>
      </c>
    </row>
    <row r="9" spans="1:12" x14ac:dyDescent="0.25">
      <c r="B9" t="s">
        <v>28</v>
      </c>
      <c r="C9">
        <v>220102</v>
      </c>
      <c r="D9" t="s">
        <v>29</v>
      </c>
      <c r="E9" t="s">
        <v>25</v>
      </c>
      <c r="F9" t="s">
        <v>26</v>
      </c>
      <c r="K9" t="s">
        <v>30</v>
      </c>
      <c r="L9" t="str">
        <f>+L8&amp;K9</f>
        <v>'A.2.1.','A.2.2.',</v>
      </c>
    </row>
    <row r="10" spans="1:12" x14ac:dyDescent="0.25">
      <c r="B10" t="s">
        <v>31</v>
      </c>
      <c r="C10">
        <v>220103</v>
      </c>
      <c r="D10" t="s">
        <v>32</v>
      </c>
      <c r="E10" t="s">
        <v>25</v>
      </c>
      <c r="F10" t="s">
        <v>26</v>
      </c>
      <c r="K10" t="s">
        <v>33</v>
      </c>
      <c r="L10" t="str">
        <f>+L9&amp;K10</f>
        <v>'A.2.1.','A.2.2.','A.2.3.',</v>
      </c>
    </row>
    <row r="11" spans="1:12" x14ac:dyDescent="0.25">
      <c r="B11" t="s">
        <v>34</v>
      </c>
      <c r="C11" s="2">
        <v>220105</v>
      </c>
      <c r="D11" t="s">
        <v>35</v>
      </c>
      <c r="E11" t="s">
        <v>25</v>
      </c>
      <c r="F11" t="s">
        <v>26</v>
      </c>
      <c r="K11" t="s">
        <v>36</v>
      </c>
      <c r="L11" t="str">
        <f>+L10&amp;K11</f>
        <v>'A.2.1.','A.2.2.','A.2.3.','A.2.5.',</v>
      </c>
    </row>
    <row r="12" spans="1:12" x14ac:dyDescent="0.25">
      <c r="B12" t="s">
        <v>37</v>
      </c>
      <c r="C12" s="2">
        <v>220201</v>
      </c>
      <c r="D12" t="s">
        <v>38</v>
      </c>
      <c r="E12" t="s">
        <v>25</v>
      </c>
      <c r="F12" t="s">
        <v>26</v>
      </c>
      <c r="K12" t="s">
        <v>39</v>
      </c>
      <c r="L12" t="str">
        <f>+L11&amp;K12</f>
        <v>'A.2.1.','A.2.2.','A.2.3.','A.2.5.','A.2.7.',</v>
      </c>
    </row>
    <row r="13" spans="1:12" x14ac:dyDescent="0.25">
      <c r="B13" t="s">
        <v>40</v>
      </c>
      <c r="C13" s="2">
        <v>220405</v>
      </c>
      <c r="D13" t="s">
        <v>41</v>
      </c>
      <c r="E13" t="s">
        <v>25</v>
      </c>
      <c r="F13" t="s">
        <v>42</v>
      </c>
      <c r="K13" t="s">
        <v>43</v>
      </c>
      <c r="L13" s="3" t="s">
        <v>44</v>
      </c>
    </row>
    <row r="14" spans="1:12" x14ac:dyDescent="0.25">
      <c r="B14" t="s">
        <v>45</v>
      </c>
      <c r="C14" s="2">
        <v>2301</v>
      </c>
      <c r="D14" t="s">
        <v>46</v>
      </c>
      <c r="E14" t="s">
        <v>7</v>
      </c>
      <c r="F14" t="s">
        <v>47</v>
      </c>
      <c r="K14" t="s">
        <v>48</v>
      </c>
    </row>
    <row r="15" spans="1:12" x14ac:dyDescent="0.25">
      <c r="B15" t="s">
        <v>45</v>
      </c>
      <c r="C15" s="2">
        <v>2301</v>
      </c>
      <c r="D15" t="s">
        <v>46</v>
      </c>
      <c r="E15" t="s">
        <v>49</v>
      </c>
      <c r="F15" t="s">
        <v>50</v>
      </c>
      <c r="K15" t="s">
        <v>48</v>
      </c>
    </row>
    <row r="16" spans="1:12" x14ac:dyDescent="0.25">
      <c r="B16" s="4" t="s">
        <v>51</v>
      </c>
      <c r="C16" s="4">
        <v>2302</v>
      </c>
      <c r="D16" s="4" t="s">
        <v>52</v>
      </c>
      <c r="E16" s="4" t="s">
        <v>25</v>
      </c>
      <c r="F16" s="4" t="s">
        <v>53</v>
      </c>
      <c r="G16" s="4"/>
      <c r="H16" s="4"/>
      <c r="I16" s="4"/>
      <c r="J16" s="5" t="s">
        <v>54</v>
      </c>
      <c r="K16" t="s">
        <v>55</v>
      </c>
    </row>
    <row r="17" spans="1:11" x14ac:dyDescent="0.25">
      <c r="B17" t="s">
        <v>56</v>
      </c>
      <c r="C17" s="2">
        <v>2304</v>
      </c>
      <c r="D17" t="s">
        <v>57</v>
      </c>
      <c r="E17" t="s">
        <v>25</v>
      </c>
      <c r="F17" t="s">
        <v>50</v>
      </c>
      <c r="K17" t="s">
        <v>58</v>
      </c>
    </row>
    <row r="18" spans="1:11" x14ac:dyDescent="0.25">
      <c r="A18" t="s">
        <v>4</v>
      </c>
      <c r="B18" t="s">
        <v>59</v>
      </c>
      <c r="C18">
        <v>2502</v>
      </c>
      <c r="D18" t="s">
        <v>60</v>
      </c>
      <c r="E18" t="s">
        <v>7</v>
      </c>
      <c r="F18" t="s">
        <v>61</v>
      </c>
      <c r="K18" t="s">
        <v>62</v>
      </c>
    </row>
    <row r="19" spans="1:11" x14ac:dyDescent="0.25">
      <c r="A19" t="s">
        <v>4</v>
      </c>
      <c r="B19" t="s">
        <v>63</v>
      </c>
      <c r="C19" s="2">
        <v>260404</v>
      </c>
      <c r="D19" t="s">
        <v>64</v>
      </c>
      <c r="E19" t="s">
        <v>7</v>
      </c>
      <c r="F19" t="s">
        <v>65</v>
      </c>
      <c r="K19" t="s">
        <v>66</v>
      </c>
    </row>
    <row r="20" spans="1:11" x14ac:dyDescent="0.25">
      <c r="A20" t="s">
        <v>67</v>
      </c>
      <c r="B20" t="s">
        <v>68</v>
      </c>
      <c r="C20">
        <v>270301</v>
      </c>
      <c r="D20" t="s">
        <v>69</v>
      </c>
      <c r="E20" t="s">
        <v>49</v>
      </c>
      <c r="F20" t="s">
        <v>70</v>
      </c>
      <c r="K20" t="s">
        <v>71</v>
      </c>
    </row>
    <row r="21" spans="1:11" x14ac:dyDescent="0.25">
      <c r="B21" t="s">
        <v>72</v>
      </c>
      <c r="C21">
        <v>270306</v>
      </c>
      <c r="D21" t="s">
        <v>73</v>
      </c>
      <c r="E21" t="s">
        <v>49</v>
      </c>
      <c r="F21" t="s">
        <v>74</v>
      </c>
      <c r="K21" t="s">
        <v>75</v>
      </c>
    </row>
    <row r="22" spans="1:11" x14ac:dyDescent="0.25">
      <c r="B22" t="s">
        <v>76</v>
      </c>
      <c r="C22">
        <v>270309</v>
      </c>
      <c r="D22" t="s">
        <v>77</v>
      </c>
      <c r="E22" t="s">
        <v>49</v>
      </c>
      <c r="F22" t="s">
        <v>70</v>
      </c>
      <c r="K22" t="s">
        <v>78</v>
      </c>
    </row>
    <row r="23" spans="1:11" x14ac:dyDescent="0.25">
      <c r="A23" t="s">
        <v>4</v>
      </c>
      <c r="B23" t="s">
        <v>79</v>
      </c>
      <c r="C23" s="2">
        <v>280603</v>
      </c>
      <c r="D23" t="s">
        <v>80</v>
      </c>
      <c r="E23" t="s">
        <v>7</v>
      </c>
      <c r="F23" t="s">
        <v>26</v>
      </c>
      <c r="K23" t="s">
        <v>81</v>
      </c>
    </row>
    <row r="24" spans="1:11" x14ac:dyDescent="0.25">
      <c r="A24" t="s">
        <v>4</v>
      </c>
      <c r="B24" s="4" t="s">
        <v>82</v>
      </c>
      <c r="C24" s="6">
        <v>280802</v>
      </c>
      <c r="D24" s="4" t="s">
        <v>83</v>
      </c>
      <c r="E24" s="4" t="s">
        <v>25</v>
      </c>
      <c r="F24" s="4" t="s">
        <v>84</v>
      </c>
      <c r="G24" s="4"/>
      <c r="H24" s="4"/>
      <c r="I24" s="4"/>
      <c r="J24" s="7" t="s">
        <v>85</v>
      </c>
      <c r="K24" t="s">
        <v>86</v>
      </c>
    </row>
    <row r="25" spans="1:11" x14ac:dyDescent="0.25">
      <c r="B25" t="s">
        <v>87</v>
      </c>
      <c r="K25" t="s">
        <v>88</v>
      </c>
    </row>
    <row r="26" spans="1:11" x14ac:dyDescent="0.25">
      <c r="B26" t="s">
        <v>89</v>
      </c>
      <c r="K26" t="s">
        <v>90</v>
      </c>
    </row>
    <row r="27" spans="1:11" x14ac:dyDescent="0.25">
      <c r="B27" t="s">
        <v>91</v>
      </c>
      <c r="D27" s="8" t="s">
        <v>95</v>
      </c>
      <c r="E27" s="9" t="s">
        <v>96</v>
      </c>
      <c r="K27" t="s">
        <v>92</v>
      </c>
    </row>
    <row r="28" spans="1:11" x14ac:dyDescent="0.25">
      <c r="B28" t="s">
        <v>93</v>
      </c>
      <c r="D28" s="8" t="s">
        <v>97</v>
      </c>
      <c r="E28" s="9" t="s">
        <v>98</v>
      </c>
      <c r="K28" t="s">
        <v>94</v>
      </c>
    </row>
    <row r="29" spans="1:11" x14ac:dyDescent="0.25">
      <c r="D29" s="8" t="s">
        <v>99</v>
      </c>
      <c r="E29" s="9" t="s">
        <v>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tabSelected="1" workbookViewId="0">
      <selection activeCell="E33" sqref="E33"/>
    </sheetView>
  </sheetViews>
  <sheetFormatPr defaultRowHeight="15" x14ac:dyDescent="0.25"/>
  <cols>
    <col min="2" max="2" width="36.42578125" bestFit="1" customWidth="1"/>
    <col min="3" max="3" width="9.85546875" bestFit="1" customWidth="1"/>
    <col min="4" max="4" width="20.7109375" bestFit="1" customWidth="1"/>
    <col min="5" max="5" width="20.7109375" customWidth="1"/>
  </cols>
  <sheetData>
    <row r="2" spans="2:8" x14ac:dyDescent="0.25">
      <c r="B2" t="s">
        <v>0</v>
      </c>
      <c r="C2" t="s">
        <v>100</v>
      </c>
      <c r="D2" t="s">
        <v>101</v>
      </c>
      <c r="F2" t="s">
        <v>108</v>
      </c>
      <c r="G2" t="s">
        <v>109</v>
      </c>
      <c r="H2" t="s">
        <v>2</v>
      </c>
    </row>
    <row r="3" spans="2:8" x14ac:dyDescent="0.25">
      <c r="B3" t="s">
        <v>5</v>
      </c>
      <c r="C3">
        <v>210101</v>
      </c>
      <c r="D3" t="s">
        <v>102</v>
      </c>
      <c r="E3" s="3" t="s">
        <v>114</v>
      </c>
      <c r="G3" t="s">
        <v>110</v>
      </c>
      <c r="H3" s="3" t="s">
        <v>113</v>
      </c>
    </row>
    <row r="4" spans="2:8" x14ac:dyDescent="0.25">
      <c r="B4" t="s">
        <v>10</v>
      </c>
      <c r="C4">
        <v>210103</v>
      </c>
      <c r="D4" t="s">
        <v>102</v>
      </c>
      <c r="E4" s="3" t="s">
        <v>114</v>
      </c>
      <c r="G4" t="s">
        <v>110</v>
      </c>
      <c r="H4" s="3" t="s">
        <v>113</v>
      </c>
    </row>
    <row r="5" spans="2:8" x14ac:dyDescent="0.25">
      <c r="B5" t="s">
        <v>13</v>
      </c>
      <c r="C5">
        <v>210105</v>
      </c>
      <c r="D5" t="s">
        <v>102</v>
      </c>
      <c r="E5" s="3" t="s">
        <v>114</v>
      </c>
      <c r="G5" t="s">
        <v>110</v>
      </c>
      <c r="H5" s="3" t="s">
        <v>113</v>
      </c>
    </row>
    <row r="6" spans="2:8" x14ac:dyDescent="0.25">
      <c r="B6" t="s">
        <v>16</v>
      </c>
      <c r="C6">
        <v>210106</v>
      </c>
      <c r="D6" t="s">
        <v>102</v>
      </c>
      <c r="E6" s="3" t="s">
        <v>114</v>
      </c>
      <c r="G6" t="s">
        <v>110</v>
      </c>
      <c r="H6" s="3" t="s">
        <v>113</v>
      </c>
    </row>
    <row r="7" spans="2:8" x14ac:dyDescent="0.25">
      <c r="B7" t="s">
        <v>19</v>
      </c>
      <c r="C7">
        <v>210419</v>
      </c>
      <c r="D7" t="s">
        <v>102</v>
      </c>
      <c r="E7" s="3" t="s">
        <v>114</v>
      </c>
      <c r="G7" t="s">
        <v>110</v>
      </c>
      <c r="H7" s="3" t="s">
        <v>113</v>
      </c>
    </row>
    <row r="8" spans="2:8" x14ac:dyDescent="0.25">
      <c r="B8" t="s">
        <v>23</v>
      </c>
      <c r="C8">
        <v>220101</v>
      </c>
      <c r="D8" t="s">
        <v>102</v>
      </c>
      <c r="E8" s="3" t="s">
        <v>114</v>
      </c>
      <c r="G8" t="s">
        <v>110</v>
      </c>
      <c r="H8" s="3" t="s">
        <v>113</v>
      </c>
    </row>
    <row r="9" spans="2:8" x14ac:dyDescent="0.25">
      <c r="B9" t="s">
        <v>28</v>
      </c>
      <c r="C9">
        <v>220102</v>
      </c>
      <c r="D9" t="s">
        <v>102</v>
      </c>
      <c r="E9" s="3" t="s">
        <v>114</v>
      </c>
      <c r="G9" t="s">
        <v>110</v>
      </c>
      <c r="H9" s="3" t="s">
        <v>113</v>
      </c>
    </row>
    <row r="10" spans="2:8" x14ac:dyDescent="0.25">
      <c r="B10" t="s">
        <v>31</v>
      </c>
      <c r="C10">
        <v>220103</v>
      </c>
      <c r="D10" t="s">
        <v>102</v>
      </c>
      <c r="E10" s="3" t="s">
        <v>114</v>
      </c>
      <c r="G10" t="s">
        <v>110</v>
      </c>
      <c r="H10" s="3" t="s">
        <v>113</v>
      </c>
    </row>
    <row r="11" spans="2:8" x14ac:dyDescent="0.25">
      <c r="B11" t="s">
        <v>34</v>
      </c>
      <c r="C11">
        <v>220105</v>
      </c>
      <c r="D11" t="s">
        <v>102</v>
      </c>
      <c r="E11" s="3" t="s">
        <v>114</v>
      </c>
      <c r="G11" t="s">
        <v>110</v>
      </c>
      <c r="H11" s="3" t="s">
        <v>113</v>
      </c>
    </row>
    <row r="12" spans="2:8" x14ac:dyDescent="0.25">
      <c r="B12" t="s">
        <v>37</v>
      </c>
      <c r="C12">
        <v>220201</v>
      </c>
      <c r="D12" t="s">
        <v>102</v>
      </c>
      <c r="E12" s="3" t="s">
        <v>114</v>
      </c>
      <c r="G12" t="s">
        <v>110</v>
      </c>
      <c r="H12" s="3" t="s">
        <v>113</v>
      </c>
    </row>
    <row r="13" spans="2:8" x14ac:dyDescent="0.25">
      <c r="B13" t="s">
        <v>40</v>
      </c>
      <c r="C13">
        <v>220405</v>
      </c>
      <c r="D13" t="s">
        <v>102</v>
      </c>
      <c r="E13" s="3" t="s">
        <v>114</v>
      </c>
      <c r="G13" t="s">
        <v>110</v>
      </c>
      <c r="H13" s="3" t="s">
        <v>113</v>
      </c>
    </row>
    <row r="14" spans="2:8" x14ac:dyDescent="0.25">
      <c r="B14" t="s">
        <v>45</v>
      </c>
      <c r="C14">
        <v>2301</v>
      </c>
      <c r="D14" t="s">
        <v>104</v>
      </c>
      <c r="E14" s="3" t="s">
        <v>114</v>
      </c>
      <c r="G14" t="s">
        <v>110</v>
      </c>
      <c r="H14" s="3" t="s">
        <v>113</v>
      </c>
    </row>
    <row r="15" spans="2:8" x14ac:dyDescent="0.25">
      <c r="B15" t="s">
        <v>45</v>
      </c>
      <c r="C15">
        <v>2301</v>
      </c>
      <c r="D15" t="s">
        <v>104</v>
      </c>
      <c r="E15" s="3" t="s">
        <v>114</v>
      </c>
      <c r="G15" t="s">
        <v>110</v>
      </c>
      <c r="H15" s="3" t="s">
        <v>113</v>
      </c>
    </row>
    <row r="16" spans="2:8" x14ac:dyDescent="0.25">
      <c r="B16" t="s">
        <v>51</v>
      </c>
      <c r="C16">
        <v>2302</v>
      </c>
      <c r="D16" t="s">
        <v>104</v>
      </c>
      <c r="E16" s="3" t="s">
        <v>114</v>
      </c>
      <c r="G16" t="s">
        <v>110</v>
      </c>
      <c r="H16" s="3" t="s">
        <v>113</v>
      </c>
    </row>
    <row r="17" spans="2:8" x14ac:dyDescent="0.25">
      <c r="B17" t="s">
        <v>56</v>
      </c>
      <c r="C17">
        <v>2304</v>
      </c>
      <c r="D17" t="s">
        <v>104</v>
      </c>
      <c r="E17" s="3" t="s">
        <v>114</v>
      </c>
      <c r="G17" t="s">
        <v>110</v>
      </c>
      <c r="H17" s="3" t="s">
        <v>113</v>
      </c>
    </row>
    <row r="18" spans="2:8" x14ac:dyDescent="0.25">
      <c r="B18" t="s">
        <v>59</v>
      </c>
      <c r="C18">
        <v>2502</v>
      </c>
      <c r="D18" t="s">
        <v>103</v>
      </c>
      <c r="E18" s="3" t="s">
        <v>115</v>
      </c>
      <c r="G18" t="s">
        <v>110</v>
      </c>
      <c r="H18" s="3" t="s">
        <v>113</v>
      </c>
    </row>
    <row r="19" spans="2:8" x14ac:dyDescent="0.25">
      <c r="B19" t="s">
        <v>63</v>
      </c>
      <c r="C19">
        <v>260404</v>
      </c>
      <c r="D19" t="s">
        <v>105</v>
      </c>
      <c r="E19" s="3" t="s">
        <v>117</v>
      </c>
      <c r="G19" t="s">
        <v>110</v>
      </c>
      <c r="H19" s="3" t="s">
        <v>113</v>
      </c>
    </row>
    <row r="20" spans="2:8" x14ac:dyDescent="0.25">
      <c r="B20" t="s">
        <v>68</v>
      </c>
      <c r="C20">
        <v>270301</v>
      </c>
      <c r="D20" t="s">
        <v>107</v>
      </c>
      <c r="E20" s="3" t="s">
        <v>116</v>
      </c>
      <c r="G20" t="s">
        <v>111</v>
      </c>
      <c r="H20" s="3" t="s">
        <v>112</v>
      </c>
    </row>
    <row r="21" spans="2:8" x14ac:dyDescent="0.25">
      <c r="B21" t="s">
        <v>72</v>
      </c>
      <c r="C21">
        <v>270306</v>
      </c>
      <c r="D21" t="s">
        <v>107</v>
      </c>
      <c r="E21" s="3" t="s">
        <v>116</v>
      </c>
      <c r="G21" t="s">
        <v>111</v>
      </c>
      <c r="H21" s="3" t="s">
        <v>112</v>
      </c>
    </row>
    <row r="22" spans="2:8" x14ac:dyDescent="0.25">
      <c r="B22" t="s">
        <v>76</v>
      </c>
      <c r="C22">
        <v>270309</v>
      </c>
      <c r="D22" t="s">
        <v>107</v>
      </c>
      <c r="E22" s="3" t="s">
        <v>116</v>
      </c>
      <c r="G22" t="s">
        <v>111</v>
      </c>
      <c r="H22" s="3" t="s">
        <v>112</v>
      </c>
    </row>
    <row r="23" spans="2:8" x14ac:dyDescent="0.25">
      <c r="B23" t="s">
        <v>79</v>
      </c>
      <c r="C23">
        <v>280603</v>
      </c>
      <c r="D23" t="s">
        <v>102</v>
      </c>
      <c r="E23" s="3" t="s">
        <v>114</v>
      </c>
      <c r="G23" t="s">
        <v>110</v>
      </c>
      <c r="H23" s="3" t="s">
        <v>113</v>
      </c>
    </row>
    <row r="24" spans="2:8" x14ac:dyDescent="0.25">
      <c r="B24" t="s">
        <v>82</v>
      </c>
      <c r="C24">
        <v>280802</v>
      </c>
      <c r="D24" t="s">
        <v>106</v>
      </c>
      <c r="E24" s="3" t="s">
        <v>117</v>
      </c>
      <c r="G24" t="s">
        <v>110</v>
      </c>
      <c r="H24" s="3" t="s">
        <v>113</v>
      </c>
    </row>
    <row r="25" spans="2:8" x14ac:dyDescent="0.25">
      <c r="B25" t="s">
        <v>87</v>
      </c>
      <c r="D25" t="s">
        <v>107</v>
      </c>
      <c r="E25" s="3" t="s">
        <v>116</v>
      </c>
      <c r="G25" t="s">
        <v>111</v>
      </c>
      <c r="H25" s="3" t="s">
        <v>112</v>
      </c>
    </row>
    <row r="26" spans="2:8" x14ac:dyDescent="0.25">
      <c r="B26" t="s">
        <v>89</v>
      </c>
      <c r="D26" t="s">
        <v>107</v>
      </c>
      <c r="E26" s="3" t="s">
        <v>116</v>
      </c>
      <c r="G26" t="s">
        <v>111</v>
      </c>
      <c r="H26" s="3" t="s">
        <v>112</v>
      </c>
    </row>
    <row r="27" spans="2:8" x14ac:dyDescent="0.25">
      <c r="B27" t="s">
        <v>91</v>
      </c>
      <c r="D27" t="s">
        <v>107</v>
      </c>
      <c r="E27" s="3" t="s">
        <v>116</v>
      </c>
      <c r="G27" t="s">
        <v>111</v>
      </c>
      <c r="H27" s="3" t="s">
        <v>112</v>
      </c>
    </row>
    <row r="28" spans="2:8" x14ac:dyDescent="0.25">
      <c r="B28" t="s">
        <v>93</v>
      </c>
      <c r="D28" t="s">
        <v>107</v>
      </c>
      <c r="E28" s="3" t="s">
        <v>116</v>
      </c>
      <c r="G28" t="s">
        <v>111</v>
      </c>
      <c r="H28" s="3" t="s">
        <v>112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AEF70C1-0EEC-4B6F-B9BC-CB121F019B7D}"/>
</file>

<file path=customXml/itemProps2.xml><?xml version="1.0" encoding="utf-8"?>
<ds:datastoreItem xmlns:ds="http://schemas.openxmlformats.org/officeDocument/2006/customXml" ds:itemID="{6D316E8C-50A2-4829-B33B-47931E7F7D0D}"/>
</file>

<file path=customXml/itemProps3.xml><?xml version="1.0" encoding="utf-8"?>
<ds:datastoreItem xmlns:ds="http://schemas.openxmlformats.org/officeDocument/2006/customXml" ds:itemID="{9664050C-E6CD-4CD2-BBFC-01DB51902E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Categorias</vt:lpstr>
      <vt:lpstr>Sheet2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2025-06-30T16:14:42Z</dcterms:created>
  <dcterms:modified xsi:type="dcterms:W3CDTF">2025-06-30T20:11:11Z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2025-06-30T20:10:49Z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12ebc13f-213e-4e55-8e9e-0431d1167f59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