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18. Emi financiadas\"/>
    </mc:Choice>
  </mc:AlternateContent>
  <bookViews>
    <workbookView xWindow="0" yWindow="0" windowWidth="28800" windowHeight="12180"/>
  </bookViews>
  <sheets>
    <sheet name="Diff" sheetId="3" r:id="rId1"/>
    <sheet name="Sheet1" sheetId="5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" i="3" l="1"/>
  <c r="P1" i="3"/>
  <c r="O1" i="3"/>
  <c r="N1" i="3"/>
  <c r="I1" i="3"/>
  <c r="H1" i="3"/>
  <c r="G1" i="3"/>
  <c r="F1" i="3"/>
  <c r="D24" i="4"/>
  <c r="B24" i="4"/>
  <c r="B23" i="4"/>
  <c r="B22" i="4"/>
  <c r="B11" i="4"/>
  <c r="B10" i="4"/>
  <c r="B9" i="4"/>
  <c r="U36" i="3"/>
  <c r="T36" i="3"/>
  <c r="S36" i="3"/>
  <c r="U35" i="3"/>
  <c r="T35" i="3"/>
  <c r="S35" i="3"/>
  <c r="U34" i="3"/>
  <c r="T34" i="3"/>
  <c r="S34" i="3"/>
  <c r="U33" i="3"/>
  <c r="T33" i="3"/>
  <c r="S33" i="3"/>
  <c r="U32" i="3"/>
  <c r="T32" i="3"/>
  <c r="S32" i="3"/>
  <c r="U31" i="3"/>
  <c r="T31" i="3"/>
  <c r="S31" i="3"/>
  <c r="U30" i="3"/>
  <c r="T30" i="3"/>
  <c r="S30" i="3"/>
  <c r="U29" i="3"/>
  <c r="T29" i="3"/>
  <c r="S29" i="3"/>
  <c r="U28" i="3"/>
  <c r="T28" i="3"/>
  <c r="S28" i="3"/>
  <c r="U27" i="3"/>
  <c r="T27" i="3"/>
  <c r="S27" i="3"/>
  <c r="U26" i="3"/>
  <c r="T26" i="3"/>
  <c r="S26" i="3"/>
  <c r="U25" i="3"/>
  <c r="T25" i="3"/>
  <c r="S25" i="3"/>
  <c r="U24" i="3"/>
  <c r="T24" i="3"/>
  <c r="S24" i="3"/>
  <c r="U23" i="3"/>
  <c r="T23" i="3"/>
  <c r="S23" i="3"/>
  <c r="U22" i="3"/>
  <c r="T22" i="3"/>
  <c r="S22" i="3"/>
  <c r="U21" i="3"/>
  <c r="T21" i="3"/>
  <c r="S21" i="3"/>
  <c r="U20" i="3"/>
  <c r="T20" i="3"/>
  <c r="S20" i="3"/>
  <c r="U19" i="3"/>
  <c r="T19" i="3"/>
  <c r="S19" i="3"/>
  <c r="U18" i="3"/>
  <c r="T18" i="3"/>
  <c r="S18" i="3"/>
  <c r="U17" i="3"/>
  <c r="T17" i="3"/>
  <c r="S17" i="3"/>
  <c r="U16" i="3"/>
  <c r="T16" i="3"/>
  <c r="S16" i="3"/>
  <c r="U15" i="3"/>
  <c r="T15" i="3"/>
  <c r="S15" i="3"/>
  <c r="U14" i="3"/>
  <c r="T14" i="3"/>
  <c r="S14" i="3"/>
  <c r="U13" i="3"/>
  <c r="T13" i="3"/>
  <c r="S13" i="3"/>
  <c r="U12" i="3"/>
  <c r="T12" i="3"/>
  <c r="S12" i="3"/>
  <c r="U11" i="3"/>
  <c r="T11" i="3"/>
  <c r="S11" i="3"/>
  <c r="U10" i="3"/>
  <c r="T10" i="3"/>
  <c r="S10" i="3"/>
  <c r="U9" i="3"/>
  <c r="T9" i="3"/>
  <c r="S9" i="3"/>
  <c r="U8" i="3"/>
  <c r="T8" i="3"/>
  <c r="S8" i="3"/>
  <c r="U7" i="3"/>
  <c r="T7" i="3"/>
  <c r="S7" i="3"/>
  <c r="U6" i="3"/>
  <c r="T6" i="3"/>
  <c r="S6" i="3"/>
  <c r="U5" i="3"/>
  <c r="T5" i="3"/>
  <c r="S5" i="3"/>
  <c r="U4" i="3"/>
  <c r="T4" i="3"/>
  <c r="S4" i="3"/>
  <c r="U3" i="3"/>
  <c r="T3" i="3"/>
  <c r="S3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</calcChain>
</file>

<file path=xl/sharedStrings.xml><?xml version="1.0" encoding="utf-8"?>
<sst xmlns="http://schemas.openxmlformats.org/spreadsheetml/2006/main" count="1039" uniqueCount="196">
  <si>
    <t>nome_perimetro</t>
  </si>
  <si>
    <t>origem_scp1_emss</t>
  </si>
  <si>
    <t>origem_scp2_emss</t>
  </si>
  <si>
    <t>origem_scp3_emss</t>
  </si>
  <si>
    <t>scp1</t>
  </si>
  <si>
    <t>scp2</t>
  </si>
  <si>
    <t>scp3</t>
  </si>
  <si>
    <t>mont</t>
  </si>
  <si>
    <t>ST SGPS Cons; Individual Idcomb</t>
  </si>
  <si>
    <t>MVL_DQS5_3B</t>
  </si>
  <si>
    <t>Nao Aplicavel</t>
  </si>
  <si>
    <t>NULL</t>
  </si>
  <si>
    <t>BCL_DQS5_3B</t>
  </si>
  <si>
    <t>PF_DQS1_1A</t>
  </si>
  <si>
    <t>PF_DQS1_SCIB</t>
  </si>
  <si>
    <t>PF_DQS4_SCIB</t>
  </si>
  <si>
    <t>PF_DQS5_3B</t>
  </si>
  <si>
    <t>BCL_DQS1_SCIB</t>
  </si>
  <si>
    <t>BCL_DQS4_SCIB</t>
  </si>
  <si>
    <t>MISS</t>
  </si>
  <si>
    <t>RE_DQS5_3</t>
  </si>
  <si>
    <t>ST SGPS Cons</t>
  </si>
  <si>
    <t>RE_DQS3_2A</t>
  </si>
  <si>
    <t>RE_DQS4_2B</t>
  </si>
  <si>
    <t>MVL_DQS3_2B</t>
  </si>
  <si>
    <t>BCL_DQS2_SCIB</t>
  </si>
  <si>
    <t>MVL_DQS4_3A</t>
  </si>
  <si>
    <t>PF_DQS2_SCIB</t>
  </si>
  <si>
    <t>Individual Idcomb</t>
  </si>
  <si>
    <t>BCL_DQS4_3A</t>
  </si>
  <si>
    <t>flag_perimetro</t>
  </si>
  <si>
    <t>ST SGPS Cons;Individual Idcomb</t>
  </si>
  <si>
    <t>31000320631593096000000000000000</t>
  </si>
  <si>
    <t>cempresa</t>
  </si>
  <si>
    <t>cbalcao</t>
  </si>
  <si>
    <t>cnumecta</t>
  </si>
  <si>
    <t>zdeposit</t>
  </si>
  <si>
    <t>chave</t>
  </si>
  <si>
    <t>zcliente</t>
  </si>
  <si>
    <t>purpose_code</t>
  </si>
  <si>
    <t>sum_msaldo_final_ct</t>
  </si>
  <si>
    <t>chave_cto</t>
  </si>
  <si>
    <t>cempbem</t>
  </si>
  <si>
    <t>ckbalbem</t>
  </si>
  <si>
    <t>ckctabem</t>
  </si>
  <si>
    <t>ckrefbem</t>
  </si>
  <si>
    <t>chave_bem</t>
  </si>
  <si>
    <t>flag_bem</t>
  </si>
  <si>
    <t>cgarant_bem</t>
  </si>
  <si>
    <t>sum_mavaliaa</t>
  </si>
  <si>
    <t>preco_aquis</t>
  </si>
  <si>
    <t>preco_aquisicao</t>
  </si>
  <si>
    <t>num_bens</t>
  </si>
  <si>
    <t>cto_mavaliaa</t>
  </si>
  <si>
    <t>flag_cobert</t>
  </si>
  <si>
    <t>peso_colat_cobert</t>
  </si>
  <si>
    <t>peso_colat_n_cobert</t>
  </si>
  <si>
    <t>flag_linhas</t>
  </si>
  <si>
    <t>amount</t>
  </si>
  <si>
    <t>row_ordem_1</t>
  </si>
  <si>
    <t>ccligrupo</t>
  </si>
  <si>
    <t>dano</t>
  </si>
  <si>
    <t>cgestor</t>
  </si>
  <si>
    <t>timestamp</t>
  </si>
  <si>
    <t>dfim</t>
  </si>
  <si>
    <t>cperiodo</t>
  </si>
  <si>
    <t>itip_inf</t>
  </si>
  <si>
    <t>data_date_part</t>
  </si>
  <si>
    <t>vcpim</t>
  </si>
  <si>
    <t>vpnicsfin</t>
  </si>
  <si>
    <t>vpnpaslf</t>
  </si>
  <si>
    <t>vpnopfin</t>
  </si>
  <si>
    <t>vpcicsfin</t>
  </si>
  <si>
    <t>vpcopfin</t>
  </si>
  <si>
    <t>vpcpaslf</t>
  </si>
  <si>
    <t>client_own_funds</t>
  </si>
  <si>
    <t>client_debt</t>
  </si>
  <si>
    <t>scp1_emss_cli</t>
  </si>
  <si>
    <t>scp2_emss_cli</t>
  </si>
  <si>
    <t>scp3_emss_cli</t>
  </si>
  <si>
    <t>origem_scp1_emss_cli</t>
  </si>
  <si>
    <t>origem_scp2_emss_cli</t>
  </si>
  <si>
    <t>origem_scp3_emss_cli</t>
  </si>
  <si>
    <t>divida_total</t>
  </si>
  <si>
    <t>capital_proprio</t>
  </si>
  <si>
    <t>scp1_emss_mob</t>
  </si>
  <si>
    <t>scp2_emss_mob</t>
  </si>
  <si>
    <t>scp3_emss_mob</t>
  </si>
  <si>
    <t>origem_scp1_emss_mob</t>
  </si>
  <si>
    <t>origem_scp2_emss_mob</t>
  </si>
  <si>
    <t>origem_scp3_emss_mob</t>
  </si>
  <si>
    <t>scp1_emss_imo</t>
  </si>
  <si>
    <t>scp2_emss_imo</t>
  </si>
  <si>
    <t>scp3_emss_imo</t>
  </si>
  <si>
    <t>origem_scp1_emss_imo</t>
  </si>
  <si>
    <t>origem_scp2_emss_imo</t>
  </si>
  <si>
    <t>origem_scp3_emss_imo</t>
  </si>
  <si>
    <t>flag_aux_metodo</t>
  </si>
  <si>
    <t>flag_aux_metodo_cto</t>
  </si>
  <si>
    <t>preco_aquisicao_cto</t>
  </si>
  <si>
    <t>fatr_indv_pme</t>
  </si>
  <si>
    <t>scp1_emss_fncd_aux</t>
  </si>
  <si>
    <t>scp1_emss_fncd</t>
  </si>
  <si>
    <t>scp2_emss_fncd_aux</t>
  </si>
  <si>
    <t>scp2_emss_fncd</t>
  </si>
  <si>
    <t>scp3_emss_fncd_aux</t>
  </si>
  <si>
    <t>scp3_emss_fncd</t>
  </si>
  <si>
    <t>SEM_COLATERAL</t>
  </si>
  <si>
    <t>LINHA INI</t>
  </si>
  <si>
    <t>A15423</t>
  </si>
  <si>
    <t>I</t>
  </si>
  <si>
    <t>31</t>
  </si>
  <si>
    <t>0003</t>
  </si>
  <si>
    <t>07044893096</t>
  </si>
  <si>
    <t>000000000000000</t>
  </si>
  <si>
    <t>31000307044893096000000000000000</t>
  </si>
  <si>
    <t>7400412936</t>
  </si>
  <si>
    <t>0</t>
  </si>
  <si>
    <t>1</t>
  </si>
  <si>
    <t>0006299383</t>
  </si>
  <si>
    <t>2023</t>
  </si>
  <si>
    <t>212</t>
  </si>
  <si>
    <t>2024-08-02</t>
  </si>
  <si>
    <t>A15427</t>
  </si>
  <si>
    <t>ckutulmo</t>
  </si>
  <si>
    <t>htimest</t>
  </si>
  <si>
    <t>ref_date</t>
  </si>
  <si>
    <t>cod_visao</t>
  </si>
  <si>
    <t>E859358</t>
  </si>
  <si>
    <t>2025-09-29 09:48:32.26</t>
  </si>
  <si>
    <t>0.1427740000</t>
  </si>
  <si>
    <t>0.4347550000</t>
  </si>
  <si>
    <t>CRE_OUTRO</t>
  </si>
  <si>
    <t>-4869940.61000000000000000000000000</t>
  </si>
  <si>
    <t>A15426</t>
  </si>
  <si>
    <t>2024-11-07 00:00:00.0</t>
  </si>
  <si>
    <t>9999-12-31 00:00:00.0</t>
  </si>
  <si>
    <t>-839656.60</t>
  </si>
  <si>
    <t>0.00</t>
  </si>
  <si>
    <t>-839656.60000000000000000000</t>
  </si>
  <si>
    <t>0.00000000000000000000</t>
  </si>
  <si>
    <t>31.7449000000</t>
  </si>
  <si>
    <t>15.0785000000</t>
  </si>
  <si>
    <t>144.4130000000</t>
  </si>
  <si>
    <t>28003200.00</t>
  </si>
  <si>
    <t>0.000000</t>
  </si>
  <si>
    <t>MUG_IMO</t>
  </si>
  <si>
    <t>REVER</t>
  </si>
  <si>
    <t>1.00000000000000000000</t>
  </si>
  <si>
    <t>246.07947915848326209267</t>
  </si>
  <si>
    <t>113797.38000000000000000000000000</t>
  </si>
  <si>
    <t>35.1315000000</t>
  </si>
  <si>
    <t>106.9770000000</t>
  </si>
  <si>
    <t>-0.142739284500000000</t>
  </si>
  <si>
    <t>-0.434647551000000000</t>
  </si>
  <si>
    <t>descritivo</t>
  </si>
  <si>
    <t>caplic</t>
  </si>
  <si>
    <t>cgrupoic</t>
  </si>
  <si>
    <t>cmoeda</t>
  </si>
  <si>
    <t>cnaturic</t>
  </si>
  <si>
    <t>tipo_contrato</t>
  </si>
  <si>
    <t>sociedade_contraparte</t>
  </si>
  <si>
    <t>msaldo_inicial</t>
  </si>
  <si>
    <t>msaldo_final</t>
  </si>
  <si>
    <t>ccontab_inicial_pcsb</t>
  </si>
  <si>
    <t>ccontab_inicial_ifrs</t>
  </si>
  <si>
    <t>ccontab_inicial_cargabal</t>
  </si>
  <si>
    <t>ccontab_inicial_st_sgps</t>
  </si>
  <si>
    <t>ccontab_inicial_sgps_cons</t>
  </si>
  <si>
    <t>ccontab_inicial_idcomb</t>
  </si>
  <si>
    <t>ccontab_final_pcsb</t>
  </si>
  <si>
    <t>ccontab_final_ifrs</t>
  </si>
  <si>
    <t>ccontab_final_cargabal</t>
  </si>
  <si>
    <t>ccontab_final_st_sgps</t>
  </si>
  <si>
    <t>ccontab_final_sgps_cons</t>
  </si>
  <si>
    <t>ccontab_final_idcomb</t>
  </si>
  <si>
    <t>origem</t>
  </si>
  <si>
    <t>flag_ativo</t>
  </si>
  <si>
    <t>cod_ajust</t>
  </si>
  <si>
    <t>IM</t>
  </si>
  <si>
    <t>CAM</t>
  </si>
  <si>
    <t>5059.390000</t>
  </si>
  <si>
    <t>CONT1;HFS2;B02;MC200102;SC0303;STAG1</t>
  </si>
  <si>
    <t>IMPARIDADE</t>
  </si>
  <si>
    <t>BI00411</t>
  </si>
  <si>
    <t>T510203</t>
  </si>
  <si>
    <t>2025-08-01 11:46:21.591</t>
  </si>
  <si>
    <t>SIAPA SOCIEDADE DE INVESTIMENTOS E ADMINISTRACOES PREDIAIS E AGRICOLAS</t>
  </si>
  <si>
    <t>CONT1;HFS2;B01;MC02;PR0303;ACPF6;SC0303;STAG1;SUBO2;TYVA01</t>
  </si>
  <si>
    <t>MANUAL</t>
  </si>
  <si>
    <t>SIAPA SOCIEDADE D. I. E. A. PREDIAIS E</t>
  </si>
  <si>
    <t>EP</t>
  </si>
  <si>
    <t>C</t>
  </si>
  <si>
    <t>-4875000.000000</t>
  </si>
  <si>
    <t>M01;MC42;SC0303;STAG1</t>
  </si>
  <si>
    <t>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</si>
</sst>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quotePrefix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6"/>
  <sheetViews>
    <sheetView tabSelected="1" topLeftCell="E1" zoomScaleNormal="100" workbookViewId="0">
      <selection activeCell="R1" sqref="R1"/>
    </sheetView>
  </sheetViews>
  <sheetFormatPr defaultRowHeight="15" x14ac:dyDescent="0.25"/>
  <cols>
    <col min="2" max="2" width="30.140625" bestFit="1" customWidth="1"/>
    <col min="3" max="5" width="18" bestFit="1" customWidth="1"/>
    <col min="6" max="6" width="13.5703125" style="1" customWidth="1"/>
    <col min="7" max="7" width="13.5703125" style="1" bestFit="1" customWidth="1"/>
    <col min="8" max="8" width="11.42578125" style="1" bestFit="1" customWidth="1"/>
    <col min="9" max="9" width="16.7109375" style="1" bestFit="1" customWidth="1"/>
    <col min="10" max="10" width="30.140625" bestFit="1" customWidth="1"/>
    <col min="11" max="13" width="18" bestFit="1" customWidth="1"/>
    <col min="14" max="15" width="13.5703125" style="1" bestFit="1" customWidth="1"/>
    <col min="16" max="16" width="11.42578125" style="1" bestFit="1" customWidth="1"/>
    <col min="17" max="17" width="16.7109375" style="1" bestFit="1" customWidth="1"/>
    <col min="18" max="18" width="10" bestFit="1" customWidth="1"/>
    <col min="19" max="19" width="8.42578125" customWidth="1"/>
    <col min="20" max="20" width="8.7109375" customWidth="1"/>
    <col min="21" max="21" width="9.7109375" bestFit="1" customWidth="1"/>
    <col min="22" max="22" width="12" bestFit="1" customWidth="1"/>
  </cols>
  <sheetData>
    <row r="1" spans="2:21" x14ac:dyDescent="0.25">
      <c r="F1" s="1">
        <f>+SUM(F3:F36)</f>
        <v>131644969.46176399</v>
      </c>
      <c r="G1" s="1">
        <f>+SUM(G3:G36)</f>
        <v>262084697.97714499</v>
      </c>
      <c r="H1" s="1">
        <f>+SUM(H3:H36)</f>
        <v>4596637.5493060006</v>
      </c>
      <c r="I1" s="1">
        <f>+SUM(I3:I36)</f>
        <v>-25002501781.19046</v>
      </c>
      <c r="N1" s="1">
        <f>+SUM(N3:N36)</f>
        <v>131642660.04036801</v>
      </c>
      <c r="O1" s="1">
        <f>+SUM(O3:O36)</f>
        <v>262082821.65816796</v>
      </c>
      <c r="P1" s="1">
        <f>+SUM(P3:P36)</f>
        <v>4532328.170496</v>
      </c>
      <c r="Q1" s="1">
        <f>+SUM(Q3:Q36)</f>
        <v>-25002274179.168377</v>
      </c>
    </row>
    <row r="2" spans="2:21" x14ac:dyDescent="0.25">
      <c r="B2" t="s">
        <v>0</v>
      </c>
      <c r="C2" t="s">
        <v>1</v>
      </c>
      <c r="D2" t="s">
        <v>2</v>
      </c>
      <c r="E2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t="s">
        <v>0</v>
      </c>
      <c r="K2" t="s">
        <v>1</v>
      </c>
      <c r="L2" t="s">
        <v>2</v>
      </c>
      <c r="M2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2:21" x14ac:dyDescent="0.25">
      <c r="B3" t="s">
        <v>8</v>
      </c>
      <c r="C3" t="s">
        <v>12</v>
      </c>
      <c r="D3" t="s">
        <v>12</v>
      </c>
      <c r="E3" t="s">
        <v>12</v>
      </c>
      <c r="F3" s="1">
        <v>170855.76712599999</v>
      </c>
      <c r="G3" s="1">
        <v>21769.321903</v>
      </c>
      <c r="H3" s="1">
        <v>241062.69596499999</v>
      </c>
      <c r="I3" s="1">
        <v>-1959130997.88324</v>
      </c>
      <c r="J3" t="s">
        <v>8</v>
      </c>
      <c r="K3" t="s">
        <v>12</v>
      </c>
      <c r="L3" t="s">
        <v>12</v>
      </c>
      <c r="M3" t="s">
        <v>12</v>
      </c>
      <c r="N3" s="1">
        <v>170853.66863100001</v>
      </c>
      <c r="O3" s="1">
        <v>21768.700633</v>
      </c>
      <c r="P3" s="1">
        <v>241056.018033</v>
      </c>
      <c r="Q3" s="1">
        <v>-1959130997.9135699</v>
      </c>
      <c r="R3" s="1">
        <f>+Q3-I3</f>
        <v>-3.032994270324707E-2</v>
      </c>
      <c r="S3" s="1">
        <f>+N3-F3</f>
        <v>-2.0984949999838136</v>
      </c>
      <c r="T3" s="1">
        <f t="shared" ref="T3:U3" si="0">+O3-G3</f>
        <v>-0.62126999999964028</v>
      </c>
      <c r="U3" s="1">
        <f t="shared" si="0"/>
        <v>-6.6779319999914151</v>
      </c>
    </row>
    <row r="4" spans="2:21" x14ac:dyDescent="0.25">
      <c r="B4" t="s">
        <v>8</v>
      </c>
      <c r="C4" t="s">
        <v>13</v>
      </c>
      <c r="D4" t="s">
        <v>14</v>
      </c>
      <c r="E4" t="s">
        <v>15</v>
      </c>
      <c r="F4" s="1">
        <v>0</v>
      </c>
      <c r="G4" s="1">
        <v>19.089341999999998</v>
      </c>
      <c r="H4" s="1">
        <v>2123.7001279999999</v>
      </c>
      <c r="I4" s="1">
        <v>-2591275.13</v>
      </c>
      <c r="J4" t="s">
        <v>8</v>
      </c>
      <c r="K4" t="s">
        <v>13</v>
      </c>
      <c r="L4" t="s">
        <v>14</v>
      </c>
      <c r="M4" t="s">
        <v>15</v>
      </c>
      <c r="N4" s="1">
        <v>0</v>
      </c>
      <c r="O4" s="1">
        <v>19.003688</v>
      </c>
      <c r="P4" s="1">
        <v>2114.1711270000001</v>
      </c>
      <c r="Q4" s="1">
        <v>-2591275.13</v>
      </c>
      <c r="R4" s="1">
        <f t="shared" ref="R4:R36" si="1">+Q4-I4</f>
        <v>0</v>
      </c>
      <c r="S4" s="1">
        <f t="shared" ref="S4:S36" si="2">+N4-F4</f>
        <v>0</v>
      </c>
      <c r="T4" s="1">
        <f t="shared" ref="T4:T36" si="3">+O4-G4</f>
        <v>-8.5653999999998121E-2</v>
      </c>
      <c r="U4" s="1">
        <f t="shared" ref="U4:U36" si="4">+P4-H4</f>
        <v>-9.5290009999998802</v>
      </c>
    </row>
    <row r="5" spans="2:21" x14ac:dyDescent="0.25">
      <c r="B5" t="s">
        <v>8</v>
      </c>
      <c r="C5" t="s">
        <v>9</v>
      </c>
      <c r="D5" t="s">
        <v>9</v>
      </c>
      <c r="E5" t="s">
        <v>10</v>
      </c>
      <c r="F5" s="1">
        <v>226.79910000000001</v>
      </c>
      <c r="G5" s="1">
        <v>3.0422929999999999</v>
      </c>
      <c r="H5" s="1" t="s">
        <v>11</v>
      </c>
      <c r="I5" s="1">
        <v>-2511652.2409740002</v>
      </c>
      <c r="J5" t="s">
        <v>8</v>
      </c>
      <c r="K5" t="s">
        <v>9</v>
      </c>
      <c r="L5" t="s">
        <v>9</v>
      </c>
      <c r="M5" t="s">
        <v>10</v>
      </c>
      <c r="N5" s="1">
        <v>226.79884200000001</v>
      </c>
      <c r="O5" s="1">
        <v>3.0421870000000002</v>
      </c>
      <c r="P5" s="1" t="s">
        <v>11</v>
      </c>
      <c r="Q5" s="1">
        <v>-2511652.2499999902</v>
      </c>
      <c r="R5" s="1">
        <f t="shared" si="1"/>
        <v>-9.0259900316596031E-3</v>
      </c>
      <c r="S5" s="1">
        <f t="shared" si="2"/>
        <v>-2.5800000000231194E-4</v>
      </c>
      <c r="T5" s="1">
        <f t="shared" si="3"/>
        <v>-1.0599999999971743E-4</v>
      </c>
      <c r="U5" s="1" t="e">
        <f t="shared" si="4"/>
        <v>#VALUE!</v>
      </c>
    </row>
    <row r="6" spans="2:21" x14ac:dyDescent="0.25">
      <c r="B6" t="s">
        <v>8</v>
      </c>
      <c r="C6" t="s">
        <v>13</v>
      </c>
      <c r="D6" t="s">
        <v>16</v>
      </c>
      <c r="E6" t="s">
        <v>16</v>
      </c>
      <c r="F6" s="1">
        <v>0</v>
      </c>
      <c r="G6" s="1">
        <v>3488.8448199999998</v>
      </c>
      <c r="H6" s="1">
        <v>31089.311146</v>
      </c>
      <c r="I6" s="1">
        <v>-181561293.56999999</v>
      </c>
      <c r="J6" t="s">
        <v>8</v>
      </c>
      <c r="K6" t="s">
        <v>13</v>
      </c>
      <c r="L6" t="s">
        <v>16</v>
      </c>
      <c r="M6" t="s">
        <v>16</v>
      </c>
      <c r="N6" s="1">
        <v>0</v>
      </c>
      <c r="O6" s="1">
        <v>3488.8445449999999</v>
      </c>
      <c r="P6" s="1">
        <v>31089.308915000001</v>
      </c>
      <c r="Q6" s="1">
        <v>-181561293.56999999</v>
      </c>
      <c r="R6" s="1">
        <f t="shared" si="1"/>
        <v>0</v>
      </c>
      <c r="S6" s="1">
        <f t="shared" si="2"/>
        <v>0</v>
      </c>
      <c r="T6" s="1">
        <f t="shared" si="3"/>
        <v>-2.7499999987412593E-4</v>
      </c>
      <c r="U6" s="1">
        <f t="shared" si="4"/>
        <v>-2.2309999985736795E-3</v>
      </c>
    </row>
    <row r="7" spans="2:21" x14ac:dyDescent="0.25">
      <c r="B7" t="s">
        <v>8</v>
      </c>
      <c r="C7" t="s">
        <v>17</v>
      </c>
      <c r="D7" t="s">
        <v>17</v>
      </c>
      <c r="E7" t="s">
        <v>18</v>
      </c>
      <c r="F7" s="1">
        <v>54352.669164999999</v>
      </c>
      <c r="G7" s="1">
        <v>20726.428261000001</v>
      </c>
      <c r="H7" s="1">
        <v>816913.20855900005</v>
      </c>
      <c r="I7" s="1">
        <v>-643709656.54084098</v>
      </c>
      <c r="J7" t="s">
        <v>8</v>
      </c>
      <c r="K7" t="s">
        <v>17</v>
      </c>
      <c r="L7" t="s">
        <v>17</v>
      </c>
      <c r="M7" t="s">
        <v>18</v>
      </c>
      <c r="N7" s="1">
        <v>53382.126787000001</v>
      </c>
      <c r="O7" s="1">
        <v>19374.768914</v>
      </c>
      <c r="P7" s="1">
        <v>767845.46123799996</v>
      </c>
      <c r="Q7" s="1">
        <v>-643709656.53740597</v>
      </c>
      <c r="R7" s="1">
        <f t="shared" si="1"/>
        <v>3.4350156784057617E-3</v>
      </c>
      <c r="S7" s="1">
        <f t="shared" si="2"/>
        <v>-970.54237799999828</v>
      </c>
      <c r="T7" s="1">
        <f t="shared" si="3"/>
        <v>-1351.6593470000007</v>
      </c>
      <c r="U7" s="1">
        <f t="shared" si="4"/>
        <v>-49067.74732100009</v>
      </c>
    </row>
    <row r="8" spans="2:21" x14ac:dyDescent="0.25">
      <c r="B8" t="s">
        <v>21</v>
      </c>
      <c r="C8" t="s">
        <v>10</v>
      </c>
      <c r="D8" t="s">
        <v>10</v>
      </c>
      <c r="E8" t="s">
        <v>10</v>
      </c>
      <c r="F8" s="1" t="s">
        <v>11</v>
      </c>
      <c r="G8" s="1" t="s">
        <v>11</v>
      </c>
      <c r="H8" s="1" t="s">
        <v>11</v>
      </c>
      <c r="I8" s="1">
        <v>205.57</v>
      </c>
      <c r="J8" t="s">
        <v>21</v>
      </c>
      <c r="K8" t="s">
        <v>10</v>
      </c>
      <c r="L8" t="s">
        <v>10</v>
      </c>
      <c r="M8" t="s">
        <v>10</v>
      </c>
      <c r="N8" s="1" t="s">
        <v>11</v>
      </c>
      <c r="O8" s="1" t="s">
        <v>11</v>
      </c>
      <c r="P8" s="1" t="s">
        <v>11</v>
      </c>
      <c r="Q8" s="1">
        <v>205.57</v>
      </c>
      <c r="R8" s="1">
        <f t="shared" si="1"/>
        <v>0</v>
      </c>
      <c r="S8" s="1" t="e">
        <f t="shared" si="2"/>
        <v>#VALUE!</v>
      </c>
      <c r="T8" s="1" t="e">
        <f t="shared" si="3"/>
        <v>#VALUE!</v>
      </c>
      <c r="U8" s="1" t="e">
        <f t="shared" si="4"/>
        <v>#VALUE!</v>
      </c>
    </row>
    <row r="9" spans="2:21" x14ac:dyDescent="0.25">
      <c r="B9" t="s">
        <v>8</v>
      </c>
      <c r="C9" t="s">
        <v>16</v>
      </c>
      <c r="D9" t="s">
        <v>16</v>
      </c>
      <c r="E9" t="s">
        <v>16</v>
      </c>
      <c r="F9" s="1">
        <v>22578.739186999999</v>
      </c>
      <c r="G9" s="1">
        <v>1529.9110559999999</v>
      </c>
      <c r="H9" s="1">
        <v>28132.533868999999</v>
      </c>
      <c r="I9" s="1">
        <v>-411564644.27999997</v>
      </c>
      <c r="J9" t="s">
        <v>8</v>
      </c>
      <c r="K9" t="s">
        <v>16</v>
      </c>
      <c r="L9" t="s">
        <v>16</v>
      </c>
      <c r="M9" t="s">
        <v>16</v>
      </c>
      <c r="N9" s="1">
        <v>22578.738783000001</v>
      </c>
      <c r="O9" s="1">
        <v>1529.910907</v>
      </c>
      <c r="P9" s="1">
        <v>28132.532045</v>
      </c>
      <c r="Q9" s="1">
        <v>-411564644.27999997</v>
      </c>
      <c r="R9" s="1">
        <f t="shared" si="1"/>
        <v>0</v>
      </c>
      <c r="S9" s="1">
        <f t="shared" si="2"/>
        <v>-4.039999985252507E-4</v>
      </c>
      <c r="T9" s="1">
        <f t="shared" si="3"/>
        <v>-1.4899999996487168E-4</v>
      </c>
      <c r="U9" s="1">
        <f t="shared" si="4"/>
        <v>-1.8239999990328215E-3</v>
      </c>
    </row>
    <row r="10" spans="2:21" x14ac:dyDescent="0.25">
      <c r="B10" t="s">
        <v>21</v>
      </c>
      <c r="C10" t="s">
        <v>19</v>
      </c>
      <c r="D10" t="s">
        <v>19</v>
      </c>
      <c r="E10" t="s">
        <v>19</v>
      </c>
      <c r="F10" s="1" t="s">
        <v>11</v>
      </c>
      <c r="G10" s="1" t="s">
        <v>11</v>
      </c>
      <c r="H10" s="1" t="s">
        <v>11</v>
      </c>
      <c r="I10" s="1">
        <v>-110818666.58</v>
      </c>
      <c r="J10" t="s">
        <v>21</v>
      </c>
      <c r="K10" t="s">
        <v>19</v>
      </c>
      <c r="L10" t="s">
        <v>19</v>
      </c>
      <c r="M10" t="s">
        <v>19</v>
      </c>
      <c r="N10" s="1" t="s">
        <v>11</v>
      </c>
      <c r="O10" s="1" t="s">
        <v>11</v>
      </c>
      <c r="P10" s="1" t="s">
        <v>11</v>
      </c>
      <c r="Q10" s="1">
        <v>-110818666.58</v>
      </c>
      <c r="R10" s="1">
        <f t="shared" si="1"/>
        <v>0</v>
      </c>
      <c r="S10" s="1" t="e">
        <f t="shared" si="2"/>
        <v>#VALUE!</v>
      </c>
      <c r="T10" s="1" t="e">
        <f t="shared" si="3"/>
        <v>#VALUE!</v>
      </c>
      <c r="U10" s="1" t="e">
        <f t="shared" si="4"/>
        <v>#VALUE!</v>
      </c>
    </row>
    <row r="11" spans="2:21" x14ac:dyDescent="0.25">
      <c r="B11" t="s">
        <v>8</v>
      </c>
      <c r="C11" t="s">
        <v>17</v>
      </c>
      <c r="D11" t="s">
        <v>25</v>
      </c>
      <c r="E11" t="s">
        <v>17</v>
      </c>
      <c r="F11" s="1">
        <v>1871.5652050000001</v>
      </c>
      <c r="G11" s="1">
        <v>7696.7649950000005</v>
      </c>
      <c r="H11" s="1">
        <v>4589.7043569999996</v>
      </c>
      <c r="I11" s="1">
        <v>-253607591.24000001</v>
      </c>
      <c r="J11" t="s">
        <v>8</v>
      </c>
      <c r="K11" t="s">
        <v>17</v>
      </c>
      <c r="L11" t="s">
        <v>25</v>
      </c>
      <c r="M11" t="s">
        <v>17</v>
      </c>
      <c r="N11" s="1">
        <v>1870.0175039999999</v>
      </c>
      <c r="O11" s="1">
        <v>7690.4000640000004</v>
      </c>
      <c r="P11" s="1">
        <v>4585.908864</v>
      </c>
      <c r="Q11" s="1">
        <v>-253607591.24000001</v>
      </c>
      <c r="R11" s="1">
        <f t="shared" si="1"/>
        <v>0</v>
      </c>
      <c r="S11" s="1">
        <f t="shared" si="2"/>
        <v>-1.5477010000001883</v>
      </c>
      <c r="T11" s="1">
        <f t="shared" si="3"/>
        <v>-6.3649310000000696</v>
      </c>
      <c r="U11" s="1">
        <f t="shared" si="4"/>
        <v>-3.7954929999996239</v>
      </c>
    </row>
    <row r="12" spans="2:21" x14ac:dyDescent="0.25">
      <c r="B12" t="s">
        <v>8</v>
      </c>
      <c r="C12" t="s">
        <v>18</v>
      </c>
      <c r="D12" t="s">
        <v>25</v>
      </c>
      <c r="E12" t="s">
        <v>18</v>
      </c>
      <c r="F12" s="1">
        <v>101673.83373899999</v>
      </c>
      <c r="G12" s="1">
        <v>13053.092214</v>
      </c>
      <c r="H12" s="1">
        <v>57281.886065999999</v>
      </c>
      <c r="I12" s="1">
        <v>-66379871.469999999</v>
      </c>
      <c r="J12" t="s">
        <v>8</v>
      </c>
      <c r="K12" t="s">
        <v>18</v>
      </c>
      <c r="L12" t="s">
        <v>25</v>
      </c>
      <c r="M12" t="s">
        <v>18</v>
      </c>
      <c r="N12" s="1">
        <v>100927.84415999999</v>
      </c>
      <c r="O12" s="1">
        <v>12955.115415</v>
      </c>
      <c r="P12" s="1">
        <v>56846.380626999999</v>
      </c>
      <c r="Q12" s="1">
        <v>-66379871.469999999</v>
      </c>
      <c r="R12" s="1">
        <f t="shared" si="1"/>
        <v>0</v>
      </c>
      <c r="S12" s="1">
        <f t="shared" si="2"/>
        <v>-745.98957900000096</v>
      </c>
      <c r="T12" s="1">
        <f t="shared" si="3"/>
        <v>-97.976799000000028</v>
      </c>
      <c r="U12" s="1">
        <f t="shared" si="4"/>
        <v>-435.50543900000048</v>
      </c>
    </row>
    <row r="13" spans="2:21" x14ac:dyDescent="0.25">
      <c r="B13" t="s">
        <v>8</v>
      </c>
      <c r="C13" t="s">
        <v>10</v>
      </c>
      <c r="D13" t="s">
        <v>26</v>
      </c>
      <c r="E13" t="s">
        <v>10</v>
      </c>
      <c r="F13" s="1" t="s">
        <v>11</v>
      </c>
      <c r="G13" s="1">
        <v>1159.6964740000001</v>
      </c>
      <c r="H13" s="1" t="s">
        <v>11</v>
      </c>
      <c r="I13" s="1">
        <v>-52160350.755907997</v>
      </c>
      <c r="J13" t="s">
        <v>8</v>
      </c>
      <c r="K13" t="s">
        <v>10</v>
      </c>
      <c r="L13" t="s">
        <v>26</v>
      </c>
      <c r="M13" t="s">
        <v>10</v>
      </c>
      <c r="N13" s="1" t="s">
        <v>11</v>
      </c>
      <c r="O13" s="1">
        <v>1159.694037</v>
      </c>
      <c r="P13" s="1" t="s">
        <v>11</v>
      </c>
      <c r="Q13" s="1">
        <v>-52160350.7299999</v>
      </c>
      <c r="R13" s="1">
        <f t="shared" si="1"/>
        <v>2.5908097624778748E-2</v>
      </c>
      <c r="S13" s="1" t="e">
        <f t="shared" si="2"/>
        <v>#VALUE!</v>
      </c>
      <c r="T13" s="1">
        <f t="shared" si="3"/>
        <v>-2.4370000000999426E-3</v>
      </c>
      <c r="U13" s="1" t="e">
        <f t="shared" si="4"/>
        <v>#VALUE!</v>
      </c>
    </row>
    <row r="14" spans="2:21" x14ac:dyDescent="0.25">
      <c r="B14" t="s">
        <v>28</v>
      </c>
      <c r="C14" t="s">
        <v>19</v>
      </c>
      <c r="D14" t="s">
        <v>19</v>
      </c>
      <c r="E14" t="s">
        <v>19</v>
      </c>
      <c r="F14" s="1" t="s">
        <v>11</v>
      </c>
      <c r="G14" s="1" t="s">
        <v>11</v>
      </c>
      <c r="H14" s="1" t="s">
        <v>11</v>
      </c>
      <c r="I14" s="1">
        <v>-1962731635.8099999</v>
      </c>
      <c r="J14" t="s">
        <v>28</v>
      </c>
      <c r="K14" t="s">
        <v>19</v>
      </c>
      <c r="L14" t="s">
        <v>19</v>
      </c>
      <c r="M14" t="s">
        <v>19</v>
      </c>
      <c r="N14" s="1" t="s">
        <v>11</v>
      </c>
      <c r="O14" s="1" t="s">
        <v>11</v>
      </c>
      <c r="P14" s="1" t="s">
        <v>11</v>
      </c>
      <c r="Q14" s="1">
        <v>-1962731635.8099999</v>
      </c>
      <c r="R14" s="1">
        <f t="shared" si="1"/>
        <v>0</v>
      </c>
      <c r="S14" s="1" t="e">
        <f t="shared" si="2"/>
        <v>#VALUE!</v>
      </c>
      <c r="T14" s="1" t="e">
        <f t="shared" si="3"/>
        <v>#VALUE!</v>
      </c>
      <c r="U14" s="1" t="e">
        <f t="shared" si="4"/>
        <v>#VALUE!</v>
      </c>
    </row>
    <row r="15" spans="2:21" x14ac:dyDescent="0.25">
      <c r="B15" t="s">
        <v>8</v>
      </c>
      <c r="C15" t="s">
        <v>25</v>
      </c>
      <c r="D15" t="s">
        <v>25</v>
      </c>
      <c r="E15" t="s">
        <v>18</v>
      </c>
      <c r="F15" s="1">
        <v>4.0800000000000003E-3</v>
      </c>
      <c r="G15" s="1">
        <v>8.5810000000000001E-3</v>
      </c>
      <c r="H15" s="1">
        <v>7.9680000000000001E-2</v>
      </c>
      <c r="I15" s="1">
        <v>-1477.74</v>
      </c>
      <c r="J15" t="s">
        <v>8</v>
      </c>
      <c r="K15" t="s">
        <v>25</v>
      </c>
      <c r="L15" t="s">
        <v>25</v>
      </c>
      <c r="M15" t="s">
        <v>18</v>
      </c>
      <c r="N15" s="1">
        <v>0</v>
      </c>
      <c r="O15" s="1">
        <v>0</v>
      </c>
      <c r="P15" s="1">
        <v>0</v>
      </c>
      <c r="Q15" s="1">
        <v>-1477.74</v>
      </c>
      <c r="R15" s="1">
        <f t="shared" si="1"/>
        <v>0</v>
      </c>
      <c r="S15" s="1">
        <f t="shared" si="2"/>
        <v>-4.0800000000000003E-3</v>
      </c>
      <c r="T15" s="1">
        <f t="shared" si="3"/>
        <v>-8.5810000000000001E-3</v>
      </c>
      <c r="U15" s="1">
        <f t="shared" si="4"/>
        <v>-7.9680000000000001E-2</v>
      </c>
    </row>
    <row r="16" spans="2:21" x14ac:dyDescent="0.25">
      <c r="B16" t="s">
        <v>8</v>
      </c>
      <c r="C16" t="s">
        <v>10</v>
      </c>
      <c r="D16" t="s">
        <v>24</v>
      </c>
      <c r="E16" t="s">
        <v>10</v>
      </c>
      <c r="F16" s="1" t="s">
        <v>11</v>
      </c>
      <c r="G16" s="1">
        <v>309.38713300000001</v>
      </c>
      <c r="H16" s="1" t="s">
        <v>11</v>
      </c>
      <c r="I16" s="1">
        <v>-14343997.106509</v>
      </c>
      <c r="J16" t="s">
        <v>8</v>
      </c>
      <c r="K16" t="s">
        <v>10</v>
      </c>
      <c r="L16" t="s">
        <v>24</v>
      </c>
      <c r="M16" t="s">
        <v>10</v>
      </c>
      <c r="N16" s="1" t="s">
        <v>11</v>
      </c>
      <c r="O16" s="1">
        <v>309.386571</v>
      </c>
      <c r="P16" s="1" t="s">
        <v>11</v>
      </c>
      <c r="Q16" s="1">
        <v>-14343997.099999901</v>
      </c>
      <c r="R16" s="1">
        <f t="shared" si="1"/>
        <v>6.509099155664444E-3</v>
      </c>
      <c r="S16" s="1" t="e">
        <f t="shared" si="2"/>
        <v>#VALUE!</v>
      </c>
      <c r="T16" s="1">
        <f t="shared" si="3"/>
        <v>-5.6200000000217187E-4</v>
      </c>
      <c r="U16" s="1" t="e">
        <f t="shared" si="4"/>
        <v>#VALUE!</v>
      </c>
    </row>
    <row r="17" spans="2:22" x14ac:dyDescent="0.25">
      <c r="B17" t="s">
        <v>8</v>
      </c>
      <c r="C17" t="s">
        <v>23</v>
      </c>
      <c r="D17" t="s">
        <v>23</v>
      </c>
      <c r="E17" t="s">
        <v>10</v>
      </c>
      <c r="F17" s="1">
        <v>118772216.236066</v>
      </c>
      <c r="G17" s="1">
        <v>245479133.17223799</v>
      </c>
      <c r="H17" s="1" t="s">
        <v>11</v>
      </c>
      <c r="I17" s="1">
        <v>-12411502196.3599</v>
      </c>
      <c r="J17" t="s">
        <v>8</v>
      </c>
      <c r="K17" t="s">
        <v>23</v>
      </c>
      <c r="L17" t="s">
        <v>23</v>
      </c>
      <c r="M17" t="s">
        <v>10</v>
      </c>
      <c r="N17" s="1">
        <v>118772215.50552499</v>
      </c>
      <c r="O17" s="1">
        <v>245479130.086092</v>
      </c>
      <c r="P17" s="1" t="s">
        <v>11</v>
      </c>
      <c r="Q17" s="1">
        <v>-12411502195.6381</v>
      </c>
      <c r="R17" s="1">
        <f t="shared" si="1"/>
        <v>0.72179985046386719</v>
      </c>
      <c r="S17" s="1">
        <f t="shared" si="2"/>
        <v>-0.73054100573062897</v>
      </c>
      <c r="T17" s="1">
        <f t="shared" si="3"/>
        <v>-3.0861459970474243</v>
      </c>
      <c r="U17" s="1" t="e">
        <f t="shared" si="4"/>
        <v>#VALUE!</v>
      </c>
    </row>
    <row r="18" spans="2:22" x14ac:dyDescent="0.25">
      <c r="B18" t="s">
        <v>8</v>
      </c>
      <c r="C18" t="s">
        <v>18</v>
      </c>
      <c r="D18" t="s">
        <v>17</v>
      </c>
      <c r="E18" t="s">
        <v>18</v>
      </c>
      <c r="F18" s="1">
        <v>4.5843000000000002E-2</v>
      </c>
      <c r="G18" s="1">
        <v>0.13111100000000001</v>
      </c>
      <c r="H18" s="1">
        <v>15.070802</v>
      </c>
      <c r="I18" s="1">
        <v>-9426.6200000000008</v>
      </c>
      <c r="J18" t="s">
        <v>8</v>
      </c>
      <c r="K18" t="s">
        <v>18</v>
      </c>
      <c r="L18" t="s">
        <v>17</v>
      </c>
      <c r="M18" t="s">
        <v>18</v>
      </c>
      <c r="N18" s="1">
        <v>0</v>
      </c>
      <c r="O18" s="1">
        <v>0</v>
      </c>
      <c r="P18" s="1">
        <v>0</v>
      </c>
      <c r="Q18" s="1">
        <v>-9426.6200000000008</v>
      </c>
      <c r="R18" s="1">
        <f t="shared" si="1"/>
        <v>0</v>
      </c>
      <c r="S18" s="1">
        <f t="shared" si="2"/>
        <v>-4.5843000000000002E-2</v>
      </c>
      <c r="T18" s="1">
        <f t="shared" si="3"/>
        <v>-0.13111100000000001</v>
      </c>
      <c r="U18" s="1">
        <f t="shared" si="4"/>
        <v>-15.070802</v>
      </c>
    </row>
    <row r="19" spans="2:22" x14ac:dyDescent="0.25">
      <c r="B19" t="s">
        <v>8</v>
      </c>
      <c r="C19" t="s">
        <v>14</v>
      </c>
      <c r="D19" t="s">
        <v>27</v>
      </c>
      <c r="E19" t="s">
        <v>14</v>
      </c>
      <c r="F19" s="1">
        <v>351.31340299999999</v>
      </c>
      <c r="G19" s="1">
        <v>207.94731899999999</v>
      </c>
      <c r="H19" s="1">
        <v>1197.2541389999999</v>
      </c>
      <c r="I19" s="1">
        <v>-13493287.050000001</v>
      </c>
      <c r="J19" t="s">
        <v>8</v>
      </c>
      <c r="K19" t="s">
        <v>14</v>
      </c>
      <c r="L19" t="s">
        <v>27</v>
      </c>
      <c r="M19" t="s">
        <v>14</v>
      </c>
      <c r="N19" s="1">
        <v>351.129864</v>
      </c>
      <c r="O19" s="1">
        <v>207.83868000000001</v>
      </c>
      <c r="P19" s="1">
        <v>1196.6286480000001</v>
      </c>
      <c r="Q19" s="1">
        <v>-13493287.050000001</v>
      </c>
      <c r="R19" s="1">
        <f t="shared" si="1"/>
        <v>0</v>
      </c>
      <c r="S19" s="1">
        <f t="shared" si="2"/>
        <v>-0.18353899999999612</v>
      </c>
      <c r="T19" s="1">
        <f t="shared" si="3"/>
        <v>-0.10863899999998239</v>
      </c>
      <c r="U19" s="1">
        <f t="shared" si="4"/>
        <v>-0.62549099999978353</v>
      </c>
    </row>
    <row r="20" spans="2:22" x14ac:dyDescent="0.25">
      <c r="B20" t="s">
        <v>21</v>
      </c>
      <c r="C20" t="s">
        <v>12</v>
      </c>
      <c r="D20" t="s">
        <v>12</v>
      </c>
      <c r="E20" t="s">
        <v>12</v>
      </c>
      <c r="F20" s="1">
        <v>10.4291</v>
      </c>
      <c r="G20" s="1">
        <v>4.6859999999999999</v>
      </c>
      <c r="H20" s="1">
        <v>58.418799999999997</v>
      </c>
      <c r="I20" s="1">
        <v>11000001.289999999</v>
      </c>
      <c r="J20" t="s">
        <v>21</v>
      </c>
      <c r="K20" t="s">
        <v>12</v>
      </c>
      <c r="L20" t="s">
        <v>12</v>
      </c>
      <c r="M20" t="s">
        <v>12</v>
      </c>
      <c r="N20" s="1">
        <v>10.4291</v>
      </c>
      <c r="O20" s="1">
        <v>4.6859999999999999</v>
      </c>
      <c r="P20" s="1">
        <v>58.418799999999997</v>
      </c>
      <c r="Q20" s="1">
        <v>11000001.289999999</v>
      </c>
      <c r="R20" s="1">
        <f t="shared" si="1"/>
        <v>0</v>
      </c>
      <c r="S20" s="1">
        <f t="shared" si="2"/>
        <v>0</v>
      </c>
      <c r="T20" s="1">
        <f t="shared" si="3"/>
        <v>0</v>
      </c>
      <c r="U20" s="1">
        <f t="shared" si="4"/>
        <v>0</v>
      </c>
    </row>
    <row r="21" spans="2:22" x14ac:dyDescent="0.25">
      <c r="B21" t="s">
        <v>8</v>
      </c>
      <c r="C21" t="s">
        <v>22</v>
      </c>
      <c r="D21" t="s">
        <v>22</v>
      </c>
      <c r="E21" t="s">
        <v>10</v>
      </c>
      <c r="F21" s="1">
        <v>11343896.951277001</v>
      </c>
      <c r="G21" s="1">
        <v>16084915.356276</v>
      </c>
      <c r="H21" s="1" t="s">
        <v>11</v>
      </c>
      <c r="I21" s="1">
        <v>-13927715162.4611</v>
      </c>
      <c r="J21" t="s">
        <v>8</v>
      </c>
      <c r="K21" t="s">
        <v>22</v>
      </c>
      <c r="L21" t="s">
        <v>22</v>
      </c>
      <c r="M21" t="s">
        <v>10</v>
      </c>
      <c r="N21" s="1">
        <v>11343896.686841</v>
      </c>
      <c r="O21" s="1">
        <v>16084914.727390001</v>
      </c>
      <c r="P21" s="1" t="s">
        <v>11</v>
      </c>
      <c r="Q21" s="1">
        <v>-13927487567.6695</v>
      </c>
      <c r="R21" s="1">
        <f t="shared" si="1"/>
        <v>227594.79159927368</v>
      </c>
      <c r="S21" s="1">
        <f t="shared" si="2"/>
        <v>-0.26443600095808506</v>
      </c>
      <c r="T21" s="1">
        <f t="shared" si="3"/>
        <v>-0.62888599932193756</v>
      </c>
      <c r="U21" s="1" t="e">
        <f t="shared" si="4"/>
        <v>#VALUE!</v>
      </c>
      <c r="V21" s="2" t="s">
        <v>32</v>
      </c>
    </row>
    <row r="22" spans="2:22" x14ac:dyDescent="0.25">
      <c r="B22" t="s">
        <v>8</v>
      </c>
      <c r="C22" t="s">
        <v>19</v>
      </c>
      <c r="D22" t="s">
        <v>19</v>
      </c>
      <c r="E22" t="s">
        <v>19</v>
      </c>
      <c r="F22" s="1" t="s">
        <v>11</v>
      </c>
      <c r="G22" s="1" t="s">
        <v>11</v>
      </c>
      <c r="H22" s="1" t="s">
        <v>11</v>
      </c>
      <c r="I22" s="1">
        <v>-1075181623.53</v>
      </c>
      <c r="J22" t="s">
        <v>8</v>
      </c>
      <c r="K22" t="s">
        <v>19</v>
      </c>
      <c r="L22" t="s">
        <v>19</v>
      </c>
      <c r="M22" t="s">
        <v>19</v>
      </c>
      <c r="N22" s="1" t="s">
        <v>11</v>
      </c>
      <c r="O22" s="1" t="s">
        <v>11</v>
      </c>
      <c r="P22" s="1" t="s">
        <v>11</v>
      </c>
      <c r="Q22" s="1">
        <v>-1075181623.53</v>
      </c>
      <c r="R22" s="1">
        <f t="shared" si="1"/>
        <v>0</v>
      </c>
      <c r="S22" s="1" t="e">
        <f t="shared" si="2"/>
        <v>#VALUE!</v>
      </c>
      <c r="T22" s="1" t="e">
        <f t="shared" si="3"/>
        <v>#VALUE!</v>
      </c>
      <c r="U22" s="1" t="e">
        <f t="shared" si="4"/>
        <v>#VALUE!</v>
      </c>
    </row>
    <row r="23" spans="2:22" x14ac:dyDescent="0.25">
      <c r="B23" t="s">
        <v>8</v>
      </c>
      <c r="C23" t="s">
        <v>20</v>
      </c>
      <c r="D23" t="s">
        <v>20</v>
      </c>
      <c r="E23" t="s">
        <v>10</v>
      </c>
      <c r="F23" s="1">
        <v>37894.479004000001</v>
      </c>
      <c r="G23" s="1">
        <v>203495.214825</v>
      </c>
      <c r="H23" s="1" t="s">
        <v>11</v>
      </c>
      <c r="I23" s="1">
        <v>-1005925109.35605</v>
      </c>
      <c r="J23" t="s">
        <v>8</v>
      </c>
      <c r="K23" t="s">
        <v>20</v>
      </c>
      <c r="L23" t="s">
        <v>20</v>
      </c>
      <c r="M23" t="s">
        <v>10</v>
      </c>
      <c r="N23" s="1">
        <v>37894.426804000002</v>
      </c>
      <c r="O23" s="1">
        <v>203494.977724</v>
      </c>
      <c r="P23" s="1" t="s">
        <v>11</v>
      </c>
      <c r="Q23" s="1">
        <v>-1005925109.73595</v>
      </c>
      <c r="R23" s="1">
        <f t="shared" si="1"/>
        <v>-0.37989997863769531</v>
      </c>
      <c r="S23" s="1">
        <f t="shared" si="2"/>
        <v>-5.2199999998265412E-2</v>
      </c>
      <c r="T23" s="1">
        <f t="shared" si="3"/>
        <v>-0.23710100000607781</v>
      </c>
      <c r="U23" s="1" t="e">
        <f t="shared" si="4"/>
        <v>#VALUE!</v>
      </c>
    </row>
    <row r="24" spans="2:22" x14ac:dyDescent="0.25">
      <c r="B24" t="s">
        <v>10</v>
      </c>
      <c r="C24" t="s">
        <v>10</v>
      </c>
      <c r="D24" t="s">
        <v>10</v>
      </c>
      <c r="E24" t="s">
        <v>10</v>
      </c>
      <c r="F24" s="1" t="s">
        <v>11</v>
      </c>
      <c r="G24" s="1" t="s">
        <v>11</v>
      </c>
      <c r="H24" s="1" t="s">
        <v>11</v>
      </c>
      <c r="I24" s="1">
        <v>36705867795.729202</v>
      </c>
      <c r="J24" t="s">
        <v>10</v>
      </c>
      <c r="K24" t="s">
        <v>10</v>
      </c>
      <c r="L24" t="s">
        <v>10</v>
      </c>
      <c r="M24" t="s">
        <v>10</v>
      </c>
      <c r="N24" s="1" t="s">
        <v>11</v>
      </c>
      <c r="O24" s="1" t="s">
        <v>11</v>
      </c>
      <c r="P24" s="1" t="s">
        <v>11</v>
      </c>
      <c r="Q24" s="1">
        <v>36705867795.729202</v>
      </c>
      <c r="R24" s="1">
        <f t="shared" si="1"/>
        <v>0</v>
      </c>
      <c r="S24" s="1" t="e">
        <f t="shared" si="2"/>
        <v>#VALUE!</v>
      </c>
      <c r="T24" s="1" t="e">
        <f t="shared" si="3"/>
        <v>#VALUE!</v>
      </c>
      <c r="U24" s="1" t="e">
        <f t="shared" si="4"/>
        <v>#VALUE!</v>
      </c>
    </row>
    <row r="25" spans="2:22" x14ac:dyDescent="0.25">
      <c r="B25" t="s">
        <v>8</v>
      </c>
      <c r="C25" t="s">
        <v>10</v>
      </c>
      <c r="D25" t="s">
        <v>10</v>
      </c>
      <c r="E25" t="s">
        <v>10</v>
      </c>
      <c r="F25" s="1" t="s">
        <v>11</v>
      </c>
      <c r="G25" s="1" t="s">
        <v>11</v>
      </c>
      <c r="H25" s="1" t="s">
        <v>11</v>
      </c>
      <c r="I25" s="1">
        <v>-21392076088.1735</v>
      </c>
      <c r="J25" t="s">
        <v>8</v>
      </c>
      <c r="K25" t="s">
        <v>10</v>
      </c>
      <c r="L25" t="s">
        <v>10</v>
      </c>
      <c r="M25" t="s">
        <v>10</v>
      </c>
      <c r="N25" s="1" t="s">
        <v>11</v>
      </c>
      <c r="O25" s="1" t="s">
        <v>11</v>
      </c>
      <c r="P25" s="1" t="s">
        <v>11</v>
      </c>
      <c r="Q25" s="1">
        <v>-21392076089.232101</v>
      </c>
      <c r="R25" s="1">
        <f t="shared" si="1"/>
        <v>-1.0586013793945313</v>
      </c>
      <c r="S25" s="1" t="e">
        <f t="shared" si="2"/>
        <v>#VALUE!</v>
      </c>
      <c r="T25" s="1" t="e">
        <f t="shared" si="3"/>
        <v>#VALUE!</v>
      </c>
      <c r="U25" s="1" t="e">
        <f t="shared" si="4"/>
        <v>#VALUE!</v>
      </c>
    </row>
    <row r="26" spans="2:22" x14ac:dyDescent="0.25">
      <c r="B26" t="s">
        <v>8</v>
      </c>
      <c r="C26" t="s">
        <v>26</v>
      </c>
      <c r="D26" t="s">
        <v>10</v>
      </c>
      <c r="E26" t="s">
        <v>10</v>
      </c>
      <c r="F26" s="1">
        <v>69475.618591999999</v>
      </c>
      <c r="G26" s="1" t="s">
        <v>11</v>
      </c>
      <c r="H26" s="1" t="s">
        <v>11</v>
      </c>
      <c r="I26" s="1">
        <v>-257439312.17876801</v>
      </c>
      <c r="J26" t="s">
        <v>8</v>
      </c>
      <c r="K26" t="s">
        <v>26</v>
      </c>
      <c r="L26" t="s">
        <v>10</v>
      </c>
      <c r="M26" t="s">
        <v>10</v>
      </c>
      <c r="N26" s="1">
        <v>69475.526117999994</v>
      </c>
      <c r="O26" s="1" t="s">
        <v>11</v>
      </c>
      <c r="P26" s="1" t="s">
        <v>11</v>
      </c>
      <c r="Q26" s="1">
        <v>-257439305.10221499</v>
      </c>
      <c r="R26" s="1">
        <f t="shared" si="1"/>
        <v>7.0765530169010162</v>
      </c>
      <c r="S26" s="1">
        <f t="shared" si="2"/>
        <v>-9.2474000004585832E-2</v>
      </c>
      <c r="T26" s="1" t="e">
        <f t="shared" si="3"/>
        <v>#VALUE!</v>
      </c>
      <c r="U26" s="1" t="e">
        <f t="shared" si="4"/>
        <v>#VALUE!</v>
      </c>
    </row>
    <row r="27" spans="2:22" x14ac:dyDescent="0.25">
      <c r="B27" t="s">
        <v>8</v>
      </c>
      <c r="C27" t="s">
        <v>29</v>
      </c>
      <c r="D27" t="s">
        <v>29</v>
      </c>
      <c r="E27" t="s">
        <v>29</v>
      </c>
      <c r="F27" s="1">
        <v>1045804.279251</v>
      </c>
      <c r="G27" s="1">
        <v>237468.48856100001</v>
      </c>
      <c r="H27" s="1">
        <v>2833270.4398759999</v>
      </c>
      <c r="I27" s="1">
        <v>-5225162552.8559399</v>
      </c>
      <c r="J27" t="s">
        <v>8</v>
      </c>
      <c r="K27" t="s">
        <v>29</v>
      </c>
      <c r="L27" t="s">
        <v>29</v>
      </c>
      <c r="M27" t="s">
        <v>29</v>
      </c>
      <c r="N27" s="1">
        <v>1045581.358056</v>
      </c>
      <c r="O27" s="1">
        <v>237383.228833</v>
      </c>
      <c r="P27" s="1">
        <v>2832241.411512</v>
      </c>
      <c r="Q27" s="1">
        <v>-5225162552.83636</v>
      </c>
      <c r="R27" s="1">
        <f t="shared" si="1"/>
        <v>1.9579887390136719E-2</v>
      </c>
      <c r="S27" s="1">
        <f t="shared" si="2"/>
        <v>-222.92119500006083</v>
      </c>
      <c r="T27" s="1">
        <f t="shared" si="3"/>
        <v>-85.259728000004543</v>
      </c>
      <c r="U27" s="1">
        <f t="shared" si="4"/>
        <v>-1029.0283639999107</v>
      </c>
    </row>
    <row r="28" spans="2:22" x14ac:dyDescent="0.25">
      <c r="B28" t="s">
        <v>8</v>
      </c>
      <c r="C28" t="s">
        <v>14</v>
      </c>
      <c r="D28" t="s">
        <v>14</v>
      </c>
      <c r="E28" t="s">
        <v>15</v>
      </c>
      <c r="F28" s="1">
        <v>16586.179929000002</v>
      </c>
      <c r="G28" s="1">
        <v>1257.489832</v>
      </c>
      <c r="H28" s="1">
        <v>37721.004527999998</v>
      </c>
      <c r="I28" s="1">
        <v>-37661015.109999999</v>
      </c>
      <c r="J28" t="s">
        <v>8</v>
      </c>
      <c r="K28" t="s">
        <v>14</v>
      </c>
      <c r="L28" t="s">
        <v>14</v>
      </c>
      <c r="M28" t="s">
        <v>15</v>
      </c>
      <c r="N28" s="1">
        <v>16556.722416000001</v>
      </c>
      <c r="O28" s="1">
        <v>1255.256496</v>
      </c>
      <c r="P28" s="1">
        <v>37654.010984</v>
      </c>
      <c r="Q28" s="1">
        <v>-37661015.109999999</v>
      </c>
      <c r="R28" s="1">
        <f t="shared" si="1"/>
        <v>0</v>
      </c>
      <c r="S28" s="1">
        <f t="shared" si="2"/>
        <v>-29.4575130000012</v>
      </c>
      <c r="T28" s="1">
        <f t="shared" si="3"/>
        <v>-2.2333360000000084</v>
      </c>
      <c r="U28" s="1">
        <f t="shared" si="4"/>
        <v>-66.9935439999972</v>
      </c>
    </row>
    <row r="29" spans="2:22" x14ac:dyDescent="0.25">
      <c r="B29" t="s">
        <v>28</v>
      </c>
      <c r="C29" t="s">
        <v>12</v>
      </c>
      <c r="D29" t="s">
        <v>12</v>
      </c>
      <c r="E29" t="s">
        <v>12</v>
      </c>
      <c r="F29" s="1">
        <v>9.9999999999999995E-7</v>
      </c>
      <c r="G29" s="1">
        <v>0</v>
      </c>
      <c r="H29" s="1">
        <v>5.0000000000000004E-6</v>
      </c>
      <c r="I29" s="1">
        <v>1.23</v>
      </c>
      <c r="J29" t="s">
        <v>28</v>
      </c>
      <c r="K29" t="s">
        <v>12</v>
      </c>
      <c r="L29" t="s">
        <v>12</v>
      </c>
      <c r="M29" t="s">
        <v>12</v>
      </c>
      <c r="N29" s="1">
        <v>0</v>
      </c>
      <c r="O29" s="1">
        <v>0</v>
      </c>
      <c r="P29" s="1">
        <v>0</v>
      </c>
      <c r="Q29" s="1">
        <v>1.23</v>
      </c>
      <c r="R29" s="1">
        <f t="shared" si="1"/>
        <v>0</v>
      </c>
      <c r="S29" s="1">
        <f t="shared" si="2"/>
        <v>-9.9999999999999995E-7</v>
      </c>
      <c r="T29" s="1">
        <f t="shared" si="3"/>
        <v>0</v>
      </c>
      <c r="U29" s="1">
        <f t="shared" si="4"/>
        <v>-5.0000000000000004E-6</v>
      </c>
    </row>
    <row r="30" spans="2:22" x14ac:dyDescent="0.25">
      <c r="B30" t="s">
        <v>8</v>
      </c>
      <c r="C30" t="s">
        <v>17</v>
      </c>
      <c r="D30" t="s">
        <v>17</v>
      </c>
      <c r="E30" t="s">
        <v>17</v>
      </c>
      <c r="F30" s="1">
        <v>4082.9735460000002</v>
      </c>
      <c r="G30" s="1">
        <v>7470.6573779999999</v>
      </c>
      <c r="H30" s="1">
        <v>541356.78063399997</v>
      </c>
      <c r="I30" s="1">
        <v>-628855621.53447998</v>
      </c>
      <c r="J30" t="s">
        <v>8</v>
      </c>
      <c r="K30" t="s">
        <v>17</v>
      </c>
      <c r="L30" t="s">
        <v>17</v>
      </c>
      <c r="M30" t="s">
        <v>17</v>
      </c>
      <c r="N30" s="1">
        <v>3750.6840010000001</v>
      </c>
      <c r="O30" s="1">
        <v>7143.214833</v>
      </c>
      <c r="P30" s="1">
        <v>527686.18165699998</v>
      </c>
      <c r="Q30" s="1">
        <v>-628855621.53459299</v>
      </c>
      <c r="R30" s="1">
        <f t="shared" si="1"/>
        <v>-1.1301040649414063E-4</v>
      </c>
      <c r="S30" s="1">
        <f t="shared" si="2"/>
        <v>-332.28954500000009</v>
      </c>
      <c r="T30" s="1">
        <f t="shared" si="3"/>
        <v>-327.44254499999988</v>
      </c>
      <c r="U30" s="1">
        <f t="shared" si="4"/>
        <v>-13670.598976999987</v>
      </c>
    </row>
    <row r="31" spans="2:22" x14ac:dyDescent="0.25">
      <c r="B31" t="s">
        <v>8</v>
      </c>
      <c r="C31" t="s">
        <v>26</v>
      </c>
      <c r="D31" t="s">
        <v>26</v>
      </c>
      <c r="E31" t="s">
        <v>10</v>
      </c>
      <c r="F31" s="1">
        <v>961.77789700000005</v>
      </c>
      <c r="G31" s="1">
        <v>851.54467499999998</v>
      </c>
      <c r="H31" s="1" t="s">
        <v>11</v>
      </c>
      <c r="I31" s="1">
        <v>-33237437.560628999</v>
      </c>
      <c r="J31" t="s">
        <v>8</v>
      </c>
      <c r="K31" t="s">
        <v>26</v>
      </c>
      <c r="L31" t="s">
        <v>26</v>
      </c>
      <c r="M31" t="s">
        <v>10</v>
      </c>
      <c r="N31" s="1">
        <v>961.77561000000003</v>
      </c>
      <c r="O31" s="1">
        <v>851.54323699999998</v>
      </c>
      <c r="P31" s="1" t="s">
        <v>11</v>
      </c>
      <c r="Q31" s="1">
        <v>-33237437.620882101</v>
      </c>
      <c r="R31" s="1">
        <f t="shared" si="1"/>
        <v>-6.0253102332353592E-2</v>
      </c>
      <c r="S31" s="1">
        <f t="shared" si="2"/>
        <v>-2.2870000000239088E-3</v>
      </c>
      <c r="T31" s="1">
        <f t="shared" si="3"/>
        <v>-1.4380000000073778E-3</v>
      </c>
      <c r="U31" s="1" t="e">
        <f t="shared" si="4"/>
        <v>#VALUE!</v>
      </c>
    </row>
    <row r="32" spans="2:22" x14ac:dyDescent="0.25">
      <c r="B32" t="s">
        <v>8</v>
      </c>
      <c r="C32" t="s">
        <v>24</v>
      </c>
      <c r="D32" t="s">
        <v>10</v>
      </c>
      <c r="E32" t="s">
        <v>10</v>
      </c>
      <c r="F32" s="1">
        <v>987.45223399999998</v>
      </c>
      <c r="G32" s="1" t="s">
        <v>11</v>
      </c>
      <c r="H32" s="1" t="s">
        <v>11</v>
      </c>
      <c r="I32" s="1">
        <v>-11562075.429640001</v>
      </c>
      <c r="J32" t="s">
        <v>8</v>
      </c>
      <c r="K32" t="s">
        <v>24</v>
      </c>
      <c r="L32" t="s">
        <v>10</v>
      </c>
      <c r="M32" t="s">
        <v>10</v>
      </c>
      <c r="N32" s="1">
        <v>987.45099000000005</v>
      </c>
      <c r="O32" s="1" t="s">
        <v>11</v>
      </c>
      <c r="P32" s="1" t="s">
        <v>11</v>
      </c>
      <c r="Q32" s="1">
        <v>-11562075.686902599</v>
      </c>
      <c r="R32" s="1">
        <f t="shared" si="1"/>
        <v>-0.25726259872317314</v>
      </c>
      <c r="S32" s="1">
        <f t="shared" si="2"/>
        <v>-1.2439999999287465E-3</v>
      </c>
      <c r="T32" s="1" t="e">
        <f t="shared" si="3"/>
        <v>#VALUE!</v>
      </c>
      <c r="U32" s="1" t="e">
        <f t="shared" si="4"/>
        <v>#VALUE!</v>
      </c>
    </row>
    <row r="33" spans="2:21" x14ac:dyDescent="0.25">
      <c r="B33" t="s">
        <v>8</v>
      </c>
      <c r="C33" t="s">
        <v>24</v>
      </c>
      <c r="D33" t="s">
        <v>24</v>
      </c>
      <c r="E33" t="s">
        <v>10</v>
      </c>
      <c r="F33" s="1">
        <v>119.787201</v>
      </c>
      <c r="G33" s="1">
        <v>123.572</v>
      </c>
      <c r="H33" s="1" t="s">
        <v>11</v>
      </c>
      <c r="I33" s="1">
        <v>-7132829.6553309998</v>
      </c>
      <c r="J33" t="s">
        <v>8</v>
      </c>
      <c r="K33" t="s">
        <v>24</v>
      </c>
      <c r="L33" t="s">
        <v>24</v>
      </c>
      <c r="M33" t="s">
        <v>10</v>
      </c>
      <c r="N33" s="1">
        <v>119.78693800000001</v>
      </c>
      <c r="O33" s="1">
        <v>123.57175599999999</v>
      </c>
      <c r="P33" s="1" t="s">
        <v>11</v>
      </c>
      <c r="Q33" s="1">
        <v>-7132829.6599999899</v>
      </c>
      <c r="R33" s="1">
        <f t="shared" si="1"/>
        <v>-4.6689901500940323E-3</v>
      </c>
      <c r="S33" s="1">
        <f t="shared" si="2"/>
        <v>-2.6299999998968815E-4</v>
      </c>
      <c r="T33" s="1">
        <f t="shared" si="3"/>
        <v>-2.4400000000923683E-4</v>
      </c>
      <c r="U33" s="1" t="e">
        <f t="shared" si="4"/>
        <v>#VALUE!</v>
      </c>
    </row>
    <row r="34" spans="2:21" x14ac:dyDescent="0.25">
      <c r="B34" t="s">
        <v>8</v>
      </c>
      <c r="C34" t="s">
        <v>17</v>
      </c>
      <c r="D34" t="s">
        <v>25</v>
      </c>
      <c r="E34" t="s">
        <v>18</v>
      </c>
      <c r="F34" s="1">
        <v>1022.560818</v>
      </c>
      <c r="G34" s="1">
        <v>14.129858</v>
      </c>
      <c r="H34" s="1">
        <v>1825.460752</v>
      </c>
      <c r="I34" s="1">
        <v>-6129710.7199999997</v>
      </c>
      <c r="J34" t="s">
        <v>8</v>
      </c>
      <c r="K34" t="s">
        <v>17</v>
      </c>
      <c r="L34" t="s">
        <v>25</v>
      </c>
      <c r="M34" t="s">
        <v>18</v>
      </c>
      <c r="N34" s="1">
        <v>1019.363398</v>
      </c>
      <c r="O34" s="1">
        <v>13.660166</v>
      </c>
      <c r="P34" s="1">
        <v>1821.7380459999999</v>
      </c>
      <c r="Q34" s="1">
        <v>-6129710.7199999997</v>
      </c>
      <c r="R34" s="1">
        <f t="shared" si="1"/>
        <v>0</v>
      </c>
      <c r="S34" s="1">
        <f t="shared" si="2"/>
        <v>-3.1974200000000792</v>
      </c>
      <c r="T34" s="1">
        <f t="shared" si="3"/>
        <v>-0.46969200000000022</v>
      </c>
      <c r="U34" s="1">
        <f t="shared" si="4"/>
        <v>-3.7227060000000165</v>
      </c>
    </row>
    <row r="35" spans="2:21" x14ac:dyDescent="0.25">
      <c r="B35" t="s">
        <v>28</v>
      </c>
      <c r="C35" t="s">
        <v>10</v>
      </c>
      <c r="D35" t="s">
        <v>10</v>
      </c>
      <c r="E35" t="s">
        <v>10</v>
      </c>
      <c r="F35" s="1" t="s">
        <v>11</v>
      </c>
      <c r="G35" s="1" t="s">
        <v>11</v>
      </c>
      <c r="H35" s="1" t="s">
        <v>11</v>
      </c>
      <c r="I35" s="1">
        <v>-4356315.46</v>
      </c>
      <c r="J35" t="s">
        <v>28</v>
      </c>
      <c r="K35" t="s">
        <v>10</v>
      </c>
      <c r="L35" t="s">
        <v>10</v>
      </c>
      <c r="M35" t="s">
        <v>10</v>
      </c>
      <c r="N35" s="1" t="s">
        <v>11</v>
      </c>
      <c r="O35" s="1" t="s">
        <v>11</v>
      </c>
      <c r="P35" s="1" t="s">
        <v>11</v>
      </c>
      <c r="Q35" s="1">
        <v>-4356315.46</v>
      </c>
      <c r="R35" s="1">
        <f t="shared" si="1"/>
        <v>0</v>
      </c>
      <c r="S35" s="1" t="e">
        <f t="shared" si="2"/>
        <v>#VALUE!</v>
      </c>
      <c r="T35" s="1" t="e">
        <f t="shared" si="3"/>
        <v>#VALUE!</v>
      </c>
      <c r="U35" s="1" t="e">
        <f t="shared" si="4"/>
        <v>#VALUE!</v>
      </c>
    </row>
    <row r="36" spans="2:21" x14ac:dyDescent="0.25">
      <c r="B36" t="s">
        <v>8</v>
      </c>
      <c r="C36" t="s">
        <v>19</v>
      </c>
      <c r="D36" t="s">
        <v>19</v>
      </c>
      <c r="E36" t="s">
        <v>10</v>
      </c>
      <c r="F36" s="1" t="s">
        <v>11</v>
      </c>
      <c r="G36" s="1" t="s">
        <v>11</v>
      </c>
      <c r="H36" s="1" t="s">
        <v>11</v>
      </c>
      <c r="I36" s="1">
        <v>-20816910.606855001</v>
      </c>
      <c r="J36" t="s">
        <v>8</v>
      </c>
      <c r="K36" t="s">
        <v>19</v>
      </c>
      <c r="L36" t="s">
        <v>19</v>
      </c>
      <c r="M36" t="s">
        <v>10</v>
      </c>
      <c r="N36" s="1" t="s">
        <v>11</v>
      </c>
      <c r="O36" s="1" t="s">
        <v>11</v>
      </c>
      <c r="P36" s="1" t="s">
        <v>11</v>
      </c>
      <c r="Q36" s="1">
        <v>-20816909.429999899</v>
      </c>
      <c r="R36" s="1">
        <f t="shared" si="1"/>
        <v>1.1768551021814346</v>
      </c>
      <c r="S36" s="1" t="e">
        <f t="shared" si="2"/>
        <v>#VALUE!</v>
      </c>
      <c r="T36" s="1" t="e">
        <f t="shared" si="3"/>
        <v>#VALUE!</v>
      </c>
      <c r="U36" s="1" t="e">
        <f t="shared" si="4"/>
        <v>#VALUE!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2"/>
  <sheetViews>
    <sheetView workbookViewId="0">
      <selection activeCell="N11" sqref="N11"/>
    </sheetView>
  </sheetViews>
  <sheetFormatPr defaultRowHeight="15" x14ac:dyDescent="0.25"/>
  <cols>
    <col min="9" max="10" width="12.140625" bestFit="1" customWidth="1"/>
    <col min="14" max="14" width="12.140625" bestFit="1" customWidth="1"/>
  </cols>
  <sheetData>
    <row r="1" spans="1:78" x14ac:dyDescent="0.25">
      <c r="A1" t="s">
        <v>33</v>
      </c>
      <c r="B1" t="s">
        <v>34</v>
      </c>
      <c r="C1" t="s">
        <v>35</v>
      </c>
      <c r="D1" t="s">
        <v>36</v>
      </c>
      <c r="E1" t="s">
        <v>38</v>
      </c>
      <c r="F1" t="s">
        <v>42</v>
      </c>
      <c r="G1" t="s">
        <v>43</v>
      </c>
      <c r="H1" t="s">
        <v>44</v>
      </c>
      <c r="I1" t="s">
        <v>45</v>
      </c>
      <c r="J1" t="s">
        <v>58</v>
      </c>
      <c r="K1" t="s">
        <v>102</v>
      </c>
      <c r="L1" t="s">
        <v>104</v>
      </c>
      <c r="M1" t="s">
        <v>106</v>
      </c>
      <c r="N1" t="s">
        <v>1</v>
      </c>
      <c r="O1" t="s">
        <v>2</v>
      </c>
      <c r="P1" t="s">
        <v>3</v>
      </c>
      <c r="Q1" t="s">
        <v>0</v>
      </c>
      <c r="R1" t="s">
        <v>124</v>
      </c>
      <c r="S1" t="s">
        <v>125</v>
      </c>
      <c r="T1" t="s">
        <v>126</v>
      </c>
      <c r="U1" t="s">
        <v>127</v>
      </c>
    </row>
    <row r="2" spans="1:78" x14ac:dyDescent="0.25">
      <c r="A2">
        <v>31</v>
      </c>
      <c r="B2">
        <v>3</v>
      </c>
      <c r="C2">
        <v>20631593096</v>
      </c>
      <c r="D2">
        <v>0</v>
      </c>
      <c r="E2">
        <v>8000766435</v>
      </c>
      <c r="F2" t="s">
        <v>11</v>
      </c>
      <c r="G2" t="s">
        <v>11</v>
      </c>
      <c r="H2" t="s">
        <v>11</v>
      </c>
      <c r="I2" t="s">
        <v>11</v>
      </c>
      <c r="J2" s="1">
        <v>-4869940.6100000003</v>
      </c>
      <c r="K2" t="s">
        <v>11</v>
      </c>
      <c r="L2" t="s">
        <v>11</v>
      </c>
      <c r="M2" t="s">
        <v>11</v>
      </c>
      <c r="N2" t="s">
        <v>10</v>
      </c>
      <c r="O2" t="s">
        <v>10</v>
      </c>
      <c r="P2" t="s">
        <v>10</v>
      </c>
      <c r="Q2" t="s">
        <v>10</v>
      </c>
      <c r="R2" t="s">
        <v>128</v>
      </c>
      <c r="S2" t="s">
        <v>129</v>
      </c>
      <c r="T2" s="4">
        <v>45838</v>
      </c>
      <c r="U2">
        <v>1</v>
      </c>
    </row>
    <row r="3" spans="1:78" x14ac:dyDescent="0.25">
      <c r="A3">
        <v>31</v>
      </c>
      <c r="B3">
        <v>3</v>
      </c>
      <c r="C3">
        <v>20631593096</v>
      </c>
      <c r="D3">
        <v>0</v>
      </c>
      <c r="E3">
        <v>8000766435</v>
      </c>
      <c r="F3">
        <v>31</v>
      </c>
      <c r="G3">
        <v>32</v>
      </c>
      <c r="H3">
        <v>19256880000</v>
      </c>
      <c r="I3">
        <v>0</v>
      </c>
      <c r="J3" s="1">
        <v>-113797.38</v>
      </c>
      <c r="K3" t="s">
        <v>130</v>
      </c>
      <c r="L3" t="s">
        <v>131</v>
      </c>
      <c r="M3" t="s">
        <v>11</v>
      </c>
      <c r="N3" t="s">
        <v>22</v>
      </c>
      <c r="O3" t="s">
        <v>22</v>
      </c>
      <c r="P3" t="s">
        <v>10</v>
      </c>
      <c r="Q3" t="s">
        <v>8</v>
      </c>
      <c r="R3" t="s">
        <v>128</v>
      </c>
      <c r="S3" t="s">
        <v>129</v>
      </c>
      <c r="T3" s="4">
        <v>45838</v>
      </c>
      <c r="U3">
        <v>1</v>
      </c>
    </row>
    <row r="5" spans="1:7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30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  <c r="AR5" t="s">
        <v>75</v>
      </c>
      <c r="AS5" t="s">
        <v>76</v>
      </c>
      <c r="AT5" t="s">
        <v>77</v>
      </c>
      <c r="AU5" t="s">
        <v>78</v>
      </c>
      <c r="AV5" t="s">
        <v>79</v>
      </c>
      <c r="AW5" t="s">
        <v>80</v>
      </c>
      <c r="AX5" t="s">
        <v>81</v>
      </c>
      <c r="AY5" t="s">
        <v>82</v>
      </c>
      <c r="AZ5" t="s">
        <v>83</v>
      </c>
      <c r="BA5" t="s">
        <v>84</v>
      </c>
      <c r="BB5" t="s">
        <v>85</v>
      </c>
      <c r="BC5" t="s">
        <v>86</v>
      </c>
      <c r="BD5" t="s">
        <v>87</v>
      </c>
      <c r="BE5" t="s">
        <v>88</v>
      </c>
      <c r="BF5" t="s">
        <v>89</v>
      </c>
      <c r="BG5" t="s">
        <v>90</v>
      </c>
      <c r="BH5" t="s">
        <v>91</v>
      </c>
      <c r="BI5" t="s">
        <v>92</v>
      </c>
      <c r="BJ5" t="s">
        <v>93</v>
      </c>
      <c r="BK5" t="s">
        <v>94</v>
      </c>
      <c r="BL5" t="s">
        <v>95</v>
      </c>
      <c r="BM5" t="s">
        <v>96</v>
      </c>
      <c r="BN5" t="s">
        <v>97</v>
      </c>
      <c r="BO5" t="s">
        <v>98</v>
      </c>
      <c r="BP5" t="s">
        <v>99</v>
      </c>
      <c r="BQ5" t="s">
        <v>100</v>
      </c>
      <c r="BR5" t="s">
        <v>101</v>
      </c>
      <c r="BS5" t="s">
        <v>102</v>
      </c>
      <c r="BT5" t="s">
        <v>1</v>
      </c>
      <c r="BU5" t="s">
        <v>103</v>
      </c>
      <c r="BV5" t="s">
        <v>104</v>
      </c>
      <c r="BW5" t="s">
        <v>2</v>
      </c>
      <c r="BX5" t="s">
        <v>105</v>
      </c>
      <c r="BY5" t="s">
        <v>106</v>
      </c>
      <c r="BZ5" t="s">
        <v>3</v>
      </c>
    </row>
    <row r="6" spans="1:78" x14ac:dyDescent="0.25">
      <c r="A6">
        <v>31</v>
      </c>
      <c r="B6">
        <v>3</v>
      </c>
      <c r="C6">
        <v>20631593096</v>
      </c>
      <c r="D6">
        <v>0</v>
      </c>
      <c r="E6">
        <v>3.1000320631593001E+31</v>
      </c>
      <c r="F6">
        <v>8000766435</v>
      </c>
      <c r="G6" t="s">
        <v>132</v>
      </c>
      <c r="H6" t="s">
        <v>10</v>
      </c>
      <c r="I6" s="1">
        <v>-4869940.6100000003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>
        <v>0</v>
      </c>
      <c r="V6" t="s">
        <v>11</v>
      </c>
      <c r="W6" t="s">
        <v>107</v>
      </c>
      <c r="X6" t="s">
        <v>11</v>
      </c>
      <c r="Y6" t="s">
        <v>11</v>
      </c>
      <c r="Z6" t="s">
        <v>108</v>
      </c>
      <c r="AA6" t="s">
        <v>133</v>
      </c>
      <c r="AB6">
        <v>1</v>
      </c>
      <c r="AC6">
        <v>6045864</v>
      </c>
      <c r="AD6">
        <v>2023</v>
      </c>
      <c r="AE6" t="s">
        <v>134</v>
      </c>
      <c r="AF6" t="s">
        <v>135</v>
      </c>
      <c r="AG6" t="s">
        <v>136</v>
      </c>
      <c r="AH6">
        <v>212</v>
      </c>
      <c r="AI6" t="s">
        <v>110</v>
      </c>
      <c r="AJ6" s="4">
        <v>45603</v>
      </c>
      <c r="AK6" t="s">
        <v>137</v>
      </c>
      <c r="AL6" t="s">
        <v>138</v>
      </c>
      <c r="AM6" t="s">
        <v>138</v>
      </c>
      <c r="AN6" t="s">
        <v>138</v>
      </c>
      <c r="AO6" t="s">
        <v>138</v>
      </c>
      <c r="AP6" t="s">
        <v>138</v>
      </c>
      <c r="AQ6" t="s">
        <v>138</v>
      </c>
      <c r="AR6" t="s">
        <v>139</v>
      </c>
      <c r="AS6" t="s">
        <v>140</v>
      </c>
      <c r="AT6" t="s">
        <v>141</v>
      </c>
      <c r="AU6" t="s">
        <v>142</v>
      </c>
      <c r="AV6" t="s">
        <v>143</v>
      </c>
      <c r="AW6" t="s">
        <v>16</v>
      </c>
      <c r="AX6" t="s">
        <v>16</v>
      </c>
      <c r="AY6" t="s">
        <v>16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11</v>
      </c>
      <c r="BM6" t="s">
        <v>11</v>
      </c>
      <c r="BN6">
        <v>0</v>
      </c>
      <c r="BO6">
        <v>1</v>
      </c>
      <c r="BP6" t="s">
        <v>144</v>
      </c>
      <c r="BQ6" t="s">
        <v>145</v>
      </c>
      <c r="BR6" t="s">
        <v>11</v>
      </c>
      <c r="BS6" t="s">
        <v>11</v>
      </c>
      <c r="BT6" t="s">
        <v>10</v>
      </c>
      <c r="BU6" t="s">
        <v>11</v>
      </c>
      <c r="BV6" t="s">
        <v>11</v>
      </c>
      <c r="BW6" t="s">
        <v>10</v>
      </c>
      <c r="BX6" t="s">
        <v>11</v>
      </c>
      <c r="BY6" t="s">
        <v>11</v>
      </c>
      <c r="BZ6" t="s">
        <v>10</v>
      </c>
    </row>
    <row r="7" spans="1:78" x14ac:dyDescent="0.25">
      <c r="A7">
        <v>31</v>
      </c>
      <c r="B7">
        <v>3</v>
      </c>
      <c r="C7">
        <v>20631593096</v>
      </c>
      <c r="D7">
        <v>0</v>
      </c>
      <c r="E7">
        <v>3.1000320631593001E+31</v>
      </c>
      <c r="F7">
        <v>8000766435</v>
      </c>
      <c r="G7" t="s">
        <v>132</v>
      </c>
      <c r="H7" t="s">
        <v>31</v>
      </c>
      <c r="I7" s="1">
        <v>113797.38</v>
      </c>
      <c r="J7">
        <v>3.1000320631593001E+31</v>
      </c>
      <c r="K7">
        <v>31</v>
      </c>
      <c r="L7">
        <v>32</v>
      </c>
      <c r="M7">
        <v>19256880000</v>
      </c>
      <c r="N7">
        <v>0</v>
      </c>
      <c r="O7">
        <v>3.1003219256879998E+31</v>
      </c>
      <c r="P7" t="s">
        <v>146</v>
      </c>
      <c r="Q7" t="s">
        <v>11</v>
      </c>
      <c r="R7" t="s">
        <v>144</v>
      </c>
      <c r="S7" t="s">
        <v>11</v>
      </c>
      <c r="T7" t="s">
        <v>144</v>
      </c>
      <c r="U7">
        <v>1</v>
      </c>
      <c r="V7" t="s">
        <v>144</v>
      </c>
      <c r="W7" t="s">
        <v>147</v>
      </c>
      <c r="X7" t="s">
        <v>148</v>
      </c>
      <c r="Y7" t="s">
        <v>149</v>
      </c>
      <c r="Z7" t="s">
        <v>108</v>
      </c>
      <c r="AA7" t="s">
        <v>150</v>
      </c>
      <c r="AB7">
        <v>1</v>
      </c>
      <c r="AC7">
        <v>6045864</v>
      </c>
      <c r="AD7">
        <v>2023</v>
      </c>
      <c r="AE7" t="s">
        <v>134</v>
      </c>
      <c r="AF7" t="s">
        <v>135</v>
      </c>
      <c r="AG7" t="s">
        <v>136</v>
      </c>
      <c r="AH7">
        <v>212</v>
      </c>
      <c r="AI7" t="s">
        <v>110</v>
      </c>
      <c r="AJ7" s="4">
        <v>45603</v>
      </c>
      <c r="AK7" t="s">
        <v>137</v>
      </c>
      <c r="AL7" t="s">
        <v>138</v>
      </c>
      <c r="AM7" t="s">
        <v>138</v>
      </c>
      <c r="AN7" t="s">
        <v>138</v>
      </c>
      <c r="AO7" t="s">
        <v>138</v>
      </c>
      <c r="AP7" t="s">
        <v>138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16</v>
      </c>
      <c r="AX7" t="s">
        <v>16</v>
      </c>
      <c r="AY7" t="s">
        <v>16</v>
      </c>
      <c r="AZ7" t="s">
        <v>11</v>
      </c>
      <c r="BA7" t="s">
        <v>11</v>
      </c>
      <c r="BB7" t="s">
        <v>11</v>
      </c>
      <c r="BC7" t="s">
        <v>11</v>
      </c>
      <c r="BD7" t="s">
        <v>11</v>
      </c>
      <c r="BE7" t="s">
        <v>11</v>
      </c>
      <c r="BF7" t="s">
        <v>11</v>
      </c>
      <c r="BG7" t="s">
        <v>11</v>
      </c>
      <c r="BH7" t="s">
        <v>151</v>
      </c>
      <c r="BI7" t="s">
        <v>152</v>
      </c>
      <c r="BJ7" t="s">
        <v>11</v>
      </c>
      <c r="BK7" t="s">
        <v>22</v>
      </c>
      <c r="BL7" t="s">
        <v>22</v>
      </c>
      <c r="BM7" t="s">
        <v>10</v>
      </c>
      <c r="BN7">
        <v>1</v>
      </c>
      <c r="BO7">
        <v>1</v>
      </c>
      <c r="BP7" t="s">
        <v>144</v>
      </c>
      <c r="BQ7" t="s">
        <v>145</v>
      </c>
      <c r="BR7" t="s">
        <v>153</v>
      </c>
      <c r="BS7" t="s">
        <v>145</v>
      </c>
      <c r="BT7" t="s">
        <v>22</v>
      </c>
      <c r="BU7" t="s">
        <v>154</v>
      </c>
      <c r="BV7" t="s">
        <v>145</v>
      </c>
      <c r="BW7" t="s">
        <v>22</v>
      </c>
      <c r="BX7" t="s">
        <v>11</v>
      </c>
      <c r="BY7" t="s">
        <v>11</v>
      </c>
      <c r="BZ7" t="s">
        <v>10</v>
      </c>
    </row>
    <row r="9" spans="1:78" x14ac:dyDescent="0.25">
      <c r="A9" t="s">
        <v>33</v>
      </c>
      <c r="B9" t="s">
        <v>34</v>
      </c>
      <c r="C9" t="s">
        <v>35</v>
      </c>
      <c r="D9" t="s">
        <v>36</v>
      </c>
      <c r="E9" t="s">
        <v>38</v>
      </c>
      <c r="F9" t="s">
        <v>155</v>
      </c>
      <c r="G9" t="s">
        <v>156</v>
      </c>
      <c r="H9" t="s">
        <v>157</v>
      </c>
      <c r="I9" t="s">
        <v>158</v>
      </c>
      <c r="J9" t="s">
        <v>159</v>
      </c>
      <c r="K9" t="s">
        <v>160</v>
      </c>
      <c r="L9" t="s">
        <v>161</v>
      </c>
      <c r="M9" t="s">
        <v>162</v>
      </c>
      <c r="N9" t="s">
        <v>163</v>
      </c>
      <c r="O9" t="s">
        <v>164</v>
      </c>
      <c r="P9" t="s">
        <v>165</v>
      </c>
      <c r="Q9" t="s">
        <v>166</v>
      </c>
      <c r="R9" t="s">
        <v>167</v>
      </c>
      <c r="S9" t="s">
        <v>168</v>
      </c>
      <c r="T9" t="s">
        <v>169</v>
      </c>
      <c r="U9" t="s">
        <v>170</v>
      </c>
      <c r="V9" t="s">
        <v>171</v>
      </c>
      <c r="W9" t="s">
        <v>172</v>
      </c>
      <c r="X9" t="s">
        <v>173</v>
      </c>
      <c r="Y9" t="s">
        <v>174</v>
      </c>
      <c r="Z9" t="s">
        <v>175</v>
      </c>
      <c r="AA9" t="s">
        <v>176</v>
      </c>
      <c r="AB9" t="s">
        <v>177</v>
      </c>
      <c r="AC9" t="s">
        <v>178</v>
      </c>
      <c r="AD9" t="s">
        <v>124</v>
      </c>
      <c r="AE9" t="s">
        <v>125</v>
      </c>
      <c r="AF9" t="s">
        <v>126</v>
      </c>
      <c r="AG9" t="s">
        <v>127</v>
      </c>
    </row>
    <row r="10" spans="1:78" x14ac:dyDescent="0.25">
      <c r="A10">
        <v>31</v>
      </c>
      <c r="B10">
        <v>3</v>
      </c>
      <c r="C10">
        <v>20631593096</v>
      </c>
      <c r="D10">
        <v>0</v>
      </c>
      <c r="E10">
        <v>8000766435</v>
      </c>
      <c r="G10" t="s">
        <v>179</v>
      </c>
      <c r="H10">
        <v>32</v>
      </c>
      <c r="I10">
        <v>978</v>
      </c>
      <c r="K10" t="s">
        <v>180</v>
      </c>
      <c r="M10" t="s">
        <v>181</v>
      </c>
      <c r="N10" s="1">
        <v>5059.3900000000003</v>
      </c>
      <c r="O10">
        <v>9860421</v>
      </c>
      <c r="P10">
        <v>2892014109</v>
      </c>
      <c r="Q10">
        <v>26330</v>
      </c>
      <c r="R10">
        <v>289201810</v>
      </c>
      <c r="S10">
        <v>2892014109</v>
      </c>
      <c r="T10" t="s">
        <v>182</v>
      </c>
      <c r="U10">
        <v>9860421</v>
      </c>
      <c r="V10">
        <v>2892014109</v>
      </c>
      <c r="W10">
        <v>26330</v>
      </c>
      <c r="X10">
        <v>289201810</v>
      </c>
      <c r="Y10">
        <v>2892014109</v>
      </c>
      <c r="Z10" t="s">
        <v>182</v>
      </c>
      <c r="AA10" t="s">
        <v>183</v>
      </c>
      <c r="AB10">
        <v>1</v>
      </c>
      <c r="AC10" t="s">
        <v>184</v>
      </c>
      <c r="AD10" t="s">
        <v>185</v>
      </c>
      <c r="AE10" t="s">
        <v>186</v>
      </c>
      <c r="AF10" s="4">
        <v>45838</v>
      </c>
      <c r="AG10">
        <v>1</v>
      </c>
    </row>
    <row r="11" spans="1:78" x14ac:dyDescent="0.25">
      <c r="A11">
        <v>31</v>
      </c>
      <c r="B11">
        <v>3</v>
      </c>
      <c r="C11">
        <v>20631593096</v>
      </c>
      <c r="D11">
        <v>0</v>
      </c>
      <c r="E11">
        <v>8000766435</v>
      </c>
      <c r="F11" t="s">
        <v>187</v>
      </c>
      <c r="H11">
        <v>32</v>
      </c>
      <c r="I11">
        <v>978</v>
      </c>
      <c r="K11" t="s">
        <v>180</v>
      </c>
      <c r="M11" t="s">
        <v>145</v>
      </c>
      <c r="N11" s="1">
        <v>113797.38</v>
      </c>
      <c r="U11">
        <v>22953147</v>
      </c>
      <c r="V11">
        <v>153104797</v>
      </c>
      <c r="W11">
        <v>1222159</v>
      </c>
      <c r="X11">
        <v>1531087</v>
      </c>
      <c r="Y11">
        <v>153104797</v>
      </c>
      <c r="Z11" t="s">
        <v>188</v>
      </c>
      <c r="AA11" t="s">
        <v>189</v>
      </c>
      <c r="AB11">
        <v>1</v>
      </c>
      <c r="AC11" t="s">
        <v>184</v>
      </c>
      <c r="AD11" t="s">
        <v>185</v>
      </c>
      <c r="AE11" t="s">
        <v>186</v>
      </c>
      <c r="AF11" s="4">
        <v>45838</v>
      </c>
      <c r="AG11">
        <v>1</v>
      </c>
    </row>
    <row r="12" spans="1:78" x14ac:dyDescent="0.25">
      <c r="A12">
        <v>31</v>
      </c>
      <c r="B12">
        <v>3</v>
      </c>
      <c r="C12">
        <v>20631593096</v>
      </c>
      <c r="D12">
        <v>0</v>
      </c>
      <c r="E12">
        <v>8000766435</v>
      </c>
      <c r="F12" t="s">
        <v>190</v>
      </c>
      <c r="G12" t="s">
        <v>191</v>
      </c>
      <c r="H12">
        <v>32</v>
      </c>
      <c r="I12">
        <v>978</v>
      </c>
      <c r="J12" t="s">
        <v>192</v>
      </c>
      <c r="K12" t="s">
        <v>180</v>
      </c>
      <c r="M12" t="s">
        <v>193</v>
      </c>
      <c r="N12" s="1">
        <v>-4875000</v>
      </c>
      <c r="O12">
        <v>9210020</v>
      </c>
      <c r="P12">
        <v>92014109</v>
      </c>
      <c r="Q12">
        <v>310212</v>
      </c>
      <c r="R12">
        <v>9201810</v>
      </c>
      <c r="S12">
        <v>92014109</v>
      </c>
      <c r="T12" t="s">
        <v>194</v>
      </c>
      <c r="U12">
        <v>9210020</v>
      </c>
      <c r="V12">
        <v>92014109</v>
      </c>
      <c r="W12">
        <v>310212</v>
      </c>
      <c r="X12">
        <v>9201810</v>
      </c>
      <c r="Y12">
        <v>92014109</v>
      </c>
      <c r="Z12" t="s">
        <v>194</v>
      </c>
      <c r="AA12" t="s">
        <v>195</v>
      </c>
      <c r="AB12">
        <v>1</v>
      </c>
      <c r="AC12" t="s">
        <v>184</v>
      </c>
      <c r="AD12" t="s">
        <v>185</v>
      </c>
      <c r="AE12" t="s">
        <v>186</v>
      </c>
      <c r="AF12" s="4">
        <v>45838</v>
      </c>
      <c r="AG1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B24"/>
  <sheetViews>
    <sheetView workbookViewId="0">
      <selection activeCell="D25" sqref="D25"/>
    </sheetView>
  </sheetViews>
  <sheetFormatPr defaultRowHeight="15" x14ac:dyDescent="0.25"/>
  <cols>
    <col min="2" max="3" width="13.7109375" bestFit="1" customWidth="1"/>
    <col min="4" max="4" width="16" bestFit="1" customWidth="1"/>
    <col min="5" max="5" width="21.140625" bestFit="1" customWidth="1"/>
    <col min="6" max="6" width="40.85546875" bestFit="1" customWidth="1"/>
    <col min="7" max="7" width="21.140625" bestFit="1" customWidth="1"/>
    <col min="8" max="8" width="11.5703125" bestFit="1" customWidth="1"/>
    <col min="10" max="10" width="13.42578125" bestFit="1" customWidth="1"/>
    <col min="22" max="22" width="9.28515625" bestFit="1" customWidth="1"/>
    <col min="28" max="28" width="13.42578125" bestFit="1" customWidth="1"/>
    <col min="29" max="29" width="9.28515625" bestFit="1" customWidth="1"/>
    <col min="30" max="30" width="11.42578125" bestFit="1" customWidth="1"/>
    <col min="31" max="31" width="9.28515625" bestFit="1" customWidth="1"/>
    <col min="33" max="33" width="9.42578125" bestFit="1" customWidth="1"/>
    <col min="34" max="34" width="11.5703125" bestFit="1" customWidth="1"/>
    <col min="35" max="35" width="9.28515625" bestFit="1" customWidth="1"/>
    <col min="37" max="37" width="9.28515625" bestFit="1" customWidth="1"/>
    <col min="38" max="38" width="12.5703125" bestFit="1" customWidth="1"/>
    <col min="39" max="39" width="13.7109375" bestFit="1" customWidth="1"/>
    <col min="40" max="41" width="9.42578125" bestFit="1" customWidth="1"/>
    <col min="42" max="42" width="12.5703125" bestFit="1" customWidth="1"/>
    <col min="43" max="43" width="11.5703125" bestFit="1" customWidth="1"/>
    <col min="44" max="44" width="9.42578125" bestFit="1" customWidth="1"/>
    <col min="45" max="45" width="12.5703125" bestFit="1" customWidth="1"/>
    <col min="46" max="46" width="13.7109375" bestFit="1" customWidth="1"/>
    <col min="47" max="47" width="12.5703125" bestFit="1" customWidth="1"/>
    <col min="48" max="48" width="11.5703125" bestFit="1" customWidth="1"/>
    <col min="49" max="49" width="13.7109375" bestFit="1" customWidth="1"/>
    <col min="53" max="53" width="10.140625" bestFit="1" customWidth="1"/>
    <col min="67" max="68" width="9.28515625" bestFit="1" customWidth="1"/>
    <col min="70" max="70" width="12.5703125" bestFit="1" customWidth="1"/>
    <col min="71" max="72" width="9.42578125" bestFit="1" customWidth="1"/>
    <col min="74" max="75" width="9.42578125" bestFit="1" customWidth="1"/>
    <col min="77" max="78" width="9.42578125" bestFit="1" customWidth="1"/>
  </cols>
  <sheetData>
    <row r="2" spans="2:80" x14ac:dyDescent="0.25"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30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3" t="s">
        <v>66</v>
      </c>
      <c r="AK2" s="3" t="s">
        <v>67</v>
      </c>
      <c r="AL2" s="3" t="s">
        <v>68</v>
      </c>
      <c r="AM2" s="3" t="s">
        <v>69</v>
      </c>
      <c r="AN2" s="3" t="s">
        <v>70</v>
      </c>
      <c r="AO2" s="3" t="s">
        <v>71</v>
      </c>
      <c r="AP2" s="3" t="s">
        <v>72</v>
      </c>
      <c r="AQ2" s="3" t="s">
        <v>73</v>
      </c>
      <c r="AR2" s="3" t="s">
        <v>74</v>
      </c>
      <c r="AS2" s="3" t="s">
        <v>75</v>
      </c>
      <c r="AT2" s="3" t="s">
        <v>76</v>
      </c>
      <c r="AU2" s="3" t="s">
        <v>77</v>
      </c>
      <c r="AV2" s="3" t="s">
        <v>78</v>
      </c>
      <c r="AW2" s="3" t="s">
        <v>79</v>
      </c>
      <c r="AX2" s="3" t="s">
        <v>80</v>
      </c>
      <c r="AY2" s="3" t="s">
        <v>81</v>
      </c>
      <c r="AZ2" s="3" t="s">
        <v>82</v>
      </c>
      <c r="BA2" s="3" t="s">
        <v>83</v>
      </c>
      <c r="BB2" s="3" t="s">
        <v>84</v>
      </c>
      <c r="BC2" s="3" t="s">
        <v>85</v>
      </c>
      <c r="BD2" s="3" t="s">
        <v>86</v>
      </c>
      <c r="BE2" s="3" t="s">
        <v>87</v>
      </c>
      <c r="BF2" s="3" t="s">
        <v>88</v>
      </c>
      <c r="BG2" s="3" t="s">
        <v>89</v>
      </c>
      <c r="BH2" s="3" t="s">
        <v>90</v>
      </c>
      <c r="BI2" s="3" t="s">
        <v>91</v>
      </c>
      <c r="BJ2" s="3" t="s">
        <v>92</v>
      </c>
      <c r="BK2" s="3" t="s">
        <v>93</v>
      </c>
      <c r="BL2" s="3" t="s">
        <v>94</v>
      </c>
      <c r="BM2" s="3" t="s">
        <v>95</v>
      </c>
      <c r="BN2" s="3" t="s">
        <v>96</v>
      </c>
      <c r="BO2" s="3" t="s">
        <v>97</v>
      </c>
      <c r="BP2" s="3" t="s">
        <v>98</v>
      </c>
      <c r="BQ2" s="3" t="s">
        <v>99</v>
      </c>
      <c r="BR2" s="3" t="s">
        <v>100</v>
      </c>
      <c r="BS2" s="3" t="s">
        <v>101</v>
      </c>
      <c r="BT2" s="3" t="s">
        <v>102</v>
      </c>
      <c r="BU2" s="3" t="s">
        <v>1</v>
      </c>
      <c r="BV2" s="3" t="s">
        <v>103</v>
      </c>
      <c r="BW2" s="3" t="s">
        <v>104</v>
      </c>
      <c r="BX2" s="3" t="s">
        <v>2</v>
      </c>
      <c r="BY2" s="3" t="s">
        <v>105</v>
      </c>
      <c r="BZ2" s="3" t="s">
        <v>106</v>
      </c>
      <c r="CA2" s="3" t="s">
        <v>3</v>
      </c>
      <c r="CB2" s="3"/>
    </row>
    <row r="3" spans="2:80" s="1" customFormat="1" x14ac:dyDescent="0.25"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116</v>
      </c>
      <c r="I3" s="1" t="s">
        <v>10</v>
      </c>
      <c r="J3" s="1">
        <v>10947.91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1" t="s">
        <v>11</v>
      </c>
      <c r="V3" s="1" t="s">
        <v>117</v>
      </c>
      <c r="W3" s="1" t="s">
        <v>11</v>
      </c>
      <c r="X3" s="1" t="s">
        <v>107</v>
      </c>
      <c r="Y3" s="1" t="s">
        <v>11</v>
      </c>
      <c r="Z3" s="1" t="s">
        <v>11</v>
      </c>
      <c r="AA3" s="1" t="s">
        <v>108</v>
      </c>
      <c r="AB3" s="1">
        <v>10947.91</v>
      </c>
      <c r="AC3" s="1" t="s">
        <v>118</v>
      </c>
      <c r="AD3" s="1" t="s">
        <v>119</v>
      </c>
      <c r="AE3" s="1" t="s">
        <v>120</v>
      </c>
      <c r="AF3" s="1" t="s">
        <v>109</v>
      </c>
      <c r="AG3" s="1">
        <v>45506</v>
      </c>
      <c r="AH3" s="1">
        <v>2958465</v>
      </c>
      <c r="AI3" s="1" t="s">
        <v>121</v>
      </c>
      <c r="AJ3" s="1" t="s">
        <v>110</v>
      </c>
      <c r="AK3" s="1" t="s">
        <v>122</v>
      </c>
      <c r="AL3" s="1">
        <v>41379971.390000001</v>
      </c>
      <c r="AM3" s="1">
        <v>280348952.69999999</v>
      </c>
      <c r="AN3" s="1">
        <v>0</v>
      </c>
      <c r="AO3" s="1">
        <v>0</v>
      </c>
      <c r="AP3" s="1">
        <v>26188292.609999999</v>
      </c>
      <c r="AQ3" s="1">
        <v>2790919.75</v>
      </c>
      <c r="AR3" s="1">
        <v>0</v>
      </c>
      <c r="AS3" s="1">
        <v>41379971.390000001</v>
      </c>
      <c r="AT3" s="1">
        <v>309328165.06</v>
      </c>
      <c r="AU3" s="1">
        <v>53066418</v>
      </c>
      <c r="AV3" s="1">
        <v>4023258</v>
      </c>
      <c r="AW3" s="1">
        <v>120685932.64339601</v>
      </c>
      <c r="AX3" s="1" t="s">
        <v>14</v>
      </c>
      <c r="AY3" s="1" t="s">
        <v>14</v>
      </c>
      <c r="AZ3" s="1" t="s">
        <v>15</v>
      </c>
      <c r="BA3" s="1">
        <v>120494</v>
      </c>
      <c r="BB3" s="1" t="s">
        <v>11</v>
      </c>
      <c r="BC3" s="1" t="s">
        <v>11</v>
      </c>
      <c r="BD3" s="1" t="s">
        <v>11</v>
      </c>
      <c r="BE3" s="1" t="s">
        <v>11</v>
      </c>
      <c r="BF3" s="1" t="s">
        <v>11</v>
      </c>
      <c r="BG3" s="1" t="s">
        <v>11</v>
      </c>
      <c r="BH3" s="1" t="s">
        <v>11</v>
      </c>
      <c r="BI3" s="1" t="s">
        <v>11</v>
      </c>
      <c r="BJ3" s="1" t="s">
        <v>11</v>
      </c>
      <c r="BK3" s="1" t="s">
        <v>11</v>
      </c>
      <c r="BL3" s="1" t="s">
        <v>11</v>
      </c>
      <c r="BM3" s="1" t="s">
        <v>11</v>
      </c>
      <c r="BN3" s="1" t="s">
        <v>11</v>
      </c>
      <c r="BO3" s="1" t="s">
        <v>117</v>
      </c>
      <c r="BP3" s="1" t="s">
        <v>117</v>
      </c>
      <c r="BQ3" s="1" t="s">
        <v>11</v>
      </c>
      <c r="BR3" s="1">
        <v>26600313.41</v>
      </c>
      <c r="BS3" s="1" t="s">
        <v>11</v>
      </c>
      <c r="BT3" s="1" t="s">
        <v>11</v>
      </c>
      <c r="BU3" s="1" t="s">
        <v>10</v>
      </c>
      <c r="BV3" s="1" t="s">
        <v>11</v>
      </c>
      <c r="BW3" s="1" t="s">
        <v>11</v>
      </c>
      <c r="BX3" s="1" t="s">
        <v>10</v>
      </c>
      <c r="BY3" s="1" t="s">
        <v>11</v>
      </c>
      <c r="BZ3" s="1" t="s">
        <v>11</v>
      </c>
      <c r="CA3" s="1" t="s">
        <v>10</v>
      </c>
    </row>
    <row r="4" spans="2:80" s="1" customFormat="1" x14ac:dyDescent="0.25">
      <c r="B4" s="1" t="s">
        <v>111</v>
      </c>
      <c r="C4" s="1" t="s">
        <v>112</v>
      </c>
      <c r="D4" s="1" t="s">
        <v>113</v>
      </c>
      <c r="E4" s="1" t="s">
        <v>114</v>
      </c>
      <c r="F4" s="1" t="s">
        <v>115</v>
      </c>
      <c r="G4" s="1" t="s">
        <v>116</v>
      </c>
      <c r="I4" s="1" t="s">
        <v>31</v>
      </c>
      <c r="J4" s="1">
        <v>-33077227.829999998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117</v>
      </c>
      <c r="W4" s="1" t="s">
        <v>11</v>
      </c>
      <c r="X4" s="1" t="s">
        <v>107</v>
      </c>
      <c r="Y4" s="1" t="s">
        <v>11</v>
      </c>
      <c r="Z4" s="1" t="s">
        <v>11</v>
      </c>
      <c r="AA4" s="1" t="s">
        <v>108</v>
      </c>
      <c r="AB4" s="1">
        <v>-33077227.829999998</v>
      </c>
      <c r="AC4" s="1" t="s">
        <v>118</v>
      </c>
      <c r="AD4" s="1" t="s">
        <v>119</v>
      </c>
      <c r="AE4" s="1" t="s">
        <v>120</v>
      </c>
      <c r="AF4" s="1" t="s">
        <v>109</v>
      </c>
      <c r="AG4" s="1">
        <v>45506</v>
      </c>
      <c r="AH4" s="1">
        <v>2958465</v>
      </c>
      <c r="AI4" s="1" t="s">
        <v>121</v>
      </c>
      <c r="AJ4" s="1" t="s">
        <v>110</v>
      </c>
      <c r="AK4" s="1" t="s">
        <v>122</v>
      </c>
      <c r="AL4" s="1">
        <v>41379971.390000001</v>
      </c>
      <c r="AM4" s="1">
        <v>280348952.69999999</v>
      </c>
      <c r="AN4" s="1">
        <v>0</v>
      </c>
      <c r="AO4" s="1">
        <v>0</v>
      </c>
      <c r="AP4" s="1">
        <v>26188292.609999999</v>
      </c>
      <c r="AQ4" s="1">
        <v>2790919.75</v>
      </c>
      <c r="AR4" s="1">
        <v>0</v>
      </c>
      <c r="AS4" s="1">
        <v>41379971.390000001</v>
      </c>
      <c r="AT4" s="1">
        <v>309328165.06</v>
      </c>
      <c r="AU4" s="1">
        <v>53066418</v>
      </c>
      <c r="AV4" s="1">
        <v>4023258</v>
      </c>
      <c r="AW4" s="1">
        <v>120685932.64339601</v>
      </c>
      <c r="AX4" s="1" t="s">
        <v>14</v>
      </c>
      <c r="AY4" s="1" t="s">
        <v>14</v>
      </c>
      <c r="AZ4" s="1" t="s">
        <v>15</v>
      </c>
      <c r="BA4" s="1">
        <v>120494</v>
      </c>
      <c r="BB4" s="1" t="s">
        <v>11</v>
      </c>
      <c r="BC4" s="1" t="s">
        <v>11</v>
      </c>
      <c r="BD4" s="1" t="s">
        <v>11</v>
      </c>
      <c r="BE4" s="1" t="s">
        <v>11</v>
      </c>
      <c r="BF4" s="1" t="s">
        <v>11</v>
      </c>
      <c r="BG4" s="1" t="s">
        <v>11</v>
      </c>
      <c r="BH4" s="1" t="s">
        <v>11</v>
      </c>
      <c r="BI4" s="1" t="s">
        <v>11</v>
      </c>
      <c r="BJ4" s="1" t="s">
        <v>11</v>
      </c>
      <c r="BK4" s="1" t="s">
        <v>11</v>
      </c>
      <c r="BL4" s="1" t="s">
        <v>11</v>
      </c>
      <c r="BM4" s="1" t="s">
        <v>11</v>
      </c>
      <c r="BN4" s="1" t="s">
        <v>11</v>
      </c>
      <c r="BO4" s="1" t="s">
        <v>117</v>
      </c>
      <c r="BP4" s="1" t="s">
        <v>117</v>
      </c>
      <c r="BQ4" s="1" t="s">
        <v>11</v>
      </c>
      <c r="BR4" s="1">
        <v>26600313.41</v>
      </c>
      <c r="BS4" s="1">
        <v>14540.198532</v>
      </c>
      <c r="BT4" s="1">
        <v>14540.198532</v>
      </c>
      <c r="BU4" s="1" t="s">
        <v>14</v>
      </c>
      <c r="BV4" s="1">
        <v>1102.3726919999999</v>
      </c>
      <c r="BW4" s="1">
        <v>1102.3726919999999</v>
      </c>
      <c r="BX4" s="1" t="s">
        <v>14</v>
      </c>
      <c r="BY4" s="1">
        <v>33067.945544290502</v>
      </c>
      <c r="BZ4" s="1">
        <v>33067.945544000002</v>
      </c>
      <c r="CA4" s="1" t="s">
        <v>15</v>
      </c>
    </row>
    <row r="6" spans="2:80" x14ac:dyDescent="0.25"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</row>
    <row r="7" spans="2:80" x14ac:dyDescent="0.25">
      <c r="B7" s="1">
        <v>53066418</v>
      </c>
      <c r="C7" s="1">
        <v>4023258</v>
      </c>
      <c r="D7" s="1">
        <v>120685932.64339601</v>
      </c>
      <c r="E7" s="1" t="s">
        <v>14</v>
      </c>
      <c r="F7" s="1" t="s">
        <v>14</v>
      </c>
      <c r="G7" s="1" t="s">
        <v>15</v>
      </c>
      <c r="H7" s="1">
        <v>120494</v>
      </c>
    </row>
    <row r="9" spans="2:80" x14ac:dyDescent="0.25">
      <c r="B9">
        <f>-J4/1000000</f>
        <v>33.077227829999998</v>
      </c>
    </row>
    <row r="10" spans="2:80" x14ac:dyDescent="0.25">
      <c r="B10">
        <f>+B9/H7</f>
        <v>2.7451348473782924E-4</v>
      </c>
    </row>
    <row r="11" spans="2:80" x14ac:dyDescent="0.25">
      <c r="B11">
        <f>+B7*B10</f>
        <v>14567.447327734268</v>
      </c>
    </row>
    <row r="14" spans="2:80" x14ac:dyDescent="0.25"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30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51</v>
      </c>
      <c r="V14" t="s">
        <v>52</v>
      </c>
      <c r="W14" t="s">
        <v>53</v>
      </c>
      <c r="X14" t="s">
        <v>54</v>
      </c>
      <c r="Y14" t="s">
        <v>55</v>
      </c>
      <c r="Z14" t="s">
        <v>56</v>
      </c>
      <c r="AA14" t="s">
        <v>57</v>
      </c>
      <c r="AB14" t="s">
        <v>58</v>
      </c>
      <c r="AC14" t="s">
        <v>59</v>
      </c>
      <c r="AD14" t="s">
        <v>60</v>
      </c>
      <c r="AE14" t="s">
        <v>61</v>
      </c>
      <c r="AF14" t="s">
        <v>62</v>
      </c>
      <c r="AG14" t="s">
        <v>63</v>
      </c>
      <c r="AH14" t="s">
        <v>64</v>
      </c>
      <c r="AI14" t="s">
        <v>65</v>
      </c>
      <c r="AJ14" t="s">
        <v>66</v>
      </c>
      <c r="AK14" t="s">
        <v>67</v>
      </c>
      <c r="AL14" t="s">
        <v>68</v>
      </c>
      <c r="AM14" t="s">
        <v>69</v>
      </c>
      <c r="AN14" t="s">
        <v>70</v>
      </c>
      <c r="AO14" t="s">
        <v>71</v>
      </c>
      <c r="AP14" t="s">
        <v>72</v>
      </c>
      <c r="AQ14" t="s">
        <v>73</v>
      </c>
      <c r="AR14" t="s">
        <v>74</v>
      </c>
      <c r="AS14" t="s">
        <v>75</v>
      </c>
      <c r="AT14" t="s">
        <v>76</v>
      </c>
      <c r="AU14" t="s">
        <v>77</v>
      </c>
      <c r="AV14" t="s">
        <v>78</v>
      </c>
      <c r="AW14" t="s">
        <v>79</v>
      </c>
      <c r="AX14" t="s">
        <v>80</v>
      </c>
      <c r="AY14" t="s">
        <v>81</v>
      </c>
      <c r="AZ14" t="s">
        <v>82</v>
      </c>
      <c r="BA14" t="s">
        <v>83</v>
      </c>
      <c r="BB14" t="s">
        <v>84</v>
      </c>
      <c r="BC14" t="s">
        <v>85</v>
      </c>
      <c r="BD14" t="s">
        <v>86</v>
      </c>
      <c r="BE14" t="s">
        <v>87</v>
      </c>
      <c r="BF14" t="s">
        <v>88</v>
      </c>
      <c r="BG14" t="s">
        <v>89</v>
      </c>
      <c r="BH14" t="s">
        <v>90</v>
      </c>
      <c r="BI14" t="s">
        <v>91</v>
      </c>
      <c r="BJ14" t="s">
        <v>92</v>
      </c>
      <c r="BK14" t="s">
        <v>93</v>
      </c>
      <c r="BL14" t="s">
        <v>94</v>
      </c>
      <c r="BM14" t="s">
        <v>95</v>
      </c>
      <c r="BN14" t="s">
        <v>96</v>
      </c>
      <c r="BO14" t="s">
        <v>97</v>
      </c>
      <c r="BP14" t="s">
        <v>98</v>
      </c>
      <c r="BQ14" t="s">
        <v>99</v>
      </c>
      <c r="BR14" t="s">
        <v>100</v>
      </c>
      <c r="BS14" t="s">
        <v>101</v>
      </c>
      <c r="BT14" t="s">
        <v>102</v>
      </c>
      <c r="BU14" t="s">
        <v>1</v>
      </c>
      <c r="BV14" t="s">
        <v>103</v>
      </c>
      <c r="BW14" t="s">
        <v>104</v>
      </c>
      <c r="BX14" t="s">
        <v>2</v>
      </c>
      <c r="BY14" t="s">
        <v>105</v>
      </c>
      <c r="BZ14" t="s">
        <v>106</v>
      </c>
      <c r="CA14" t="s">
        <v>3</v>
      </c>
    </row>
    <row r="15" spans="2:80" s="1" customFormat="1" x14ac:dyDescent="0.25">
      <c r="B15" s="1">
        <v>89</v>
      </c>
      <c r="C15" s="1">
        <v>0</v>
      </c>
      <c r="D15" s="1">
        <v>20240000200</v>
      </c>
      <c r="E15" s="1">
        <v>1520250331178</v>
      </c>
      <c r="F15" s="1">
        <v>8.9000020240000207E+31</v>
      </c>
      <c r="G15" s="1">
        <v>7400296972</v>
      </c>
      <c r="I15" s="1" t="s">
        <v>10</v>
      </c>
      <c r="J15" s="1">
        <v>4099.96</v>
      </c>
      <c r="K15" s="1" t="s">
        <v>11</v>
      </c>
      <c r="L15" s="1" t="s">
        <v>11</v>
      </c>
      <c r="M15" s="1" t="s">
        <v>11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11</v>
      </c>
      <c r="T15" s="1" t="s">
        <v>11</v>
      </c>
      <c r="U15" s="1" t="s">
        <v>11</v>
      </c>
      <c r="V15" s="1">
        <v>0</v>
      </c>
      <c r="W15" s="1" t="s">
        <v>11</v>
      </c>
      <c r="X15" s="1" t="s">
        <v>107</v>
      </c>
      <c r="Y15" s="1" t="s">
        <v>11</v>
      </c>
      <c r="Z15" s="1" t="s">
        <v>11</v>
      </c>
      <c r="AA15" s="1" t="s">
        <v>108</v>
      </c>
      <c r="AB15" s="1">
        <v>4099.96</v>
      </c>
      <c r="AC15" s="1">
        <v>1</v>
      </c>
      <c r="AD15" s="1">
        <v>6181853</v>
      </c>
      <c r="AE15" s="1">
        <v>2023</v>
      </c>
      <c r="AF15" s="1" t="s">
        <v>123</v>
      </c>
      <c r="AG15" s="1">
        <v>45506</v>
      </c>
      <c r="AH15" s="1">
        <v>2958465</v>
      </c>
      <c r="AI15" s="1">
        <v>212</v>
      </c>
      <c r="AJ15" s="1" t="s">
        <v>110</v>
      </c>
      <c r="AK15" s="1">
        <v>45506</v>
      </c>
      <c r="AL15" s="1">
        <v>10264010</v>
      </c>
      <c r="AM15" s="1">
        <v>0</v>
      </c>
      <c r="AN15" s="1">
        <v>0</v>
      </c>
      <c r="AO15" s="1">
        <v>0</v>
      </c>
      <c r="AP15" s="1">
        <v>0</v>
      </c>
      <c r="AQ15" s="1">
        <v>138737</v>
      </c>
      <c r="AR15" s="1">
        <v>0</v>
      </c>
      <c r="AS15" s="1">
        <v>10264010</v>
      </c>
      <c r="AT15" s="1">
        <v>138737</v>
      </c>
      <c r="AU15" s="1">
        <v>486059</v>
      </c>
      <c r="AV15" s="1">
        <v>1107707</v>
      </c>
      <c r="AW15" s="1">
        <v>216033351.99335101</v>
      </c>
      <c r="AX15" s="1" t="s">
        <v>17</v>
      </c>
      <c r="AY15" s="1" t="s">
        <v>17</v>
      </c>
      <c r="AZ15" s="1" t="s">
        <v>18</v>
      </c>
      <c r="BA15" s="1">
        <v>43175.27</v>
      </c>
      <c r="BB15" s="1" t="s">
        <v>11</v>
      </c>
      <c r="BC15" s="1" t="s">
        <v>11</v>
      </c>
      <c r="BD15" s="1" t="s">
        <v>11</v>
      </c>
      <c r="BE15" s="1" t="s">
        <v>11</v>
      </c>
      <c r="BF15" s="1" t="s">
        <v>11</v>
      </c>
      <c r="BG15" s="1" t="s">
        <v>11</v>
      </c>
      <c r="BH15" s="1" t="s">
        <v>11</v>
      </c>
      <c r="BI15" s="1" t="s">
        <v>11</v>
      </c>
      <c r="BJ15" s="1" t="s">
        <v>11</v>
      </c>
      <c r="BK15" s="1" t="s">
        <v>11</v>
      </c>
      <c r="BL15" s="1" t="s">
        <v>11</v>
      </c>
      <c r="BM15" s="1" t="s">
        <v>11</v>
      </c>
      <c r="BN15" s="1" t="s">
        <v>11</v>
      </c>
      <c r="BO15" s="1">
        <v>0</v>
      </c>
      <c r="BP15" s="1">
        <v>0</v>
      </c>
      <c r="BQ15" s="1" t="s">
        <v>11</v>
      </c>
      <c r="BR15" s="1">
        <v>40636032</v>
      </c>
      <c r="BS15" s="1" t="s">
        <v>11</v>
      </c>
      <c r="BT15" s="1" t="s">
        <v>11</v>
      </c>
      <c r="BU15" s="1" t="s">
        <v>10</v>
      </c>
      <c r="BV15" s="1" t="s">
        <v>11</v>
      </c>
      <c r="BW15" s="1" t="s">
        <v>11</v>
      </c>
      <c r="BX15" s="1" t="s">
        <v>10</v>
      </c>
      <c r="BY15" s="1" t="s">
        <v>11</v>
      </c>
      <c r="BZ15" s="1" t="s">
        <v>11</v>
      </c>
      <c r="CA15" s="1" t="s">
        <v>10</v>
      </c>
    </row>
    <row r="16" spans="2:80" s="1" customFormat="1" x14ac:dyDescent="0.25">
      <c r="B16" s="1">
        <v>89</v>
      </c>
      <c r="C16" s="1">
        <v>0</v>
      </c>
      <c r="D16" s="1">
        <v>20240000200</v>
      </c>
      <c r="E16" s="1">
        <v>1520250331178</v>
      </c>
      <c r="F16" s="1">
        <v>8.9000020240000207E+31</v>
      </c>
      <c r="G16" s="1">
        <v>7400296972</v>
      </c>
      <c r="I16" s="1" t="s">
        <v>31</v>
      </c>
      <c r="J16" s="1">
        <v>-80701.850000000006</v>
      </c>
      <c r="K16" s="1" t="s">
        <v>11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11</v>
      </c>
      <c r="T16" s="1" t="s">
        <v>11</v>
      </c>
      <c r="U16" s="1" t="s">
        <v>11</v>
      </c>
      <c r="V16" s="1">
        <v>0</v>
      </c>
      <c r="W16" s="1" t="s">
        <v>11</v>
      </c>
      <c r="X16" s="1" t="s">
        <v>107</v>
      </c>
      <c r="Y16" s="1" t="s">
        <v>11</v>
      </c>
      <c r="Z16" s="1" t="s">
        <v>11</v>
      </c>
      <c r="AA16" s="1" t="s">
        <v>108</v>
      </c>
      <c r="AB16" s="1">
        <v>-80701.850000000006</v>
      </c>
      <c r="AC16" s="1">
        <v>1</v>
      </c>
      <c r="AD16" s="1">
        <v>6181853</v>
      </c>
      <c r="AE16" s="1">
        <v>2023</v>
      </c>
      <c r="AF16" s="1" t="s">
        <v>123</v>
      </c>
      <c r="AG16" s="1">
        <v>45506</v>
      </c>
      <c r="AH16" s="1">
        <v>2958465</v>
      </c>
      <c r="AI16" s="1">
        <v>212</v>
      </c>
      <c r="AJ16" s="1" t="s">
        <v>110</v>
      </c>
      <c r="AK16" s="1">
        <v>45506</v>
      </c>
      <c r="AL16" s="1">
        <v>10264010</v>
      </c>
      <c r="AM16" s="1">
        <v>0</v>
      </c>
      <c r="AN16" s="1">
        <v>0</v>
      </c>
      <c r="AO16" s="1">
        <v>0</v>
      </c>
      <c r="AP16" s="1">
        <v>0</v>
      </c>
      <c r="AQ16" s="1">
        <v>138737</v>
      </c>
      <c r="AR16" s="1">
        <v>0</v>
      </c>
      <c r="AS16" s="1">
        <v>10264010</v>
      </c>
      <c r="AT16" s="1">
        <v>138737</v>
      </c>
      <c r="AU16" s="1">
        <v>486059</v>
      </c>
      <c r="AV16" s="1">
        <v>1107707</v>
      </c>
      <c r="AW16" s="1">
        <v>216033351.99335101</v>
      </c>
      <c r="AX16" s="1" t="s">
        <v>17</v>
      </c>
      <c r="AY16" s="1" t="s">
        <v>17</v>
      </c>
      <c r="AZ16" s="1" t="s">
        <v>18</v>
      </c>
      <c r="BA16" s="1">
        <v>43175.27</v>
      </c>
      <c r="BB16" s="1" t="s">
        <v>11</v>
      </c>
      <c r="BC16" s="1" t="s">
        <v>11</v>
      </c>
      <c r="BD16" s="1" t="s">
        <v>11</v>
      </c>
      <c r="BE16" s="1" t="s">
        <v>11</v>
      </c>
      <c r="BF16" s="1" t="s">
        <v>11</v>
      </c>
      <c r="BG16" s="1" t="s">
        <v>11</v>
      </c>
      <c r="BH16" s="1" t="s">
        <v>11</v>
      </c>
      <c r="BI16" s="1" t="s">
        <v>11</v>
      </c>
      <c r="BJ16" s="1" t="s">
        <v>11</v>
      </c>
      <c r="BK16" s="1" t="s">
        <v>11</v>
      </c>
      <c r="BL16" s="1" t="s">
        <v>11</v>
      </c>
      <c r="BM16" s="1" t="s">
        <v>11</v>
      </c>
      <c r="BN16" s="1" t="s">
        <v>11</v>
      </c>
      <c r="BO16" s="1">
        <v>0</v>
      </c>
      <c r="BP16" s="1">
        <v>0</v>
      </c>
      <c r="BQ16" s="1" t="s">
        <v>11</v>
      </c>
      <c r="BR16" s="1">
        <v>40636032</v>
      </c>
      <c r="BS16" s="1">
        <v>0.48605900000000002</v>
      </c>
      <c r="BT16" s="1">
        <v>0.48605900000000002</v>
      </c>
      <c r="BU16" s="1" t="s">
        <v>17</v>
      </c>
      <c r="BV16" s="1">
        <v>1.107707</v>
      </c>
      <c r="BW16" s="1">
        <v>1.107707</v>
      </c>
      <c r="BX16" s="1" t="s">
        <v>17</v>
      </c>
      <c r="BY16" s="1">
        <v>216.033351993351</v>
      </c>
      <c r="BZ16" s="1">
        <v>216.03335100000001</v>
      </c>
      <c r="CA16" s="1" t="s">
        <v>18</v>
      </c>
    </row>
    <row r="19" spans="2:8" x14ac:dyDescent="0.25"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</row>
    <row r="20" spans="2:8" x14ac:dyDescent="0.25">
      <c r="B20" s="1">
        <v>486059</v>
      </c>
      <c r="C20" s="1">
        <v>1107707</v>
      </c>
      <c r="D20" s="1">
        <v>216033351.99335101</v>
      </c>
      <c r="E20" s="1" t="s">
        <v>17</v>
      </c>
      <c r="F20" s="1" t="s">
        <v>17</v>
      </c>
      <c r="G20" s="1" t="s">
        <v>18</v>
      </c>
      <c r="H20" s="1">
        <v>43175.27</v>
      </c>
    </row>
    <row r="22" spans="2:8" x14ac:dyDescent="0.25">
      <c r="B22">
        <f>-J16/1000000</f>
        <v>8.0701850000000006E-2</v>
      </c>
    </row>
    <row r="23" spans="2:8" x14ac:dyDescent="0.25">
      <c r="B23">
        <f>+B22/H20</f>
        <v>1.8691683919984753E-6</v>
      </c>
    </row>
    <row r="24" spans="2:8" x14ac:dyDescent="0.25">
      <c r="B24">
        <f>+B23*B20</f>
        <v>0.90852611944638695</v>
      </c>
      <c r="D24">
        <f>+D20*B23</f>
        <v>403.80271316345249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7B71AFE-AAC0-434C-BC2D-B7A5CB9672AF}"/>
</file>

<file path=customXml/itemProps2.xml><?xml version="1.0" encoding="utf-8"?>
<ds:datastoreItem xmlns:ds="http://schemas.openxmlformats.org/officeDocument/2006/customXml" ds:itemID="{7FFE3CBF-B511-4FC4-8593-C9D38C0A5398}"/>
</file>

<file path=customXml/itemProps3.xml><?xml version="1.0" encoding="utf-8"?>
<ds:datastoreItem xmlns:ds="http://schemas.openxmlformats.org/officeDocument/2006/customXml" ds:itemID="{DC8BD618-0B40-42B6-AA92-504F0312C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</vt:lpstr>
      <vt:lpstr>Sheet1</vt:lpstr>
      <vt:lpstr>Sheet4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2025-10-02T13:11:24Z</dcterms:created>
  <dcterms:modified xsi:type="dcterms:W3CDTF">2025-10-06T14:43:09Z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2025-10-02T14:19:52Z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84af5473-1efd-4c23-ab5c-98b7370e4742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