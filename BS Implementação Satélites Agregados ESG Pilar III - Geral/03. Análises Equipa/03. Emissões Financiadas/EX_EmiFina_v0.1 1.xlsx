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svg" ContentType="image/svg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0" yWindow="0" windowWidth="28800" windowHeight="12300"/>
  </bookViews>
  <sheets>
    <sheet name="1. Detalhe" sheetId="5" r:id="rId1"/>
  </sheets>
  <definedNames>
    <definedName name="Ambiente">#REF!</definedName>
    <definedName name="Estado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6" i="5" l="1"/>
  <c r="K13" i="5"/>
  <c r="K11" i="5"/>
  <c r="K37" i="5"/>
  <c r="K33" i="5"/>
  <c r="K34" i="5"/>
</calcChain>
</file>

<file path=xl/sharedStrings.xml><?xml version="1.0" encoding="utf-8"?>
<sst xmlns="http://schemas.openxmlformats.org/spreadsheetml/2006/main" count="268" uniqueCount="76">
  <si>
    <t>NULL</t>
  </si>
  <si>
    <t>1</t>
  </si>
  <si>
    <t>31</t>
  </si>
  <si>
    <t>2024-12-31</t>
  </si>
  <si>
    <t>CEMPRESA</t>
  </si>
  <si>
    <t>CBALCAO</t>
  </si>
  <si>
    <t>CNUMECTA</t>
  </si>
  <si>
    <t>ZDEPOSIT</t>
  </si>
  <si>
    <t>ZCLIENTE</t>
  </si>
  <si>
    <t>CEMPBEM</t>
  </si>
  <si>
    <t>CKBALBEM</t>
  </si>
  <si>
    <t>CKCTABEM</t>
  </si>
  <si>
    <t>CKREFBEM</t>
  </si>
  <si>
    <t>AMOUNT</t>
  </si>
  <si>
    <t>SCP1_EMSS_FNCD</t>
  </si>
  <si>
    <t>SCP2_EMSS_FNCD</t>
  </si>
  <si>
    <t>SCP3_EMSS_FNCD</t>
  </si>
  <si>
    <t>ORIGEM_SCP1_EMSS</t>
  </si>
  <si>
    <t>ORIGEM_SCP2_EMSS</t>
  </si>
  <si>
    <t>ORIGEM_SCP3_EMSS</t>
  </si>
  <si>
    <t>REF_DATE</t>
  </si>
  <si>
    <t>BUSINESS_ESG.MODESG_OUT_EMSS_FNCD</t>
  </si>
  <si>
    <t>CMAH</t>
  </si>
  <si>
    <t>CARG0000100</t>
  </si>
  <si>
    <t>C13151002SC3162</t>
  </si>
  <si>
    <t>Nao Aplicavel</t>
  </si>
  <si>
    <t>SS0000009342 - Titulizaciones Banif - Totta cuenta colateral con santander madrid - 03162 - GAMMA - SOCIEDADE DE TITULIZACAO DE CREDITOS</t>
  </si>
  <si>
    <t>CONT1;HFS2;B01;MC04;PR0501;ACPF3;SC0302;ORIG1;SUBO2;ULINK2;PFV1;TYVA0104</t>
  </si>
  <si>
    <t>MANUAL</t>
  </si>
  <si>
    <t>Titulizaciones Banif - Totta cuenta colateral con santander madrid - 03162 - GAMMA - SOCIEDADE DE TITULIZACAO DE CREDITOS</t>
  </si>
  <si>
    <t>13151002</t>
  </si>
  <si>
    <t>7401393942</t>
  </si>
  <si>
    <t>130230</t>
  </si>
  <si>
    <t>25600020</t>
  </si>
  <si>
    <t>MSALDO_FINAL</t>
  </si>
  <si>
    <t>CCONTAB_FINAL_CARGABAL</t>
  </si>
  <si>
    <t>CCONTAB_FINAL_IFRS</t>
  </si>
  <si>
    <t>DESCRITIVO</t>
  </si>
  <si>
    <t>CORPORATIVO</t>
  </si>
  <si>
    <t>LOCAL</t>
  </si>
  <si>
    <t>CD_CAPTOOLS.CT001_UNIV_SALDO</t>
  </si>
  <si>
    <t>Versão AS-IS</t>
  </si>
  <si>
    <t>Versão TO-BE</t>
  </si>
  <si>
    <t>CORPORATIVO;LOCAL</t>
  </si>
  <si>
    <t>NOME_PERIMETRO</t>
  </si>
  <si>
    <t>IMOVELGIDAP</t>
  </si>
  <si>
    <t>000000000007400</t>
  </si>
  <si>
    <t>0000000000</t>
  </si>
  <si>
    <t>2642300</t>
  </si>
  <si>
    <t>1910008</t>
  </si>
  <si>
    <t>191000</t>
  </si>
  <si>
    <t>CONT1;HFS1;B01;MC100501;TAPU3;ORIG4;TYVA02</t>
  </si>
  <si>
    <t>1605010</t>
  </si>
  <si>
    <t>1910000</t>
  </si>
  <si>
    <t>CONT1;HFS1;B01;MC100501;TAPU3;ORIG4;TYVA01</t>
  </si>
  <si>
    <t>19910001</t>
  </si>
  <si>
    <t>1991000</t>
  </si>
  <si>
    <t>19910000</t>
  </si>
  <si>
    <t>299000</t>
  </si>
  <si>
    <t>Imóvel Adjudicado (provisão com regra) 7400: Ovar - R. Fundação Pepolim,nº63,2º Ft.,Ap.62 "BP" - 3880-213 OVAR</t>
  </si>
  <si>
    <t>2740900</t>
  </si>
  <si>
    <t>Imóvel Adjudicado (exposição) 7400: Ovar - R. Fundação Pepolim,nº63,2º Ft.,Ap.62 "BP" - 3880-213 OVAR</t>
  </si>
  <si>
    <t>299021</t>
  </si>
  <si>
    <t>Imóvel Adjudicado (provisão) 7400: Ovar - R. Fundação Pepolim,nº63,2º Ft.,Ap.62 "BP" - 3880-213 OVAR</t>
  </si>
  <si>
    <t>299004</t>
  </si>
  <si>
    <t>299001</t>
  </si>
  <si>
    <t>2740901</t>
  </si>
  <si>
    <t>2740904</t>
  </si>
  <si>
    <t>CCONTAB_FINAL_PCSB</t>
  </si>
  <si>
    <t>CCONTAB_FINAL_ST_SGPS</t>
  </si>
  <si>
    <t>CCONTAB_FINAL_SGPS_CONS</t>
  </si>
  <si>
    <t>CCONTAB_FINAL_IDCOMB</t>
  </si>
  <si>
    <t>ORIGEM</t>
  </si>
  <si>
    <t>FLAG_ATIVO</t>
  </si>
  <si>
    <t xml:space="preserve">BUSINESS_ESG.MODESG_OUT_EMSS_FNCD </t>
  </si>
  <si>
    <t>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</si>
</sst>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\ &quot;€&quot;"/>
    <numFmt numFmtId="165" formatCode="_-* #,##0\ &quot;€&quot;_-;\-* #,##0\ &quot;€&quot;_-;_-* &quot;-&quot;??\ &quot;€&quot;_-;_-@_-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7575"/>
        <bgColor indexed="64"/>
      </patternFill>
    </fill>
    <fill>
      <patternFill patternType="solid">
        <fgColor rgb="FFFFCDCD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rgb="FFFF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Up="1">
      <left style="thin">
        <color auto="1"/>
      </left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/>
      <top style="thin">
        <color auto="1"/>
      </top>
      <bottom style="thin">
        <color auto="1"/>
      </bottom>
      <diagonal style="thin">
        <color auto="1"/>
      </diagonal>
    </border>
    <border diagonalUp="1">
      <left/>
      <right style="thin">
        <color auto="1"/>
      </right>
      <top style="thin">
        <color auto="1"/>
      </top>
      <bottom style="thin">
        <color auto="1"/>
      </bottom>
      <diagonal style="thin">
        <color auto="1"/>
      </diagonal>
    </border>
  </borders>
  <cellStyleXfs count="1">
    <xf numFmtId="0" fontId="0" fillId="0" borderId="0"/>
  </cellStyleXfs>
  <cellXfs count="41">
    <xf numFmtId="0" fontId="0" fillId="0" borderId="0" xfId="0"/>
    <xf numFmtId="0" fontId="0" fillId="2" borderId="0" xfId="0" applyFill="1"/>
    <xf numFmtId="0" fontId="0" fillId="3" borderId="0" xfId="0" applyFill="1"/>
    <xf numFmtId="0" fontId="0" fillId="0" borderId="2" xfId="0" applyBorder="1"/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4" fillId="0" borderId="2" xfId="0" applyFont="1" applyBorder="1"/>
    <xf numFmtId="49" fontId="0" fillId="0" borderId="0" xfId="0" applyNumberFormat="1"/>
    <xf numFmtId="0" fontId="2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49" fontId="0" fillId="0" borderId="0" xfId="0" applyNumberFormat="1" applyBorder="1"/>
    <xf numFmtId="49" fontId="0" fillId="0" borderId="0" xfId="0" applyNumberFormat="1" applyBorder="1" applyAlignment="1">
      <alignment horizontal="center"/>
    </xf>
    <xf numFmtId="49" fontId="0" fillId="0" borderId="0" xfId="0" applyNumberFormat="1" applyFill="1" applyBorder="1"/>
    <xf numFmtId="49" fontId="0" fillId="0" borderId="1" xfId="0" applyNumberFormat="1" applyFill="1" applyBorder="1"/>
    <xf numFmtId="49" fontId="0" fillId="2" borderId="1" xfId="0" applyNumberFormat="1" applyFill="1" applyBorder="1" applyAlignment="1">
      <alignment horizontal="center"/>
    </xf>
    <xf numFmtId="49" fontId="0" fillId="0" borderId="1" xfId="0" applyNumberFormat="1" applyFill="1" applyBorder="1" applyAlignment="1"/>
    <xf numFmtId="49" fontId="0" fillId="0" borderId="1" xfId="0" applyNumberFormat="1" applyFill="1" applyBorder="1" applyAlignment="1">
      <alignment horizontal="center"/>
    </xf>
    <xf numFmtId="49" fontId="0" fillId="2" borderId="1" xfId="0" applyNumberFormat="1" applyFont="1" applyFill="1" applyBorder="1"/>
    <xf numFmtId="49" fontId="0" fillId="8" borderId="1" xfId="0" applyNumberFormat="1" applyFont="1" applyFill="1" applyBorder="1"/>
    <xf numFmtId="0" fontId="0" fillId="0" borderId="0" xfId="0" applyFill="1"/>
    <xf numFmtId="49" fontId="0" fillId="0" borderId="0" xfId="0" applyNumberFormat="1" applyFill="1"/>
    <xf numFmtId="164" fontId="0" fillId="2" borderId="1" xfId="0" applyNumberFormat="1" applyFill="1" applyBorder="1"/>
    <xf numFmtId="164" fontId="0" fillId="0" borderId="0" xfId="0" applyNumberFormat="1" applyFill="1"/>
    <xf numFmtId="165" fontId="0" fillId="8" borderId="1" xfId="0" applyNumberFormat="1" applyFill="1" applyBorder="1"/>
    <xf numFmtId="165" fontId="0" fillId="0" borderId="0" xfId="0" applyNumberFormat="1"/>
    <xf numFmtId="164" fontId="0" fillId="8" borderId="1" xfId="0" applyNumberFormat="1" applyFill="1" applyBorder="1"/>
    <xf numFmtId="49" fontId="0" fillId="8" borderId="1" xfId="0" applyNumberFormat="1" applyFill="1" applyBorder="1" applyAlignment="1"/>
    <xf numFmtId="0" fontId="0" fillId="4" borderId="1" xfId="0" quotePrefix="1" applyFill="1" applyBorder="1"/>
    <xf numFmtId="0" fontId="1" fillId="5" borderId="3" xfId="0" applyFont="1" applyFill="1" applyBorder="1" applyAlignment="1">
      <alignment horizontal="center"/>
    </xf>
    <xf numFmtId="0" fontId="1" fillId="5" borderId="5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DCD"/>
      <color rgb="FFC00000"/>
      <color rgb="FFFF7575"/>
      <color rgb="FF700000"/>
      <color rgb="FFFFFF93"/>
      <color rgb="FFFFA3A3"/>
      <color rgb="FFCBCBCB"/>
      <color rgb="FFFF3737"/>
      <color rgb="FFFF3F3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1" Type="http://schemas.openxmlformats.org/officeDocument/2006/relationships/image" Target="../media/image1.png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190499</xdr:rowOff>
    </xdr:from>
    <xdr:to>
      <xdr:col>4</xdr:col>
      <xdr:colOff>190500</xdr:colOff>
      <xdr:row>3</xdr:row>
      <xdr:rowOff>110288</xdr:rowOff>
    </xdr:to>
    <xdr:grpSp>
      <xdr:nvGrpSpPr>
        <xdr:cNvPr id="2" name="Group 1"/>
        <xdr:cNvGrpSpPr/>
      </xdr:nvGrpSpPr>
      <xdr:grpSpPr>
        <a:xfrm>
          <a:off x="290763" y="190499"/>
          <a:ext cx="2265948" cy="491289"/>
          <a:chOff x="285750" y="178596"/>
          <a:chExt cx="2508922" cy="460161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FB8D8219-A4E7-47FC-B91F-F6AD45E6562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="" xmlns:asvg="http://schemas.microsoft.com/office/drawing/2016/SVG/main" r:embed="rId3"/>
              </a:ext>
            </a:extLst>
          </a:blip>
          <a:stretch>
            <a:fillRect/>
          </a:stretch>
        </xdr:blipFill>
        <xdr:spPr>
          <a:xfrm>
            <a:off x="285750" y="260105"/>
            <a:ext cx="1095866" cy="268533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7BE3DFA-76B5-4461-AB70-DCBB47B3D1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1571620" y="178596"/>
            <a:ext cx="1223052" cy="460161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8"/>
  <sheetViews>
    <sheetView showGridLines="0" tabSelected="1" zoomScale="95" zoomScaleNormal="95" workbookViewId="0">
      <selection activeCell="G23" sqref="G23"/>
    </sheetView>
  </sheetViews>
  <sheetFormatPr defaultColWidth="0" defaultRowHeight="14.25" customHeight="1" zeroHeight="1" outlineLevelRow="1" x14ac:dyDescent="0.25"/>
  <cols>
    <col min="1" max="1" width="4.28515625" customWidth="1"/>
    <col min="2" max="2" width="10.5703125" customWidth="1"/>
    <col min="3" max="3" width="9.28515625" customWidth="1"/>
    <col min="4" max="4" width="11.28515625" customWidth="1"/>
    <col min="5" max="5" width="9.5703125" customWidth="1"/>
    <col min="6" max="6" width="11.5703125" bestFit="1" customWidth="1"/>
    <col min="7" max="7" width="14.85546875" customWidth="1"/>
    <col min="8" max="9" width="10.7109375" customWidth="1"/>
    <col min="10" max="10" width="10.5703125" customWidth="1"/>
    <col min="11" max="11" width="20.7109375" bestFit="1" customWidth="1"/>
    <col min="12" max="14" width="17.28515625" customWidth="1"/>
    <col min="15" max="17" width="20" customWidth="1"/>
    <col min="18" max="18" width="18.28515625" customWidth="1"/>
    <col min="19" max="19" width="3.7109375" customWidth="1"/>
    <col min="20" max="20" width="11.28515625" hidden="1" customWidth="1"/>
    <col min="21" max="21" width="11.42578125" hidden="1" customWidth="1"/>
    <col min="22" max="24" width="10.42578125" hidden="1" customWidth="1"/>
    <col min="25" max="25" width="26.5703125" hidden="1" customWidth="1"/>
    <col min="26" max="26" width="35.140625" hidden="1" customWidth="1"/>
    <col min="27" max="27" width="19.85546875" hidden="1" customWidth="1"/>
    <col min="28" max="16384" width="10.42578125" hidden="1"/>
  </cols>
  <sheetData>
    <row r="1" spans="2:21" s="1" customFormat="1" ht="15" x14ac:dyDescent="0.25"/>
    <row r="2" spans="2:21" s="1" customFormat="1" ht="15" x14ac:dyDescent="0.25"/>
    <row r="3" spans="2:21" s="1" customFormat="1" ht="15" x14ac:dyDescent="0.25"/>
    <row r="4" spans="2:21" s="1" customFormat="1" ht="15" x14ac:dyDescent="0.25"/>
    <row r="5" spans="2:21" s="2" customFormat="1" ht="3" customHeight="1" x14ac:dyDescent="0.25"/>
    <row r="6" spans="2:21" ht="15" x14ac:dyDescent="0.25"/>
    <row r="7" spans="2:21" ht="14.25" customHeight="1" thickBot="1" x14ac:dyDescent="0.35">
      <c r="B7" s="6" t="s">
        <v>41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2:21" ht="14.25" customHeight="1" x14ac:dyDescent="0.25"/>
    <row r="9" spans="2:21" ht="14.25" customHeight="1" x14ac:dyDescent="0.25">
      <c r="B9" s="35" t="s">
        <v>21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7"/>
    </row>
    <row r="10" spans="2:21" ht="14.25" customHeight="1" x14ac:dyDescent="0.25">
      <c r="B10" s="4" t="s">
        <v>4</v>
      </c>
      <c r="C10" s="4" t="s">
        <v>5</v>
      </c>
      <c r="D10" s="4" t="s">
        <v>6</v>
      </c>
      <c r="E10" s="4" t="s">
        <v>7</v>
      </c>
      <c r="F10" s="4" t="s">
        <v>8</v>
      </c>
      <c r="G10" s="4" t="s">
        <v>9</v>
      </c>
      <c r="H10" s="4" t="s">
        <v>10</v>
      </c>
      <c r="I10" s="4" t="s">
        <v>11</v>
      </c>
      <c r="J10" s="4" t="s">
        <v>12</v>
      </c>
      <c r="K10" s="4" t="s">
        <v>13</v>
      </c>
      <c r="L10" s="4" t="s">
        <v>14</v>
      </c>
      <c r="M10" s="4" t="s">
        <v>15</v>
      </c>
      <c r="N10" s="4" t="s">
        <v>16</v>
      </c>
      <c r="O10" s="4" t="s">
        <v>17</v>
      </c>
      <c r="P10" s="4" t="s">
        <v>18</v>
      </c>
      <c r="Q10" s="4" t="s">
        <v>19</v>
      </c>
    </row>
    <row r="11" spans="2:21" ht="14.25" customHeight="1" x14ac:dyDescent="0.25">
      <c r="B11" s="28" t="s">
        <v>2</v>
      </c>
      <c r="C11" s="5" t="s">
        <v>22</v>
      </c>
      <c r="D11" s="5" t="s">
        <v>23</v>
      </c>
      <c r="E11" s="5" t="s">
        <v>24</v>
      </c>
      <c r="F11" s="5">
        <v>7401393942</v>
      </c>
      <c r="G11" s="5" t="s">
        <v>0</v>
      </c>
      <c r="H11" s="5" t="s">
        <v>0</v>
      </c>
      <c r="I11" s="5" t="s">
        <v>0</v>
      </c>
      <c r="J11" s="5" t="s">
        <v>0</v>
      </c>
      <c r="K11" s="26">
        <f>+SUM(G18:G19)</f>
        <v>17307340</v>
      </c>
      <c r="L11" s="5" t="s">
        <v>0</v>
      </c>
      <c r="M11" s="5" t="s">
        <v>0</v>
      </c>
      <c r="N11" s="5" t="s">
        <v>0</v>
      </c>
      <c r="O11" s="5" t="s">
        <v>25</v>
      </c>
      <c r="P11" s="5" t="s">
        <v>25</v>
      </c>
      <c r="Q11" s="5" t="s">
        <v>25</v>
      </c>
    </row>
    <row r="12" spans="2:21" ht="3" customHeight="1" x14ac:dyDescent="0.25"/>
    <row r="13" spans="2:21" ht="14.25" customHeight="1" x14ac:dyDescent="0.25">
      <c r="B13" s="5" t="s">
        <v>2</v>
      </c>
      <c r="C13" s="5" t="s">
        <v>22</v>
      </c>
      <c r="D13" s="5" t="s">
        <v>45</v>
      </c>
      <c r="E13" s="5" t="s">
        <v>46</v>
      </c>
      <c r="F13" s="5" t="s">
        <v>47</v>
      </c>
      <c r="G13" s="5" t="s">
        <v>0</v>
      </c>
      <c r="H13" s="5" t="s">
        <v>0</v>
      </c>
      <c r="I13" s="5" t="s">
        <v>0</v>
      </c>
      <c r="J13" s="5" t="s">
        <v>0</v>
      </c>
      <c r="K13" s="22">
        <f>+SUM(G21:G27)</f>
        <v>-37336.979999999996</v>
      </c>
      <c r="L13" s="5" t="s">
        <v>0</v>
      </c>
      <c r="M13" s="5" t="s">
        <v>0</v>
      </c>
      <c r="N13" s="5" t="s">
        <v>0</v>
      </c>
      <c r="O13" s="5" t="s">
        <v>25</v>
      </c>
      <c r="P13" s="5" t="s">
        <v>25</v>
      </c>
      <c r="Q13" s="5" t="s">
        <v>25</v>
      </c>
      <c r="R13" s="7"/>
      <c r="S13" s="7"/>
      <c r="T13" s="7"/>
      <c r="U13" s="7"/>
    </row>
    <row r="14" spans="2:21" ht="14.25" customHeight="1" x14ac:dyDescent="0.25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</row>
    <row r="15" spans="2:21" ht="14.25" customHeight="1" x14ac:dyDescent="0.25">
      <c r="B15" s="38" t="s">
        <v>40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7"/>
      <c r="S15" s="7"/>
      <c r="T15" s="7"/>
      <c r="U15" s="7"/>
    </row>
    <row r="16" spans="2:21" ht="14.25" customHeight="1" x14ac:dyDescent="0.25">
      <c r="B16" s="32"/>
      <c r="C16" s="33"/>
      <c r="D16" s="33"/>
      <c r="E16" s="33"/>
      <c r="F16" s="33"/>
      <c r="G16" s="33"/>
      <c r="H16" s="34"/>
      <c r="I16" s="8" t="s">
        <v>75</v>
      </c>
      <c r="J16" s="8" t="s">
        <v>39</v>
      </c>
      <c r="K16" s="8" t="s">
        <v>39</v>
      </c>
      <c r="L16" s="32"/>
      <c r="M16" s="33"/>
      <c r="N16" s="33"/>
      <c r="O16" s="33"/>
      <c r="P16" s="33"/>
      <c r="Q16" s="34"/>
      <c r="R16" s="7"/>
      <c r="S16" s="7"/>
      <c r="T16" s="7"/>
      <c r="U16" s="7"/>
    </row>
    <row r="17" spans="2:37" ht="14.25" customHeight="1" x14ac:dyDescent="0.25">
      <c r="B17" s="4" t="s">
        <v>4</v>
      </c>
      <c r="C17" s="4" t="s">
        <v>5</v>
      </c>
      <c r="D17" s="4" t="s">
        <v>6</v>
      </c>
      <c r="E17" s="4" t="s">
        <v>7</v>
      </c>
      <c r="F17" s="4" t="s">
        <v>8</v>
      </c>
      <c r="G17" s="9" t="s">
        <v>34</v>
      </c>
      <c r="H17" s="4" t="s">
        <v>68</v>
      </c>
      <c r="I17" s="9" t="s">
        <v>35</v>
      </c>
      <c r="J17" s="9" t="s">
        <v>69</v>
      </c>
      <c r="K17" s="9" t="s">
        <v>36</v>
      </c>
      <c r="L17" s="4" t="s">
        <v>70</v>
      </c>
      <c r="M17" s="4" t="s">
        <v>71</v>
      </c>
      <c r="N17" s="4" t="s">
        <v>72</v>
      </c>
      <c r="O17" s="4" t="s">
        <v>73</v>
      </c>
      <c r="P17" s="4" t="s">
        <v>37</v>
      </c>
      <c r="Q17" s="4" t="s">
        <v>20</v>
      </c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</row>
    <row r="18" spans="2:37" ht="14.25" customHeight="1" x14ac:dyDescent="0.25">
      <c r="B18" s="14" t="s">
        <v>2</v>
      </c>
      <c r="C18" s="14" t="s">
        <v>22</v>
      </c>
      <c r="D18" s="14" t="s">
        <v>23</v>
      </c>
      <c r="E18" s="14" t="s">
        <v>24</v>
      </c>
      <c r="F18" s="14" t="s">
        <v>31</v>
      </c>
      <c r="G18" s="26">
        <v>36</v>
      </c>
      <c r="H18" s="14" t="s">
        <v>33</v>
      </c>
      <c r="I18" s="19" t="s">
        <v>30</v>
      </c>
      <c r="J18" s="16"/>
      <c r="K18" s="27" t="s">
        <v>32</v>
      </c>
      <c r="L18" s="16"/>
      <c r="M18" s="16" t="s">
        <v>27</v>
      </c>
      <c r="N18" s="17" t="s">
        <v>28</v>
      </c>
      <c r="O18" s="17" t="s">
        <v>1</v>
      </c>
      <c r="P18" s="17" t="s">
        <v>29</v>
      </c>
      <c r="Q18" s="17" t="s">
        <v>3</v>
      </c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</row>
    <row r="19" spans="2:37" ht="14.25" customHeight="1" x14ac:dyDescent="0.25">
      <c r="B19" s="14" t="s">
        <v>2</v>
      </c>
      <c r="C19" s="14" t="s">
        <v>22</v>
      </c>
      <c r="D19" s="14" t="s">
        <v>23</v>
      </c>
      <c r="E19" s="14" t="s">
        <v>24</v>
      </c>
      <c r="F19" s="14" t="s">
        <v>31</v>
      </c>
      <c r="G19" s="26">
        <v>17307304</v>
      </c>
      <c r="H19" s="14"/>
      <c r="I19" s="19" t="s">
        <v>30</v>
      </c>
      <c r="J19" s="16"/>
      <c r="K19" s="16"/>
      <c r="L19" s="16"/>
      <c r="M19" s="16" t="s">
        <v>27</v>
      </c>
      <c r="N19" s="17" t="s">
        <v>28</v>
      </c>
      <c r="O19" s="17" t="s">
        <v>1</v>
      </c>
      <c r="P19" s="17" t="s">
        <v>26</v>
      </c>
      <c r="Q19" s="17" t="s">
        <v>3</v>
      </c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</row>
    <row r="20" spans="2:37" s="20" customFormat="1" ht="3" customHeight="1" x14ac:dyDescent="0.25">
      <c r="G20" s="23"/>
      <c r="R20" s="7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</row>
    <row r="21" spans="2:37" ht="14.25" customHeight="1" x14ac:dyDescent="0.25">
      <c r="B21" s="14" t="s">
        <v>2</v>
      </c>
      <c r="C21" s="14" t="s">
        <v>22</v>
      </c>
      <c r="D21" s="14" t="s">
        <v>45</v>
      </c>
      <c r="E21" s="14" t="s">
        <v>46</v>
      </c>
      <c r="F21" s="14" t="s">
        <v>47</v>
      </c>
      <c r="G21" s="22">
        <v>-112274.95</v>
      </c>
      <c r="H21" s="14" t="s">
        <v>66</v>
      </c>
      <c r="I21" s="18" t="s">
        <v>52</v>
      </c>
      <c r="J21" s="17" t="s">
        <v>56</v>
      </c>
      <c r="K21" s="17" t="s">
        <v>57</v>
      </c>
      <c r="L21" s="17"/>
      <c r="M21" s="17" t="s">
        <v>54</v>
      </c>
      <c r="N21" s="17" t="s">
        <v>28</v>
      </c>
      <c r="O21" s="17" t="s">
        <v>1</v>
      </c>
      <c r="P21" s="17" t="s">
        <v>61</v>
      </c>
      <c r="Q21" s="17" t="s">
        <v>3</v>
      </c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</row>
    <row r="22" spans="2:37" ht="14.25" customHeight="1" x14ac:dyDescent="0.25">
      <c r="B22" s="14" t="s">
        <v>2</v>
      </c>
      <c r="C22" s="14" t="s">
        <v>22</v>
      </c>
      <c r="D22" s="14" t="s">
        <v>45</v>
      </c>
      <c r="E22" s="14" t="s">
        <v>46</v>
      </c>
      <c r="F22" s="14" t="s">
        <v>47</v>
      </c>
      <c r="G22" s="22">
        <v>0</v>
      </c>
      <c r="H22" s="14" t="s">
        <v>60</v>
      </c>
      <c r="I22" s="18" t="s">
        <v>52</v>
      </c>
      <c r="J22" s="15" t="s">
        <v>50</v>
      </c>
      <c r="K22" s="15" t="s">
        <v>53</v>
      </c>
      <c r="L22" s="17"/>
      <c r="M22" s="17" t="s">
        <v>54</v>
      </c>
      <c r="N22" s="17" t="s">
        <v>28</v>
      </c>
      <c r="O22" s="17" t="s">
        <v>1</v>
      </c>
      <c r="P22" s="17" t="s">
        <v>61</v>
      </c>
      <c r="Q22" s="17" t="s">
        <v>3</v>
      </c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</row>
    <row r="23" spans="2:37" ht="14.25" customHeight="1" x14ac:dyDescent="0.25">
      <c r="B23" s="14" t="s">
        <v>2</v>
      </c>
      <c r="C23" s="14" t="s">
        <v>22</v>
      </c>
      <c r="D23" s="14" t="s">
        <v>45</v>
      </c>
      <c r="E23" s="14" t="s">
        <v>46</v>
      </c>
      <c r="F23" s="14" t="s">
        <v>47</v>
      </c>
      <c r="G23" s="22">
        <v>0</v>
      </c>
      <c r="H23" s="14" t="s">
        <v>67</v>
      </c>
      <c r="I23" s="18" t="s">
        <v>52</v>
      </c>
      <c r="J23" s="15" t="s">
        <v>50</v>
      </c>
      <c r="K23" s="15" t="s">
        <v>53</v>
      </c>
      <c r="L23" s="17"/>
      <c r="M23" s="17" t="s">
        <v>54</v>
      </c>
      <c r="N23" s="17" t="s">
        <v>28</v>
      </c>
      <c r="O23" s="17" t="s">
        <v>1</v>
      </c>
      <c r="P23" s="17" t="s">
        <v>61</v>
      </c>
      <c r="Q23" s="17" t="s">
        <v>3</v>
      </c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</row>
    <row r="24" spans="2:37" ht="14.25" customHeight="1" x14ac:dyDescent="0.25">
      <c r="B24" s="14" t="s">
        <v>2</v>
      </c>
      <c r="C24" s="14" t="s">
        <v>22</v>
      </c>
      <c r="D24" s="14" t="s">
        <v>45</v>
      </c>
      <c r="E24" s="14" t="s">
        <v>46</v>
      </c>
      <c r="F24" s="14" t="s">
        <v>47</v>
      </c>
      <c r="G24" s="22">
        <v>2054.9499999999998</v>
      </c>
      <c r="H24" s="14" t="s">
        <v>65</v>
      </c>
      <c r="I24" s="18" t="s">
        <v>48</v>
      </c>
      <c r="J24" s="17" t="s">
        <v>56</v>
      </c>
      <c r="K24" s="17" t="s">
        <v>55</v>
      </c>
      <c r="L24" s="17"/>
      <c r="M24" s="17" t="s">
        <v>51</v>
      </c>
      <c r="N24" s="17" t="s">
        <v>28</v>
      </c>
      <c r="O24" s="17" t="s">
        <v>1</v>
      </c>
      <c r="P24" s="17" t="s">
        <v>63</v>
      </c>
      <c r="Q24" s="17" t="s">
        <v>3</v>
      </c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</row>
    <row r="25" spans="2:37" ht="14.25" customHeight="1" x14ac:dyDescent="0.25">
      <c r="B25" s="14" t="s">
        <v>2</v>
      </c>
      <c r="C25" s="14" t="s">
        <v>22</v>
      </c>
      <c r="D25" s="14" t="s">
        <v>45</v>
      </c>
      <c r="E25" s="14" t="s">
        <v>46</v>
      </c>
      <c r="F25" s="14" t="s">
        <v>47</v>
      </c>
      <c r="G25" s="22">
        <v>-2054.9499999999998</v>
      </c>
      <c r="H25" s="14" t="s">
        <v>58</v>
      </c>
      <c r="I25" s="18" t="s">
        <v>48</v>
      </c>
      <c r="J25" s="15" t="s">
        <v>50</v>
      </c>
      <c r="K25" s="15" t="s">
        <v>49</v>
      </c>
      <c r="L25" s="17"/>
      <c r="M25" s="17" t="s">
        <v>51</v>
      </c>
      <c r="N25" s="17" t="s">
        <v>28</v>
      </c>
      <c r="O25" s="17" t="s">
        <v>1</v>
      </c>
      <c r="P25" s="17" t="s">
        <v>59</v>
      </c>
      <c r="Q25" s="17" t="s">
        <v>3</v>
      </c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</row>
    <row r="26" spans="2:37" ht="14.25" customHeight="1" x14ac:dyDescent="0.25">
      <c r="B26" s="14" t="s">
        <v>2</v>
      </c>
      <c r="C26" s="14" t="s">
        <v>22</v>
      </c>
      <c r="D26" s="14" t="s">
        <v>45</v>
      </c>
      <c r="E26" s="14" t="s">
        <v>46</v>
      </c>
      <c r="F26" s="14" t="s">
        <v>47</v>
      </c>
      <c r="G26" s="22">
        <v>72883.02</v>
      </c>
      <c r="H26" s="14" t="s">
        <v>62</v>
      </c>
      <c r="I26" s="18" t="s">
        <v>48</v>
      </c>
      <c r="J26" s="17" t="s">
        <v>56</v>
      </c>
      <c r="K26" s="17" t="s">
        <v>55</v>
      </c>
      <c r="L26" s="17"/>
      <c r="M26" s="17" t="s">
        <v>51</v>
      </c>
      <c r="N26" s="17" t="s">
        <v>28</v>
      </c>
      <c r="O26" s="17" t="s">
        <v>1</v>
      </c>
      <c r="P26" s="17" t="s">
        <v>63</v>
      </c>
      <c r="Q26" s="17" t="s">
        <v>3</v>
      </c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</row>
    <row r="27" spans="2:37" ht="14.25" customHeight="1" x14ac:dyDescent="0.25">
      <c r="B27" s="14" t="s">
        <v>2</v>
      </c>
      <c r="C27" s="14" t="s">
        <v>22</v>
      </c>
      <c r="D27" s="14" t="s">
        <v>45</v>
      </c>
      <c r="E27" s="14" t="s">
        <v>46</v>
      </c>
      <c r="F27" s="14" t="s">
        <v>47</v>
      </c>
      <c r="G27" s="22">
        <v>2054.9499999999998</v>
      </c>
      <c r="H27" s="14" t="s">
        <v>64</v>
      </c>
      <c r="I27" s="18" t="s">
        <v>48</v>
      </c>
      <c r="J27" s="15" t="s">
        <v>50</v>
      </c>
      <c r="K27" s="15" t="s">
        <v>49</v>
      </c>
      <c r="L27" s="17"/>
      <c r="M27" s="17" t="s">
        <v>51</v>
      </c>
      <c r="N27" s="17" t="s">
        <v>28</v>
      </c>
      <c r="O27" s="17" t="s">
        <v>1</v>
      </c>
      <c r="P27" s="17" t="s">
        <v>59</v>
      </c>
      <c r="Q27" s="17" t="s">
        <v>3</v>
      </c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</row>
    <row r="28" spans="2:37" ht="14.25" customHeight="1" x14ac:dyDescent="0.25">
      <c r="B28" s="13"/>
      <c r="C28" s="13"/>
      <c r="D28" s="13"/>
      <c r="E28" s="11"/>
      <c r="F28" s="11"/>
      <c r="G28" s="11"/>
      <c r="H28" s="11"/>
      <c r="I28" s="11"/>
      <c r="J28" s="12"/>
      <c r="K28" s="12"/>
      <c r="L28" s="12"/>
      <c r="M28" s="12"/>
      <c r="N28" s="12"/>
      <c r="O28" s="12"/>
      <c r="P28" s="12"/>
      <c r="Q28" s="12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</row>
    <row r="29" spans="2:37" ht="14.25" customHeight="1" thickBot="1" x14ac:dyDescent="0.35">
      <c r="B29" s="6" t="s">
        <v>42</v>
      </c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2:37" ht="14.25" customHeight="1" x14ac:dyDescent="0.25"/>
    <row r="31" spans="2:37" ht="14.25" customHeight="1" outlineLevel="1" x14ac:dyDescent="0.25">
      <c r="B31" s="29" t="s">
        <v>74</v>
      </c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1"/>
    </row>
    <row r="32" spans="2:37" ht="14.25" customHeight="1" outlineLevel="1" x14ac:dyDescent="0.25">
      <c r="B32" s="4" t="s">
        <v>4</v>
      </c>
      <c r="C32" s="4" t="s">
        <v>5</v>
      </c>
      <c r="D32" s="4" t="s">
        <v>6</v>
      </c>
      <c r="E32" s="4" t="s">
        <v>7</v>
      </c>
      <c r="F32" s="4" t="s">
        <v>8</v>
      </c>
      <c r="G32" s="4" t="s">
        <v>9</v>
      </c>
      <c r="H32" s="4" t="s">
        <v>10</v>
      </c>
      <c r="I32" s="4" t="s">
        <v>11</v>
      </c>
      <c r="J32" s="4" t="s">
        <v>12</v>
      </c>
      <c r="K32" s="4" t="s">
        <v>13</v>
      </c>
      <c r="L32" s="4" t="s">
        <v>14</v>
      </c>
      <c r="M32" s="4" t="s">
        <v>15</v>
      </c>
      <c r="N32" s="4" t="s">
        <v>16</v>
      </c>
      <c r="O32" s="4" t="s">
        <v>17</v>
      </c>
      <c r="P32" s="4" t="s">
        <v>18</v>
      </c>
      <c r="Q32" s="4" t="s">
        <v>19</v>
      </c>
      <c r="R32" s="10" t="s">
        <v>44</v>
      </c>
    </row>
    <row r="33" spans="2:18" ht="14.25" customHeight="1" outlineLevel="1" x14ac:dyDescent="0.25">
      <c r="B33" s="5">
        <v>31</v>
      </c>
      <c r="C33" s="5" t="s">
        <v>22</v>
      </c>
      <c r="D33" s="5" t="s">
        <v>23</v>
      </c>
      <c r="E33" s="5" t="s">
        <v>24</v>
      </c>
      <c r="F33" s="5">
        <v>7401393942</v>
      </c>
      <c r="G33" s="5" t="s">
        <v>0</v>
      </c>
      <c r="H33" s="5" t="s">
        <v>0</v>
      </c>
      <c r="I33" s="5" t="s">
        <v>0</v>
      </c>
      <c r="J33" s="5" t="s">
        <v>0</v>
      </c>
      <c r="K33" s="24">
        <f>+G18</f>
        <v>36</v>
      </c>
      <c r="L33" s="5" t="s">
        <v>0</v>
      </c>
      <c r="M33" s="5" t="s">
        <v>0</v>
      </c>
      <c r="N33" s="5" t="s">
        <v>0</v>
      </c>
      <c r="O33" s="5" t="s">
        <v>25</v>
      </c>
      <c r="P33" s="5" t="s">
        <v>25</v>
      </c>
      <c r="Q33" s="5" t="s">
        <v>25</v>
      </c>
      <c r="R33" s="5" t="s">
        <v>43</v>
      </c>
    </row>
    <row r="34" spans="2:18" ht="14.25" customHeight="1" outlineLevel="1" x14ac:dyDescent="0.25">
      <c r="B34" s="5">
        <v>31</v>
      </c>
      <c r="C34" s="5" t="s">
        <v>22</v>
      </c>
      <c r="D34" s="5" t="s">
        <v>23</v>
      </c>
      <c r="E34" s="5" t="s">
        <v>24</v>
      </c>
      <c r="F34" s="5">
        <v>7401393942</v>
      </c>
      <c r="G34" s="5" t="s">
        <v>0</v>
      </c>
      <c r="H34" s="5" t="s">
        <v>0</v>
      </c>
      <c r="I34" s="5" t="s">
        <v>0</v>
      </c>
      <c r="J34" s="5" t="s">
        <v>0</v>
      </c>
      <c r="K34" s="24">
        <f>+G19</f>
        <v>17307304</v>
      </c>
      <c r="L34" s="5" t="s">
        <v>0</v>
      </c>
      <c r="M34" s="5" t="s">
        <v>0</v>
      </c>
      <c r="N34" s="5" t="s">
        <v>0</v>
      </c>
      <c r="O34" s="5" t="s">
        <v>25</v>
      </c>
      <c r="P34" s="5" t="s">
        <v>25</v>
      </c>
      <c r="Q34" s="5" t="s">
        <v>25</v>
      </c>
      <c r="R34" s="5" t="s">
        <v>38</v>
      </c>
    </row>
    <row r="35" spans="2:18" ht="3" customHeight="1" outlineLevel="1" x14ac:dyDescent="0.25">
      <c r="K35" s="25"/>
    </row>
    <row r="36" spans="2:18" ht="14.25" customHeight="1" outlineLevel="1" x14ac:dyDescent="0.25">
      <c r="B36" s="5" t="s">
        <v>2</v>
      </c>
      <c r="C36" s="5" t="s">
        <v>22</v>
      </c>
      <c r="D36" s="5" t="s">
        <v>45</v>
      </c>
      <c r="E36" s="5" t="s">
        <v>46</v>
      </c>
      <c r="F36" s="5" t="s">
        <v>47</v>
      </c>
      <c r="G36" s="5" t="s">
        <v>0</v>
      </c>
      <c r="H36" s="5" t="s">
        <v>0</v>
      </c>
      <c r="I36" s="5" t="s">
        <v>0</v>
      </c>
      <c r="J36" s="5" t="s">
        <v>0</v>
      </c>
      <c r="K36" s="22">
        <f>SUM(G22,G23,G25,G27)</f>
        <v>0</v>
      </c>
      <c r="L36" s="5" t="s">
        <v>0</v>
      </c>
      <c r="M36" s="5" t="s">
        <v>0</v>
      </c>
      <c r="N36" s="5" t="s">
        <v>0</v>
      </c>
      <c r="O36" s="5" t="s">
        <v>25</v>
      </c>
      <c r="P36" s="5" t="s">
        <v>25</v>
      </c>
      <c r="Q36" s="5" t="s">
        <v>25</v>
      </c>
      <c r="R36" s="5" t="s">
        <v>43</v>
      </c>
    </row>
    <row r="37" spans="2:18" ht="14.25" customHeight="1" outlineLevel="1" x14ac:dyDescent="0.25">
      <c r="B37" s="5" t="s">
        <v>2</v>
      </c>
      <c r="C37" s="5" t="s">
        <v>22</v>
      </c>
      <c r="D37" s="5" t="s">
        <v>45</v>
      </c>
      <c r="E37" s="5" t="s">
        <v>46</v>
      </c>
      <c r="F37" s="5" t="s">
        <v>47</v>
      </c>
      <c r="G37" s="5" t="s">
        <v>0</v>
      </c>
      <c r="H37" s="5" t="s">
        <v>0</v>
      </c>
      <c r="I37" s="5" t="s">
        <v>0</v>
      </c>
      <c r="J37" s="5" t="s">
        <v>0</v>
      </c>
      <c r="K37" s="22">
        <f>-SUM(G21,G24,G26)</f>
        <v>37336.979999999996</v>
      </c>
      <c r="L37" s="5" t="s">
        <v>0</v>
      </c>
      <c r="M37" s="5" t="s">
        <v>0</v>
      </c>
      <c r="N37" s="5" t="s">
        <v>0</v>
      </c>
      <c r="O37" s="5" t="s">
        <v>25</v>
      </c>
      <c r="P37" s="5" t="s">
        <v>25</v>
      </c>
      <c r="Q37" s="5" t="s">
        <v>25</v>
      </c>
      <c r="R37" s="5" t="s">
        <v>38</v>
      </c>
    </row>
    <row r="38" spans="2:18" ht="14.25" customHeight="1" x14ac:dyDescent="0.25"/>
    <row r="39" spans="2:18" ht="14.25" hidden="1" customHeight="1" x14ac:dyDescent="0.25"/>
    <row r="40" spans="2:18" ht="14.25" hidden="1" customHeight="1" x14ac:dyDescent="0.25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</row>
    <row r="41" spans="2:18" ht="14.25" hidden="1" customHeight="1" x14ac:dyDescent="0.25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</row>
    <row r="42" spans="2:18" ht="14.25" hidden="1" customHeight="1" x14ac:dyDescent="0.25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</row>
    <row r="43" spans="2:18" ht="14.25" hidden="1" customHeight="1" x14ac:dyDescent="0.25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</row>
    <row r="44" spans="2:18" ht="14.25" hidden="1" customHeight="1" x14ac:dyDescent="0.25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</row>
    <row r="45" spans="2:18" ht="14.25" hidden="1" customHeight="1" x14ac:dyDescent="0.25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</row>
    <row r="46" spans="2:18" ht="14.25" hidden="1" customHeight="1" x14ac:dyDescent="0.25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</row>
    <row r="47" spans="2:18" ht="14.25" hidden="1" customHeight="1" x14ac:dyDescent="0.25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</row>
    <row r="48" spans="2:18" ht="14.25" hidden="1" customHeight="1" x14ac:dyDescent="0.25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</row>
    <row r="49" spans="2:17" ht="14.25" hidden="1" customHeight="1" x14ac:dyDescent="0.25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</row>
    <row r="50" spans="2:17" ht="14.25" hidden="1" customHeight="1" x14ac:dyDescent="0.25"/>
    <row r="51" spans="2:17" ht="14.25" hidden="1" customHeight="1" x14ac:dyDescent="0.25"/>
    <row r="52" spans="2:17" ht="14.25" hidden="1" customHeight="1" x14ac:dyDescent="0.25"/>
    <row r="53" spans="2:17" ht="14.25" hidden="1" customHeight="1" x14ac:dyDescent="0.25"/>
    <row r="54" spans="2:17" ht="14.25" hidden="1" customHeight="1" x14ac:dyDescent="0.25"/>
    <row r="55" spans="2:17" ht="14.25" hidden="1" customHeight="1" x14ac:dyDescent="0.25"/>
    <row r="56" spans="2:17" ht="14.25" hidden="1" customHeight="1" x14ac:dyDescent="0.25"/>
    <row r="57" spans="2:17" ht="14.25" hidden="1" customHeight="1" x14ac:dyDescent="0.25"/>
    <row r="58" spans="2:17" ht="14.25" hidden="1" customHeight="1" x14ac:dyDescent="0.25"/>
    <row r="59" spans="2:17" ht="14.25" hidden="1" customHeight="1" x14ac:dyDescent="0.25"/>
    <row r="60" spans="2:17" ht="14.25" hidden="1" customHeight="1" x14ac:dyDescent="0.25"/>
    <row r="61" spans="2:17" ht="14.25" hidden="1" customHeight="1" x14ac:dyDescent="0.25"/>
    <row r="62" spans="2:17" ht="14.25" hidden="1" customHeight="1" x14ac:dyDescent="0.25"/>
    <row r="63" spans="2:17" ht="14.25" hidden="1" customHeight="1" x14ac:dyDescent="0.25"/>
    <row r="64" spans="2:17" ht="14.25" hidden="1" customHeight="1" x14ac:dyDescent="0.25"/>
    <row r="65" ht="14.25" hidden="1" customHeight="1" x14ac:dyDescent="0.25"/>
    <row r="66" ht="14.25" hidden="1" customHeight="1" x14ac:dyDescent="0.25"/>
    <row r="67" ht="14.25" hidden="1" customHeight="1" x14ac:dyDescent="0.25"/>
    <row r="68" ht="14.25" hidden="1" customHeight="1" x14ac:dyDescent="0.25"/>
    <row r="69" ht="14.25" hidden="1" customHeight="1" x14ac:dyDescent="0.25"/>
    <row r="70" ht="14.25" hidden="1" customHeight="1" x14ac:dyDescent="0.25"/>
    <row r="71" ht="14.25" hidden="1" customHeight="1" x14ac:dyDescent="0.25"/>
    <row r="72" ht="14.25" hidden="1" customHeight="1" x14ac:dyDescent="0.25"/>
    <row r="73" ht="14.25" hidden="1" customHeight="1" x14ac:dyDescent="0.25"/>
    <row r="74" ht="14.25" hidden="1" customHeight="1" x14ac:dyDescent="0.25"/>
    <row r="75" ht="14.25" hidden="1" customHeight="1" x14ac:dyDescent="0.25"/>
    <row r="76" ht="14.25" hidden="1" customHeight="1" x14ac:dyDescent="0.25"/>
    <row r="77" ht="14.25" hidden="1" customHeight="1" x14ac:dyDescent="0.25"/>
    <row r="78" ht="14.25" hidden="1" customHeight="1" x14ac:dyDescent="0.25"/>
    <row r="79" ht="14.25" hidden="1" customHeight="1" x14ac:dyDescent="0.25"/>
    <row r="80" ht="14.25" hidden="1" customHeight="1" x14ac:dyDescent="0.25"/>
    <row r="81" ht="14.25" hidden="1" customHeight="1" x14ac:dyDescent="0.25"/>
    <row r="82" ht="14.25" hidden="1" customHeight="1" x14ac:dyDescent="0.25"/>
    <row r="83" ht="14.25" hidden="1" customHeight="1" x14ac:dyDescent="0.25"/>
    <row r="84" ht="14.25" hidden="1" customHeight="1" x14ac:dyDescent="0.25"/>
    <row r="85" ht="14.25" hidden="1" customHeight="1" x14ac:dyDescent="0.25"/>
    <row r="86" ht="14.25" hidden="1" customHeight="1" x14ac:dyDescent="0.25"/>
    <row r="87" ht="14.25" hidden="1" customHeight="1" x14ac:dyDescent="0.25"/>
    <row r="88" ht="14.25" hidden="1" customHeight="1" x14ac:dyDescent="0.25"/>
    <row r="89" ht="14.25" hidden="1" customHeight="1" x14ac:dyDescent="0.25"/>
    <row r="90" ht="14.25" hidden="1" customHeight="1" x14ac:dyDescent="0.25"/>
    <row r="91" ht="14.25" hidden="1" customHeight="1" x14ac:dyDescent="0.25"/>
    <row r="92" ht="14.25" hidden="1" customHeight="1" x14ac:dyDescent="0.25"/>
    <row r="93" ht="14.25" hidden="1" customHeight="1" x14ac:dyDescent="0.25"/>
    <row r="94" ht="14.25" hidden="1" customHeight="1" x14ac:dyDescent="0.25"/>
    <row r="95" ht="14.25" hidden="1" customHeight="1" x14ac:dyDescent="0.25"/>
    <row r="96" ht="14.25" hidden="1" customHeight="1" x14ac:dyDescent="0.25"/>
    <row r="97" ht="14.25" hidden="1" customHeight="1" x14ac:dyDescent="0.25"/>
    <row r="98" ht="14.25" hidden="1" customHeight="1" x14ac:dyDescent="0.25"/>
    <row r="99" ht="14.25" hidden="1" customHeight="1" x14ac:dyDescent="0.25"/>
    <row r="100" ht="14.25" hidden="1" customHeight="1" x14ac:dyDescent="0.25"/>
    <row r="101" ht="14.25" hidden="1" customHeight="1" x14ac:dyDescent="0.25"/>
    <row r="102" ht="14.25" hidden="1" customHeight="1" x14ac:dyDescent="0.25"/>
    <row r="103" ht="14.25" hidden="1" customHeight="1" x14ac:dyDescent="0.25"/>
    <row r="104" ht="14.25" hidden="1" customHeight="1" x14ac:dyDescent="0.25"/>
    <row r="105" ht="14.25" hidden="1" customHeight="1" x14ac:dyDescent="0.25"/>
    <row r="106" ht="14.25" hidden="1" customHeight="1" x14ac:dyDescent="0.25"/>
    <row r="107" ht="14.25" hidden="1" customHeight="1" x14ac:dyDescent="0.25"/>
    <row r="108" ht="14.25" hidden="1" customHeight="1" x14ac:dyDescent="0.25"/>
    <row r="109" ht="14.25" hidden="1" customHeight="1" x14ac:dyDescent="0.25"/>
    <row r="110" ht="14.25" hidden="1" customHeight="1" x14ac:dyDescent="0.25"/>
    <row r="111" ht="14.25" hidden="1" customHeight="1" x14ac:dyDescent="0.25"/>
    <row r="112" ht="14.25" hidden="1" customHeight="1" x14ac:dyDescent="0.25"/>
    <row r="113" ht="14.25" hidden="1" customHeight="1" x14ac:dyDescent="0.25"/>
    <row r="114" ht="14.25" hidden="1" customHeight="1" x14ac:dyDescent="0.25"/>
    <row r="115" ht="14.25" hidden="1" customHeight="1" x14ac:dyDescent="0.25"/>
    <row r="116" ht="14.25" hidden="1" customHeight="1" x14ac:dyDescent="0.25"/>
    <row r="117" ht="14.25" hidden="1" customHeight="1" x14ac:dyDescent="0.25"/>
    <row r="118" ht="14.25" hidden="1" customHeight="1" x14ac:dyDescent="0.25"/>
    <row r="119" ht="14.25" hidden="1" customHeight="1" x14ac:dyDescent="0.25"/>
    <row r="120" ht="14.25" hidden="1" customHeight="1" x14ac:dyDescent="0.25"/>
    <row r="121" ht="14.25" hidden="1" customHeight="1" x14ac:dyDescent="0.25"/>
    <row r="122" ht="14.25" hidden="1" customHeight="1" x14ac:dyDescent="0.25"/>
    <row r="123" ht="14.25" hidden="1" customHeight="1" x14ac:dyDescent="0.25"/>
    <row r="124" ht="14.25" hidden="1" customHeight="1" x14ac:dyDescent="0.25"/>
    <row r="125" ht="14.25" hidden="1" customHeight="1" x14ac:dyDescent="0.25"/>
    <row r="126" ht="14.25" hidden="1" customHeight="1" x14ac:dyDescent="0.25"/>
    <row r="127" ht="14.25" hidden="1" customHeight="1" x14ac:dyDescent="0.25"/>
    <row r="128" ht="14.25" hidden="1" customHeight="1" x14ac:dyDescent="0.25"/>
  </sheetData>
  <mergeCells count="5">
    <mergeCell ref="B31:R31"/>
    <mergeCell ref="L16:Q16"/>
    <mergeCell ref="B16:H16"/>
    <mergeCell ref="B9:Q9"/>
    <mergeCell ref="B15:Q15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06DB8C-2C04-4413-BB2F-166578CAF157}">
  <ds:schemaRefs>
    <ds:schemaRef ds:uri="http://schemas.microsoft.com/office/2006/metadata/properties"/>
    <ds:schemaRef ds:uri="6ea7b29d-57ec-408d-9ea9-cf73b04f66d5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0683c779-04fc-4b63-89c9-6c25ffa1c0a4"/>
    <ds:schemaRef ds:uri="http://schemas.microsoft.com/office/2006/documentManagement/types"/>
    <ds:schemaRef ds:uri="http://schemas.microsoft.com/sharepoint/v3"/>
    <ds:schemaRef ds:uri="http://purl.org/dc/dcmitype/"/>
    <ds:schemaRef ds:uri="http://purl.org/dc/terms/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0BCEA9F6-94A7-43A4-BE95-D6D62ED6F2B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FDEDAF8-3059-41F5-902E-26B7814F5DA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 Detalhe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2024-11-26T21:50:48Z</dcterms:created>
  <dcterms:modified xsi:type="dcterms:W3CDTF">2025-06-06T22:42:56Z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2024-11-26T23:05:45Z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5d01903e-c1d8-44a6-9165-811f5db8c7c9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0x010100AE0148DB1B66DA499B9393429ED53FDC</vt:lpwstr>
  </property>
  <property fmtid="{D5CDD505-2E9C-101B-9397-08002B2CF9AE}" pid="10" name="MediaServiceImageTags">
    <vt:lpwstr/>
  </property>
</Properties>
</file>