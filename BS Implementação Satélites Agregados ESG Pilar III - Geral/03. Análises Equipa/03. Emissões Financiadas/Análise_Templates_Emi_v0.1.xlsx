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8873\Desktop\03. Emissões Financiadas\"/>
    </mc:Choice>
  </mc:AlternateContent>
  <bookViews>
    <workbookView xWindow="0" yWindow="0" windowWidth="28800" windowHeight="12180" activeTab="1"/>
  </bookViews>
  <sheets>
    <sheet name="1. Análise Univ" sheetId="2" r:id="rId1"/>
    <sheet name="2. Análise_Comum" sheetId="5" r:id="rId2"/>
    <sheet name="Aux - 69 contratos" sheetId="3" r:id="rId3"/>
  </sheets>
  <definedNames>
    <definedName name="_xlnm._FilterDatabase" localSheetId="1" hidden="1">'2. Análise_Comum'!$B$4:$M$100</definedName>
    <definedName name="_xlnm._FilterDatabase" localSheetId="2" hidden="1">'Aux - 69 contratos'!$A$3:$BR$135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0" i="5" l="1"/>
  <c r="J100" i="5"/>
  <c r="L18" i="5"/>
  <c r="L17" i="5"/>
  <c r="L48" i="5"/>
  <c r="L47" i="5"/>
  <c r="L46" i="5"/>
  <c r="L45" i="5"/>
  <c r="L77" i="5"/>
  <c r="L76" i="5"/>
  <c r="L75" i="5"/>
  <c r="L80" i="5"/>
  <c r="L94" i="5"/>
  <c r="L78" i="5"/>
  <c r="L99" i="5"/>
  <c r="L98" i="5"/>
  <c r="L97" i="5"/>
  <c r="L96" i="5"/>
  <c r="L95" i="5"/>
  <c r="L93" i="5"/>
  <c r="L92" i="5"/>
  <c r="L91" i="5"/>
  <c r="L90" i="5"/>
  <c r="L89" i="5"/>
  <c r="L88" i="5"/>
  <c r="L87" i="5"/>
  <c r="L86" i="5"/>
  <c r="L85" i="5"/>
  <c r="L84" i="5"/>
  <c r="L83" i="5"/>
  <c r="L82" i="5"/>
  <c r="L81" i="5"/>
  <c r="L79" i="5"/>
  <c r="L74" i="5"/>
  <c r="L73" i="5"/>
  <c r="L72" i="5"/>
  <c r="L71" i="5"/>
  <c r="L70" i="5"/>
  <c r="L69" i="5"/>
  <c r="L68" i="5"/>
  <c r="L67" i="5"/>
  <c r="L66" i="5"/>
  <c r="L65" i="5"/>
  <c r="L64" i="5"/>
  <c r="L63" i="5"/>
  <c r="L62" i="5"/>
  <c r="L61" i="5"/>
  <c r="L60" i="5"/>
  <c r="L59" i="5"/>
  <c r="L58" i="5"/>
  <c r="L57" i="5"/>
  <c r="L56" i="5"/>
  <c r="L55" i="5"/>
  <c r="L54" i="5"/>
  <c r="L53" i="5"/>
  <c r="L52" i="5"/>
  <c r="L51" i="5"/>
  <c r="L50" i="5"/>
  <c r="L49" i="5"/>
  <c r="L44" i="5"/>
  <c r="L43" i="5"/>
  <c r="L42" i="5"/>
  <c r="L41" i="5"/>
  <c r="L40" i="5"/>
  <c r="L39" i="5"/>
  <c r="L38" i="5"/>
  <c r="L37" i="5"/>
  <c r="L36" i="5"/>
  <c r="L35" i="5"/>
  <c r="L34" i="5"/>
  <c r="L33" i="5"/>
  <c r="L32" i="5"/>
  <c r="L31" i="5"/>
  <c r="L30" i="5"/>
  <c r="L29" i="5"/>
  <c r="L28" i="5"/>
  <c r="L27" i="5"/>
  <c r="L26" i="5"/>
  <c r="L25" i="5"/>
  <c r="L24" i="5"/>
  <c r="L23" i="5"/>
  <c r="L22" i="5"/>
  <c r="L21" i="5"/>
  <c r="L20" i="5"/>
  <c r="L19" i="5"/>
  <c r="L16" i="5"/>
  <c r="L15" i="5"/>
  <c r="L14" i="5"/>
  <c r="L13" i="5"/>
  <c r="L12" i="5"/>
  <c r="L11" i="5"/>
  <c r="L10" i="5"/>
  <c r="L9" i="5"/>
  <c r="L8" i="5"/>
  <c r="L7" i="5"/>
  <c r="L6" i="5"/>
  <c r="L5" i="5"/>
  <c r="C49" i="2"/>
  <c r="D44" i="2"/>
  <c r="C44" i="2"/>
  <c r="F14" i="2"/>
  <c r="H37" i="2"/>
  <c r="G37" i="2"/>
  <c r="D41" i="2"/>
  <c r="C41" i="2"/>
  <c r="D40" i="2"/>
  <c r="C40" i="2"/>
  <c r="D14" i="2"/>
  <c r="E14" i="2"/>
  <c r="G13" i="2"/>
  <c r="G12" i="2"/>
  <c r="G11" i="2"/>
  <c r="G10" i="2"/>
  <c r="G9" i="2"/>
  <c r="G8" i="2"/>
  <c r="G7" i="2"/>
  <c r="L100" i="5" l="1"/>
  <c r="E41" i="2"/>
  <c r="E40" i="2"/>
  <c r="E42" i="2" s="1"/>
  <c r="G14" i="2"/>
</calcChain>
</file>

<file path=xl/sharedStrings.xml><?xml version="1.0" encoding="utf-8"?>
<sst xmlns="http://schemas.openxmlformats.org/spreadsheetml/2006/main" count="9945" uniqueCount="1726">
  <si>
    <t>valid_univ</t>
  </si>
  <si>
    <t>n</t>
  </si>
  <si>
    <t>UNIV COMUM</t>
  </si>
  <si>
    <t>EXCL TATICO</t>
  </si>
  <si>
    <t>EXCL MODELOS</t>
  </si>
  <si>
    <t>flag_bem</t>
  </si>
  <si>
    <t>MUG_IMO</t>
  </si>
  <si>
    <t>MUG_MOV</t>
  </si>
  <si>
    <t/>
  </si>
  <si>
    <t>OK</t>
  </si>
  <si>
    <t>SELECT flag_bem,COUNT(DISTINCT chave) AS N 
FROM BU_CAPTOOLS_WORK.emi_finan_LOCAL
WHERE CHAVE IN 
    (
    SELECT F2.CHAVE_TAT 
    FROM 
        (
        SELECT TRIM(NVL(substr(CHAVE_BEM,3,length(CHAVE_BEM)-2),'')) AS CHAVE_BEM_MOD,*
        FROM BU_CAPTOOLS_WORK.emi_finan_LOCAL
        )F1
    FULL JOIN 
        (
        SELECT concat(cempresa_ct,cbalcao_ct,cnumecta_ct,zdeposit_ct) AS CHAVE_TAT,TRIM(concat(NVL(ckbalbem,''),NVL(ckctabem,''),NVL(ckrefbem,''))) AS BEM_TAT,*
        FROM bu_esg_work.local_pilar3_temp1_emi_tabaux17_dez24
        WHERE vb_imp='valor bruto'
        )F2 ON F1.CHAVE=F2.CHAVE_TAT AND F1.CHAVE_BEM_MOD=F2.BEM_TAT
    WHERE F1.CHAVE IS NULL AND F2.CHAVE_TAT IS NOT NULL
    )
GROUP BY 1</t>
  </si>
  <si>
    <t>cempresa</t>
  </si>
  <si>
    <t>cbalcao</t>
  </si>
  <si>
    <t>cnumecta</t>
  </si>
  <si>
    <t>zdeposit</t>
  </si>
  <si>
    <t>chave</t>
  </si>
  <si>
    <t>zcliente</t>
  </si>
  <si>
    <t>chave_cto</t>
  </si>
  <si>
    <t>chave_bem</t>
  </si>
  <si>
    <t>flag_ordem</t>
  </si>
  <si>
    <t>row_bens</t>
  </si>
  <si>
    <t>chave_saldo</t>
  </si>
  <si>
    <t>sum_msaldo_final_ct</t>
  </si>
  <si>
    <t>cto_gt018</t>
  </si>
  <si>
    <t>bem_gt018</t>
  </si>
  <si>
    <t>sum_mavaliaa</t>
  </si>
  <si>
    <t>num_bens</t>
  </si>
  <si>
    <t>cto_mavaliaa</t>
  </si>
  <si>
    <t>flag_cobert</t>
  </si>
  <si>
    <t>peso_colat_cobert</t>
  </si>
  <si>
    <t>peso_colat_n_cobert</t>
  </si>
  <si>
    <t>flag_linhas</t>
  </si>
  <si>
    <t>amount</t>
  </si>
  <si>
    <t>row_ordem_1</t>
  </si>
  <si>
    <t>ccligrupo</t>
  </si>
  <si>
    <t>dano</t>
  </si>
  <si>
    <t>cgestor</t>
  </si>
  <si>
    <t>timestamp</t>
  </si>
  <si>
    <t>dfim</t>
  </si>
  <si>
    <t>cperiodo</t>
  </si>
  <si>
    <t>itip_inf</t>
  </si>
  <si>
    <t>data_date_part</t>
  </si>
  <si>
    <t>vcpim</t>
  </si>
  <si>
    <t>vpnicsfin</t>
  </si>
  <si>
    <t>vpnpaslf</t>
  </si>
  <si>
    <t>vpnopfin</t>
  </si>
  <si>
    <t>vpcicsfin</t>
  </si>
  <si>
    <t>vpcopfin</t>
  </si>
  <si>
    <t>vpcpaslf</t>
  </si>
  <si>
    <t>client_own_funds</t>
  </si>
  <si>
    <t>client_debt</t>
  </si>
  <si>
    <t>scp1_emss_fncd_aux</t>
  </si>
  <si>
    <t>scp2_emss_fncd_aux</t>
  </si>
  <si>
    <t>scp3_emss_fncd_aux</t>
  </si>
  <si>
    <t>origem_scp1_emss</t>
  </si>
  <si>
    <t>origem_scp2_emss</t>
  </si>
  <si>
    <t>origem_scp3_emss</t>
  </si>
  <si>
    <t>scp1_emss_cli</t>
  </si>
  <si>
    <t>scp2_emss_cli</t>
  </si>
  <si>
    <t>scp3_emss_cli</t>
  </si>
  <si>
    <t>origem_scp1_emss_cli</t>
  </si>
  <si>
    <t>origem_scp2_emss_cli</t>
  </si>
  <si>
    <t>origem_scp3_emss_cli</t>
  </si>
  <si>
    <t>divida_total</t>
  </si>
  <si>
    <t>capital_proprio</t>
  </si>
  <si>
    <t>scp1_emss_mob</t>
  </si>
  <si>
    <t>scp2_emss_mob</t>
  </si>
  <si>
    <t>scp3_emss_mob</t>
  </si>
  <si>
    <t>origem_scp1_emss_mob</t>
  </si>
  <si>
    <t>origem_scp2_emss_mob</t>
  </si>
  <si>
    <t>origem_scp3_emss_mob</t>
  </si>
  <si>
    <t>scp1_emss_imo</t>
  </si>
  <si>
    <t>scp2_emss_imo</t>
  </si>
  <si>
    <t>scp3_emss_imo</t>
  </si>
  <si>
    <t>origem_scp1_emss_imo</t>
  </si>
  <si>
    <t>origem_scp2_emss_imo</t>
  </si>
  <si>
    <t>origem_scp3_emss_imo</t>
  </si>
  <si>
    <t>scp1_emss_fncd</t>
  </si>
  <si>
    <t>scp2_emss_fncd</t>
  </si>
  <si>
    <t>scp3_emss_fncd</t>
  </si>
  <si>
    <t>-193307.490000</t>
  </si>
  <si>
    <t>386500.00</t>
  </si>
  <si>
    <t>SUM_COLAT_COBRE</t>
  </si>
  <si>
    <t>1.00000000000000000000</t>
  </si>
  <si>
    <t>1.99940519635322976879</t>
  </si>
  <si>
    <t>LINHA INI</t>
  </si>
  <si>
    <t>-193307.49000000000000000000000000</t>
  </si>
  <si>
    <t>2024-07-19 00:00:00.0</t>
  </si>
  <si>
    <t>9999-12-31 00:00:00.0</t>
  </si>
  <si>
    <t>I</t>
  </si>
  <si>
    <t>48153.29</t>
  </si>
  <si>
    <t>205731.53</t>
  </si>
  <si>
    <t>0.00</t>
  </si>
  <si>
    <t>18750.04</t>
  </si>
  <si>
    <t>48153.29000000000000000000</t>
  </si>
  <si>
    <t>224481.57000000000000000000</t>
  </si>
  <si>
    <t>6.3669631746000000</t>
  </si>
  <si>
    <t>34.1909051868000000</t>
  </si>
  <si>
    <t>61.8666936027360000</t>
  </si>
  <si>
    <t>RE_DQS5_3</t>
  </si>
  <si>
    <t>Nao Aplicavel</t>
  </si>
  <si>
    <t>7159840.2427620000</t>
  </si>
  <si>
    <t>4868030.2215780000</t>
  </si>
  <si>
    <t>87254904.6678600000</t>
  </si>
  <si>
    <t>BCL_DQS4_3A</t>
  </si>
  <si>
    <t>NULL</t>
  </si>
  <si>
    <t>8.7283000000</t>
  </si>
  <si>
    <t>46.8714000000</t>
  </si>
  <si>
    <t>0.00000000000000000000</t>
  </si>
  <si>
    <t>0.00000000000000000000000000</t>
  </si>
  <si>
    <t>0.0000000000000000</t>
  </si>
  <si>
    <t>-2243162.740000</t>
  </si>
  <si>
    <t>12424500.00</t>
  </si>
  <si>
    <t>5.53883130209268722072</t>
  </si>
  <si>
    <t>-2243162.74000000000000000000000000</t>
  </si>
  <si>
    <t>2024-07-31 00:00:00.0</t>
  </si>
  <si>
    <t>10588386.96</t>
  </si>
  <si>
    <t>20774.85</t>
  </si>
  <si>
    <t>7047.76</t>
  </si>
  <si>
    <t>10588386.96000000000000000000</t>
  </si>
  <si>
    <t>27822.61000000000000000000</t>
  </si>
  <si>
    <t>15.9997790000000000</t>
  </si>
  <si>
    <t>RE_DQS4_2B</t>
  </si>
  <si>
    <t>2856328.8765350000</t>
  </si>
  <si>
    <t>1283404.8111000000</t>
  </si>
  <si>
    <t>15999779.9783800000</t>
  </si>
  <si>
    <t>PF_DQS5_3B</t>
  </si>
  <si>
    <t>150.7364400000</t>
  </si>
  <si>
    <t>377.1154640000</t>
  </si>
  <si>
    <t>-15329648.490000</t>
  </si>
  <si>
    <t>44420000.00</t>
  </si>
  <si>
    <t>2.89765287370917400598</t>
  </si>
  <si>
    <t>-15329648.49000000000000000000000000</t>
  </si>
  <si>
    <t>A15414</t>
  </si>
  <si>
    <t>2024-06-25 00:00:00.0</t>
  </si>
  <si>
    <t>971575.59</t>
  </si>
  <si>
    <t>16500000.00</t>
  </si>
  <si>
    <t>588970.63</t>
  </si>
  <si>
    <t>971575.59000000000000000000</t>
  </si>
  <si>
    <t>17088970.63000000000000000000</t>
  </si>
  <si>
    <t>81.4126970000000000</t>
  </si>
  <si>
    <t>14534039.7333690000</t>
  </si>
  <si>
    <t>6530430.2567400000</t>
  </si>
  <si>
    <t>81412697.2006920000</t>
  </si>
  <si>
    <t>501.6735820000</t>
  </si>
  <si>
    <t>2694.0126170000</t>
  </si>
  <si>
    <t>-49749.510000</t>
  </si>
  <si>
    <t>102400.00</t>
  </si>
  <si>
    <t>2.05831173010548244595</t>
  </si>
  <si>
    <t>-49749.51000000000000000000000000</t>
  </si>
  <si>
    <t>2024-08-23 00:00:00.0</t>
  </si>
  <si>
    <t>20722.37</t>
  </si>
  <si>
    <t>57868.47</t>
  </si>
  <si>
    <t>160138.80</t>
  </si>
  <si>
    <t>20722.37000000000000000000</t>
  </si>
  <si>
    <t>218007.27000000000000000000</t>
  </si>
  <si>
    <t>5.8679488070000000</t>
  </si>
  <si>
    <t>31.5111735060000000</t>
  </si>
  <si>
    <t>27.0254613524400000</t>
  </si>
  <si>
    <t>39857596.4260800000</t>
  </si>
  <si>
    <t>9431158.0176420000</t>
  </si>
  <si>
    <t>129685695.7232400000</t>
  </si>
  <si>
    <t>-45372.380000</t>
  </si>
  <si>
    <t>510300.00</t>
  </si>
  <si>
    <t>11.24693040127055270188</t>
  </si>
  <si>
    <t>-45372.38000000000000000000000000</t>
  </si>
  <si>
    <t>E31338</t>
  </si>
  <si>
    <t>2024-08-08 00:00:00.0</t>
  </si>
  <si>
    <t>210925.79</t>
  </si>
  <si>
    <t>358776.57</t>
  </si>
  <si>
    <t>210925.79000000000000000000</t>
  </si>
  <si>
    <t>358776.57000000000000000000</t>
  </si>
  <si>
    <t>6.1671025612000000</t>
  </si>
  <si>
    <t>33.1176438696000000</t>
  </si>
  <si>
    <t>2.2778757251960000</t>
  </si>
  <si>
    <t>5106241.0401360000</t>
  </si>
  <si>
    <t>2293997.1781110000</t>
  </si>
  <si>
    <t>28601438.3856600000</t>
  </si>
  <si>
    <t>17.4566000000</t>
  </si>
  <si>
    <t>93.7428000000</t>
  </si>
  <si>
    <t>-4602070.000000</t>
  </si>
  <si>
    <t>16903900.00</t>
  </si>
  <si>
    <t>3.67310797097827716657</t>
  </si>
  <si>
    <t>-4602070.00000000000000000000000000</t>
  </si>
  <si>
    <t>E31313</t>
  </si>
  <si>
    <t>2024-06-14 00:00:00.0</t>
  </si>
  <si>
    <t>-1187463.08</t>
  </si>
  <si>
    <t>3241187.30</t>
  </si>
  <si>
    <t>74266.08</t>
  </si>
  <si>
    <t>-1187463.08000000000000000000</t>
  </si>
  <si>
    <t>3315453.38000000000000000000</t>
  </si>
  <si>
    <t>24.4406730000000000</t>
  </si>
  <si>
    <t>RE_DQS3_2A</t>
  </si>
  <si>
    <t>4363222.5670000000</t>
  </si>
  <si>
    <t>1960481.8200000000</t>
  </si>
  <si>
    <t>24440673.3560000000</t>
  </si>
  <si>
    <t>35.0732000000</t>
  </si>
  <si>
    <t>98.6983000000</t>
  </si>
  <si>
    <t>-7023826.080000</t>
  </si>
  <si>
    <t>33251126.72</t>
  </si>
  <si>
    <t>4.73404756058538397066</t>
  </si>
  <si>
    <t>-7023826.08000000000000000000000000</t>
  </si>
  <si>
    <t>2024-08-07 00:00:00.0</t>
  </si>
  <si>
    <t>-5664925.35</t>
  </si>
  <si>
    <t>146878333.78</t>
  </si>
  <si>
    <t>-5664925.35000000000000000000</t>
  </si>
  <si>
    <t>146878333.78000000000000000000</t>
  </si>
  <si>
    <t>170.5028530000000000</t>
  </si>
  <si>
    <t>30438682.5686350000</t>
  </si>
  <si>
    <t>13676699.4771000000</t>
  </si>
  <si>
    <t>170502853.4811800000</t>
  </si>
  <si>
    <t>153.6885000000</t>
  </si>
  <si>
    <t>316.7865000000</t>
  </si>
  <si>
    <t>-7020550.270000</t>
  </si>
  <si>
    <t>33235617.79</t>
  </si>
  <si>
    <t>4.73404740537524845612</t>
  </si>
  <si>
    <t>-7020550.27000000000000000000000000</t>
  </si>
  <si>
    <t>-18060552.000000</t>
  </si>
  <si>
    <t>85499511.29</t>
  </si>
  <si>
    <t>4.73404751360866489573</t>
  </si>
  <si>
    <t>-18060552.00000000000000000000000000</t>
  </si>
  <si>
    <t>-5758032.020000</t>
  </si>
  <si>
    <t>21297000.00</t>
  </si>
  <si>
    <t>3.69865952916322962719</t>
  </si>
  <si>
    <t>-5758032.02000000000000000000000000</t>
  </si>
  <si>
    <t>E32329</t>
  </si>
  <si>
    <t>2024-12-02 00:00:00.0</t>
  </si>
  <si>
    <t>2833192.70</t>
  </si>
  <si>
    <t>2048842.60</t>
  </si>
  <si>
    <t>82055.56</t>
  </si>
  <si>
    <t>2833192.70000000000000000000</t>
  </si>
  <si>
    <t>2130898.16000000000000000000</t>
  </si>
  <si>
    <t>831.5346780000000000</t>
  </si>
  <si>
    <t>182788150.6716980000</t>
  </si>
  <si>
    <t>86822485.8135700000</t>
  </si>
  <si>
    <t>831534678.1042600000</t>
  </si>
  <si>
    <t>58.7505950000</t>
  </si>
  <si>
    <t>146.9834240000</t>
  </si>
  <si>
    <t>-477867.930000</t>
  </si>
  <si>
    <t>651000.00</t>
  </si>
  <si>
    <t>1.36230108599252517322</t>
  </si>
  <si>
    <t>-477867.93000000000000000000000000</t>
  </si>
  <si>
    <t>2024-07-30 00:00:00.0</t>
  </si>
  <si>
    <t>527971.40</t>
  </si>
  <si>
    <t>599256.98</t>
  </si>
  <si>
    <t>91121.22</t>
  </si>
  <si>
    <t>527971.40000000000000000000</t>
  </si>
  <si>
    <t>690378.20000000000000000000</t>
  </si>
  <si>
    <t>47.5969386242000000</t>
  </si>
  <si>
    <t>255.5978998236000000</t>
  </si>
  <si>
    <t>95.6178805245500000</t>
  </si>
  <si>
    <t>53588330.8493120000</t>
  </si>
  <si>
    <t>25453984.6655360000</t>
  </si>
  <si>
    <t>243783238.6931200000</t>
  </si>
  <si>
    <t>-9504154.350000</t>
  </si>
  <si>
    <t>12954939.36</t>
  </si>
  <si>
    <t>1.36308175171839459867</t>
  </si>
  <si>
    <t>-9504154.35000000000000000000000000</t>
  </si>
  <si>
    <t>2024-08-01 00:00:00.0</t>
  </si>
  <si>
    <t>1521404.52</t>
  </si>
  <si>
    <t>4448980.00</t>
  </si>
  <si>
    <t>1521404.52000000000000000000</t>
  </si>
  <si>
    <t>4448980.00000000000000000000</t>
  </si>
  <si>
    <t>50.4746620000000000</t>
  </si>
  <si>
    <t>9010888.7392350000</t>
  </si>
  <si>
    <t>4048769.7531000000</t>
  </si>
  <si>
    <t>50474662.9219800000</t>
  </si>
  <si>
    <t>55.7815030000</t>
  </si>
  <si>
    <t>139.5552890000</t>
  </si>
  <si>
    <t>-1995489.020000</t>
  </si>
  <si>
    <t>6404600.00</t>
  </si>
  <si>
    <t>3.20953908330700812375</t>
  </si>
  <si>
    <t>-1995489.02000000000000000000000000</t>
  </si>
  <si>
    <t>2024-06-07 00:00:00.0</t>
  </si>
  <si>
    <t>3222097.59</t>
  </si>
  <si>
    <t>3222097.59000000000000000000</t>
  </si>
  <si>
    <t>10.5976430000000000</t>
  </si>
  <si>
    <t>1891923.1398620000</t>
  </si>
  <si>
    <t>850078.3225200000</t>
  </si>
  <si>
    <t>10597643.0874160000</t>
  </si>
  <si>
    <t>11.6615890000</t>
  </si>
  <si>
    <t>29.1751970000</t>
  </si>
  <si>
    <t>-2099024.490000</t>
  </si>
  <si>
    <t>10480086.94</t>
  </si>
  <si>
    <t>4.99283690587145078998</t>
  </si>
  <si>
    <t>-2099024.49000000000000000000000000</t>
  </si>
  <si>
    <t>2024-10-15 00:00:00.0</t>
  </si>
  <si>
    <t>1992085.08</t>
  </si>
  <si>
    <t>3124999.46</t>
  </si>
  <si>
    <t>787648.00</t>
  </si>
  <si>
    <t>1992085.08000000000000000000</t>
  </si>
  <si>
    <t>3912647.46000000000000000000</t>
  </si>
  <si>
    <t>11.1474990000000000</t>
  </si>
  <si>
    <t>1990085.1189690000</t>
  </si>
  <si>
    <t>894184.4327400000</t>
  </si>
  <si>
    <t>11147499.2614920000</t>
  </si>
  <si>
    <t>21.1204720000</t>
  </si>
  <si>
    <t>113.4180070000</t>
  </si>
  <si>
    <t>PC0645901000000</t>
  </si>
  <si>
    <t>31641600000001093PC0645901000000</t>
  </si>
  <si>
    <t>-5143366.670000</t>
  </si>
  <si>
    <t>6500000.00</t>
  </si>
  <si>
    <t>1.26376368185315475476</t>
  </si>
  <si>
    <t>-5143366.67000000000000000000000000</t>
  </si>
  <si>
    <t>E32338</t>
  </si>
  <si>
    <t>2024-12-05 00:00:00.0</t>
  </si>
  <si>
    <t>12375810.10</t>
  </si>
  <si>
    <t>4961597.00</t>
  </si>
  <si>
    <t>3859571.55</t>
  </si>
  <si>
    <t>12375810.10000000000000000000</t>
  </si>
  <si>
    <t>8821168.55000000000000000000</t>
  </si>
  <si>
    <t>182.3786160669780000</t>
  </si>
  <si>
    <t>134188165.8148400000</t>
  </si>
  <si>
    <t>60284516.7894650000</t>
  </si>
  <si>
    <t>751624243.0529000000</t>
  </si>
  <si>
    <t>3.7583000000</t>
  </si>
  <si>
    <t>7.7467000000</t>
  </si>
  <si>
    <t>-24490527.320000</t>
  </si>
  <si>
    <t>462516000.00</t>
  </si>
  <si>
    <t>18.88550597366230985670</t>
  </si>
  <si>
    <t>-24490527.32000000000000000000000000</t>
  </si>
  <si>
    <t>2024-08-06 00:00:00.0</t>
  </si>
  <si>
    <t>154987282.47</t>
  </si>
  <si>
    <t>72685059.07</t>
  </si>
  <si>
    <t>36750.00</t>
  </si>
  <si>
    <t>154987282.47000000000000000000</t>
  </si>
  <si>
    <t>72721809.07000000000000000000</t>
  </si>
  <si>
    <t>130.2777450000000000</t>
  </si>
  <si>
    <t>23257575.2717220000</t>
  </si>
  <si>
    <t>10450086.5581200000</t>
  </si>
  <si>
    <t>130277745.7578960000</t>
  </si>
  <si>
    <t>549.7722840000</t>
  </si>
  <si>
    <t>2952.3050890000</t>
  </si>
  <si>
    <t>-13918291.450000</t>
  </si>
  <si>
    <t>177090000.00</t>
  </si>
  <si>
    <t>12.72354445487632032594</t>
  </si>
  <si>
    <t>-13918291.45000000000000000000000000</t>
  </si>
  <si>
    <t>23191179.62</t>
  </si>
  <si>
    <t>36452644.83</t>
  </si>
  <si>
    <t>2243760.16</t>
  </si>
  <si>
    <t>23191179.62000000000000000000</t>
  </si>
  <si>
    <t>38696404.99000000000000000000</t>
  </si>
  <si>
    <t>75.0072680000000000</t>
  </si>
  <si>
    <t>13390523.4007660000</t>
  </si>
  <si>
    <t>6016625.8503600000</t>
  </si>
  <si>
    <t>75007268.9344880000</t>
  </si>
  <si>
    <t>586.6335730000</t>
  </si>
  <si>
    <t>1467.6516950000</t>
  </si>
  <si>
    <t>-28258.960000</t>
  </si>
  <si>
    <t>1408750.00</t>
  </si>
  <si>
    <t>49.85144534689174690080</t>
  </si>
  <si>
    <t>-28258.96000000000000000000000000</t>
  </si>
  <si>
    <t>E32316</t>
  </si>
  <si>
    <t>2024-08-02 00:00:00.0</t>
  </si>
  <si>
    <t>1481934.93</t>
  </si>
  <si>
    <t>102920.51</t>
  </si>
  <si>
    <t>85811.10</t>
  </si>
  <si>
    <t>1481934.93000000000000000000</t>
  </si>
  <si>
    <t>188731.61000000000000000000</t>
  </si>
  <si>
    <t>0.6166282101000000</t>
  </si>
  <si>
    <t>3.3113237958000000</t>
  </si>
  <si>
    <t>11.1689245416900000</t>
  </si>
  <si>
    <t>188927528.0854360000</t>
  </si>
  <si>
    <t>68743228.8202590000</t>
  </si>
  <si>
    <t>660336085.2304300000</t>
  </si>
  <si>
    <t>13.0924500000</t>
  </si>
  <si>
    <t>70.3071000000</t>
  </si>
  <si>
    <t>-49675.750000</t>
  </si>
  <si>
    <t>4000.00</t>
  </si>
  <si>
    <t>329236.00</t>
  </si>
  <si>
    <t>0.01214933968338820785</t>
  </si>
  <si>
    <t>0.08052218637866564671</t>
  </si>
  <si>
    <t>-603.52756077707176610463750000</t>
  </si>
  <si>
    <t>106508.17</t>
  </si>
  <si>
    <t>14682.33</t>
  </si>
  <si>
    <t>103642.64</t>
  </si>
  <si>
    <t>106508.17000000000000000000</t>
  </si>
  <si>
    <t>118324.97000000000000000000</t>
  </si>
  <si>
    <t>0.0098138447000000</t>
  </si>
  <si>
    <t>0.0044089048080000</t>
  </si>
  <si>
    <t>0.0549700082360000</t>
  </si>
  <si>
    <t>3656425.6129280000</t>
  </si>
  <si>
    <t>1642662.3757280000</t>
  </si>
  <si>
    <t>20480629.6956800000</t>
  </si>
  <si>
    <t>164736.00</t>
  </si>
  <si>
    <t>0.50035840552065995213</t>
  </si>
  <si>
    <t>3.31622572381896599447</t>
  </si>
  <si>
    <t>-24855.67906304292361702184750000</t>
  </si>
  <si>
    <t>0.3399091525570000</t>
  </si>
  <si>
    <t>0.8503912937260000</t>
  </si>
  <si>
    <t>2.2641540165790000</t>
  </si>
  <si>
    <t>2.0554090000</t>
  </si>
  <si>
    <t>5.1422620000</t>
  </si>
  <si>
    <t>148500.00</t>
  </si>
  <si>
    <t>0.45104423574578721646</t>
  </si>
  <si>
    <t>2.98938616930796213444</t>
  </si>
  <si>
    <t>-22405.96069384878931806284500000</t>
  </si>
  <si>
    <t>0.5200245596140000</t>
  </si>
  <si>
    <t>1.3010080628680000</t>
  </si>
  <si>
    <t>2.0409970829950000</t>
  </si>
  <si>
    <t>3.1402070000</t>
  </si>
  <si>
    <t>7.8562340000</t>
  </si>
  <si>
    <t>-3826189.960000</t>
  </si>
  <si>
    <t>70169000.00</t>
  </si>
  <si>
    <t>18.33913128557788594479</t>
  </si>
  <si>
    <t>-3826189.96000000000000000000000000</t>
  </si>
  <si>
    <t>2024-09-24 00:00:00.0</t>
  </si>
  <si>
    <t>15845438.36</t>
  </si>
  <si>
    <t>34359172.12</t>
  </si>
  <si>
    <t>2347196.34</t>
  </si>
  <si>
    <t>15845438.36000000000000000000</t>
  </si>
  <si>
    <t>36706368.46000000000000000000</t>
  </si>
  <si>
    <t>20.3201290000000000</t>
  </si>
  <si>
    <t>3627610.7010760000</t>
  </si>
  <si>
    <t>1629956.9229600000</t>
  </si>
  <si>
    <t>20320129.6395680000</t>
  </si>
  <si>
    <t>333.1902840000</t>
  </si>
  <si>
    <t>833.5821680000</t>
  </si>
  <si>
    <t>-1424.390000</t>
  </si>
  <si>
    <t>77300.00</t>
  </si>
  <si>
    <t>2023-10-27 00:00:00.0</t>
  </si>
  <si>
    <t>35674.02</t>
  </si>
  <si>
    <t>19992.50</t>
  </si>
  <si>
    <t>35674.02000000000000000000</t>
  </si>
  <si>
    <t>19992.50000000000000000000</t>
  </si>
  <si>
    <t>712118.0774240000</t>
  </si>
  <si>
    <t>319921.6110740000</t>
  </si>
  <si>
    <t>3988766.1304400000</t>
  </si>
  <si>
    <t>54.26884490904878579602</t>
  </si>
  <si>
    <t>-1424.39000000000000000000000000</t>
  </si>
  <si>
    <t>0.1895612194000000</t>
  </si>
  <si>
    <t>1.0179530652000000</t>
  </si>
  <si>
    <t>0.1020605556420000</t>
  </si>
  <si>
    <t>-21421876.770000</t>
  </si>
  <si>
    <t>92391463.60</t>
  </si>
  <si>
    <t>4.31294907500301151251</t>
  </si>
  <si>
    <t>-21421876.77000000000000000000000000</t>
  </si>
  <si>
    <t>15226561.75</t>
  </si>
  <si>
    <t>3652639.94</t>
  </si>
  <si>
    <t>2085.09</t>
  </si>
  <si>
    <t>15226561.75000000000000000000</t>
  </si>
  <si>
    <t>3654725.03000000000000000000</t>
  </si>
  <si>
    <t>4071.0757990507000000</t>
  </si>
  <si>
    <t>439898.0000000000</t>
  </si>
  <si>
    <t>51548.0000000000</t>
  </si>
  <si>
    <t>672991.0000000000</t>
  </si>
  <si>
    <t>PF_DQS4_SCIB</t>
  </si>
  <si>
    <t>2795.7490000000</t>
  </si>
  <si>
    <t>745.5090000000</t>
  </si>
  <si>
    <t>64.1557000000</t>
  </si>
  <si>
    <t>132.2393000000</t>
  </si>
  <si>
    <t>-5986467.080000</t>
  </si>
  <si>
    <t>13112600.00</t>
  </si>
  <si>
    <t>2.19037369199063565217</t>
  </si>
  <si>
    <t>-5986467.08000000000000000000000000</t>
  </si>
  <si>
    <t>2024-07-26 00:00:00.0</t>
  </si>
  <si>
    <t>2853841.18</t>
  </si>
  <si>
    <t>1854337.75</t>
  </si>
  <si>
    <t>684000.00</t>
  </si>
  <si>
    <t>2853841.18000000000000000000</t>
  </si>
  <si>
    <t>2538337.75000000000000000000</t>
  </si>
  <si>
    <t>31.7929290000000000</t>
  </si>
  <si>
    <t>5675769.4385480000</t>
  </si>
  <si>
    <t>2550234.9760800000</t>
  </si>
  <si>
    <t>31792929.3684640000</t>
  </si>
  <si>
    <t>5.4239950000</t>
  </si>
  <si>
    <t>13.5698590000</t>
  </si>
  <si>
    <t>-3278.490000</t>
  </si>
  <si>
    <t>138140.00</t>
  </si>
  <si>
    <t>2024-07-16 00:00:00.0</t>
  </si>
  <si>
    <t>-186304.89</t>
  </si>
  <si>
    <t>324646.42</t>
  </si>
  <si>
    <t>-186304.89000000000000000000</t>
  </si>
  <si>
    <t>324646.42000000000000000000</t>
  </si>
  <si>
    <t>0.0000000000</t>
  </si>
  <si>
    <t>42.13525128946557714069</t>
  </si>
  <si>
    <t>-3278.49000000000000000000000000</t>
  </si>
  <si>
    <t>13.6288302199000000</t>
  </si>
  <si>
    <t>73.1874881442000000</t>
  </si>
  <si>
    <t>-2294812.380000</t>
  </si>
  <si>
    <t>5100700.00</t>
  </si>
  <si>
    <t>10041900.00</t>
  </si>
  <si>
    <t>0.50794172417570380107</t>
  </si>
  <si>
    <t>2.22270894320345265001</t>
  </si>
  <si>
    <t>-1165630.95695695037790849324660000</t>
  </si>
  <si>
    <t>4160467.98</t>
  </si>
  <si>
    <t>4160467.98000000000000000000</t>
  </si>
  <si>
    <t>12.1872890000000000</t>
  </si>
  <si>
    <t>2175711.6174780000</t>
  </si>
  <si>
    <t>977590.0738800000</t>
  </si>
  <si>
    <t>12187289.5877040000</t>
  </si>
  <si>
    <t>3.2115760000</t>
  </si>
  <si>
    <t>8.0347850000</t>
  </si>
  <si>
    <t>4941200.00</t>
  </si>
  <si>
    <t>0.49205827582429619892</t>
  </si>
  <si>
    <t>2.15320435041404125595</t>
  </si>
  <si>
    <t>-1129181.42304304962206855862960000</t>
  </si>
  <si>
    <t>3.1116600000</t>
  </si>
  <si>
    <t>7.7848140000</t>
  </si>
  <si>
    <t>-798223.160000</t>
  </si>
  <si>
    <t>1543850.00</t>
  </si>
  <si>
    <t>1.93410825113117489600</t>
  </si>
  <si>
    <t>-798223.16000000000000000000000000</t>
  </si>
  <si>
    <t>E32353</t>
  </si>
  <si>
    <t>2024-07-18 00:00:00.0</t>
  </si>
  <si>
    <t>102434990.81</t>
  </si>
  <si>
    <t>864679.55</t>
  </si>
  <si>
    <t>102434990.81000000000000000000</t>
  </si>
  <si>
    <t>864679.55000000000000000000</t>
  </si>
  <si>
    <t>10.0794932098000000</t>
  </si>
  <si>
    <t>54.1273739484000000</t>
  </si>
  <si>
    <t>0.3897891177060000</t>
  </si>
  <si>
    <t>9006006.2199200000</t>
  </si>
  <si>
    <t>4045980.7306700000</t>
  </si>
  <si>
    <t>50445078.8702000000</t>
  </si>
  <si>
    <t>-8274166.750000</t>
  </si>
  <si>
    <t>10338400.00</t>
  </si>
  <si>
    <t>1.24947929046752653371</t>
  </si>
  <si>
    <t>-8274166.75000000000000000000000000</t>
  </si>
  <si>
    <t>2354286.60</t>
  </si>
  <si>
    <t>8263972.55</t>
  </si>
  <si>
    <t>290385.00</t>
  </si>
  <si>
    <t>2354286.60000000000000000000</t>
  </si>
  <si>
    <t>8554357.55000000000000000000</t>
  </si>
  <si>
    <t>43.9424440000000000</t>
  </si>
  <si>
    <t>7844737.4956750000</t>
  </si>
  <si>
    <t>3524795.0355000000</t>
  </si>
  <si>
    <t>43942444.7759000000</t>
  </si>
  <si>
    <t>38.2819840000</t>
  </si>
  <si>
    <t>95.7746380000</t>
  </si>
  <si>
    <t>-25082152.780000</t>
  </si>
  <si>
    <t>55772885.00</t>
  </si>
  <si>
    <t>2.22360837561248600288</t>
  </si>
  <si>
    <t>-25082152.78000000000000000000000000</t>
  </si>
  <si>
    <t>2023-04-26 00:00:00.0</t>
  </si>
  <si>
    <t>-2984733.90</t>
  </si>
  <si>
    <t>-2984733.90000000000000000000</t>
  </si>
  <si>
    <t>133.2062960000000000</t>
  </si>
  <si>
    <t>23780389.0507180000</t>
  </si>
  <si>
    <t>10684997.0842800000</t>
  </si>
  <si>
    <t>133206296.9840240000</t>
  </si>
  <si>
    <t>133.8584790000</t>
  </si>
  <si>
    <t>334.8898420000</t>
  </si>
  <si>
    <t>-106789.320000</t>
  </si>
  <si>
    <t>218900.00</t>
  </si>
  <si>
    <t>2024-07-23 00:00:00.0</t>
  </si>
  <si>
    <t>122426.18</t>
  </si>
  <si>
    <t>168187.05</t>
  </si>
  <si>
    <t>122426.18000000000000000000</t>
  </si>
  <si>
    <t>168187.05000000000000000000</t>
  </si>
  <si>
    <t>1033753.8924320000</t>
  </si>
  <si>
    <t>464417.6593820000</t>
  </si>
  <si>
    <t>5790335.4009200000</t>
  </si>
  <si>
    <t>56800.00</t>
  </si>
  <si>
    <t>0.25947921425308359981</t>
  </si>
  <si>
    <t>0.53188839483199256255</t>
  </si>
  <si>
    <t>-27709.60884422110552686202920000</t>
  </si>
  <si>
    <t>1.1408892354000000</t>
  </si>
  <si>
    <t>2.3579146584000000</t>
  </si>
  <si>
    <t>0.5520968615800000</t>
  </si>
  <si>
    <t>1.7802000000</t>
  </si>
  <si>
    <t>3.6792000000</t>
  </si>
  <si>
    <t>162100.00</t>
  </si>
  <si>
    <t>0.74052078574691640018</t>
  </si>
  <si>
    <t>1.51794205637792243643</t>
  </si>
  <si>
    <t>-79079.71115577889447207007760000</t>
  </si>
  <si>
    <t>0.7377006384000000</t>
  </si>
  <si>
    <t>1.5246310464000000</t>
  </si>
  <si>
    <t>1.5756254278550000</t>
  </si>
  <si>
    <t>-1051078.000000</t>
  </si>
  <si>
    <t>1137583.30</t>
  </si>
  <si>
    <t>1.08230150378944283868</t>
  </si>
  <si>
    <t>-1051078.00000000000000000000000000</t>
  </si>
  <si>
    <t>E31316</t>
  </si>
  <si>
    <t>822794.02</t>
  </si>
  <si>
    <t>1369881.04</t>
  </si>
  <si>
    <t>10.99</t>
  </si>
  <si>
    <t>5178974.29</t>
  </si>
  <si>
    <t>822794.02000000000000000000</t>
  </si>
  <si>
    <t>6548866.32000000000000000000</t>
  </si>
  <si>
    <t>483.6600910000000000</t>
  </si>
  <si>
    <t>106318276.2849900000</t>
  </si>
  <si>
    <t>50500084.3903500000</t>
  </si>
  <si>
    <t>483660091.3263000000</t>
  </si>
  <si>
    <t>3.8710000000</t>
  </si>
  <si>
    <t>7.9790000000</t>
  </si>
  <si>
    <t>-1951782.080000</t>
  </si>
  <si>
    <t>2112416.70</t>
  </si>
  <si>
    <t>1.08230151390671647113</t>
  </si>
  <si>
    <t>-1951782.08000000000000000000000000</t>
  </si>
  <si>
    <t>178276000.00</t>
  </si>
  <si>
    <t>12.80875606323073512015</t>
  </si>
  <si>
    <t>47071726.92</t>
  </si>
  <si>
    <t>15485807.16</t>
  </si>
  <si>
    <t>47071726.92000000000000000000</t>
  </si>
  <si>
    <t>51938451.99000000000000000000</t>
  </si>
  <si>
    <t>-11627033.690000</t>
  </si>
  <si>
    <t>24052581.00</t>
  </si>
  <si>
    <t>49687481.00</t>
  </si>
  <si>
    <t>0.48407728699307578100</t>
  </si>
  <si>
    <t>2.06867732917010237028</t>
  </si>
  <si>
    <t>-5628382.92443229090241006189000000</t>
  </si>
  <si>
    <t>2024-06-26 00:00:00.0</t>
  </si>
  <si>
    <t>6414723.29</t>
  </si>
  <si>
    <t>11961178.38</t>
  </si>
  <si>
    <t>1118690.12</t>
  </si>
  <si>
    <t>6414723.29000000000000000000</t>
  </si>
  <si>
    <t>13079868.50000000000000000000</t>
  </si>
  <si>
    <t>2486.2086130000000000</t>
  </si>
  <si>
    <t>319709708.0772990000</t>
  </si>
  <si>
    <t>44923370.0680530000</t>
  </si>
  <si>
    <t>2486208613.9327000000</t>
  </si>
  <si>
    <t>26.1860180000</t>
  </si>
  <si>
    <t>73.6891820000</t>
  </si>
  <si>
    <t>25634900.00</t>
  </si>
  <si>
    <t>0.51592271300692421899</t>
  </si>
  <si>
    <t>2.20476698386516845123</t>
  </si>
  <si>
    <t>-5998650.76556770909747366777310000</t>
  </si>
  <si>
    <t>15.8440630000</t>
  </si>
  <si>
    <t>44.5862370000</t>
  </si>
  <si>
    <t>-29452.870000</t>
  </si>
  <si>
    <t>171000.00</t>
  </si>
  <si>
    <t>2024-10-24 00:00:00.0</t>
  </si>
  <si>
    <t>303113.02</t>
  </si>
  <si>
    <t>40987.27</t>
  </si>
  <si>
    <t>343584.47</t>
  </si>
  <si>
    <t>303113.02000000000000000000</t>
  </si>
  <si>
    <t>384571.74000000000000000000</t>
  </si>
  <si>
    <t>222596755.2260800000</t>
  </si>
  <si>
    <t>16003413.2745360000</t>
  </si>
  <si>
    <t>347068963.4446800000</t>
  </si>
  <si>
    <t>5.80588581010950715499</t>
  </si>
  <si>
    <t>-29452.87000000000000000000000000</t>
  </si>
  <si>
    <t>4.2143112739000000</t>
  </si>
  <si>
    <t>22.6310586762000000</t>
  </si>
  <si>
    <t>14.8646166163270000</t>
  </si>
  <si>
    <t>-9412.620000</t>
  </si>
  <si>
    <t>2886370.00</t>
  </si>
  <si>
    <t>306.64894577705251035312</t>
  </si>
  <si>
    <t>-9412.62000000000000000000000000</t>
  </si>
  <si>
    <t>E32350</t>
  </si>
  <si>
    <t>2019-01-28 00:00:00.0</t>
  </si>
  <si>
    <t>2646296.67</t>
  </si>
  <si>
    <t>142055.51</t>
  </si>
  <si>
    <t>2646296.67000000000000000000</t>
  </si>
  <si>
    <t>142055.51000000000000000000</t>
  </si>
  <si>
    <t>0.3275469141000000</t>
  </si>
  <si>
    <t>1.7589430278000000</t>
  </si>
  <si>
    <t>1.3427190000000000</t>
  </si>
  <si>
    <t>384163.8488940000</t>
  </si>
  <si>
    <t>139782.1133100000</t>
  </si>
  <si>
    <t>1342719.6556200000</t>
  </si>
  <si>
    <t>BCL_DQS5_3B</t>
  </si>
  <si>
    <t>-2630224.300000</t>
  </si>
  <si>
    <t>12438000.00</t>
  </si>
  <si>
    <t>4.72887426368922224617</t>
  </si>
  <si>
    <t>-2630224.30000000000000000000000000</t>
  </si>
  <si>
    <t>2024-09-13 00:00:00.0</t>
  </si>
  <si>
    <t>6524134.27</t>
  </si>
  <si>
    <t>2831597.22</t>
  </si>
  <si>
    <t>6524134.27000000000000000000</t>
  </si>
  <si>
    <t>2831597.22000000000000000000</t>
  </si>
  <si>
    <t>13.9685950000000000</t>
  </si>
  <si>
    <t>2493715.6588300000</t>
  </si>
  <si>
    <t>1120475.5518000000</t>
  </si>
  <si>
    <t>13968595.2124400000</t>
  </si>
  <si>
    <t>6.5320320000</t>
  </si>
  <si>
    <t>18.3815680000</t>
  </si>
  <si>
    <t>-2638061.870000</t>
  </si>
  <si>
    <t>7960900.00</t>
  </si>
  <si>
    <t>3.01770784473678776912</t>
  </si>
  <si>
    <t>-2638061.87000000000000000000000000</t>
  </si>
  <si>
    <t>1090857.55</t>
  </si>
  <si>
    <t>1391737.13</t>
  </si>
  <si>
    <t>17750.00</t>
  </si>
  <si>
    <t>1090857.55000000000000000000</t>
  </si>
  <si>
    <t>1409487.13000000000000000000</t>
  </si>
  <si>
    <t>380.9704280000000000</t>
  </si>
  <si>
    <t>83745010.2569630000</t>
  </si>
  <si>
    <t>39778015.9067950000</t>
  </si>
  <si>
    <t>380970428.8323100000</t>
  </si>
  <si>
    <t>4.3641500000</t>
  </si>
  <si>
    <t>23.4357000000</t>
  </si>
  <si>
    <t>-2310152.440000</t>
  </si>
  <si>
    <t>47197000.00</t>
  </si>
  <si>
    <t>20.43025351175526754416</t>
  </si>
  <si>
    <t>-2310152.44000000000000000000000000</t>
  </si>
  <si>
    <t>16854314.71</t>
  </si>
  <si>
    <t>20738589.98</t>
  </si>
  <si>
    <t>1431930.24</t>
  </si>
  <si>
    <t>16854314.71000000000000000000</t>
  </si>
  <si>
    <t>22170520.22000000000000000000</t>
  </si>
  <si>
    <t>12.2687570000000000</t>
  </si>
  <si>
    <t>2190255.5283640000</t>
  </si>
  <si>
    <t>984124.9394400000</t>
  </si>
  <si>
    <t>12268757.5783520000</t>
  </si>
  <si>
    <t>141.1427080000</t>
  </si>
  <si>
    <t>397.1848920000</t>
  </si>
  <si>
    <t>-251943.030000</t>
  </si>
  <si>
    <t>500000.00</t>
  </si>
  <si>
    <t>1.98457563997702178941</t>
  </si>
  <si>
    <t>-251943.03000000000000000000000000</t>
  </si>
  <si>
    <t>E31317</t>
  </si>
  <si>
    <t>2024-07-25 00:00:00.0</t>
  </si>
  <si>
    <t>964225.25</t>
  </si>
  <si>
    <t>338095.36</t>
  </si>
  <si>
    <t>104500.00</t>
  </si>
  <si>
    <t>964225.25000000000000000000</t>
  </si>
  <si>
    <t>442595.36000000000000000000</t>
  </si>
  <si>
    <t>10.9951704345000000</t>
  </si>
  <si>
    <t>59.0446056510000000</t>
  </si>
  <si>
    <t>18.6569409374480000</t>
  </si>
  <si>
    <t>22900511.9149380000</t>
  </si>
  <si>
    <t>10877541.2459640000</t>
  </si>
  <si>
    <t>104178668.6368800000</t>
  </si>
  <si>
    <t>-250891.140000</t>
  </si>
  <si>
    <t>317200.00</t>
  </si>
  <si>
    <t>402000.00</t>
  </si>
  <si>
    <t>0.78905472636815920398</t>
  </si>
  <si>
    <t>1.26429335049456110725</t>
  </si>
  <si>
    <t>-197966.83982089552238803473720000</t>
  </si>
  <si>
    <t>261368.73</t>
  </si>
  <si>
    <t>261902.11</t>
  </si>
  <si>
    <t>750.93</t>
  </si>
  <si>
    <t>261368.73000000000000000000</t>
  </si>
  <si>
    <t>262653.04000000000000000000</t>
  </si>
  <si>
    <t>42.4896611622000000</t>
  </si>
  <si>
    <t>228.1715688276000000</t>
  </si>
  <si>
    <t>72.1534053120440000</t>
  </si>
  <si>
    <t>41983709.6540260000</t>
  </si>
  <si>
    <t>19941891.9156280000</t>
  </si>
  <si>
    <t>190991668.3277600000</t>
  </si>
  <si>
    <t>52.3698000000</t>
  </si>
  <si>
    <t>281.2284000000</t>
  </si>
  <si>
    <t>7700.00</t>
  </si>
  <si>
    <t>0.01915422885572139303</t>
  </si>
  <si>
    <t>0.03069060150948335600</t>
  </si>
  <si>
    <t>-4805.62631343283581968475420000</t>
  </si>
  <si>
    <t>0.3849906115300000</t>
  </si>
  <si>
    <t>0.1828671404700000</t>
  </si>
  <si>
    <t>1.7513935955600000</t>
  </si>
  <si>
    <t>15500.00</t>
  </si>
  <si>
    <t>0.03855721393034825870</t>
  </si>
  <si>
    <t>0.06177978225934961274</t>
  </si>
  <si>
    <t>-9673.66335820895522225791800000</t>
  </si>
  <si>
    <t>0.7750192681400000</t>
  </si>
  <si>
    <t>0.3681273078600000</t>
  </si>
  <si>
    <t>3.5257061912800000</t>
  </si>
  <si>
    <t>-109211.990000</t>
  </si>
  <si>
    <t>384384.00</t>
  </si>
  <si>
    <t>3.51961355158897846289</t>
  </si>
  <si>
    <t>-109211.99000000000000000000000000</t>
  </si>
  <si>
    <t>186768.50</t>
  </si>
  <si>
    <t>83709.90</t>
  </si>
  <si>
    <t>141768.83</t>
  </si>
  <si>
    <t>186768.50000000000000000000</t>
  </si>
  <si>
    <t>225478.73000000000000000000</t>
  </si>
  <si>
    <t>3.1774416037000000</t>
  </si>
  <si>
    <t>17.0630175846000000</t>
  </si>
  <si>
    <t>102.0504819457260000</t>
  </si>
  <si>
    <t>43263159.2435800000</t>
  </si>
  <si>
    <t>23518187.7074040000</t>
  </si>
  <si>
    <t>385215357.4897900000</t>
  </si>
  <si>
    <t>-321.380000</t>
  </si>
  <si>
    <t>2500.00</t>
  </si>
  <si>
    <t>335100.00</t>
  </si>
  <si>
    <t>0.00746045956430916144</t>
  </si>
  <si>
    <t>7.77895326404878959487</t>
  </si>
  <si>
    <t>-2.39764249477767830358720000</t>
  </si>
  <si>
    <t>1672713.65</t>
  </si>
  <si>
    <t>64227.02</t>
  </si>
  <si>
    <t>1672713.65000000000000000000</t>
  </si>
  <si>
    <t>64227.02000000000000000000</t>
  </si>
  <si>
    <t>0.0174391434000000</t>
  </si>
  <si>
    <t>0.0936490572000000</t>
  </si>
  <si>
    <t>0.0000282740710000</t>
  </si>
  <si>
    <t>5047795.9395040000</t>
  </si>
  <si>
    <t>2267740.5061540000</t>
  </si>
  <si>
    <t>28274071.5552400000</t>
  </si>
  <si>
    <t>2000.00</t>
  </si>
  <si>
    <t>0.00596836765144732915</t>
  </si>
  <si>
    <t>6.22316261123903167589</t>
  </si>
  <si>
    <t>-1.91811399582214264222700000</t>
  </si>
  <si>
    <t>0.0191324336000000</t>
  </si>
  <si>
    <t>0.1027421088000000</t>
  </si>
  <si>
    <t>330600.00</t>
  </si>
  <si>
    <t>0.98657117278424350940</t>
  </si>
  <si>
    <t>1028.68877963781193602588</t>
  </si>
  <si>
    <t>-317.06424350940017905097200000</t>
  </si>
  <si>
    <t>0.0117308352000000</t>
  </si>
  <si>
    <t>0.0629951616000000</t>
  </si>
  <si>
    <t>0.0051458809220000</t>
  </si>
  <si>
    <t>-4690605.600000</t>
  </si>
  <si>
    <t>8915604.00</t>
  </si>
  <si>
    <t>1.90073622902765476594</t>
  </si>
  <si>
    <t>-4690605.60000000000000000000000000</t>
  </si>
  <si>
    <t>2024-06-13 00:00:00.0</t>
  </si>
  <si>
    <t>953703.93</t>
  </si>
  <si>
    <t>4987003.19</t>
  </si>
  <si>
    <t>485190.00</t>
  </si>
  <si>
    <t>953703.93000000000000000000</t>
  </si>
  <si>
    <t>5472193.19000000000000000000</t>
  </si>
  <si>
    <t>24.9108680000000000</t>
  </si>
  <si>
    <t>4447163.1693600000</t>
  </si>
  <si>
    <t>1998197.9856000000</t>
  </si>
  <si>
    <t>24910868.2204800000</t>
  </si>
  <si>
    <t>91.0388660000</t>
  </si>
  <si>
    <t>227.7628690000</t>
  </si>
  <si>
    <t>-10637140.410000</t>
  </si>
  <si>
    <t>25763434.00</t>
  </si>
  <si>
    <t>2.42202631599933914945</t>
  </si>
  <si>
    <t>-10637140.41000000000000000000000000</t>
  </si>
  <si>
    <t>5188417.73</t>
  </si>
  <si>
    <t>19191892.82</t>
  </si>
  <si>
    <t>5188417.73000000000000000000</t>
  </si>
  <si>
    <t>19191892.82000000000000000000</t>
  </si>
  <si>
    <t>121.6962760000000000</t>
  </si>
  <si>
    <t>21725585.5164720000</t>
  </si>
  <si>
    <t>9761733.3931200000</t>
  </si>
  <si>
    <t>121696276.3008960000</t>
  </si>
  <si>
    <t>38.2641000000</t>
  </si>
  <si>
    <t>78.8709000000</t>
  </si>
  <si>
    <t>-12277726.710000</t>
  </si>
  <si>
    <t>31864440.85</t>
  </si>
  <si>
    <t>2.59530461971001144722</t>
  </si>
  <si>
    <t>-12277726.71000000000000000000000000</t>
  </si>
  <si>
    <t>37.5536000000</t>
  </si>
  <si>
    <t>77.4064000000</t>
  </si>
  <si>
    <t>-3379910.520000</t>
  </si>
  <si>
    <t>63933000.00</t>
  </si>
  <si>
    <t>18.91558951684910285731</t>
  </si>
  <si>
    <t>-3379910.52000000000000000000000000</t>
  </si>
  <si>
    <t>14945038.83</t>
  </si>
  <si>
    <t>30467531.30</t>
  </si>
  <si>
    <t>2045873.00</t>
  </si>
  <si>
    <t>14945038.83000000000000000000</t>
  </si>
  <si>
    <t>32513404.30000000000000000000</t>
  </si>
  <si>
    <t>17.9500280000000000</t>
  </si>
  <si>
    <t>3204493.1640120000</t>
  </si>
  <si>
    <t>1439841.8815200000</t>
  </si>
  <si>
    <t>17950028.7896160000</t>
  </si>
  <si>
    <t>419.5888100000</t>
  </si>
  <si>
    <t>1049.7357410000</t>
  </si>
  <si>
    <t>-199.060000</t>
  </si>
  <si>
    <t>148176.00</t>
  </si>
  <si>
    <t>744.37857932281724103285</t>
  </si>
  <si>
    <t>-199.06000000000000000000000000</t>
  </si>
  <si>
    <t>2021-12-15 00:00:00.0</t>
  </si>
  <si>
    <t>504459.04</t>
  </si>
  <si>
    <t>297007.38</t>
  </si>
  <si>
    <t>504459.04000000000000000000</t>
  </si>
  <si>
    <t>297007.38000000000000000000</t>
  </si>
  <si>
    <t>0.0082657001000000</t>
  </si>
  <si>
    <t>0.0443872158000000</t>
  </si>
  <si>
    <t>0.0429320000000000</t>
  </si>
  <si>
    <t>5520.8677380000</t>
  </si>
  <si>
    <t>775.7536860000</t>
  </si>
  <si>
    <t>42932.7874000000</t>
  </si>
  <si>
    <t>-92335.460000</t>
  </si>
  <si>
    <t>168900.00</t>
  </si>
  <si>
    <t>1.82919974622967167759</t>
  </si>
  <si>
    <t>-92335.46000000000000000000000000</t>
  </si>
  <si>
    <t>293963.89</t>
  </si>
  <si>
    <t>144312.98</t>
  </si>
  <si>
    <t>131555.05</t>
  </si>
  <si>
    <t>293963.89000000000000000000</t>
  </si>
  <si>
    <t>275868.03000000000000000000</t>
  </si>
  <si>
    <t>2.9886460452000000</t>
  </si>
  <si>
    <t>6.1767366192000000</t>
  </si>
  <si>
    <t>41.0360374403340000</t>
  </si>
  <si>
    <t>32565958.1178900000</t>
  </si>
  <si>
    <t>4575956.7614990000</t>
  </si>
  <si>
    <t>253247906.8357400000</t>
  </si>
  <si>
    <t>-8876311.270000</t>
  </si>
  <si>
    <t>31138941.82</t>
  </si>
  <si>
    <t>3.50809484625024872522</t>
  </si>
  <si>
    <t>-8876311.27000000000000000000000000</t>
  </si>
  <si>
    <t>7486770.27</t>
  </si>
  <si>
    <t>17268750.00</t>
  </si>
  <si>
    <t>1914732.00</t>
  </si>
  <si>
    <t>7486770.27000000000000000000</t>
  </si>
  <si>
    <t>19183482.00000000000000000000</t>
  </si>
  <si>
    <t>47.1403130000000000</t>
  </si>
  <si>
    <t>8415630.7150870000</t>
  </si>
  <si>
    <t>3781308.6010200000</t>
  </si>
  <si>
    <t>47140313.8927160000</t>
  </si>
  <si>
    <t>57.0914450000</t>
  </si>
  <si>
    <t>306.5839600000</t>
  </si>
  <si>
    <t>-148516.760000</t>
  </si>
  <si>
    <t>664000.00</t>
  </si>
  <si>
    <t>4.47087587959769658320</t>
  </si>
  <si>
    <t>-148516.76000000000000000000000000</t>
  </si>
  <si>
    <t>E31336</t>
  </si>
  <si>
    <t>2024-07-12 00:00:00.0</t>
  </si>
  <si>
    <t>218474.54</t>
  </si>
  <si>
    <t>336334.49</t>
  </si>
  <si>
    <t>218474.54000000000000000000</t>
  </si>
  <si>
    <t>336334.49000000000000000000</t>
  </si>
  <si>
    <t>3.6008252518000000</t>
  </si>
  <si>
    <t>19.3366085844000000</t>
  </si>
  <si>
    <t>17.7282388676220000</t>
  </si>
  <si>
    <t>36194709.0749560000</t>
  </si>
  <si>
    <t>6050431.3479130000</t>
  </si>
  <si>
    <t>66226998.6081900000</t>
  </si>
  <si>
    <t>-27.320000</t>
  </si>
  <si>
    <t>120000.52</t>
  </si>
  <si>
    <t>4392.40556368960468521229</t>
  </si>
  <si>
    <t>-27.32000000000000000000000000</t>
  </si>
  <si>
    <t>2123882.85</t>
  </si>
  <si>
    <t>2123882.85000000000000000000</t>
  </si>
  <si>
    <t>0.0019464109000000</t>
  </si>
  <si>
    <t>0.0104523222000000</t>
  </si>
  <si>
    <t>0.0008089470960000</t>
  </si>
  <si>
    <t>12035172.4400000000</t>
  </si>
  <si>
    <t>5406844.5650000000</t>
  </si>
  <si>
    <t>67412258.9000000000</t>
  </si>
  <si>
    <t>-173047.030000</t>
  </si>
  <si>
    <t>848700.00</t>
  </si>
  <si>
    <t>E32308</t>
  </si>
  <si>
    <t>626554.39</t>
  </si>
  <si>
    <t>983032.62</t>
  </si>
  <si>
    <t>626554.39000000000000000000</t>
  </si>
  <si>
    <t>983032.62000000000000000000</t>
  </si>
  <si>
    <t>69696702.8038120000</t>
  </si>
  <si>
    <t>33105319.3165360000</t>
  </si>
  <si>
    <t>317063205.1131200000</t>
  </si>
  <si>
    <t>4.90444707430113073885</t>
  </si>
  <si>
    <t>-173047.03000000000000000000000000</t>
  </si>
  <si>
    <t>3.1797982447000000</t>
  </si>
  <si>
    <t>17.0756728626000000</t>
  </si>
  <si>
    <t>34.0874651695500000</t>
  </si>
  <si>
    <t>-3057641.410000</t>
  </si>
  <si>
    <t>4563750.00</t>
  </si>
  <si>
    <t>1.49257201484591353699</t>
  </si>
  <si>
    <t>-3057641.41000000000000000000000000</t>
  </si>
  <si>
    <t>A15419</t>
  </si>
  <si>
    <t>2023-12-06 00:00:00.0</t>
  </si>
  <si>
    <t>3059741.68</t>
  </si>
  <si>
    <t>2601237.15</t>
  </si>
  <si>
    <t>3059741.68000000000000000000</t>
  </si>
  <si>
    <t>2601237.15000000000000000000</t>
  </si>
  <si>
    <t>16.2385220000000000</t>
  </si>
  <si>
    <t>2898949.8208210000</t>
  </si>
  <si>
    <t>1302555.2406600000</t>
  </si>
  <si>
    <t>16238522.0002280000</t>
  </si>
  <si>
    <t>82.7079570000</t>
  </si>
  <si>
    <t>206.9204330000</t>
  </si>
  <si>
    <t>-43544.830000</t>
  </si>
  <si>
    <t>191913.00</t>
  </si>
  <si>
    <t>4.40725110191037604234</t>
  </si>
  <si>
    <t>-43544.83000000000000000000000000</t>
  </si>
  <si>
    <t>247525.32</t>
  </si>
  <si>
    <t>39981.61</t>
  </si>
  <si>
    <t>19639.59</t>
  </si>
  <si>
    <t>247525.32000000000000000000</t>
  </si>
  <si>
    <t>59621.20000000000000000000</t>
  </si>
  <si>
    <t>1.9591280331000000</t>
  </si>
  <si>
    <t>10.5206138298000000</t>
  </si>
  <si>
    <t>11.2248430417240000</t>
  </si>
  <si>
    <t>43271288.7169800000</t>
  </si>
  <si>
    <t>7233376.6014150000</t>
  </si>
  <si>
    <t>79175317.3564500000</t>
  </si>
  <si>
    <t>-521099.750000</t>
  </si>
  <si>
    <t>1003000.00</t>
  </si>
  <si>
    <t>E32302</t>
  </si>
  <si>
    <t>2024-08-19 00:00:00.0</t>
  </si>
  <si>
    <t>5987410.55</t>
  </si>
  <si>
    <t>5965788.21</t>
  </si>
  <si>
    <t>4592231.51</t>
  </si>
  <si>
    <t>5987410.55000000000000000000</t>
  </si>
  <si>
    <t>10558019.72000000000000000000</t>
  </si>
  <si>
    <t>2253694422.0683830000</t>
  </si>
  <si>
    <t>1070484979.6766740000</t>
  </si>
  <si>
    <t>10252473188.2650800000</t>
  </si>
  <si>
    <t>1.92477543886751049103</t>
  </si>
  <si>
    <t>-521099.75000000000000000000000000</t>
  </si>
  <si>
    <t>42.8076680444000000</t>
  </si>
  <si>
    <t>229.8792814152000000</t>
  </si>
  <si>
    <t>322.9016430560600000</t>
  </si>
  <si>
    <t>-2662151.740000</t>
  </si>
  <si>
    <t>77530000.00</t>
  </si>
  <si>
    <t>29.12305817699181940695</t>
  </si>
  <si>
    <t>-2662151.74000000000000000000000000</t>
  </si>
  <si>
    <t>-32953525.00</t>
  </si>
  <si>
    <t>-32953525.00000000000000000000</t>
  </si>
  <si>
    <t>21.3985030000000000</t>
  </si>
  <si>
    <t>3820125.3262240000</t>
  </si>
  <si>
    <t>1716457.5350400000</t>
  </si>
  <si>
    <t>21398503.9368320000</t>
  </si>
  <si>
    <t>138.0418130000</t>
  </si>
  <si>
    <t>345.3557890000</t>
  </si>
  <si>
    <t>-5311918.690000</t>
  </si>
  <si>
    <t>7662132.90</t>
  </si>
  <si>
    <t>1.44244167638040408333</t>
  </si>
  <si>
    <t>-5311918.69000000000000000000000000</t>
  </si>
  <si>
    <t>2024-06-21 00:00:00.0</t>
  </si>
  <si>
    <t>2267903.72</t>
  </si>
  <si>
    <t>4111819.43</t>
  </si>
  <si>
    <t>369284.61</t>
  </si>
  <si>
    <t>2267903.72000000000000000000</t>
  </si>
  <si>
    <t>4481104.04000000000000000000</t>
  </si>
  <si>
    <t>4.3631370141120000</t>
  </si>
  <si>
    <t>12.2781559106880000</t>
  </si>
  <si>
    <t>1531.7908080000000000</t>
  </si>
  <si>
    <t>336718619.6802340000</t>
  </si>
  <si>
    <t>159937870.5508100000</t>
  </si>
  <si>
    <t>1531790808.0945800000</t>
  </si>
  <si>
    <t>12.5672180000</t>
  </si>
  <si>
    <t>35.3649820000</t>
  </si>
  <si>
    <t>-5295095.970000</t>
  </si>
  <si>
    <t>7637867.10</t>
  </si>
  <si>
    <t>1.44244167495230497210</t>
  </si>
  <si>
    <t>-5295095.97000000000000000000000000</t>
  </si>
  <si>
    <t>4.3493130743120000</t>
  </si>
  <si>
    <t>12.2392544304880000</t>
  </si>
  <si>
    <t>PC0656989000000</t>
  </si>
  <si>
    <t>31641600000001040PC0656989000000</t>
  </si>
  <si>
    <t>-9715959.730000</t>
  </si>
  <si>
    <t>24804122.25</t>
  </si>
  <si>
    <t>2.55292559245714370617</t>
  </si>
  <si>
    <t>-9715959.73000000000000000000000000</t>
  </si>
  <si>
    <t>E31337</t>
  </si>
  <si>
    <t>83719665.74</t>
  </si>
  <si>
    <t>31136839.35</t>
  </si>
  <si>
    <t>13444208.72</t>
  </si>
  <si>
    <t>83719665.74000000000000000000</t>
  </si>
  <si>
    <t>44581048.07000000000000000000</t>
  </si>
  <si>
    <t>1931.1425347825920000</t>
  </si>
  <si>
    <t>2092528232.1353150000</t>
  </si>
  <si>
    <t>1422725972.6692350000</t>
  </si>
  <si>
    <t>25501037064.9469500000</t>
  </si>
  <si>
    <t>324.6825090000</t>
  </si>
  <si>
    <t>1743.5615640000</t>
  </si>
  <si>
    <t>-2993233.540000</t>
  </si>
  <si>
    <t>897600.00</t>
  </si>
  <si>
    <t>11397600.00</t>
  </si>
  <si>
    <t>0.07875342177300484312</t>
  </si>
  <si>
    <t>0.29987636714775018858</t>
  </si>
  <si>
    <t>-235727.38344072436300922224480000</t>
  </si>
  <si>
    <t>4704987.74</t>
  </si>
  <si>
    <t>4704987.74000000000000000000</t>
  </si>
  <si>
    <t>15.8964640000000000</t>
  </si>
  <si>
    <t>2837884.7192740000</t>
  </si>
  <si>
    <t>1275117.4880400000</t>
  </si>
  <si>
    <t>15896464.6842320000</t>
  </si>
  <si>
    <t>0.5281260000</t>
  </si>
  <si>
    <t>1.3212760000</t>
  </si>
  <si>
    <t>5100000.00</t>
  </si>
  <si>
    <t>0.44746262371025479048</t>
  </si>
  <si>
    <t>1.70384299515767152602</t>
  </si>
  <si>
    <t>-1339360.13318593388081040869920000</t>
  </si>
  <si>
    <t>3.0973860000</t>
  </si>
  <si>
    <t>7.7491040000</t>
  </si>
  <si>
    <t>5400000.00</t>
  </si>
  <si>
    <t>0.47378395451674036639</t>
  </si>
  <si>
    <t>1.80406905369635808637</t>
  </si>
  <si>
    <t>-1418146.02337334175615043672060000</t>
  </si>
  <si>
    <t>3.2401230000</t>
  </si>
  <si>
    <t>8.1062050000</t>
  </si>
  <si>
    <t>-601467.800000</t>
  </si>
  <si>
    <t>82630.00</t>
  </si>
  <si>
    <t>1280630.00</t>
  </si>
  <si>
    <t>0.06452293012033139938</t>
  </si>
  <si>
    <t>0.13738058795499941975</t>
  </si>
  <si>
    <t>-38808.46482902946205600996400000</t>
  </si>
  <si>
    <t>2024-07-01 00:00:00.0</t>
  </si>
  <si>
    <t>4406927.36</t>
  </si>
  <si>
    <t>18435466.94</t>
  </si>
  <si>
    <t>1155350.06</t>
  </si>
  <si>
    <t>4406927.36000000000000000000</t>
  </si>
  <si>
    <t>19590817.00000000000000000000</t>
  </si>
  <si>
    <t>47.2812320000000000</t>
  </si>
  <si>
    <t>8440787.9986890000</t>
  </si>
  <si>
    <t>3792612.2639400000</t>
  </si>
  <si>
    <t>47281232.8904520000</t>
  </si>
  <si>
    <t>0.0108480000</t>
  </si>
  <si>
    <t>0.0582530000</t>
  </si>
  <si>
    <t>1198000.00</t>
  </si>
  <si>
    <t>0.93547706987966860061</t>
  </si>
  <si>
    <t>1.99179407442925456691</t>
  </si>
  <si>
    <t>-562659.33517097053793797535800000</t>
  </si>
  <si>
    <t>2.5676000000</t>
  </si>
  <si>
    <t>5.2924000000</t>
  </si>
  <si>
    <t>-6238141.890000</t>
  </si>
  <si>
    <t>9269241.95</t>
  </si>
  <si>
    <t>1.48589790252430439667</t>
  </si>
  <si>
    <t>-6238141.89000000000000000000000000</t>
  </si>
  <si>
    <t>50.1996860000</t>
  </si>
  <si>
    <t>125.5905860000</t>
  </si>
  <si>
    <t>-2063236.000000</t>
  </si>
  <si>
    <t>3065758.05</t>
  </si>
  <si>
    <t>1.48589790503849293052</t>
  </si>
  <si>
    <t>-2063236.00000000000000000000000000</t>
  </si>
  <si>
    <t>-96496.570000</t>
  </si>
  <si>
    <t>180600.00</t>
  </si>
  <si>
    <t>658225.39</t>
  </si>
  <si>
    <t>361203.06</t>
  </si>
  <si>
    <t>167169.41</t>
  </si>
  <si>
    <t>658225.39000000000000000000</t>
  </si>
  <si>
    <t>528372.47000000000000000000</t>
  </si>
  <si>
    <t>125157799.3406920000</t>
  </si>
  <si>
    <t>20921805.7533910000</t>
  </si>
  <si>
    <t>229006548.5973300000</t>
  </si>
  <si>
    <t>1.87156911380373416381</t>
  </si>
  <si>
    <t>-96496.57000000000000000000000000</t>
  </si>
  <si>
    <t>8.4225040095000000</t>
  </si>
  <si>
    <t>45.2292605010000000</t>
  </si>
  <si>
    <t>18.6232704964560000</t>
  </si>
  <si>
    <t>-9408.750000</t>
  </si>
  <si>
    <t>352563.00</t>
  </si>
  <si>
    <t>E32323</t>
  </si>
  <si>
    <t>66178237.54</t>
  </si>
  <si>
    <t>6621731.96</t>
  </si>
  <si>
    <t>319571.37</t>
  </si>
  <si>
    <t>66178237.54000000000000000000</t>
  </si>
  <si>
    <t>6941303.33000000000000000000</t>
  </si>
  <si>
    <t>4241287.1469440000</t>
  </si>
  <si>
    <t>1905413.5263440000</t>
  </si>
  <si>
    <t>23756597.4766400000</t>
  </si>
  <si>
    <t>37.47182144280589876444</t>
  </si>
  <si>
    <t>-9408.75000000000000000000000000</t>
  </si>
  <si>
    <t>0.4692683212000000</t>
  </si>
  <si>
    <t>2.5199939496000000</t>
  </si>
  <si>
    <t>0.0030408444160000</t>
  </si>
  <si>
    <t>-11201261.480000</t>
  </si>
  <si>
    <t>2009200.00</t>
  </si>
  <si>
    <t>21449100.00</t>
  </si>
  <si>
    <t>0.09367292800164109449</t>
  </si>
  <si>
    <t>0.17937265401646529547</t>
  </si>
  <si>
    <t>-1049254.96014359576849587724520000</t>
  </si>
  <si>
    <t>2024-09-19 00:00:00.0</t>
  </si>
  <si>
    <t>26220778.85</t>
  </si>
  <si>
    <t>26220778.85000000000000000000</t>
  </si>
  <si>
    <t>59.4876590000000000</t>
  </si>
  <si>
    <t>10619916.0091880000</t>
  </si>
  <si>
    <t>4771737.3904800000</t>
  </si>
  <si>
    <t>59487659.4679840000</t>
  </si>
  <si>
    <t>1.7681750000</t>
  </si>
  <si>
    <t>9.4951900000</t>
  </si>
  <si>
    <t>7952600.00</t>
  </si>
  <si>
    <t>0.37076613937181513443</t>
  </si>
  <si>
    <t>0.70997360558000294088</t>
  </si>
  <si>
    <t>-4153048.47503382426297178075640000</t>
  </si>
  <si>
    <t>2.9939650000</t>
  </si>
  <si>
    <t>16.0777450000</t>
  </si>
  <si>
    <t>6556700.00</t>
  </si>
  <si>
    <t>0.30568648568005184366</t>
  </si>
  <si>
    <t>0.58535371321409416825</t>
  </si>
  <si>
    <t>-3424074.25700453632079174021680000</t>
  </si>
  <si>
    <t>3.6773700000</t>
  </si>
  <si>
    <t>19.7476650000</t>
  </si>
  <si>
    <t>4930600.00</t>
  </si>
  <si>
    <t>0.22987444694649192740</t>
  </si>
  <si>
    <t>0.44018256415169410008</t>
  </si>
  <si>
    <t>-2574883.78781804364751657655200000</t>
  </si>
  <si>
    <t>2.5600570000</t>
  </si>
  <si>
    <t>13.7476370000</t>
  </si>
  <si>
    <t>-700794.420000</t>
  </si>
  <si>
    <t>753000.00</t>
  </si>
  <si>
    <t>1.07449485685117184580</t>
  </si>
  <si>
    <t>-700794.42000000000000000000000000</t>
  </si>
  <si>
    <t>E32314</t>
  </si>
  <si>
    <t>6677903.97</t>
  </si>
  <si>
    <t>990573.18</t>
  </si>
  <si>
    <t>176483.71</t>
  </si>
  <si>
    <t>6677903.97000000000000000000</t>
  </si>
  <si>
    <t>1167056.89000000000000000000</t>
  </si>
  <si>
    <t>9.0698994771000000</t>
  </si>
  <si>
    <t>48.7058059818000000</t>
  </si>
  <si>
    <t>12.0988027632900000</t>
  </si>
  <si>
    <t>24180122.7200000000</t>
  </si>
  <si>
    <t>10863007.2200000000</t>
  </si>
  <si>
    <t>135439413.2000000000</t>
  </si>
  <si>
    <t>-110862.460000</t>
  </si>
  <si>
    <t>314550.00</t>
  </si>
  <si>
    <t>121467.23</t>
  </si>
  <si>
    <t>99666.62</t>
  </si>
  <si>
    <t>262757.01</t>
  </si>
  <si>
    <t>121467.23000000000000000000</t>
  </si>
  <si>
    <t>362423.63000000000000000000</t>
  </si>
  <si>
    <t>44708883.5614800000</t>
  </si>
  <si>
    <t>6282201.7178680000</t>
  </si>
  <si>
    <t>347676894.3176800000</t>
  </si>
  <si>
    <t>2.83729947901210202263</t>
  </si>
  <si>
    <t>-110862.46000000000000000000000000</t>
  </si>
  <si>
    <t>7.7411118134000000</t>
  </si>
  <si>
    <t>41.5701509172000000</t>
  </si>
  <si>
    <t>79.6548624767640000</t>
  </si>
  <si>
    <t>-8936533.880000</t>
  </si>
  <si>
    <t>23588087.20</t>
  </si>
  <si>
    <t>2.63951186407855928142</t>
  </si>
  <si>
    <t>-8936533.88000000000000000000000000</t>
  </si>
  <si>
    <t>-63202.74</t>
  </si>
  <si>
    <t>35175971.45</t>
  </si>
  <si>
    <t>-63202.74000000000000000000</t>
  </si>
  <si>
    <t>35175971.45000000000000000000</t>
  </si>
  <si>
    <t>47.4601440000000000</t>
  </si>
  <si>
    <t>8472727.7716280000</t>
  </si>
  <si>
    <t>3806963.4328800000</t>
  </si>
  <si>
    <t>47460144.1299040000</t>
  </si>
  <si>
    <t>55.0956000000</t>
  </si>
  <si>
    <t>113.5644000000</t>
  </si>
  <si>
    <t>89</t>
  </si>
  <si>
    <t>0000</t>
  </si>
  <si>
    <t>00001015509</t>
  </si>
  <si>
    <t>000430000620825</t>
  </si>
  <si>
    <t>89000000001015509000430000620825</t>
  </si>
  <si>
    <t>7400684428</t>
  </si>
  <si>
    <t>89000016519950000000000000000000</t>
  </si>
  <si>
    <t>1</t>
  </si>
  <si>
    <t>2</t>
  </si>
  <si>
    <t>0006568041</t>
  </si>
  <si>
    <t>2023</t>
  </si>
  <si>
    <t>212</t>
  </si>
  <si>
    <t>2024-07-19</t>
  </si>
  <si>
    <t>89000000000000000000000010155092</t>
  </si>
  <si>
    <t>31</t>
  </si>
  <si>
    <t>0003</t>
  </si>
  <si>
    <t>20152723096</t>
  </si>
  <si>
    <t>000000000000000</t>
  </si>
  <si>
    <t>31000320152723096000000000000000</t>
  </si>
  <si>
    <t>7401305222</t>
  </si>
  <si>
    <t>31009019096870000000000000000000</t>
  </si>
  <si>
    <t>0007174986</t>
  </si>
  <si>
    <t>2024-07-31</t>
  </si>
  <si>
    <t>0006</t>
  </si>
  <si>
    <t>01359068096</t>
  </si>
  <si>
    <t>31000601359068096000000000000000</t>
  </si>
  <si>
    <t>5100668955</t>
  </si>
  <si>
    <t>31000016851570000000000000000000</t>
  </si>
  <si>
    <t>0007194660</t>
  </si>
  <si>
    <t>2024-06-25</t>
  </si>
  <si>
    <t>00001019131</t>
  </si>
  <si>
    <t>000430000749534</t>
  </si>
  <si>
    <t>89000000001019131000430000749534</t>
  </si>
  <si>
    <t>7402157974</t>
  </si>
  <si>
    <t>89000017787460000000000000000000</t>
  </si>
  <si>
    <t>0009403831</t>
  </si>
  <si>
    <t>2024-08-23</t>
  </si>
  <si>
    <t>89000000000000000000000010191312</t>
  </si>
  <si>
    <t>00001009945</t>
  </si>
  <si>
    <t>000430000410711</t>
  </si>
  <si>
    <t>89000000001009945000430000410711</t>
  </si>
  <si>
    <t>3941004497</t>
  </si>
  <si>
    <t>89000016537130000000000000000000</t>
  </si>
  <si>
    <t>4</t>
  </si>
  <si>
    <t>0000267189</t>
  </si>
  <si>
    <t>2024-08-08</t>
  </si>
  <si>
    <t>89000000000000000000000010099454</t>
  </si>
  <si>
    <t>89000000000000000000000010099452</t>
  </si>
  <si>
    <t>89000000000000000000000010099453</t>
  </si>
  <si>
    <t>20202684096</t>
  </si>
  <si>
    <t>31000320202684096000000000000000</t>
  </si>
  <si>
    <t>7401644799</t>
  </si>
  <si>
    <t>31003219017870000000000000000000</t>
  </si>
  <si>
    <t>0008606539</t>
  </si>
  <si>
    <t>2024-06-14</t>
  </si>
  <si>
    <t>20686399096</t>
  </si>
  <si>
    <t>31000320686399096000000000000000</t>
  </si>
  <si>
    <t>7400333169</t>
  </si>
  <si>
    <t>31009019299980000000000000000000</t>
  </si>
  <si>
    <t>0006219235</t>
  </si>
  <si>
    <t>2024-08-07</t>
  </si>
  <si>
    <t>20686423096</t>
  </si>
  <si>
    <t>31000320686423096000000000000000</t>
  </si>
  <si>
    <t>20686381096</t>
  </si>
  <si>
    <t>31000320686381096000000000000000</t>
  </si>
  <si>
    <t>20222153096</t>
  </si>
  <si>
    <t>31000320222153096000000000000000</t>
  </si>
  <si>
    <t>1700018758</t>
  </si>
  <si>
    <t>31009018934520000000000000000000</t>
  </si>
  <si>
    <t>0001283958</t>
  </si>
  <si>
    <t>2024-12-02</t>
  </si>
  <si>
    <t>00001019175</t>
  </si>
  <si>
    <t>000430000535021</t>
  </si>
  <si>
    <t>89000000001019175000430000535021</t>
  </si>
  <si>
    <t>8046573986</t>
  </si>
  <si>
    <t>89000018157010000000000000000000</t>
  </si>
  <si>
    <t>0005464278</t>
  </si>
  <si>
    <t>2024-07-30</t>
  </si>
  <si>
    <t>89000000000000000000000010191752</t>
  </si>
  <si>
    <t>20573498096</t>
  </si>
  <si>
    <t>31000320573498096000000000000000</t>
  </si>
  <si>
    <t>7401643678</t>
  </si>
  <si>
    <t>31009017764040000000000000000000</t>
  </si>
  <si>
    <t>0008605420</t>
  </si>
  <si>
    <t>2024-08-01</t>
  </si>
  <si>
    <t>20434279096</t>
  </si>
  <si>
    <t>31000320434279096000000000000000</t>
  </si>
  <si>
    <t>7401693322</t>
  </si>
  <si>
    <t>31003219199900001000000000000000</t>
  </si>
  <si>
    <t>0008655556</t>
  </si>
  <si>
    <t>2024-06-07</t>
  </si>
  <si>
    <t>18724830096</t>
  </si>
  <si>
    <t>31000318724830096000000000000000</t>
  </si>
  <si>
    <t>7401646205</t>
  </si>
  <si>
    <t>31009017763930000000000000000000</t>
  </si>
  <si>
    <t>0008607983</t>
  </si>
  <si>
    <t>2022</t>
  </si>
  <si>
    <t>2024-10-15</t>
  </si>
  <si>
    <t>6416</t>
  </si>
  <si>
    <t>00000001093</t>
  </si>
  <si>
    <t>8042264407</t>
  </si>
  <si>
    <t>31000018809560000000000000000000</t>
  </si>
  <si>
    <t>0004876072</t>
  </si>
  <si>
    <t>2024-12-05</t>
  </si>
  <si>
    <t>01493743096</t>
  </si>
  <si>
    <t>31000601493743096000000000000000</t>
  </si>
  <si>
    <t>5100706413</t>
  </si>
  <si>
    <t>31000016851610000000000000000000</t>
  </si>
  <si>
    <t>0009122284</t>
  </si>
  <si>
    <t>2024-08-06</t>
  </si>
  <si>
    <t>20103544096</t>
  </si>
  <si>
    <t>31000320103544096000000000000000</t>
  </si>
  <si>
    <t>8046441061</t>
  </si>
  <si>
    <t>31000017264960000000000000000000</t>
  </si>
  <si>
    <t>0005276783</t>
  </si>
  <si>
    <t>00001008841</t>
  </si>
  <si>
    <t>000430000529825</t>
  </si>
  <si>
    <t>89000000001008841000430000529825</t>
  </si>
  <si>
    <t>8046468231</t>
  </si>
  <si>
    <t>89000016501340000000000000000000</t>
  </si>
  <si>
    <t>3</t>
  </si>
  <si>
    <t>0005314516</t>
  </si>
  <si>
    <t>2024-08-02</t>
  </si>
  <si>
    <t>89000000000000000000000010088413</t>
  </si>
  <si>
    <t>89000000000000000000000010088412</t>
  </si>
  <si>
    <t>0008</t>
  </si>
  <si>
    <t>00726420096</t>
  </si>
  <si>
    <t>31000800726420096000000000000000</t>
  </si>
  <si>
    <t>2101319323</t>
  </si>
  <si>
    <t>31083215007270000000000000000000</t>
  </si>
  <si>
    <t>8</t>
  </si>
  <si>
    <t>0007179517</t>
  </si>
  <si>
    <t>31083215007260000000000000000000</t>
  </si>
  <si>
    <t>31083215007250000000000000000000</t>
  </si>
  <si>
    <t>31083215007230000000000000000000</t>
  </si>
  <si>
    <t>31083215007190000000000000000000</t>
  </si>
  <si>
    <t>31083215007220000000000000000000</t>
  </si>
  <si>
    <t>31083215007160000000000000000000</t>
  </si>
  <si>
    <t>31083215007180000000000000000000</t>
  </si>
  <si>
    <t>12992623096</t>
  </si>
  <si>
    <t>31000312992623096000000000000000</t>
  </si>
  <si>
    <t>8007537441</t>
  </si>
  <si>
    <t>31000016800950000000000000000000</t>
  </si>
  <si>
    <t>0003292468</t>
  </si>
  <si>
    <t>2024-09-24</t>
  </si>
  <si>
    <t>00001005631</t>
  </si>
  <si>
    <t>000430000579007</t>
  </si>
  <si>
    <t>89000000001005631000430000579007</t>
  </si>
  <si>
    <t>8040603741</t>
  </si>
  <si>
    <t>89000000000000000000000010056312</t>
  </si>
  <si>
    <t>0004777942</t>
  </si>
  <si>
    <t>2023-10-27</t>
  </si>
  <si>
    <t>89000018027280000000000000000000</t>
  </si>
  <si>
    <t>17221713096</t>
  </si>
  <si>
    <t>31000317221713096000000000000000</t>
  </si>
  <si>
    <t>7402342117</t>
  </si>
  <si>
    <t>31009018091900000000000000000000</t>
  </si>
  <si>
    <t>0009563873</t>
  </si>
  <si>
    <t>20434311096</t>
  </si>
  <si>
    <t>31000320434311096000000000000000</t>
  </si>
  <si>
    <t>7400608957</t>
  </si>
  <si>
    <t>31009015258570000000000000000000</t>
  </si>
  <si>
    <t>0006495839</t>
  </si>
  <si>
    <t>2024-07-26</t>
  </si>
  <si>
    <t>00001008499</t>
  </si>
  <si>
    <t>000430000620132</t>
  </si>
  <si>
    <t>89000000001008499000430000620132</t>
  </si>
  <si>
    <t>7400690964</t>
  </si>
  <si>
    <t>89000000000000000000000200009874</t>
  </si>
  <si>
    <t>0006574028</t>
  </si>
  <si>
    <t>2024-07-16</t>
  </si>
  <si>
    <t>89000016536720000000000000000000</t>
  </si>
  <si>
    <t>20434212096</t>
  </si>
  <si>
    <t>31000320434212096000000000000000</t>
  </si>
  <si>
    <t>7401277197</t>
  </si>
  <si>
    <t>31003219199810000000000000000000</t>
  </si>
  <si>
    <t>0007147210</t>
  </si>
  <si>
    <t>31003219199830001000000000000000</t>
  </si>
  <si>
    <t>00001016042</t>
  </si>
  <si>
    <t>000430000705718</t>
  </si>
  <si>
    <t>89000000001016042000430000705718</t>
  </si>
  <si>
    <t>7401785652</t>
  </si>
  <si>
    <t>89000016520510000000000000000000</t>
  </si>
  <si>
    <t>0009058037</t>
  </si>
  <si>
    <t>2024-07-18</t>
  </si>
  <si>
    <t>89000000000000000000000010160421</t>
  </si>
  <si>
    <t>16304643096</t>
  </si>
  <si>
    <t>31000316304643096000000000000000</t>
  </si>
  <si>
    <t>7402177910</t>
  </si>
  <si>
    <t>31003217898000001000000000000000</t>
  </si>
  <si>
    <t>0009420706</t>
  </si>
  <si>
    <t>18922996096</t>
  </si>
  <si>
    <t>31000318922996096000000000000000</t>
  </si>
  <si>
    <t>7402251180</t>
  </si>
  <si>
    <t>31003218390330000000000000000000</t>
  </si>
  <si>
    <t>0009483704</t>
  </si>
  <si>
    <t>2023-04-26</t>
  </si>
  <si>
    <t>00001017876</t>
  </si>
  <si>
    <t>000430000633397</t>
  </si>
  <si>
    <t>89000000001017876000430000633397</t>
  </si>
  <si>
    <t>7400669379</t>
  </si>
  <si>
    <t>89000000000000000000000010178763</t>
  </si>
  <si>
    <t>0006554415</t>
  </si>
  <si>
    <t>2024-07-23</t>
  </si>
  <si>
    <t>89000017143110000000000000000000</t>
  </si>
  <si>
    <t>89000017143120000000000000000000</t>
  </si>
  <si>
    <t>19692259096</t>
  </si>
  <si>
    <t>31000319692259096000000000000000</t>
  </si>
  <si>
    <t>7402103117</t>
  </si>
  <si>
    <t>31003217135280000000000000000000</t>
  </si>
  <si>
    <t>0009358684</t>
  </si>
  <si>
    <t>19692283096</t>
  </si>
  <si>
    <t>31000319692283096000000000000000</t>
  </si>
  <si>
    <t>20103320096</t>
  </si>
  <si>
    <t>31000320103320096000000000000000</t>
  </si>
  <si>
    <t>9002632404</t>
  </si>
  <si>
    <t>31000017267040000000000000000000</t>
  </si>
  <si>
    <t>0005390075</t>
  </si>
  <si>
    <t>10504024096</t>
  </si>
  <si>
    <t>31000310504024096000000000000000</t>
  </si>
  <si>
    <t>3461000405</t>
  </si>
  <si>
    <t>31003214691010000000000000000000</t>
  </si>
  <si>
    <t>0006017267</t>
  </si>
  <si>
    <t>2024-06-26</t>
  </si>
  <si>
    <t>31003214691000000000000000000000</t>
  </si>
  <si>
    <t>00001015405</t>
  </si>
  <si>
    <t>000430000683959</t>
  </si>
  <si>
    <t>89000000001015405000430000683959</t>
  </si>
  <si>
    <t>7401437994</t>
  </si>
  <si>
    <t>89000000000000000000000010154052</t>
  </si>
  <si>
    <t>0007305209</t>
  </si>
  <si>
    <t>2024-10-24</t>
  </si>
  <si>
    <t>89000016524070000000000000000000</t>
  </si>
  <si>
    <t>00001008191</t>
  </si>
  <si>
    <t>000430000502600</t>
  </si>
  <si>
    <t>89000000001008191000430000502600</t>
  </si>
  <si>
    <t>0000015097</t>
  </si>
  <si>
    <t>89000000000000000000000010081911</t>
  </si>
  <si>
    <t>0006083277</t>
  </si>
  <si>
    <t>2017</t>
  </si>
  <si>
    <t>2019-01-28</t>
  </si>
  <si>
    <t>89000000000000000000000010081912</t>
  </si>
  <si>
    <t>11194676096</t>
  </si>
  <si>
    <t>31000311194676096000000000000000</t>
  </si>
  <si>
    <t>7400129503</t>
  </si>
  <si>
    <t>31009015488960000000000000000000</t>
  </si>
  <si>
    <t>0005771541</t>
  </si>
  <si>
    <t>2024-09-13</t>
  </si>
  <si>
    <t>20697180096</t>
  </si>
  <si>
    <t>31000320697180096000000000000000</t>
  </si>
  <si>
    <t>3671001258</t>
  </si>
  <si>
    <t>31003219311010000000000000000000</t>
  </si>
  <si>
    <t>0006027550</t>
  </si>
  <si>
    <t>12992425096</t>
  </si>
  <si>
    <t>31000312992425096000000000000000</t>
  </si>
  <si>
    <t>7400291653</t>
  </si>
  <si>
    <t>31000016802220000000000000000000</t>
  </si>
  <si>
    <t>0006175893</t>
  </si>
  <si>
    <t>00001013824</t>
  </si>
  <si>
    <t>000430000451634</t>
  </si>
  <si>
    <t>89000000001013824000430000451634</t>
  </si>
  <si>
    <t>2100943649</t>
  </si>
  <si>
    <t>89000016517960000000000000000000</t>
  </si>
  <si>
    <t>0007869924</t>
  </si>
  <si>
    <t>2024-07-25</t>
  </si>
  <si>
    <t>89000000000000000000000010138242</t>
  </si>
  <si>
    <t>89000000000000000000000690220060</t>
  </si>
  <si>
    <t>00001018915</t>
  </si>
  <si>
    <t>000430000682331</t>
  </si>
  <si>
    <t>89000000001018915000430000682331</t>
  </si>
  <si>
    <t>7401503004</t>
  </si>
  <si>
    <t>89000017589450000000000000000000</t>
  </si>
  <si>
    <t>12</t>
  </si>
  <si>
    <t>0008465070</t>
  </si>
  <si>
    <t>89000017589470000000000000000000</t>
  </si>
  <si>
    <t>89000017589460000000000000000000</t>
  </si>
  <si>
    <t>89000017589520000000000000000000</t>
  </si>
  <si>
    <t>89000017589490000000000000000000</t>
  </si>
  <si>
    <t>89000017589480000000000000000000</t>
  </si>
  <si>
    <t>89000000000000000000000010189161</t>
  </si>
  <si>
    <t>89000017589530000000000000000000</t>
  </si>
  <si>
    <t>89000018107840000000000000000000</t>
  </si>
  <si>
    <t>89000017589540000000000000000000</t>
  </si>
  <si>
    <t>89000017589500000000000000000000</t>
  </si>
  <si>
    <t>89000017589510000000000000000000</t>
  </si>
  <si>
    <t>00001008236</t>
  </si>
  <si>
    <t>000430000725226</t>
  </si>
  <si>
    <t>89000000001008236000430000725226</t>
  </si>
  <si>
    <t>8046453314</t>
  </si>
  <si>
    <t>89000016532390000000000000000000</t>
  </si>
  <si>
    <t>0006094352</t>
  </si>
  <si>
    <t>89000000000000000000000010082362</t>
  </si>
  <si>
    <t>00001012931</t>
  </si>
  <si>
    <t>000430000674029</t>
  </si>
  <si>
    <t>89000000001012931000430000674029</t>
  </si>
  <si>
    <t>7400133990</t>
  </si>
  <si>
    <t>89000016517140000000000000000000</t>
  </si>
  <si>
    <t>0005776233</t>
  </si>
  <si>
    <t>89000016517130000000000000000000</t>
  </si>
  <si>
    <t>89000000000000000000000010129312</t>
  </si>
  <si>
    <t>89000016517120000000000000000000</t>
  </si>
  <si>
    <t>12851621096</t>
  </si>
  <si>
    <t>31000312851621096000000000000000</t>
  </si>
  <si>
    <t>7401575504</t>
  </si>
  <si>
    <t>31009016439140000000000000000000</t>
  </si>
  <si>
    <t>0008538835</t>
  </si>
  <si>
    <t>2024-06-13</t>
  </si>
  <si>
    <t>15108748096</t>
  </si>
  <si>
    <t>31000315108748096000000000000000</t>
  </si>
  <si>
    <t>7402227689</t>
  </si>
  <si>
    <t>31009017505770000000000000000000</t>
  </si>
  <si>
    <t>0009463535</t>
  </si>
  <si>
    <t>15108821096</t>
  </si>
  <si>
    <t>31000315108821096000000000000000</t>
  </si>
  <si>
    <t>31009017505790000000000000000000</t>
  </si>
  <si>
    <t>12992581096</t>
  </si>
  <si>
    <t>31000312992581096000000000000000</t>
  </si>
  <si>
    <t>7400930438</t>
  </si>
  <si>
    <t>31000016802210000000000000000000</t>
  </si>
  <si>
    <t>0006805850</t>
  </si>
  <si>
    <t>00001015824</t>
  </si>
  <si>
    <t>000430000653494</t>
  </si>
  <si>
    <t>89000000001015824000430000653494</t>
  </si>
  <si>
    <t>7401002757</t>
  </si>
  <si>
    <t>89000016512890000000000000000000</t>
  </si>
  <si>
    <t>0006877506</t>
  </si>
  <si>
    <t>2020</t>
  </si>
  <si>
    <t>2021-12-15</t>
  </si>
  <si>
    <t>89000000000000000000000010158242</t>
  </si>
  <si>
    <t>00001017629</t>
  </si>
  <si>
    <t>000430000672109</t>
  </si>
  <si>
    <t>89000000001017629000430000672109</t>
  </si>
  <si>
    <t>7401189780</t>
  </si>
  <si>
    <t>89000017030200000000000000000000</t>
  </si>
  <si>
    <t>0007061548</t>
  </si>
  <si>
    <t>89000000000000000000000010176293</t>
  </si>
  <si>
    <t>89000000000000000000000010176292</t>
  </si>
  <si>
    <t>18724319096</t>
  </si>
  <si>
    <t>31000318724319096000000000000000</t>
  </si>
  <si>
    <t>7401646210</t>
  </si>
  <si>
    <t>31009017762840000000000000000000</t>
  </si>
  <si>
    <t>0008607988</t>
  </si>
  <si>
    <t>00001006209</t>
  </si>
  <si>
    <t>000430000584600</t>
  </si>
  <si>
    <t>89000000001006209000430000584600</t>
  </si>
  <si>
    <t>7400467032</t>
  </si>
  <si>
    <t>89000016531160000000000000000000</t>
  </si>
  <si>
    <t>0006353750</t>
  </si>
  <si>
    <t>2024-07-12</t>
  </si>
  <si>
    <t>89000000000000000000000010062092</t>
  </si>
  <si>
    <t>00001006451</t>
  </si>
  <si>
    <t>000430000585665</t>
  </si>
  <si>
    <t>89000000001006451000430000585665</t>
  </si>
  <si>
    <t>7400468366</t>
  </si>
  <si>
    <t>89000000000000000000000010064511</t>
  </si>
  <si>
    <t>0006355092</t>
  </si>
  <si>
    <t>89000000000000000000000010064512</t>
  </si>
  <si>
    <t>00001012564</t>
  </si>
  <si>
    <t>000430000671500</t>
  </si>
  <si>
    <t>89000000001012564000430000671500</t>
  </si>
  <si>
    <t>7401013940</t>
  </si>
  <si>
    <t>89000000000000000000000010125642</t>
  </si>
  <si>
    <t>0009051466</t>
  </si>
  <si>
    <t>89000016506760000000000000000000</t>
  </si>
  <si>
    <t>12973979096</t>
  </si>
  <si>
    <t>31000312973979096000000000000000</t>
  </si>
  <si>
    <t>7401866552</t>
  </si>
  <si>
    <t>31009016407830000000000000000000</t>
  </si>
  <si>
    <t>0009140896</t>
  </si>
  <si>
    <t>2023-12-06</t>
  </si>
  <si>
    <t>00001009363</t>
  </si>
  <si>
    <t>000430000631863</t>
  </si>
  <si>
    <t>89000000001009363000430000631863</t>
  </si>
  <si>
    <t>7400779154</t>
  </si>
  <si>
    <t>89000016501820000000000000000000</t>
  </si>
  <si>
    <t>0006661099</t>
  </si>
  <si>
    <t>89000000000000000000000010093632</t>
  </si>
  <si>
    <t>00001015631</t>
  </si>
  <si>
    <t>000430000597201</t>
  </si>
  <si>
    <t>89000000001015631000430000597201</t>
  </si>
  <si>
    <t>7400201028</t>
  </si>
  <si>
    <t>89000000000000000000000010156314</t>
  </si>
  <si>
    <t>0005849884</t>
  </si>
  <si>
    <t>2024-08-19</t>
  </si>
  <si>
    <t>89000000000000000000000010156312</t>
  </si>
  <si>
    <t>89000016525230000000000000000000</t>
  </si>
  <si>
    <t>89000000000000000000000010156313</t>
  </si>
  <si>
    <t>19881266096</t>
  </si>
  <si>
    <t>31000319881266096000000000000000</t>
  </si>
  <si>
    <t>7400226941</t>
  </si>
  <si>
    <t>31003218992100000000000000000000</t>
  </si>
  <si>
    <t>0005934612</t>
  </si>
  <si>
    <t>19273761096</t>
  </si>
  <si>
    <t>31000319273761096000000000000000</t>
  </si>
  <si>
    <t>7402075044</t>
  </si>
  <si>
    <t>31003218639230000000000000000000</t>
  </si>
  <si>
    <t>0009613231</t>
  </si>
  <si>
    <t>2024-06-21</t>
  </si>
  <si>
    <t>19273951096</t>
  </si>
  <si>
    <t>31000319273951096000000000000000</t>
  </si>
  <si>
    <t>00000001040</t>
  </si>
  <si>
    <t>8009658581</t>
  </si>
  <si>
    <t>31000018742320000000000000000000</t>
  </si>
  <si>
    <t>0009439840</t>
  </si>
  <si>
    <t>20434238096</t>
  </si>
  <si>
    <t>31000320434238096000000000000000</t>
  </si>
  <si>
    <t>7401693385</t>
  </si>
  <si>
    <t>31003219199860001000000000000000</t>
  </si>
  <si>
    <t>0008655619</t>
  </si>
  <si>
    <t>31003219199870001000000000000000</t>
  </si>
  <si>
    <t>31003219199880001000000000000000</t>
  </si>
  <si>
    <t>13528202096</t>
  </si>
  <si>
    <t>31000313528202096000000000000000</t>
  </si>
  <si>
    <t>7401832582</t>
  </si>
  <si>
    <t>31003216806430000000000000000000</t>
  </si>
  <si>
    <t>0009106014</t>
  </si>
  <si>
    <t>2024-07-01</t>
  </si>
  <si>
    <t>31003216800610001000000000000000</t>
  </si>
  <si>
    <t>12588769096</t>
  </si>
  <si>
    <t>31000312588769096000000000000000</t>
  </si>
  <si>
    <t>31003216363470000000000000000000</t>
  </si>
  <si>
    <t>17049759096</t>
  </si>
  <si>
    <t>31000317049759096000000000000000</t>
  </si>
  <si>
    <t>00001016059</t>
  </si>
  <si>
    <t>000430000707007</t>
  </si>
  <si>
    <t>89000000001016059000430000707007</t>
  </si>
  <si>
    <t>7401285095</t>
  </si>
  <si>
    <t>89000000000000000000000010160592</t>
  </si>
  <si>
    <t>0007155057</t>
  </si>
  <si>
    <t>89000016525370000000000000000000</t>
  </si>
  <si>
    <t>00001008701</t>
  </si>
  <si>
    <t>000430000608711</t>
  </si>
  <si>
    <t>89000000001008701000430000608711</t>
  </si>
  <si>
    <t>7400394275</t>
  </si>
  <si>
    <t>89000000000000000000000010087012</t>
  </si>
  <si>
    <t>0006280616</t>
  </si>
  <si>
    <t>89000016501160000000000000000000</t>
  </si>
  <si>
    <t>20332085096</t>
  </si>
  <si>
    <t>31000320332085096000000000000000</t>
  </si>
  <si>
    <t>7401721058</t>
  </si>
  <si>
    <t>31009019003940000000000000000000</t>
  </si>
  <si>
    <t>0008684202</t>
  </si>
  <si>
    <t>2024-09-19</t>
  </si>
  <si>
    <t>31009019003970000000000000000000</t>
  </si>
  <si>
    <t>31009019004000000000000000000000</t>
  </si>
  <si>
    <t>31009019003980000000000000000000</t>
  </si>
  <si>
    <t>00001016245</t>
  </si>
  <si>
    <t>000430000701380</t>
  </si>
  <si>
    <t>89000000001016245000430000701380</t>
  </si>
  <si>
    <t>7401730823</t>
  </si>
  <si>
    <t>89000016525960000000000000000000</t>
  </si>
  <si>
    <t>0008694032</t>
  </si>
  <si>
    <t>89000000000000000000000010162452</t>
  </si>
  <si>
    <t>00001007643</t>
  </si>
  <si>
    <t>000430000596413</t>
  </si>
  <si>
    <t>89000000001007643000430000596413</t>
  </si>
  <si>
    <t>7400589468</t>
  </si>
  <si>
    <t>89000000000000000000000010076434</t>
  </si>
  <si>
    <t>0006476290</t>
  </si>
  <si>
    <t>89000016500170000000000000000000</t>
  </si>
  <si>
    <t>89000000000000000000000010076432</t>
  </si>
  <si>
    <t>89000000000000000000000010076433</t>
  </si>
  <si>
    <t>14210016096</t>
  </si>
  <si>
    <t>31000314210016096000000000000000</t>
  </si>
  <si>
    <t>7401682661</t>
  </si>
  <si>
    <t>31009017124800000000000000000000</t>
  </si>
  <si>
    <t>0008644797</t>
  </si>
  <si>
    <t>89000000001015509000430000620825','31000320152723096000000000000000','31000601359068096000000000000000','89000000001019131000430000749534','89000000001009945000430000410711','31000320202684096000000000000000','31000320686399096000000000000000','31000320686423096000000000000000','31000320686381096000000000000000','31000320222153096000000000000000','89000000001019175000430000535021','31000320573498096000000000000000','31000320434279096000000000000000','31000318724830096000000000000000','31641600000001093PC0645901000000','31000601493743096000000000000000','31000320103544096000000000000000','89000000001008841000430000529825','31000800726420096000000000000000','31000312992623096000000000000000','89000000001005631000430000579007','31000317221713096000000000000000','31000320434311096000000000000000','89000000001008499000430000620132','31000320434212096000000000000000','89000000001016042000430000705718','31000316304643096000000000000000','31000318922996096000000000000000','89000000001017876000430000633397','31000319692259096000000000000000','31000319692283096000000000000000','31000320103320096000000000000000','31000310504024096000000000000000','89000000001015405000430000683959','89000000001008191000430000502600','31000311194676096000000000000000','31000320697180096000000000000000','31000312992425096000000000000000','89000000001013824000430000451634','89000000001018915000430000682331','89000000001008236000430000725226','89000000001012931000430000674029','31000312851621096000000000000000','31000315108748096000000000000000','31000315108821096000000000000000','31000312992581096000000000000000','89000000001015824000430000653494','89000000001017629000430000672109','31000318724319096000000000000000','89000000001006209000430000584600','89000000001006451000430000585665','89000000001012564000430000671500','31000312973979096000000000000000','89000000001009363000430000631863','89000000001015631000430000597201','31000319881266096000000000000000','31000319273761096000000000000000','31000319273951096000000000000000','31641600000001040PC0656989000000','31000320434238096000000000000000','31000313528202096000000000000000','31000312588769096000000000000000','31000317049759096000000000000000','89000000001016059000430000707007','89000000001008701000430000608711','31000320332085096000000000000000','89000000001016245000430000701380','89000000001007643000430000596413','31000314210016096000000000000000'</t>
  </si>
  <si>
    <t>amount_modelos</t>
  </si>
  <si>
    <t>amount_tatico</t>
  </si>
  <si>
    <t>flag_saldo</t>
  </si>
  <si>
    <t>SALDO MODELO N NULL &amp; SALDO TAT NULL</t>
  </si>
  <si>
    <t>OK - AMBOS NULL</t>
  </si>
  <si>
    <t>DIF 10 EUR</t>
  </si>
  <si>
    <t>NOK</t>
  </si>
  <si>
    <t>DIF 5 EUR</t>
  </si>
  <si>
    <t>DIF 100 EUR</t>
  </si>
  <si>
    <t>DIF 1000 EUR</t>
  </si>
  <si>
    <t>DIF 1 EUR</t>
  </si>
  <si>
    <t>SALDO MODELO NULL &amp; SALDO TAT N NULL</t>
  </si>
  <si>
    <t>31CMAHCARG00000000100C1732911SC0</t>
  </si>
  <si>
    <t>31000801473204096000000000000000</t>
  </si>
  <si>
    <t>SELECT 
    CASE 
        WHEN F1.CHAVE IS NOT NULL AND F2.CHAVE_TAT IS NOT NULL THEN 'UNIV COMUM'
        WHEN F1.CHAVE IS NOT NULL AND F2.CHAVE_TAT IS NULL THEN 'EXCL MODELOS'
        WHEN F1.CHAVE IS NULL AND F2.CHAVE_TAT IS NOT NULL THEN 'EXCL TATICO'
    END AS VALID_UNIV
    ,CASE 
        WHEN F1.amount_mod IS NULL AND F2.amount_tat IS NOT NULL THEN 'SALDO MODELO NULL &amp; SALDO TAT N NULL'
        WHEN F1.amount_mod IS NOT NULL AND F2.amount_tat IS NULL THEN 'SALDO MODELO N NULL &amp; SALDO TAT NULL'
        WHEN F1.amount_mod IS NULL AND F2.amount_tat IS NULL THEN 'OK - AMBOS NULL'
        WHEN ABS(F1.amount_mod+F2.amount_tat)=0 THEN 'OK'
        WHEN ABS(F1.amount_mod+F2.amount_tat)&lt;1 THEN 'DIF 1 EUR'
        WHEN ABS(F1.amount_mod+F2.amount_tat)&lt;5 THEN 'DIF 5 EUR'
        WHEN ABS(F1.amount_mod+F2.amount_tat)&lt;10 THEN 'DIF 10 EUR'
        WHEN ABS(F1.amount_mod+F2.amount_tat)&lt;100 THEN 'DIF 100 EUR'
        WHEN ABS(F1.amount_mod+F2.amount_tat)&lt;1000 THEN 'DIF 1000 EUR'
        ELSE 'NOK' 
    END AS FLAG_SALDO,*
    -- ,sum(f1.amount_mod) as amount_modelos
    -- ,sum(f2.amount_tat) as amount_tatico
    -- ,count(*) AS N 
FROM 
    (
    SELECT chave,SUM(amount) AS amount_mod 
    FROM BU_CAPTOOLS_WORK.emi_finan_LOCAL_v2
    GROUP BY 1 
    )F1
FULL JOIN 
    (
    SELECT concat(cempresa_ct,cbalcao_ct,cnumecta_ct,zdeposit_ct) AS CHAVE_TAT,SUM(nvl(asci_aux_ctr,0)+nvl(asci_aux_2,0)) as amount_tat
    FROM bu_esg_work.local_pilar3_temp1_emi_tabaux17_dez24
    WHERE vb_imp='valor bruto'
    GROUP BY 1 
    )F2 ON F1.CHAVE=F2.CHAVE_TAT
-- group by 1,2
HAVING VALID_UNIV='UNIV COMUM' AND FLAG_SALDO='DIF 1000 EUR'
-- where chave='89000000001016092000430000706908'</t>
  </si>
  <si>
    <t>valid_univ_ctr</t>
  </si>
  <si>
    <t>flag_saldo_ctr</t>
  </si>
  <si>
    <t>valid_univ_ctr_bem</t>
  </si>
  <si>
    <t>flag_saldo_ctr_bem</t>
  </si>
  <si>
    <t>saldo_ctr_bem_mod</t>
  </si>
  <si>
    <t>saldo_ctr_bem_tat</t>
  </si>
  <si>
    <t>Diferença</t>
  </si>
  <si>
    <t>num_reg_ctr_bem</t>
  </si>
  <si>
    <t>num_reg_ctr</t>
  </si>
  <si>
    <t>Exclusivos</t>
  </si>
  <si>
    <t>Modelos</t>
  </si>
  <si>
    <t>Tático</t>
  </si>
  <si>
    <t>SELECT L2.VALID_UNIV_CTR,L2.FLAG_SALDO_CTR,L1.VALID_UNIV_CTR_BEM,L1.FLAG_SALDO_CTR_BEM,L1.FLAG_BEM
    ,SUM(L1.amount_mod) AS SALDO_CTR_BEM_MOD
    ,SUM(L1.amount_tat) AS SALDO_CTR_BEM_TAT
    -- ,SUM(L2.amount_mod) AS SALDO_CTR_MOD
    -- ,SUM(L2.amount_tat) AS SALDO_CTR_TAT
    ,COUNT(*) AS NUM_REG_ctr_bem
    ,COUNT(distinct L1.CHAVE_CRUZ) AS NUM_REG_ctr
FROM 
    (
    SELECT 
        CASE 
            WHEN F1.CHAVE IS NOT NULL AND F2.CHAVE_TAT IS NOT NULL THEN 'UNIV COMUM'
            WHEN F1.CHAVE IS NOT NULL AND F2.CHAVE_TAT IS NULL THEN 'EXCL MODELOS'
            WHEN F1.CHAVE IS NULL AND F2.CHAVE_TAT IS NOT NULL THEN 'EXCL TATICO'
        END AS VALID_UNIV_CTR_BEM
        ,CASE 
            WHEN F1.amount_mod IS NULL AND F2.amount_tat IS NOT NULL THEN 'SALDO MODELO NULL &amp; SALDO TAT N NULL'
            WHEN F1.amount_mod IS NOT NULL AND F2.amount_tat IS NULL THEN 'SALDO MODELO N NULL &amp; SALDO TAT NULL'
            WHEN F1.amount_mod IS NULL AND F2.amount_tat IS NULL THEN 'OK - AMBOS NULL'
            WHEN ABS(F1.amount_mod+F2.amount_tat)=0 THEN 'OK'
            -- WHEN ABS(F1.amount_mod+F2.amount_tat)&lt;1 THEN 'DIF 1 EUR'
            -- WHEN ABS(F1.amount_mod+F2.amount_tat)&lt;5 THEN 'DIF 5 EUR'
            -- WHEN ABS(F1.amount_mod+F2.amount_tat)&lt;10 THEN 'DIF 10 EUR'
            -- WHEN ABS(F1.amount_mod+F2.amount_tat)&lt;100 THEN 'DIF 100 EUR'
            WHEN ABS(F1.amount_mod+F2.amount_tat)&lt;1000 THEN 'DIF 1000 EUR'
            ELSE 'NOK' 
        END AS FLAG_SALDO_CTR_BEM
        ,CASE 
            WHEN F1.CHAVE IS NOT NULL THEN F1.CHAVE
            ELSE F2.CHAVE_TAT
        END AS CHAVE_CRUZ,*
    FROM 
        (
        SELECT CHAVE,TRIM(NVL(substr(CHAVE_BEM,3,length(CHAVE_BEM)-2),'')) AS CHAVE_BEM_MOD,AMOUNT AS amount_mod,flag_bem
        FROM BU_CAPTOOLS_WORK.emi_finan_LOCAL_v2
        )F1
    FULL JOIN 
        (
        SELECT concat(cempresa_ct,cbalcao_ct,cnumecta_ct,zdeposit_ct) AS CHAVE_TAT,TRIM(concat(NVL(ckbalbem,''),NVL(ckctabem,''),NVL(ckrefbem,''))) AS BEM_TAT,nvl(asci_aux_ctr,0)+nvl(asci_aux_2,0) as amount_tat
        FROM bu_esg_work.local_pilar3_temp1_emi_tabaux17_dez24
        WHERE vb_imp='valor bruto'
        )F2 ON F1.CHAVE=F2.CHAVE_TAT AND F1.CHAVE_BEM_MOD=F2.BEM_TAT
    )L1 
LEFT JOIN 
    (
    SELECT 
        CASE 
            WHEN F1.CHAVE IS NOT NULL AND F2.CHAVE_TAT IS NOT NULL THEN 'UNIV COMUM'
            WHEN F1.CHAVE IS NOT NULL AND F2.CHAVE_TAT IS NULL THEN 'EXCL MODELOS'
            WHEN F1.CHAVE IS NULL AND F2.CHAVE_TAT IS NOT NULL THEN 'EXCL TATICO'
        END AS VALID_UNIV_CTR
        ,CASE 
            WHEN F1.amount_mod IS NULL AND F2.amount_tat IS NOT NULL THEN 'SALDO MODELO NULL &amp; SALDO TAT N NULL'
            WHEN F1.amount_mod IS NOT NULL AND F2.amount_tat IS NULL THEN 'SALDO MODELO N NULL &amp; SALDO TAT NULL'
            WHEN F1.amount_mod IS NULL AND F2.amount_tat IS NULL THEN 'OK - AMBOS NULL'
            WHEN ABS(F1.amount_mod+F2.amount_tat)=0 THEN 'OK'
            -- WHEN ABS(F1.amount_mod+F2.amount_tat)&lt;1 THEN 'DIF 1 EUR'
            -- WHEN ABS(F1.amount_mod+F2.amount_tat)&lt;5 THEN 'DIF 5 EUR'
            -- WHEN ABS(F1.amount_mod+F2.amount_tat)&lt;10 THEN 'DIF 10 EUR'
            -- WHEN ABS(F1.amount_mod+F2.amount_tat)&lt;100 THEN 'DIF 100 EUR'
            WHEN ABS(F1.amount_mod+F2.amount_tat)&lt;1000 THEN 'DIF 1000 EUR'
            ELSE 'NOK' 
        END AS FLAG_SALDO_CTR
        ,CASE 
            WHEN F1.CHAVE IS NOT NULL THEN F1.CHAVE
            ELSE F2.CHAVE_TAT
        END AS CHAVE_CRUZ,*
    FROM 
        (
        SELECT CHAVE,SUM(AMOUNT) AS amount_mod
        FROM BU_CAPTOOLS_WORK.emi_finan_LOCAL_v2
        GROUP BY 1
        )F1
    FULL JOIN 
        (
        SELECT concat(cempresa_ct,cbalcao_ct,cnumecta_ct,zdeposit_ct) AS CHAVE_TAT,SUM(nvl(asci_aux_ctr,0)+nvl(asci_aux_2,0)) as amount_tat
        FROM bu_esg_work.local_pilar3_temp1_emi_tabaux17_dez24
        WHERE vb_imp='valor bruto'
        GROUP BY 1 
        )F2 ON F1.CHAVE=F2.CHAVE_TAT 
    )L2 ON L1.CHAVE_CRUZ=L2.CHAVE_CRUZ
GROUP BY 1,2,3,4,5</t>
  </si>
  <si>
    <t xml:space="preserve">1A. Universo -  Montantes (Visão Contrato) </t>
  </si>
  <si>
    <t xml:space="preserve">1B. Universo -  Montantes (Visão Contrato - Bem) </t>
  </si>
  <si>
    <t>sheet 2</t>
  </si>
  <si>
    <t>flag_scp1</t>
  </si>
  <si>
    <t>emiss_modelos</t>
  </si>
  <si>
    <t>emiss_tat</t>
  </si>
  <si>
    <t>MISS</t>
  </si>
  <si>
    <t>BCL_DQS4_SCIB</t>
  </si>
  <si>
    <t>PF_DQS1_1A</t>
  </si>
  <si>
    <t>BCL_DQS1_SCIB</t>
  </si>
  <si>
    <t>PF_DQS1_SCIB</t>
  </si>
  <si>
    <t>Não Aplicável</t>
  </si>
  <si>
    <t>BCL_DQS2_SCIB</t>
  </si>
  <si>
    <t>NOK - 1</t>
  </si>
  <si>
    <t>NOK - 0.0001</t>
  </si>
  <si>
    <t xml:space="preserve">1. Universo Comum </t>
  </si>
  <si>
    <t>origem_tatico</t>
  </si>
  <si>
    <t>REVENUES</t>
  </si>
  <si>
    <t>ASSETS</t>
  </si>
  <si>
    <t>OUTRO</t>
  </si>
  <si>
    <t>OK - WIP</t>
  </si>
  <si>
    <t>OK - Tático não consegue calcular a emissão por Revenues. Modelo calcula por Assets.</t>
  </si>
  <si>
    <t>DIFF</t>
  </si>
  <si>
    <t>COMENTÁRIO</t>
  </si>
  <si>
    <t>Rever contraparte</t>
  </si>
  <si>
    <t>NOK - Tático não consegue calcular a emissão por Revenues. Modelo calcula por Assets.</t>
  </si>
  <si>
    <t xml:space="preserve">SELECT 
    CASE 
        WHEN F1.CHAVE IS NOT NULL AND F2.CHAVE_TAT IS NOT NULL THEN 'UNIV COMUM'
        WHEN F1.CHAVE IS NOT NULL AND F2.CHAVE_TAT IS NULL THEN 'EXCL MODELOS'
        WHEN F1.CHAVE IS NULL AND F2.CHAVE_TAT IS NOT NULL THEN 'EXCL TATICO'
    END AS VALID_UNIV_CTR_BEM
    ,CASE 
        WHEN F1.amount_mod IS NULL AND F2.amount_tat IS NOT NULL THEN 'SALDO MODELO NULL &amp; SALDO TAT N NULL'
        WHEN F1.amount_mod IS NOT NULL AND F2.amount_tat IS NULL THEN 'SALDO MODELO N NULL &amp; SALDO TAT NULL'
        WHEN F1.amount_mod IS NULL AND F2.amount_tat IS NULL THEN 'OK - AMBOS NULL'
        WHEN ABS(F1.amount_mod+F2.amount_tat)=0 THEN 'OK'
        -- WHEN ABS(F1.amount_mod+F2.amount_tat)&lt;1 THEN 'DIF 1 EUR'
        -- WHEN ABS(F1.amount_mod+F2.amount_tat)&lt;5 THEN 'DIF 5 EUR'
        -- WHEN ABS(F1.amount_mod+F2.amount_tat)&lt;10 THEN 'DIF 10 EUR'
        -- WHEN ABS(F1.amount_mod+F2.amount_tat)&lt;100 THEN 'DIF 100 EUR'
        WHEN ABS(F1.amount_mod+F2.amount_tat)&lt;1000 THEN 'DIF 1000 EUR'
        ELSE 'NOK' 
    END AS FLAG_SALDO_CTR_BEM
    ,CASE
        WHEN F1.ORIGEM_SCP1_EMSS is null AND F2.EMI_TAT IS NULL then 'OK - Ambos a NULL'
        WHEN F1.ORIGEM_SCP1_EMSS='Nao Aplicavel' AND F2.EMI_TAT IS NOT NULL THEN 'Não Aplicável'
        WHEN F1.ORIGEM_SCP1_EMSS is NOT null AND F2.EMI_TAT IS NULL then 'Valor nos modelos'
        WHEN ABS(F1.SCP1_EMSS_FNCD-f2.EMI_TAT)=0 then 'OK'
        WHEN ABS(F1.SCP1_EMSS_FNCD-f2.EMI_TAT)&lt;0.0001 then 'NOK - 0.0001'
        WHEN ABS(F1.SCP1_EMSS_FNCD-f2.EMI_TAT)&lt;1 then 'NOK - 1'
        ELSE 'NOK' 
    END AS FLAG_SCP1
    ,CASE
        WHEN flg_economic_rev_scope1=1 THEN 'REVENUES'
        WHEN flg_economic_asset_scope1=1 THEN 'ASSETS'
        ELSE 'OUTRO'
    END AS ORIGEM_TATICO
    ,F1.ORIGEM_SCP1_EMSS
    ,sum(f1.amount_mod) as amount_modelos
    ,sum(f2.amount_tat) as amount_tatico
    ,SUM(F1.SCP1_EMSS_FNCD) AS EMISS_MODELOS
    ,SUM(f2.EMI_TAT) AS EMISS_TAT
    ,count(*) AS N 
FROM 
    (
    SELECT TRIM(NVL(substr(CHAVE_BEM,3,length(CHAVE_BEM)-2),'')) AS CHAVE_BEM_MOD,AMOUNT AS amount_mod,*
    FROM BU_CAPTOOLS_WORK.emi_finan_LOCAL_v2
    )F1
FULL JOIN 
    (
    SELECT concat(cempresa_ct,cbalcao_ct,cnumecta_ct,zdeposit_ct) AS CHAVE_TAT,TRIM(concat(NVL(ckbalbem,''),NVL(ckctabem,''),NVL(ckrefbem,''))) AS BEM_TAT,nvl(asci_aux_ctr,0)+nvl(asci_aux_2,0) as amount_tat
        ,NVL(gesi_aux_ctr,0)+NVL(gesi_aux_2,0) AS EMI_TAT,*
    FROM bu_esg_work.local_pilar3_temp1_emi_tabaux17_dez24
    WHERE vb_imp='valor bruto'
    )F2 ON F1.CHAVE=F2.CHAVE_TAT AND F1.CHAVE_BEM_MOD=F2.BEM_TAT
GROUP BY 1,2,3,4,5
HAVING VALID_UNIV_CTR_BEM='UNIV COMUM' </t>
  </si>
  <si>
    <t>OK - Cliente 0000000000 / Contrato 31CMAHCARG00000000100C1732911SC0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</si>
</sst>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3F3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3" fontId="0" fillId="0" borderId="0" xfId="0" applyNumberFormat="1"/>
    <xf numFmtId="0" fontId="0" fillId="0" borderId="1" xfId="0" applyBorder="1"/>
    <xf numFmtId="3" fontId="0" fillId="0" borderId="1" xfId="0" applyNumberFormat="1" applyBorder="1"/>
    <xf numFmtId="0" fontId="1" fillId="2" borderId="1" xfId="0" applyFont="1" applyFill="1" applyBorder="1"/>
    <xf numFmtId="0" fontId="0" fillId="0" borderId="0" xfId="0" quotePrefix="1"/>
    <xf numFmtId="0" fontId="3" fillId="0" borderId="0" xfId="0" applyFont="1" applyAlignment="1"/>
    <xf numFmtId="0" fontId="0" fillId="0" borderId="1" xfId="0" applyFont="1" applyBorder="1"/>
    <xf numFmtId="3" fontId="0" fillId="0" borderId="1" xfId="0" applyNumberFormat="1" applyFont="1" applyBorder="1"/>
    <xf numFmtId="49" fontId="0" fillId="0" borderId="0" xfId="0" applyNumberFormat="1"/>
    <xf numFmtId="0" fontId="3" fillId="0" borderId="0" xfId="0" quotePrefix="1" applyFont="1"/>
    <xf numFmtId="49" fontId="2" fillId="0" borderId="0" xfId="0" applyNumberFormat="1" applyFont="1"/>
    <xf numFmtId="3" fontId="0" fillId="0" borderId="0" xfId="0" applyNumberFormat="1" applyBorder="1"/>
    <xf numFmtId="0" fontId="0" fillId="0" borderId="0" xfId="0" applyBorder="1"/>
    <xf numFmtId="0" fontId="2" fillId="3" borderId="0" xfId="0" applyFont="1" applyFill="1"/>
    <xf numFmtId="0" fontId="0" fillId="3" borderId="0" xfId="0" applyFill="1"/>
    <xf numFmtId="0" fontId="0" fillId="4" borderId="1" xfId="0" applyFill="1" applyBorder="1"/>
    <xf numFmtId="3" fontId="0" fillId="4" borderId="1" xfId="0" applyNumberFormat="1" applyFill="1" applyBorder="1"/>
    <xf numFmtId="3" fontId="0" fillId="0" borderId="0" xfId="0" quotePrefix="1" applyNumberFormat="1" applyFill="1" applyBorder="1"/>
    <xf numFmtId="3" fontId="0" fillId="4" borderId="0" xfId="0" applyNumberFormat="1" applyFill="1"/>
    <xf numFmtId="3" fontId="4" fillId="0" borderId="0" xfId="0" applyNumberFormat="1" applyFont="1" applyBorder="1"/>
    <xf numFmtId="3" fontId="4" fillId="0" borderId="0" xfId="0" applyNumberFormat="1" applyFont="1"/>
    <xf numFmtId="0" fontId="5" fillId="0" borderId="0" xfId="0" applyFont="1"/>
    <xf numFmtId="0" fontId="0" fillId="5" borderId="1" xfId="0" applyFill="1" applyBorder="1"/>
    <xf numFmtId="3" fontId="0" fillId="5" borderId="1" xfId="0" applyNumberFormat="1" applyFill="1" applyBorder="1"/>
    <xf numFmtId="0" fontId="4" fillId="4" borderId="0" xfId="0" applyFont="1" applyFill="1"/>
    <xf numFmtId="0" fontId="4" fillId="5" borderId="0" xfId="0" applyFont="1" applyFill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3F3"/>
      <color rgb="FFFFCDCD"/>
      <color rgb="FFFFFFFF"/>
      <color rgb="FFFFD9D9"/>
      <color rgb="FFFF47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49"/>
  <sheetViews>
    <sheetView showGridLines="0" zoomScale="110" zoomScaleNormal="110" workbookViewId="0">
      <selection activeCell="H12" sqref="H12"/>
    </sheetView>
  </sheetViews>
  <sheetFormatPr defaultRowHeight="15" x14ac:dyDescent="0.25"/>
  <cols>
    <col min="1" max="1" width="3.7109375" customWidth="1"/>
    <col min="2" max="2" width="14.42578125" customWidth="1"/>
    <col min="3" max="3" width="39.42578125" customWidth="1"/>
    <col min="4" max="4" width="18.85546875" customWidth="1"/>
    <col min="5" max="5" width="39.42578125" customWidth="1"/>
    <col min="6" max="6" width="10.7109375" customWidth="1"/>
    <col min="7" max="7" width="19.42578125" customWidth="1"/>
    <col min="8" max="8" width="18" customWidth="1"/>
    <col min="9" max="9" width="17.42578125" customWidth="1"/>
    <col min="10" max="10" width="12.28515625" customWidth="1"/>
    <col min="11" max="11" width="11.140625" customWidth="1"/>
  </cols>
  <sheetData>
    <row r="2" spans="2:17" x14ac:dyDescent="0.25">
      <c r="B2" s="14" t="s">
        <v>1698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4" spans="2:17" x14ac:dyDescent="0.25">
      <c r="B4" s="4" t="s">
        <v>0</v>
      </c>
      <c r="C4" s="4" t="s">
        <v>1672</v>
      </c>
      <c r="D4" s="4" t="s">
        <v>1670</v>
      </c>
      <c r="E4" s="4" t="s">
        <v>1671</v>
      </c>
      <c r="F4" s="4" t="s">
        <v>1</v>
      </c>
      <c r="H4" s="6" t="s">
        <v>1684</v>
      </c>
      <c r="I4" s="5" t="s">
        <v>8</v>
      </c>
    </row>
    <row r="5" spans="2:17" x14ac:dyDescent="0.25">
      <c r="B5" s="2" t="s">
        <v>4</v>
      </c>
      <c r="C5" s="2" t="s">
        <v>1674</v>
      </c>
      <c r="D5" s="3" t="s">
        <v>105</v>
      </c>
      <c r="E5" s="3" t="s">
        <v>105</v>
      </c>
      <c r="F5" s="3">
        <v>4463771</v>
      </c>
    </row>
    <row r="6" spans="2:17" x14ac:dyDescent="0.25">
      <c r="B6" s="2" t="s">
        <v>4</v>
      </c>
      <c r="C6" s="2" t="s">
        <v>1673</v>
      </c>
      <c r="D6" s="3">
        <v>-47505768779.209</v>
      </c>
      <c r="E6" s="3" t="s">
        <v>105</v>
      </c>
      <c r="F6" s="3">
        <v>1511008</v>
      </c>
    </row>
    <row r="7" spans="2:17" x14ac:dyDescent="0.25">
      <c r="B7" s="16" t="s">
        <v>2</v>
      </c>
      <c r="C7" s="16" t="s">
        <v>1680</v>
      </c>
      <c r="D7" s="17">
        <v>-1903194715.34606</v>
      </c>
      <c r="E7" s="17">
        <v>1903194610.3299999</v>
      </c>
      <c r="F7" s="17">
        <v>5062</v>
      </c>
      <c r="G7" s="19">
        <f>+D7+E7</f>
        <v>-105.01606011390686</v>
      </c>
    </row>
    <row r="8" spans="2:17" x14ac:dyDescent="0.25">
      <c r="B8" s="16" t="s">
        <v>2</v>
      </c>
      <c r="C8" s="16" t="s">
        <v>1677</v>
      </c>
      <c r="D8" s="17">
        <v>-157877572.199999</v>
      </c>
      <c r="E8" s="17">
        <v>157877346.59999999</v>
      </c>
      <c r="F8" s="17">
        <v>101</v>
      </c>
      <c r="G8" s="19">
        <f t="shared" ref="G8:G13" si="0">+D8+E8</f>
        <v>-225.5999990105629</v>
      </c>
    </row>
    <row r="9" spans="2:17" x14ac:dyDescent="0.25">
      <c r="B9" s="16" t="s">
        <v>2</v>
      </c>
      <c r="C9" s="16" t="s">
        <v>1675</v>
      </c>
      <c r="D9" s="17">
        <v>-105776447.269999</v>
      </c>
      <c r="E9" s="17">
        <v>105776224.3</v>
      </c>
      <c r="F9" s="17">
        <v>33</v>
      </c>
      <c r="G9" s="19">
        <f t="shared" si="0"/>
        <v>-222.96999900043011</v>
      </c>
    </row>
    <row r="10" spans="2:17" x14ac:dyDescent="0.25">
      <c r="B10" s="16" t="s">
        <v>2</v>
      </c>
      <c r="C10" s="16" t="s">
        <v>1678</v>
      </c>
      <c r="D10" s="17">
        <v>-210581631.21999899</v>
      </c>
      <c r="E10" s="17">
        <v>210580852.30000001</v>
      </c>
      <c r="F10" s="17">
        <v>30</v>
      </c>
      <c r="G10" s="19">
        <f t="shared" si="0"/>
        <v>-778.91999897360802</v>
      </c>
    </row>
    <row r="11" spans="2:17" x14ac:dyDescent="0.25">
      <c r="B11" s="16" t="s">
        <v>2</v>
      </c>
      <c r="C11" s="16" t="s">
        <v>1679</v>
      </c>
      <c r="D11" s="17">
        <v>-12381461.4099999</v>
      </c>
      <c r="E11" s="17">
        <v>12381275.5</v>
      </c>
      <c r="F11" s="17">
        <v>1</v>
      </c>
      <c r="G11" s="19">
        <f t="shared" si="0"/>
        <v>-185.90999989956617</v>
      </c>
      <c r="H11" s="18" t="s">
        <v>1683</v>
      </c>
    </row>
    <row r="12" spans="2:17" x14ac:dyDescent="0.25">
      <c r="B12" s="16" t="s">
        <v>2</v>
      </c>
      <c r="C12" s="16" t="s">
        <v>1676</v>
      </c>
      <c r="D12" s="17">
        <v>1732725</v>
      </c>
      <c r="E12" s="17">
        <v>-1672117</v>
      </c>
      <c r="F12" s="17">
        <v>1</v>
      </c>
      <c r="G12" s="19">
        <f t="shared" si="0"/>
        <v>60608</v>
      </c>
      <c r="H12" s="5" t="s">
        <v>1682</v>
      </c>
    </row>
    <row r="13" spans="2:17" x14ac:dyDescent="0.25">
      <c r="B13" s="2" t="s">
        <v>2</v>
      </c>
      <c r="C13" s="2" t="s">
        <v>9</v>
      </c>
      <c r="D13" s="3">
        <v>-9901691925.7868004</v>
      </c>
      <c r="E13" s="3">
        <v>9901691925.7868004</v>
      </c>
      <c r="F13" s="3">
        <v>327565</v>
      </c>
      <c r="G13" s="1">
        <f t="shared" si="0"/>
        <v>0</v>
      </c>
    </row>
    <row r="14" spans="2:17" x14ac:dyDescent="0.25">
      <c r="B14" s="13"/>
      <c r="C14" s="13"/>
      <c r="D14" s="20">
        <f>+SUM(D7:D13)</f>
        <v>-12289771028.232857</v>
      </c>
      <c r="E14" s="20">
        <f>+SUM(E7:E13)</f>
        <v>12289830117.816801</v>
      </c>
      <c r="F14" s="12">
        <f>+SUM(F7:F13)</f>
        <v>332793</v>
      </c>
      <c r="G14" s="1">
        <f>+SUM(G7:G12)</f>
        <v>59089.583943001926</v>
      </c>
    </row>
    <row r="16" spans="2:17" x14ac:dyDescent="0.25">
      <c r="B16" s="14" t="s">
        <v>1699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</row>
    <row r="18" spans="2:13" x14ac:dyDescent="0.25">
      <c r="B18" s="4" t="s">
        <v>1685</v>
      </c>
      <c r="C18" s="4" t="s">
        <v>1686</v>
      </c>
      <c r="D18" s="4" t="s">
        <v>1687</v>
      </c>
      <c r="E18" s="4" t="s">
        <v>1688</v>
      </c>
      <c r="F18" s="4" t="s">
        <v>5</v>
      </c>
      <c r="G18" s="4" t="s">
        <v>1689</v>
      </c>
      <c r="H18" s="4" t="s">
        <v>1690</v>
      </c>
      <c r="I18" s="4" t="s">
        <v>1692</v>
      </c>
      <c r="J18" s="4" t="s">
        <v>1693</v>
      </c>
      <c r="L18" s="6" t="s">
        <v>1697</v>
      </c>
      <c r="M18" s="5" t="s">
        <v>8</v>
      </c>
    </row>
    <row r="19" spans="2:13" hidden="1" x14ac:dyDescent="0.25">
      <c r="B19" s="2" t="s">
        <v>4</v>
      </c>
      <c r="C19" s="2" t="s">
        <v>1674</v>
      </c>
      <c r="D19" s="2" t="s">
        <v>4</v>
      </c>
      <c r="E19" s="2" t="s">
        <v>1674</v>
      </c>
      <c r="F19" s="2" t="s">
        <v>105</v>
      </c>
      <c r="G19" s="3" t="s">
        <v>105</v>
      </c>
      <c r="H19" s="3" t="s">
        <v>105</v>
      </c>
      <c r="I19" s="3">
        <v>4461669</v>
      </c>
      <c r="J19" s="3">
        <v>4461669</v>
      </c>
    </row>
    <row r="20" spans="2:13" hidden="1" x14ac:dyDescent="0.25">
      <c r="B20" s="2" t="s">
        <v>4</v>
      </c>
      <c r="C20" s="2" t="s">
        <v>1674</v>
      </c>
      <c r="D20" s="2" t="s">
        <v>4</v>
      </c>
      <c r="E20" s="2" t="s">
        <v>1674</v>
      </c>
      <c r="F20" s="2" t="s">
        <v>6</v>
      </c>
      <c r="G20" s="3" t="s">
        <v>105</v>
      </c>
      <c r="H20" s="3" t="s">
        <v>105</v>
      </c>
      <c r="I20" s="3">
        <v>2228</v>
      </c>
      <c r="J20" s="3">
        <v>2102</v>
      </c>
    </row>
    <row r="21" spans="2:13" hidden="1" x14ac:dyDescent="0.25">
      <c r="B21" s="2" t="s">
        <v>4</v>
      </c>
      <c r="C21" s="2" t="s">
        <v>1673</v>
      </c>
      <c r="D21" s="2" t="s">
        <v>4</v>
      </c>
      <c r="E21" s="2" t="s">
        <v>1673</v>
      </c>
      <c r="F21" s="2" t="s">
        <v>105</v>
      </c>
      <c r="G21" s="3">
        <v>-23775194112.589298</v>
      </c>
      <c r="H21" s="3" t="s">
        <v>105</v>
      </c>
      <c r="I21" s="3">
        <v>1160402</v>
      </c>
      <c r="J21" s="3">
        <v>1160402</v>
      </c>
    </row>
    <row r="22" spans="2:13" hidden="1" x14ac:dyDescent="0.25">
      <c r="B22" s="2" t="s">
        <v>4</v>
      </c>
      <c r="C22" s="2" t="s">
        <v>1673</v>
      </c>
      <c r="D22" s="2" t="s">
        <v>4</v>
      </c>
      <c r="E22" s="2" t="s">
        <v>1673</v>
      </c>
      <c r="F22" s="2" t="s">
        <v>6</v>
      </c>
      <c r="G22" s="3">
        <v>-23684067366.609699</v>
      </c>
      <c r="H22" s="3" t="s">
        <v>105</v>
      </c>
      <c r="I22" s="3">
        <v>355288</v>
      </c>
      <c r="J22" s="3">
        <v>351676</v>
      </c>
    </row>
    <row r="23" spans="2:13" hidden="1" x14ac:dyDescent="0.25">
      <c r="B23" s="2" t="s">
        <v>4</v>
      </c>
      <c r="C23" s="2" t="s">
        <v>1673</v>
      </c>
      <c r="D23" s="2" t="s">
        <v>4</v>
      </c>
      <c r="E23" s="2" t="s">
        <v>1673</v>
      </c>
      <c r="F23" s="2" t="s">
        <v>7</v>
      </c>
      <c r="G23" s="3">
        <v>-46507300.009999901</v>
      </c>
      <c r="H23" s="3" t="s">
        <v>105</v>
      </c>
      <c r="I23" s="3">
        <v>3716</v>
      </c>
      <c r="J23" s="3">
        <v>3625</v>
      </c>
    </row>
    <row r="24" spans="2:13" x14ac:dyDescent="0.25">
      <c r="B24" s="16" t="s">
        <v>2</v>
      </c>
      <c r="C24" s="16" t="s">
        <v>1679</v>
      </c>
      <c r="D24" s="16" t="s">
        <v>4</v>
      </c>
      <c r="E24" s="16" t="s">
        <v>1673</v>
      </c>
      <c r="F24" s="16" t="s">
        <v>7</v>
      </c>
      <c r="G24" s="17">
        <v>-830823.549999999</v>
      </c>
      <c r="H24" s="17" t="s">
        <v>105</v>
      </c>
      <c r="I24" s="17">
        <v>19</v>
      </c>
      <c r="J24" s="17">
        <v>9</v>
      </c>
    </row>
    <row r="25" spans="2:13" x14ac:dyDescent="0.25">
      <c r="B25" s="16" t="s">
        <v>2</v>
      </c>
      <c r="C25" s="16" t="s">
        <v>1679</v>
      </c>
      <c r="D25" s="16" t="s">
        <v>4</v>
      </c>
      <c r="E25" s="16" t="s">
        <v>1673</v>
      </c>
      <c r="F25" s="16" t="s">
        <v>6</v>
      </c>
      <c r="G25" s="17">
        <v>-29125486.4799999</v>
      </c>
      <c r="H25" s="17" t="s">
        <v>105</v>
      </c>
      <c r="I25" s="17">
        <v>40</v>
      </c>
      <c r="J25" s="17">
        <v>9</v>
      </c>
    </row>
    <row r="26" spans="2:13" x14ac:dyDescent="0.25">
      <c r="B26" s="16" t="s">
        <v>2</v>
      </c>
      <c r="C26" s="16" t="s">
        <v>1679</v>
      </c>
      <c r="D26" s="16" t="s">
        <v>3</v>
      </c>
      <c r="E26" s="16" t="s">
        <v>1681</v>
      </c>
      <c r="F26" s="16" t="s">
        <v>105</v>
      </c>
      <c r="G26" s="17" t="s">
        <v>105</v>
      </c>
      <c r="H26" s="17">
        <v>29956310.030000001</v>
      </c>
      <c r="I26" s="17">
        <v>18</v>
      </c>
      <c r="J26" s="17">
        <v>18</v>
      </c>
    </row>
    <row r="27" spans="2:13" x14ac:dyDescent="0.25">
      <c r="B27" s="23" t="s">
        <v>2</v>
      </c>
      <c r="C27" s="23" t="s">
        <v>1679</v>
      </c>
      <c r="D27" s="23" t="s">
        <v>2</v>
      </c>
      <c r="E27" s="23" t="s">
        <v>1679</v>
      </c>
      <c r="F27" s="23" t="s">
        <v>6</v>
      </c>
      <c r="G27" s="24">
        <v>-2359855517.41606</v>
      </c>
      <c r="H27" s="24">
        <v>2359853999</v>
      </c>
      <c r="I27" s="24">
        <v>7532</v>
      </c>
      <c r="J27" s="24">
        <v>5209</v>
      </c>
      <c r="K27" s="22" t="s">
        <v>1700</v>
      </c>
    </row>
    <row r="28" spans="2:13" x14ac:dyDescent="0.25">
      <c r="B28" s="23" t="s">
        <v>2</v>
      </c>
      <c r="C28" s="23" t="s">
        <v>1676</v>
      </c>
      <c r="D28" s="23" t="s">
        <v>2</v>
      </c>
      <c r="E28" s="23" t="s">
        <v>1676</v>
      </c>
      <c r="F28" s="23" t="s">
        <v>105</v>
      </c>
      <c r="G28" s="24">
        <v>1732725</v>
      </c>
      <c r="H28" s="24">
        <v>-1672117</v>
      </c>
      <c r="I28" s="24">
        <v>1</v>
      </c>
      <c r="J28" s="24">
        <v>1</v>
      </c>
      <c r="K28" s="22" t="s">
        <v>1700</v>
      </c>
    </row>
    <row r="29" spans="2:13" x14ac:dyDescent="0.25">
      <c r="B29" s="16" t="s">
        <v>2</v>
      </c>
      <c r="C29" s="16" t="s">
        <v>9</v>
      </c>
      <c r="D29" s="16" t="s">
        <v>4</v>
      </c>
      <c r="E29" s="16" t="s">
        <v>1673</v>
      </c>
      <c r="F29" s="16" t="s">
        <v>7</v>
      </c>
      <c r="G29" s="17">
        <v>-468920430.90999901</v>
      </c>
      <c r="H29" s="17" t="s">
        <v>105</v>
      </c>
      <c r="I29" s="17">
        <v>21154</v>
      </c>
      <c r="J29" s="17">
        <v>17043</v>
      </c>
    </row>
    <row r="30" spans="2:13" x14ac:dyDescent="0.25">
      <c r="B30" s="16" t="s">
        <v>2</v>
      </c>
      <c r="C30" s="16" t="s">
        <v>9</v>
      </c>
      <c r="D30" s="16" t="s">
        <v>4</v>
      </c>
      <c r="E30" s="16" t="s">
        <v>1673</v>
      </c>
      <c r="F30" s="16" t="s">
        <v>6</v>
      </c>
      <c r="G30" s="17">
        <v>-380688365.97999901</v>
      </c>
      <c r="H30" s="17" t="s">
        <v>105</v>
      </c>
      <c r="I30" s="17">
        <v>299</v>
      </c>
      <c r="J30" s="17">
        <v>220</v>
      </c>
    </row>
    <row r="31" spans="2:13" x14ac:dyDescent="0.25">
      <c r="B31" s="16" t="s">
        <v>2</v>
      </c>
      <c r="C31" s="16" t="s">
        <v>9</v>
      </c>
      <c r="D31" s="16" t="s">
        <v>3</v>
      </c>
      <c r="E31" s="16" t="s">
        <v>1681</v>
      </c>
      <c r="F31" s="16" t="s">
        <v>105</v>
      </c>
      <c r="G31" s="17" t="s">
        <v>105</v>
      </c>
      <c r="H31" s="17">
        <v>321443713.07999998</v>
      </c>
      <c r="I31" s="17">
        <v>1252</v>
      </c>
      <c r="J31" s="17">
        <v>1252</v>
      </c>
    </row>
    <row r="32" spans="2:13" x14ac:dyDescent="0.25">
      <c r="B32" s="23" t="s">
        <v>2</v>
      </c>
      <c r="C32" s="23" t="s">
        <v>9</v>
      </c>
      <c r="D32" s="23" t="s">
        <v>2</v>
      </c>
      <c r="E32" s="23" t="s">
        <v>9</v>
      </c>
      <c r="F32" s="23" t="s">
        <v>6</v>
      </c>
      <c r="G32" s="24">
        <v>-174613954.5</v>
      </c>
      <c r="H32" s="24">
        <v>174613954.5</v>
      </c>
      <c r="I32" s="24">
        <v>512</v>
      </c>
      <c r="J32" s="24">
        <v>511</v>
      </c>
      <c r="K32" s="22" t="s">
        <v>1700</v>
      </c>
    </row>
    <row r="33" spans="2:11" x14ac:dyDescent="0.25">
      <c r="B33" s="23" t="s">
        <v>2</v>
      </c>
      <c r="C33" s="23" t="s">
        <v>9</v>
      </c>
      <c r="D33" s="23" t="s">
        <v>2</v>
      </c>
      <c r="E33" s="23" t="s">
        <v>1679</v>
      </c>
      <c r="F33" s="23" t="s">
        <v>6</v>
      </c>
      <c r="G33" s="24">
        <v>-129305.8</v>
      </c>
      <c r="H33" s="24">
        <v>129305.8</v>
      </c>
      <c r="I33" s="24">
        <v>2</v>
      </c>
      <c r="J33" s="24">
        <v>1</v>
      </c>
      <c r="K33" s="22" t="s">
        <v>1700</v>
      </c>
    </row>
    <row r="34" spans="2:11" x14ac:dyDescent="0.25">
      <c r="B34" s="23" t="s">
        <v>2</v>
      </c>
      <c r="C34" s="23" t="s">
        <v>9</v>
      </c>
      <c r="D34" s="23" t="s">
        <v>2</v>
      </c>
      <c r="E34" s="23" t="s">
        <v>1679</v>
      </c>
      <c r="F34" s="23" t="s">
        <v>105</v>
      </c>
      <c r="G34" s="24">
        <v>-59403.9</v>
      </c>
      <c r="H34" s="24">
        <v>323327.32</v>
      </c>
      <c r="I34" s="24">
        <v>442</v>
      </c>
      <c r="J34" s="24">
        <v>442</v>
      </c>
      <c r="K34" s="22" t="s">
        <v>1700</v>
      </c>
    </row>
    <row r="35" spans="2:11" x14ac:dyDescent="0.25">
      <c r="B35" s="23" t="s">
        <v>2</v>
      </c>
      <c r="C35" s="23" t="s">
        <v>9</v>
      </c>
      <c r="D35" s="23" t="s">
        <v>2</v>
      </c>
      <c r="E35" s="23" t="s">
        <v>9</v>
      </c>
      <c r="F35" s="23" t="s">
        <v>105</v>
      </c>
      <c r="G35" s="24">
        <v>-8823847239.1168003</v>
      </c>
      <c r="H35" s="24">
        <v>8823847239.1168003</v>
      </c>
      <c r="I35" s="24">
        <v>309838</v>
      </c>
      <c r="J35" s="24">
        <v>309838</v>
      </c>
      <c r="K35" s="22" t="s">
        <v>1700</v>
      </c>
    </row>
    <row r="36" spans="2:11" x14ac:dyDescent="0.25">
      <c r="B36" s="23" t="s">
        <v>2</v>
      </c>
      <c r="C36" s="23" t="s">
        <v>9</v>
      </c>
      <c r="D36" s="23" t="s">
        <v>2</v>
      </c>
      <c r="E36" s="23" t="s">
        <v>1676</v>
      </c>
      <c r="F36" s="23" t="s">
        <v>105</v>
      </c>
      <c r="G36" s="24">
        <v>-53433225.579999998</v>
      </c>
      <c r="H36" s="24">
        <v>581334385.97000003</v>
      </c>
      <c r="I36" s="24">
        <v>15521</v>
      </c>
      <c r="J36" s="24">
        <v>15521</v>
      </c>
      <c r="K36" s="22" t="s">
        <v>1700</v>
      </c>
    </row>
    <row r="37" spans="2:11" x14ac:dyDescent="0.25">
      <c r="G37" s="21">
        <f>+SUM(G24:G36)</f>
        <v>-12289771028.232859</v>
      </c>
      <c r="H37" s="21">
        <f>+SUM(H24:H36)</f>
        <v>12289830117.816801</v>
      </c>
      <c r="J37" s="1"/>
    </row>
    <row r="39" spans="2:11" x14ac:dyDescent="0.25">
      <c r="C39" s="4" t="s">
        <v>1689</v>
      </c>
      <c r="D39" s="4" t="s">
        <v>1690</v>
      </c>
    </row>
    <row r="40" spans="2:11" x14ac:dyDescent="0.25">
      <c r="B40" s="25" t="s">
        <v>1691</v>
      </c>
      <c r="C40" s="1">
        <f>+SUM(G24:G25)+SUM(G29:G30)</f>
        <v>-879565106.91999781</v>
      </c>
      <c r="D40" s="1">
        <f>+H26+H31</f>
        <v>351400023.11000001</v>
      </c>
      <c r="E40" s="1">
        <f>+C40+D40</f>
        <v>-528165083.8099978</v>
      </c>
    </row>
    <row r="41" spans="2:11" x14ac:dyDescent="0.25">
      <c r="B41" s="26" t="s">
        <v>1691</v>
      </c>
      <c r="C41" s="1">
        <f>+SUM(G27:G28)+SUM(G32:G36)</f>
        <v>-11410205921.31286</v>
      </c>
      <c r="D41" s="1">
        <f>+SUM(H27:H28)+SUM(H32:H36)</f>
        <v>11938430094.7068</v>
      </c>
      <c r="E41" s="1">
        <f>+C41+D41</f>
        <v>528224173.39393997</v>
      </c>
    </row>
    <row r="42" spans="2:11" x14ac:dyDescent="0.25">
      <c r="E42" s="21">
        <f>+SUM(E40:E41)</f>
        <v>59089.583942174911</v>
      </c>
    </row>
    <row r="43" spans="2:11" x14ac:dyDescent="0.25">
      <c r="C43" s="4" t="s">
        <v>1695</v>
      </c>
      <c r="D43" s="4" t="s">
        <v>1696</v>
      </c>
    </row>
    <row r="44" spans="2:11" x14ac:dyDescent="0.25">
      <c r="B44" t="s">
        <v>1694</v>
      </c>
      <c r="C44" s="1">
        <f>+SUM(I24:I25)+SUM(I29:I30)</f>
        <v>21512</v>
      </c>
      <c r="D44" s="1">
        <f>+SUM(I26,I31)</f>
        <v>1270</v>
      </c>
    </row>
    <row r="46" spans="2:11" x14ac:dyDescent="0.25">
      <c r="B46" s="4" t="s">
        <v>5</v>
      </c>
      <c r="C46" s="4" t="s">
        <v>1</v>
      </c>
      <c r="E46" s="6" t="s">
        <v>10</v>
      </c>
      <c r="F46" s="5" t="s">
        <v>8</v>
      </c>
    </row>
    <row r="47" spans="2:11" x14ac:dyDescent="0.25">
      <c r="B47" s="2" t="s">
        <v>6</v>
      </c>
      <c r="C47" s="3">
        <v>69</v>
      </c>
    </row>
    <row r="48" spans="2:11" x14ac:dyDescent="0.25">
      <c r="B48" s="7" t="s">
        <v>7</v>
      </c>
      <c r="C48" s="8">
        <v>1201</v>
      </c>
    </row>
    <row r="49" spans="3:3" x14ac:dyDescent="0.25">
      <c r="C49" s="21">
        <f>+SUM(C47:C48)</f>
        <v>1270</v>
      </c>
    </row>
  </sheetData>
  <sortState ref="B58:J75">
    <sortCondition ref="B58:B75"/>
    <sortCondition ref="C58:C75"/>
    <sortCondition ref="D58:D7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2:R100"/>
  <sheetViews>
    <sheetView showGridLines="0" tabSelected="1" workbookViewId="0">
      <selection activeCell="F76" sqref="F76"/>
    </sheetView>
  </sheetViews>
  <sheetFormatPr defaultRowHeight="15" x14ac:dyDescent="0.25"/>
  <cols>
    <col min="1" max="1" width="3.7109375" customWidth="1"/>
    <col min="2" max="2" width="21" bestFit="1" customWidth="1"/>
    <col min="3" max="3" width="20.85546875" bestFit="1" customWidth="1"/>
    <col min="4" max="4" width="13.28515625" customWidth="1"/>
    <col min="5" max="5" width="15.7109375" customWidth="1"/>
    <col min="6" max="6" width="20.28515625" bestFit="1" customWidth="1"/>
    <col min="7" max="7" width="19" customWidth="1"/>
    <col min="8" max="8" width="16.28515625" customWidth="1"/>
    <col min="9" max="9" width="17.28515625" customWidth="1"/>
    <col min="10" max="10" width="11.85546875" customWidth="1"/>
    <col min="11" max="11" width="7.42578125" customWidth="1"/>
    <col min="12" max="12" width="9.5703125" customWidth="1"/>
    <col min="13" max="13" width="78.5703125" bestFit="1" customWidth="1"/>
  </cols>
  <sheetData>
    <row r="2" spans="2:18" x14ac:dyDescent="0.25">
      <c r="B2" s="14" t="s">
        <v>1713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4" spans="2:18" x14ac:dyDescent="0.25">
      <c r="B4" s="4" t="s">
        <v>1687</v>
      </c>
      <c r="C4" s="4" t="s">
        <v>1688</v>
      </c>
      <c r="D4" s="4" t="s">
        <v>1701</v>
      </c>
      <c r="E4" s="4" t="s">
        <v>1714</v>
      </c>
      <c r="F4" s="4" t="s">
        <v>54</v>
      </c>
      <c r="G4" s="4" t="s">
        <v>1670</v>
      </c>
      <c r="H4" s="4" t="s">
        <v>1671</v>
      </c>
      <c r="I4" s="4" t="s">
        <v>1702</v>
      </c>
      <c r="J4" s="4" t="s">
        <v>1703</v>
      </c>
      <c r="K4" s="4" t="s">
        <v>1</v>
      </c>
      <c r="L4" s="4" t="s">
        <v>1720</v>
      </c>
      <c r="M4" s="4" t="s">
        <v>1721</v>
      </c>
      <c r="O4" s="6" t="s">
        <v>1724</v>
      </c>
      <c r="P4" s="5" t="s">
        <v>8</v>
      </c>
    </row>
    <row r="5" spans="2:18" hidden="1" x14ac:dyDescent="0.25">
      <c r="B5" s="2" t="s">
        <v>2</v>
      </c>
      <c r="C5" s="2" t="s">
        <v>1679</v>
      </c>
      <c r="D5" s="2" t="s">
        <v>9</v>
      </c>
      <c r="E5" s="2" t="s">
        <v>1715</v>
      </c>
      <c r="F5" s="2" t="s">
        <v>104</v>
      </c>
      <c r="G5" s="3">
        <v>-0.04</v>
      </c>
      <c r="H5" s="3">
        <v>1</v>
      </c>
      <c r="I5" s="3">
        <v>0</v>
      </c>
      <c r="J5" s="3">
        <v>0</v>
      </c>
      <c r="K5" s="3">
        <v>1</v>
      </c>
      <c r="L5" s="3">
        <f>+J5-I5</f>
        <v>0</v>
      </c>
      <c r="M5" s="2" t="s">
        <v>1718</v>
      </c>
    </row>
    <row r="6" spans="2:18" hidden="1" x14ac:dyDescent="0.25">
      <c r="B6" s="2" t="s">
        <v>2</v>
      </c>
      <c r="C6" s="2" t="s">
        <v>1679</v>
      </c>
      <c r="D6" s="2" t="s">
        <v>9</v>
      </c>
      <c r="E6" s="2" t="s">
        <v>1717</v>
      </c>
      <c r="F6" s="2" t="s">
        <v>104</v>
      </c>
      <c r="G6" s="3">
        <v>-19.489999999999998</v>
      </c>
      <c r="H6" s="3">
        <v>3845.22</v>
      </c>
      <c r="I6" s="3">
        <v>0</v>
      </c>
      <c r="J6" s="3">
        <v>0</v>
      </c>
      <c r="K6" s="3">
        <v>7</v>
      </c>
      <c r="L6" s="3">
        <f t="shared" ref="L6:L69" si="0">+J6-I6</f>
        <v>0</v>
      </c>
      <c r="M6" s="2" t="s">
        <v>1718</v>
      </c>
    </row>
    <row r="7" spans="2:18" hidden="1" x14ac:dyDescent="0.25">
      <c r="B7" s="2" t="s">
        <v>2</v>
      </c>
      <c r="C7" s="2" t="s">
        <v>1679</v>
      </c>
      <c r="D7" s="2" t="s">
        <v>9</v>
      </c>
      <c r="E7" s="2" t="s">
        <v>1716</v>
      </c>
      <c r="F7" s="2" t="s">
        <v>104</v>
      </c>
      <c r="G7" s="3">
        <v>-0.09</v>
      </c>
      <c r="H7" s="3">
        <v>0.92</v>
      </c>
      <c r="I7" s="3">
        <v>0</v>
      </c>
      <c r="J7" s="3">
        <v>0</v>
      </c>
      <c r="K7" s="3">
        <v>1</v>
      </c>
      <c r="L7" s="3">
        <f t="shared" si="0"/>
        <v>0</v>
      </c>
      <c r="M7" s="2" t="s">
        <v>1719</v>
      </c>
    </row>
    <row r="8" spans="2:18" hidden="1" x14ac:dyDescent="0.25">
      <c r="B8" s="2" t="s">
        <v>2</v>
      </c>
      <c r="C8" s="2" t="s">
        <v>1679</v>
      </c>
      <c r="D8" s="2" t="s">
        <v>1676</v>
      </c>
      <c r="E8" s="2" t="s">
        <v>1715</v>
      </c>
      <c r="F8" s="2" t="s">
        <v>104</v>
      </c>
      <c r="G8" s="3">
        <v>-11.48</v>
      </c>
      <c r="H8" s="3">
        <v>3211.72</v>
      </c>
      <c r="I8" s="3">
        <v>9.1965380988000001E-2</v>
      </c>
      <c r="J8" s="3">
        <v>19.294107</v>
      </c>
      <c r="K8" s="3">
        <v>4</v>
      </c>
      <c r="L8" s="3">
        <f t="shared" si="0"/>
        <v>19.202141619012</v>
      </c>
      <c r="M8" s="2"/>
    </row>
    <row r="9" spans="2:18" hidden="1" x14ac:dyDescent="0.25">
      <c r="B9" s="2" t="s">
        <v>2</v>
      </c>
      <c r="C9" s="2" t="s">
        <v>1679</v>
      </c>
      <c r="D9" s="2" t="s">
        <v>1712</v>
      </c>
      <c r="E9" s="2" t="s">
        <v>1717</v>
      </c>
      <c r="F9" s="2" t="s">
        <v>104</v>
      </c>
      <c r="G9" s="3">
        <v>-5.53</v>
      </c>
      <c r="H9" s="3">
        <v>2861.68</v>
      </c>
      <c r="I9" s="3">
        <v>2.3680676699999999E-4</v>
      </c>
      <c r="J9" s="3">
        <v>0</v>
      </c>
      <c r="K9" s="3">
        <v>4</v>
      </c>
      <c r="L9" s="3">
        <f t="shared" si="0"/>
        <v>-2.3680676699999999E-4</v>
      </c>
      <c r="M9" s="2"/>
    </row>
    <row r="10" spans="2:18" hidden="1" x14ac:dyDescent="0.25">
      <c r="B10" s="2" t="s">
        <v>2</v>
      </c>
      <c r="C10" s="2" t="s">
        <v>1679</v>
      </c>
      <c r="D10" s="2" t="s">
        <v>1711</v>
      </c>
      <c r="E10" s="2" t="s">
        <v>1716</v>
      </c>
      <c r="F10" s="2" t="s">
        <v>104</v>
      </c>
      <c r="G10" s="3">
        <v>-58690.28</v>
      </c>
      <c r="H10" s="3">
        <v>82772.69</v>
      </c>
      <c r="I10" s="3">
        <v>1.209509807946</v>
      </c>
      <c r="J10" s="3">
        <v>2.61557499999999</v>
      </c>
      <c r="K10" s="3">
        <v>43</v>
      </c>
      <c r="L10" s="3">
        <f t="shared" si="0"/>
        <v>1.4060651920539899</v>
      </c>
      <c r="M10" s="2" t="s">
        <v>1723</v>
      </c>
    </row>
    <row r="11" spans="2:18" hidden="1" x14ac:dyDescent="0.25">
      <c r="B11" s="2" t="s">
        <v>2</v>
      </c>
      <c r="C11" s="2" t="s">
        <v>1679</v>
      </c>
      <c r="D11" s="2" t="s">
        <v>1711</v>
      </c>
      <c r="E11" s="2" t="s">
        <v>1717</v>
      </c>
      <c r="F11" s="2" t="s">
        <v>104</v>
      </c>
      <c r="G11" s="3">
        <v>-20.059999999999999</v>
      </c>
      <c r="H11" s="3">
        <v>5584.44</v>
      </c>
      <c r="I11" s="3">
        <v>1.247776028E-3</v>
      </c>
      <c r="J11" s="3">
        <v>0</v>
      </c>
      <c r="K11" s="3">
        <v>6</v>
      </c>
      <c r="L11" s="3">
        <f t="shared" si="0"/>
        <v>-1.247776028E-3</v>
      </c>
      <c r="M11" s="2"/>
    </row>
    <row r="12" spans="2:18" hidden="1" x14ac:dyDescent="0.25">
      <c r="B12" s="2" t="s">
        <v>2</v>
      </c>
      <c r="C12" s="2" t="s">
        <v>1679</v>
      </c>
      <c r="D12" s="2" t="s">
        <v>1711</v>
      </c>
      <c r="E12" s="2" t="s">
        <v>1715</v>
      </c>
      <c r="F12" s="2" t="s">
        <v>104</v>
      </c>
      <c r="G12" s="3">
        <v>-646.9</v>
      </c>
      <c r="H12" s="3">
        <v>219963.96</v>
      </c>
      <c r="I12" s="3">
        <v>5.1936078261000003E-2</v>
      </c>
      <c r="J12" s="3">
        <v>30.193688999999999</v>
      </c>
      <c r="K12" s="3">
        <v>365</v>
      </c>
      <c r="L12" s="3">
        <f t="shared" si="0"/>
        <v>30.141752921738998</v>
      </c>
      <c r="M12" s="2"/>
    </row>
    <row r="13" spans="2:18" hidden="1" x14ac:dyDescent="0.25">
      <c r="B13" s="2" t="s">
        <v>2</v>
      </c>
      <c r="C13" s="2" t="s">
        <v>1679</v>
      </c>
      <c r="D13" s="2" t="s">
        <v>1712</v>
      </c>
      <c r="E13" s="2" t="s">
        <v>1715</v>
      </c>
      <c r="F13" s="2" t="s">
        <v>104</v>
      </c>
      <c r="G13" s="3">
        <v>-0.02</v>
      </c>
      <c r="H13" s="3">
        <v>1.86</v>
      </c>
      <c r="I13" s="3">
        <v>0</v>
      </c>
      <c r="J13" s="3">
        <v>6.7000000000000002E-5</v>
      </c>
      <c r="K13" s="3">
        <v>2</v>
      </c>
      <c r="L13" s="3">
        <f t="shared" si="0"/>
        <v>6.7000000000000002E-5</v>
      </c>
      <c r="M13" s="2"/>
    </row>
    <row r="14" spans="2:18" hidden="1" x14ac:dyDescent="0.25">
      <c r="B14" s="2" t="s">
        <v>2</v>
      </c>
      <c r="C14" s="2" t="s">
        <v>1679</v>
      </c>
      <c r="D14" s="2" t="s">
        <v>1712</v>
      </c>
      <c r="E14" s="2" t="s">
        <v>1716</v>
      </c>
      <c r="F14" s="2" t="s">
        <v>652</v>
      </c>
      <c r="G14" s="3">
        <v>-5.79</v>
      </c>
      <c r="H14" s="3">
        <v>1958.07</v>
      </c>
      <c r="I14" s="3">
        <v>6.2158999999999999E-2</v>
      </c>
      <c r="J14" s="3">
        <v>6.2125E-2</v>
      </c>
      <c r="K14" s="3">
        <v>3</v>
      </c>
      <c r="L14" s="3">
        <f t="shared" si="0"/>
        <v>-3.3999999999999309E-5</v>
      </c>
      <c r="M14" s="2"/>
    </row>
    <row r="15" spans="2:18" hidden="1" x14ac:dyDescent="0.25">
      <c r="B15" s="2" t="s">
        <v>2</v>
      </c>
      <c r="C15" s="2" t="s">
        <v>1679</v>
      </c>
      <c r="D15" s="2" t="s">
        <v>1711</v>
      </c>
      <c r="E15" s="2" t="s">
        <v>1716</v>
      </c>
      <c r="F15" s="2" t="s">
        <v>652</v>
      </c>
      <c r="G15" s="3">
        <v>-1.62</v>
      </c>
      <c r="H15" s="3">
        <v>1744.73</v>
      </c>
      <c r="I15" s="3">
        <v>0.69710000000000005</v>
      </c>
      <c r="J15" s="3">
        <v>2.8643999999999999E-2</v>
      </c>
      <c r="K15" s="3">
        <v>2</v>
      </c>
      <c r="L15" s="3">
        <f t="shared" si="0"/>
        <v>-0.66845600000000005</v>
      </c>
      <c r="M15" s="2"/>
    </row>
    <row r="16" spans="2:18" hidden="1" x14ac:dyDescent="0.25">
      <c r="B16" s="2" t="s">
        <v>2</v>
      </c>
      <c r="C16" s="2" t="s">
        <v>1679</v>
      </c>
      <c r="D16" s="2" t="s">
        <v>9</v>
      </c>
      <c r="E16" s="2" t="s">
        <v>1716</v>
      </c>
      <c r="F16" s="2" t="s">
        <v>652</v>
      </c>
      <c r="G16" s="3">
        <v>-0.49</v>
      </c>
      <c r="H16" s="3">
        <v>92</v>
      </c>
      <c r="I16" s="3">
        <v>2.921E-3</v>
      </c>
      <c r="J16" s="3">
        <v>2.921E-3</v>
      </c>
      <c r="K16" s="3">
        <v>1</v>
      </c>
      <c r="L16" s="3">
        <f t="shared" si="0"/>
        <v>0</v>
      </c>
      <c r="M16" s="2" t="s">
        <v>1718</v>
      </c>
    </row>
    <row r="17" spans="2:13" x14ac:dyDescent="0.25">
      <c r="B17" s="2" t="s">
        <v>2</v>
      </c>
      <c r="C17" s="2" t="s">
        <v>1679</v>
      </c>
      <c r="D17" s="2" t="s">
        <v>1676</v>
      </c>
      <c r="E17" s="2" t="s">
        <v>1716</v>
      </c>
      <c r="F17" s="2" t="s">
        <v>1704</v>
      </c>
      <c r="G17" s="3">
        <v>-0.69</v>
      </c>
      <c r="H17" s="3">
        <v>686.42</v>
      </c>
      <c r="I17" s="3" t="s">
        <v>105</v>
      </c>
      <c r="J17" s="3">
        <v>1.8863000000000001E-2</v>
      </c>
      <c r="K17" s="3">
        <v>1</v>
      </c>
      <c r="L17" s="3">
        <f>+J17</f>
        <v>1.8863000000000001E-2</v>
      </c>
      <c r="M17" s="2"/>
    </row>
    <row r="18" spans="2:13" x14ac:dyDescent="0.25">
      <c r="B18" s="2" t="s">
        <v>2</v>
      </c>
      <c r="C18" s="2" t="s">
        <v>1679</v>
      </c>
      <c r="D18" s="2" t="s">
        <v>1676</v>
      </c>
      <c r="E18" s="2" t="s">
        <v>1715</v>
      </c>
      <c r="F18" s="2" t="s">
        <v>1704</v>
      </c>
      <c r="G18" s="3">
        <v>-1.42</v>
      </c>
      <c r="H18" s="3">
        <v>602.61</v>
      </c>
      <c r="I18" s="3" t="s">
        <v>105</v>
      </c>
      <c r="J18" s="3">
        <v>0.19226299999999999</v>
      </c>
      <c r="K18" s="3">
        <v>2</v>
      </c>
      <c r="L18" s="3">
        <f>+J18</f>
        <v>0.19226299999999999</v>
      </c>
      <c r="M18" s="2"/>
    </row>
    <row r="19" spans="2:13" hidden="1" x14ac:dyDescent="0.25">
      <c r="B19" s="2" t="s">
        <v>2</v>
      </c>
      <c r="C19" s="2" t="s">
        <v>1679</v>
      </c>
      <c r="D19" s="2" t="s">
        <v>1709</v>
      </c>
      <c r="E19" s="2" t="s">
        <v>1717</v>
      </c>
      <c r="F19" s="2" t="s">
        <v>100</v>
      </c>
      <c r="G19" s="3">
        <v>-16109622.887836499</v>
      </c>
      <c r="H19" s="3">
        <v>16109513.5</v>
      </c>
      <c r="I19" s="3">
        <v>859.44850626049504</v>
      </c>
      <c r="J19" s="3">
        <v>4243.8999999999996</v>
      </c>
      <c r="K19" s="3">
        <v>268</v>
      </c>
      <c r="L19" s="3">
        <f t="shared" si="0"/>
        <v>3384.4514937395047</v>
      </c>
      <c r="M19" s="2" t="s">
        <v>1722</v>
      </c>
    </row>
    <row r="20" spans="2:13" hidden="1" x14ac:dyDescent="0.25">
      <c r="B20" s="2" t="s">
        <v>2</v>
      </c>
      <c r="C20" s="2" t="s">
        <v>1679</v>
      </c>
      <c r="D20" s="2" t="s">
        <v>1676</v>
      </c>
      <c r="E20" s="2" t="s">
        <v>1717</v>
      </c>
      <c r="F20" s="2" t="s">
        <v>192</v>
      </c>
      <c r="G20" s="3">
        <v>-344776111.50637501</v>
      </c>
      <c r="H20" s="3">
        <v>344776011.69999999</v>
      </c>
      <c r="I20" s="3">
        <v>30.807274565389999</v>
      </c>
      <c r="J20" s="3">
        <v>2461.97999999999</v>
      </c>
      <c r="K20" s="3">
        <v>558</v>
      </c>
      <c r="L20" s="3">
        <f t="shared" si="0"/>
        <v>2431.1727254346001</v>
      </c>
      <c r="M20" s="2"/>
    </row>
    <row r="21" spans="2:13" hidden="1" x14ac:dyDescent="0.25">
      <c r="B21" s="2" t="s">
        <v>2</v>
      </c>
      <c r="C21" s="2" t="s">
        <v>1679</v>
      </c>
      <c r="D21" s="2" t="s">
        <v>1711</v>
      </c>
      <c r="E21" s="2" t="s">
        <v>1717</v>
      </c>
      <c r="F21" s="2" t="s">
        <v>192</v>
      </c>
      <c r="G21" s="3">
        <v>-1316278.3101944099</v>
      </c>
      <c r="H21" s="3">
        <v>1316278.2</v>
      </c>
      <c r="I21" s="3">
        <v>3.9765333033479999</v>
      </c>
      <c r="J21" s="3">
        <v>1.85</v>
      </c>
      <c r="K21" s="3">
        <v>11</v>
      </c>
      <c r="L21" s="3">
        <f t="shared" si="0"/>
        <v>-2.1265333033479998</v>
      </c>
      <c r="M21" s="2"/>
    </row>
    <row r="22" spans="2:13" hidden="1" x14ac:dyDescent="0.25">
      <c r="B22" s="2" t="s">
        <v>2</v>
      </c>
      <c r="C22" s="2" t="s">
        <v>1679</v>
      </c>
      <c r="D22" s="2" t="s">
        <v>1676</v>
      </c>
      <c r="E22" s="2" t="s">
        <v>1717</v>
      </c>
      <c r="F22" s="2" t="s">
        <v>122</v>
      </c>
      <c r="G22" s="3">
        <v>-1542511285.87816</v>
      </c>
      <c r="H22" s="3">
        <v>1542510108.2</v>
      </c>
      <c r="I22" s="3">
        <v>25979.343792671902</v>
      </c>
      <c r="J22" s="3">
        <v>61019.77</v>
      </c>
      <c r="K22" s="3">
        <v>3394</v>
      </c>
      <c r="L22" s="3">
        <f t="shared" si="0"/>
        <v>35040.426207328099</v>
      </c>
      <c r="M22" s="2"/>
    </row>
    <row r="23" spans="2:13" hidden="1" x14ac:dyDescent="0.25">
      <c r="B23" s="2" t="s">
        <v>2</v>
      </c>
      <c r="C23" s="2" t="s">
        <v>1679</v>
      </c>
      <c r="D23" s="2" t="s">
        <v>1711</v>
      </c>
      <c r="E23" s="2" t="s">
        <v>1717</v>
      </c>
      <c r="F23" s="2" t="s">
        <v>122</v>
      </c>
      <c r="G23" s="3">
        <v>-8062666.3177994797</v>
      </c>
      <c r="H23" s="3">
        <v>8062657.7000000002</v>
      </c>
      <c r="I23" s="3">
        <v>128.15788937571801</v>
      </c>
      <c r="J23" s="3">
        <v>146.41999999999999</v>
      </c>
      <c r="K23" s="3">
        <v>198</v>
      </c>
      <c r="L23" s="3">
        <f t="shared" si="0"/>
        <v>18.262110624281974</v>
      </c>
      <c r="M23" s="2"/>
    </row>
    <row r="24" spans="2:13" hidden="1" x14ac:dyDescent="0.25">
      <c r="B24" s="2" t="s">
        <v>2</v>
      </c>
      <c r="C24" s="2" t="s">
        <v>1679</v>
      </c>
      <c r="D24" s="2" t="s">
        <v>1712</v>
      </c>
      <c r="E24" s="2" t="s">
        <v>1717</v>
      </c>
      <c r="F24" s="2" t="s">
        <v>122</v>
      </c>
      <c r="G24" s="3">
        <v>-1.9069884949562499</v>
      </c>
      <c r="H24" s="3">
        <v>1.9</v>
      </c>
      <c r="I24" s="3">
        <v>6.2621999999999999E-6</v>
      </c>
      <c r="J24" s="3">
        <v>0</v>
      </c>
      <c r="K24" s="3">
        <v>1</v>
      </c>
      <c r="L24" s="3">
        <f t="shared" si="0"/>
        <v>-6.2621999999999999E-6</v>
      </c>
      <c r="M24" s="2"/>
    </row>
    <row r="25" spans="2:13" hidden="1" x14ac:dyDescent="0.25">
      <c r="B25" s="2" t="s">
        <v>2</v>
      </c>
      <c r="C25" s="2" t="s">
        <v>1679</v>
      </c>
      <c r="D25" s="2" t="s">
        <v>1712</v>
      </c>
      <c r="E25" s="2" t="s">
        <v>1717</v>
      </c>
      <c r="F25" s="2" t="s">
        <v>99</v>
      </c>
      <c r="G25" s="3">
        <v>-136580.541325042</v>
      </c>
      <c r="H25" s="3">
        <v>136580.6</v>
      </c>
      <c r="I25" s="3">
        <v>0.5500974152</v>
      </c>
      <c r="J25" s="3">
        <v>0.55000000000000004</v>
      </c>
      <c r="K25" s="3">
        <v>7</v>
      </c>
      <c r="L25" s="3">
        <f t="shared" si="0"/>
        <v>-9.741519999995063E-5</v>
      </c>
      <c r="M25" s="2"/>
    </row>
    <row r="26" spans="2:13" hidden="1" x14ac:dyDescent="0.25">
      <c r="B26" s="2" t="s">
        <v>2</v>
      </c>
      <c r="C26" s="2" t="s">
        <v>1679</v>
      </c>
      <c r="D26" s="2" t="s">
        <v>1676</v>
      </c>
      <c r="E26" s="2" t="s">
        <v>1717</v>
      </c>
      <c r="F26" s="2" t="s">
        <v>99</v>
      </c>
      <c r="G26" s="3">
        <v>-148488989.678776</v>
      </c>
      <c r="H26" s="3">
        <v>148488883.5</v>
      </c>
      <c r="I26" s="3">
        <v>7208.4729141965499</v>
      </c>
      <c r="J26" s="3">
        <v>3106.16</v>
      </c>
      <c r="K26" s="3">
        <v>785</v>
      </c>
      <c r="L26" s="3">
        <f t="shared" si="0"/>
        <v>-4102.3129141965501</v>
      </c>
      <c r="M26" s="2"/>
    </row>
    <row r="27" spans="2:13" hidden="1" x14ac:dyDescent="0.25">
      <c r="B27" s="2" t="s">
        <v>2</v>
      </c>
      <c r="C27" s="2" t="s">
        <v>1679</v>
      </c>
      <c r="D27" s="2" t="s">
        <v>1711</v>
      </c>
      <c r="E27" s="2" t="s">
        <v>1717</v>
      </c>
      <c r="F27" s="2" t="s">
        <v>99</v>
      </c>
      <c r="G27" s="3">
        <v>-298583284.19718099</v>
      </c>
      <c r="H27" s="3">
        <v>298583267.5</v>
      </c>
      <c r="I27" s="3">
        <v>4461.1703373852497</v>
      </c>
      <c r="J27" s="3">
        <v>4121.03</v>
      </c>
      <c r="K27" s="3">
        <v>2310</v>
      </c>
      <c r="L27" s="3">
        <f t="shared" si="0"/>
        <v>-340.14033738524995</v>
      </c>
      <c r="M27" s="2"/>
    </row>
    <row r="28" spans="2:13" hidden="1" x14ac:dyDescent="0.25">
      <c r="B28" s="2" t="s">
        <v>2</v>
      </c>
      <c r="C28" s="2" t="s">
        <v>1679</v>
      </c>
      <c r="D28" s="2" t="s">
        <v>9</v>
      </c>
      <c r="E28" s="2" t="s">
        <v>1717</v>
      </c>
      <c r="F28" s="2" t="s">
        <v>99</v>
      </c>
      <c r="G28" s="3">
        <v>-1.9914146048228201</v>
      </c>
      <c r="H28" s="3">
        <v>2</v>
      </c>
      <c r="I28" s="3">
        <v>0</v>
      </c>
      <c r="J28" s="3">
        <v>0</v>
      </c>
      <c r="K28" s="3">
        <v>2</v>
      </c>
      <c r="L28" s="3">
        <f t="shared" si="0"/>
        <v>0</v>
      </c>
      <c r="M28" s="2" t="s">
        <v>1718</v>
      </c>
    </row>
    <row r="29" spans="2:13" hidden="1" x14ac:dyDescent="0.25">
      <c r="B29" s="2" t="s">
        <v>2</v>
      </c>
      <c r="C29" s="2" t="s">
        <v>1676</v>
      </c>
      <c r="D29" s="2" t="s">
        <v>1711</v>
      </c>
      <c r="E29" s="2" t="s">
        <v>1717</v>
      </c>
      <c r="F29" s="2" t="s">
        <v>1707</v>
      </c>
      <c r="G29" s="3">
        <v>-2501.1999999999998</v>
      </c>
      <c r="H29" s="3">
        <v>778243.46</v>
      </c>
      <c r="I29" s="3">
        <v>5.1357409999999997E-4</v>
      </c>
      <c r="J29" s="3">
        <v>4.8392929999999996</v>
      </c>
      <c r="K29" s="3">
        <v>139</v>
      </c>
      <c r="L29" s="3">
        <f t="shared" si="0"/>
        <v>4.8387794258999994</v>
      </c>
      <c r="M29" s="2"/>
    </row>
    <row r="30" spans="2:13" hidden="1" x14ac:dyDescent="0.25">
      <c r="B30" s="2" t="s">
        <v>2</v>
      </c>
      <c r="C30" s="2" t="s">
        <v>1676</v>
      </c>
      <c r="D30" s="2" t="s">
        <v>1676</v>
      </c>
      <c r="E30" s="2" t="s">
        <v>1717</v>
      </c>
      <c r="F30" s="2" t="s">
        <v>1707</v>
      </c>
      <c r="G30" s="3">
        <v>-7029.1</v>
      </c>
      <c r="H30" s="3">
        <v>2288546.66</v>
      </c>
      <c r="I30" s="3">
        <v>0.95578819589999997</v>
      </c>
      <c r="J30" s="3">
        <v>298.32887299999999</v>
      </c>
      <c r="K30" s="3">
        <v>100</v>
      </c>
      <c r="L30" s="3">
        <f t="shared" si="0"/>
        <v>297.37308480409996</v>
      </c>
      <c r="M30" s="2"/>
    </row>
    <row r="31" spans="2:13" hidden="1" x14ac:dyDescent="0.25">
      <c r="B31" s="2" t="s">
        <v>2</v>
      </c>
      <c r="C31" s="2" t="s">
        <v>1676</v>
      </c>
      <c r="D31" s="2" t="s">
        <v>1676</v>
      </c>
      <c r="E31" s="2" t="s">
        <v>1715</v>
      </c>
      <c r="F31" s="2" t="s">
        <v>104</v>
      </c>
      <c r="G31" s="3">
        <v>-721058.41</v>
      </c>
      <c r="H31" s="3">
        <v>221869899.22999999</v>
      </c>
      <c r="I31" s="3">
        <v>171.608243046486</v>
      </c>
      <c r="J31" s="3">
        <v>55797.151908999898</v>
      </c>
      <c r="K31" s="3">
        <v>4640</v>
      </c>
      <c r="L31" s="3">
        <f t="shared" si="0"/>
        <v>55625.54366595341</v>
      </c>
      <c r="M31" s="2"/>
    </row>
    <row r="32" spans="2:13" hidden="1" x14ac:dyDescent="0.25">
      <c r="B32" s="2" t="s">
        <v>2</v>
      </c>
      <c r="C32" s="2" t="s">
        <v>1676</v>
      </c>
      <c r="D32" s="2" t="s">
        <v>1676</v>
      </c>
      <c r="E32" s="2" t="s">
        <v>1717</v>
      </c>
      <c r="F32" s="2" t="s">
        <v>104</v>
      </c>
      <c r="G32" s="3">
        <v>-69813.919999999998</v>
      </c>
      <c r="H32" s="3">
        <v>17185670.399999999</v>
      </c>
      <c r="I32" s="3">
        <v>20.489115960511</v>
      </c>
      <c r="J32" s="3">
        <v>504985.71990899998</v>
      </c>
      <c r="K32" s="3">
        <v>433</v>
      </c>
      <c r="L32" s="3">
        <f t="shared" si="0"/>
        <v>504965.23079303949</v>
      </c>
      <c r="M32" s="2"/>
    </row>
    <row r="33" spans="2:13" hidden="1" x14ac:dyDescent="0.25">
      <c r="B33" s="2" t="s">
        <v>2</v>
      </c>
      <c r="C33" s="2" t="s">
        <v>1676</v>
      </c>
      <c r="D33" s="2" t="s">
        <v>1711</v>
      </c>
      <c r="E33" s="2" t="s">
        <v>1717</v>
      </c>
      <c r="F33" s="2" t="s">
        <v>104</v>
      </c>
      <c r="G33" s="3">
        <v>-168107.17</v>
      </c>
      <c r="H33" s="3">
        <v>54386943.380000003</v>
      </c>
      <c r="I33" s="3">
        <v>31.677253767574999</v>
      </c>
      <c r="J33" s="3">
        <v>0</v>
      </c>
      <c r="K33" s="3">
        <v>2073</v>
      </c>
      <c r="L33" s="3">
        <f t="shared" si="0"/>
        <v>-31.677253767574999</v>
      </c>
      <c r="M33" s="2"/>
    </row>
    <row r="34" spans="2:13" hidden="1" x14ac:dyDescent="0.25">
      <c r="B34" s="2" t="s">
        <v>2</v>
      </c>
      <c r="C34" s="2" t="s">
        <v>1676</v>
      </c>
      <c r="D34" s="2" t="s">
        <v>9</v>
      </c>
      <c r="E34" s="2" t="s">
        <v>1717</v>
      </c>
      <c r="F34" s="2" t="s">
        <v>104</v>
      </c>
      <c r="G34" s="3">
        <v>-8361.5</v>
      </c>
      <c r="H34" s="3">
        <v>3265566.64</v>
      </c>
      <c r="I34" s="3">
        <v>0</v>
      </c>
      <c r="J34" s="3">
        <v>0</v>
      </c>
      <c r="K34" s="3">
        <v>155</v>
      </c>
      <c r="L34" s="3">
        <f t="shared" si="0"/>
        <v>0</v>
      </c>
      <c r="M34" s="2" t="s">
        <v>1718</v>
      </c>
    </row>
    <row r="35" spans="2:13" hidden="1" x14ac:dyDescent="0.25">
      <c r="B35" s="2" t="s">
        <v>2</v>
      </c>
      <c r="C35" s="2" t="s">
        <v>1676</v>
      </c>
      <c r="D35" s="2" t="s">
        <v>1711</v>
      </c>
      <c r="E35" s="2" t="s">
        <v>1716</v>
      </c>
      <c r="F35" s="2" t="s">
        <v>104</v>
      </c>
      <c r="G35" s="3">
        <v>-5835802.9800000004</v>
      </c>
      <c r="H35" s="3">
        <v>21395130.359999999</v>
      </c>
      <c r="I35" s="3">
        <v>28.268707475406998</v>
      </c>
      <c r="J35" s="3">
        <v>226.32482499999901</v>
      </c>
      <c r="K35" s="3">
        <v>703</v>
      </c>
      <c r="L35" s="3">
        <f t="shared" si="0"/>
        <v>198.05611752459203</v>
      </c>
      <c r="M35" s="2" t="s">
        <v>1723</v>
      </c>
    </row>
    <row r="36" spans="2:13" hidden="1" x14ac:dyDescent="0.25">
      <c r="B36" s="2" t="s">
        <v>2</v>
      </c>
      <c r="C36" s="2" t="s">
        <v>1676</v>
      </c>
      <c r="D36" s="2" t="s">
        <v>1676</v>
      </c>
      <c r="E36" s="2" t="s">
        <v>1716</v>
      </c>
      <c r="F36" s="2" t="s">
        <v>104</v>
      </c>
      <c r="G36" s="3">
        <v>-28667515.91</v>
      </c>
      <c r="H36" s="3">
        <v>105530097.48999999</v>
      </c>
      <c r="I36" s="3">
        <v>365.97251628492</v>
      </c>
      <c r="J36" s="3">
        <v>4045.8923300000001</v>
      </c>
      <c r="K36" s="3">
        <v>278</v>
      </c>
      <c r="L36" s="3">
        <f t="shared" si="0"/>
        <v>3679.9198137150802</v>
      </c>
      <c r="M36" s="2" t="s">
        <v>1723</v>
      </c>
    </row>
    <row r="37" spans="2:13" hidden="1" x14ac:dyDescent="0.25">
      <c r="B37" s="2" t="s">
        <v>2</v>
      </c>
      <c r="C37" s="2" t="s">
        <v>1676</v>
      </c>
      <c r="D37" s="2" t="s">
        <v>1711</v>
      </c>
      <c r="E37" s="2" t="s">
        <v>1715</v>
      </c>
      <c r="F37" s="2" t="s">
        <v>104</v>
      </c>
      <c r="G37" s="3">
        <v>-238024.8</v>
      </c>
      <c r="H37" s="3">
        <v>89157130.019999996</v>
      </c>
      <c r="I37" s="3">
        <v>3.8161039248590001</v>
      </c>
      <c r="J37" s="3">
        <v>2713.0131499999902</v>
      </c>
      <c r="K37" s="3">
        <v>6644</v>
      </c>
      <c r="L37" s="3">
        <f t="shared" si="0"/>
        <v>2709.1970460751313</v>
      </c>
      <c r="M37" s="2"/>
    </row>
    <row r="38" spans="2:13" hidden="1" x14ac:dyDescent="0.25">
      <c r="B38" s="2" t="s">
        <v>2</v>
      </c>
      <c r="C38" s="2" t="s">
        <v>1676</v>
      </c>
      <c r="D38" s="2" t="s">
        <v>1712</v>
      </c>
      <c r="E38" s="2" t="s">
        <v>1717</v>
      </c>
      <c r="F38" s="2" t="s">
        <v>104</v>
      </c>
      <c r="G38" s="3">
        <v>-8425.19</v>
      </c>
      <c r="H38" s="3">
        <v>3993452.13</v>
      </c>
      <c r="I38" s="3">
        <v>2.2065593840000001E-3</v>
      </c>
      <c r="J38" s="3">
        <v>0</v>
      </c>
      <c r="K38" s="3">
        <v>47</v>
      </c>
      <c r="L38" s="3">
        <f t="shared" si="0"/>
        <v>-2.2065593840000001E-3</v>
      </c>
      <c r="M38" s="2"/>
    </row>
    <row r="39" spans="2:13" hidden="1" x14ac:dyDescent="0.25">
      <c r="B39" s="2" t="s">
        <v>2</v>
      </c>
      <c r="C39" s="2" t="s">
        <v>1676</v>
      </c>
      <c r="D39" s="2" t="s">
        <v>1712</v>
      </c>
      <c r="E39" s="2" t="s">
        <v>1716</v>
      </c>
      <c r="F39" s="2" t="s">
        <v>652</v>
      </c>
      <c r="G39" s="3">
        <v>-2649.71</v>
      </c>
      <c r="H39" s="3">
        <v>712564.79</v>
      </c>
      <c r="I39" s="3">
        <v>27.180178000000002</v>
      </c>
      <c r="J39" s="3">
        <v>27.179349999999999</v>
      </c>
      <c r="K39" s="3">
        <v>38</v>
      </c>
      <c r="L39" s="3">
        <f t="shared" si="0"/>
        <v>-8.2800000000204932E-4</v>
      </c>
      <c r="M39" s="2"/>
    </row>
    <row r="40" spans="2:13" hidden="1" x14ac:dyDescent="0.25">
      <c r="B40" s="2" t="s">
        <v>2</v>
      </c>
      <c r="C40" s="2" t="s">
        <v>1676</v>
      </c>
      <c r="D40" s="2" t="s">
        <v>9</v>
      </c>
      <c r="E40" s="2" t="s">
        <v>1716</v>
      </c>
      <c r="F40" s="2" t="s">
        <v>652</v>
      </c>
      <c r="G40" s="3">
        <v>-8.4499999999999993</v>
      </c>
      <c r="H40" s="3">
        <v>12858.33</v>
      </c>
      <c r="I40" s="3">
        <v>1.2191E-2</v>
      </c>
      <c r="J40" s="3">
        <v>1.2191E-2</v>
      </c>
      <c r="K40" s="3">
        <v>1</v>
      </c>
      <c r="L40" s="3">
        <f t="shared" si="0"/>
        <v>0</v>
      </c>
      <c r="M40" s="2" t="s">
        <v>1718</v>
      </c>
    </row>
    <row r="41" spans="2:13" hidden="1" x14ac:dyDescent="0.25">
      <c r="B41" s="2" t="s">
        <v>2</v>
      </c>
      <c r="C41" s="2" t="s">
        <v>1676</v>
      </c>
      <c r="D41" s="2" t="s">
        <v>1676</v>
      </c>
      <c r="E41" s="2" t="s">
        <v>1717</v>
      </c>
      <c r="F41" s="2" t="s">
        <v>652</v>
      </c>
      <c r="G41" s="3">
        <v>-3379.14</v>
      </c>
      <c r="H41" s="3">
        <v>966156.01</v>
      </c>
      <c r="I41" s="3">
        <v>54.137177000000001</v>
      </c>
      <c r="J41" s="3">
        <v>10149.077033</v>
      </c>
      <c r="K41" s="3">
        <v>33</v>
      </c>
      <c r="L41" s="3">
        <f t="shared" si="0"/>
        <v>10094.939855999999</v>
      </c>
      <c r="M41" s="2"/>
    </row>
    <row r="42" spans="2:13" hidden="1" x14ac:dyDescent="0.25">
      <c r="B42" s="2" t="s">
        <v>2</v>
      </c>
      <c r="C42" s="2" t="s">
        <v>1676</v>
      </c>
      <c r="D42" s="2" t="s">
        <v>1711</v>
      </c>
      <c r="E42" s="2" t="s">
        <v>1716</v>
      </c>
      <c r="F42" s="2" t="s">
        <v>652</v>
      </c>
      <c r="G42" s="3">
        <v>-5212.46</v>
      </c>
      <c r="H42" s="3">
        <v>1325371.99</v>
      </c>
      <c r="I42" s="3">
        <v>65.147642000000005</v>
      </c>
      <c r="J42" s="3">
        <v>48.843371999999903</v>
      </c>
      <c r="K42" s="3">
        <v>82</v>
      </c>
      <c r="L42" s="3">
        <f t="shared" si="0"/>
        <v>-16.304270000000102</v>
      </c>
      <c r="M42" s="2"/>
    </row>
    <row r="43" spans="2:13" hidden="1" x14ac:dyDescent="0.25">
      <c r="B43" s="2" t="s">
        <v>2</v>
      </c>
      <c r="C43" s="2" t="s">
        <v>1676</v>
      </c>
      <c r="D43" s="2" t="s">
        <v>1711</v>
      </c>
      <c r="E43" s="2" t="s">
        <v>1717</v>
      </c>
      <c r="F43" s="2" t="s">
        <v>652</v>
      </c>
      <c r="G43" s="3">
        <v>-1696.16</v>
      </c>
      <c r="H43" s="3">
        <v>519052.44</v>
      </c>
      <c r="I43" s="3">
        <v>6.4581809999999997</v>
      </c>
      <c r="J43" s="3">
        <v>0</v>
      </c>
      <c r="K43" s="3">
        <v>22</v>
      </c>
      <c r="L43" s="3">
        <f t="shared" si="0"/>
        <v>-6.4581809999999997</v>
      </c>
      <c r="M43" s="2"/>
    </row>
    <row r="44" spans="2:13" hidden="1" x14ac:dyDescent="0.25">
      <c r="B44" s="2" t="s">
        <v>2</v>
      </c>
      <c r="C44" s="2" t="s">
        <v>1676</v>
      </c>
      <c r="D44" s="2" t="s">
        <v>1676</v>
      </c>
      <c r="E44" s="2" t="s">
        <v>1716</v>
      </c>
      <c r="F44" s="2" t="s">
        <v>652</v>
      </c>
      <c r="G44" s="3">
        <v>-895741.07</v>
      </c>
      <c r="H44" s="3">
        <v>3783072.97</v>
      </c>
      <c r="I44" s="3">
        <v>417.85003499999999</v>
      </c>
      <c r="J44" s="3">
        <v>156.80406699999901</v>
      </c>
      <c r="K44" s="3">
        <v>24</v>
      </c>
      <c r="L44" s="3">
        <f t="shared" si="0"/>
        <v>-261.04596800000098</v>
      </c>
      <c r="M44" s="2"/>
    </row>
    <row r="45" spans="2:13" x14ac:dyDescent="0.25">
      <c r="B45" s="2" t="s">
        <v>2</v>
      </c>
      <c r="C45" s="2" t="s">
        <v>1676</v>
      </c>
      <c r="D45" s="2" t="s">
        <v>1676</v>
      </c>
      <c r="E45" s="2" t="s">
        <v>1717</v>
      </c>
      <c r="F45" s="2" t="s">
        <v>1704</v>
      </c>
      <c r="G45" s="3">
        <v>-605.66</v>
      </c>
      <c r="H45" s="3">
        <v>274081.86</v>
      </c>
      <c r="I45" s="3" t="s">
        <v>105</v>
      </c>
      <c r="J45" s="3">
        <v>1804.400967</v>
      </c>
      <c r="K45" s="3">
        <v>8</v>
      </c>
      <c r="L45" s="3">
        <f>+J45</f>
        <v>1804.400967</v>
      </c>
      <c r="M45" s="2"/>
    </row>
    <row r="46" spans="2:13" x14ac:dyDescent="0.25">
      <c r="B46" s="2" t="s">
        <v>2</v>
      </c>
      <c r="C46" s="2" t="s">
        <v>1676</v>
      </c>
      <c r="D46" s="2" t="s">
        <v>1676</v>
      </c>
      <c r="E46" s="2" t="s">
        <v>1715</v>
      </c>
      <c r="F46" s="2" t="s">
        <v>1704</v>
      </c>
      <c r="G46" s="3">
        <v>-9010.26</v>
      </c>
      <c r="H46" s="3">
        <v>4003550.93</v>
      </c>
      <c r="I46" s="3" t="s">
        <v>105</v>
      </c>
      <c r="J46" s="3">
        <v>322.791088</v>
      </c>
      <c r="K46" s="3">
        <v>93</v>
      </c>
      <c r="L46" s="3">
        <f t="shared" ref="L46:L48" si="1">+J46</f>
        <v>322.791088</v>
      </c>
      <c r="M46" s="2"/>
    </row>
    <row r="47" spans="2:13" x14ac:dyDescent="0.25">
      <c r="B47" s="2" t="s">
        <v>2</v>
      </c>
      <c r="C47" s="2" t="s">
        <v>1676</v>
      </c>
      <c r="D47" s="2" t="s">
        <v>1676</v>
      </c>
      <c r="E47" s="2" t="s">
        <v>1716</v>
      </c>
      <c r="F47" s="2" t="s">
        <v>1704</v>
      </c>
      <c r="G47" s="3">
        <v>-300869.34999999998</v>
      </c>
      <c r="H47" s="3">
        <v>881583.74</v>
      </c>
      <c r="I47" s="3" t="s">
        <v>105</v>
      </c>
      <c r="J47" s="3">
        <v>24.240894000000001</v>
      </c>
      <c r="K47" s="3">
        <v>7</v>
      </c>
      <c r="L47" s="3">
        <f t="shared" si="1"/>
        <v>24.240894000000001</v>
      </c>
      <c r="M47" s="2"/>
    </row>
    <row r="48" spans="2:13" x14ac:dyDescent="0.25">
      <c r="B48" s="2" t="s">
        <v>2</v>
      </c>
      <c r="C48" s="2" t="s">
        <v>1676</v>
      </c>
      <c r="D48" s="2" t="s">
        <v>1676</v>
      </c>
      <c r="E48" s="2" t="s">
        <v>1717</v>
      </c>
      <c r="F48" s="2" t="s">
        <v>105</v>
      </c>
      <c r="G48" s="3">
        <v>1732725</v>
      </c>
      <c r="H48" s="3">
        <v>-1672117</v>
      </c>
      <c r="I48" s="3" t="s">
        <v>105</v>
      </c>
      <c r="J48" s="3">
        <v>0</v>
      </c>
      <c r="K48" s="3">
        <v>1</v>
      </c>
      <c r="L48" s="3">
        <f t="shared" si="1"/>
        <v>0</v>
      </c>
      <c r="M48" s="27" t="s">
        <v>1725</v>
      </c>
    </row>
    <row r="49" spans="2:13" hidden="1" x14ac:dyDescent="0.25">
      <c r="B49" s="2" t="s">
        <v>2</v>
      </c>
      <c r="C49" s="2" t="s">
        <v>1676</v>
      </c>
      <c r="D49" s="2" t="s">
        <v>1676</v>
      </c>
      <c r="E49" s="2" t="s">
        <v>1717</v>
      </c>
      <c r="F49" s="2" t="s">
        <v>126</v>
      </c>
      <c r="G49" s="3">
        <v>-16487413.140000001</v>
      </c>
      <c r="H49" s="3">
        <v>49005413.140000001</v>
      </c>
      <c r="I49" s="3">
        <v>46.462032000000001</v>
      </c>
      <c r="J49" s="3">
        <v>0</v>
      </c>
      <c r="K49" s="3">
        <v>1</v>
      </c>
      <c r="L49" s="3">
        <f t="shared" si="0"/>
        <v>-46.462032000000001</v>
      </c>
      <c r="M49" s="2"/>
    </row>
    <row r="50" spans="2:13" hidden="1" x14ac:dyDescent="0.25">
      <c r="B50" s="2" t="s">
        <v>2</v>
      </c>
      <c r="C50" s="2" t="s">
        <v>9</v>
      </c>
      <c r="D50" s="2" t="s">
        <v>1712</v>
      </c>
      <c r="E50" s="2" t="s">
        <v>1717</v>
      </c>
      <c r="F50" s="2" t="s">
        <v>1707</v>
      </c>
      <c r="G50" s="3">
        <v>-1227026212.1643801</v>
      </c>
      <c r="H50" s="3">
        <v>1227026212.1643801</v>
      </c>
      <c r="I50" s="3">
        <v>75370.129033592195</v>
      </c>
      <c r="J50" s="3">
        <v>75370.289510000206</v>
      </c>
      <c r="K50" s="3">
        <v>15015</v>
      </c>
      <c r="L50" s="3">
        <f t="shared" si="0"/>
        <v>0.16047640801116358</v>
      </c>
      <c r="M50" s="2"/>
    </row>
    <row r="51" spans="2:13" hidden="1" x14ac:dyDescent="0.25">
      <c r="B51" s="2" t="s">
        <v>2</v>
      </c>
      <c r="C51" s="2" t="s">
        <v>9</v>
      </c>
      <c r="D51" s="2" t="s">
        <v>9</v>
      </c>
      <c r="E51" s="2" t="s">
        <v>1717</v>
      </c>
      <c r="F51" s="2" t="s">
        <v>1707</v>
      </c>
      <c r="G51" s="3">
        <v>-10002.379999999999</v>
      </c>
      <c r="H51" s="3">
        <v>10002.379999999999</v>
      </c>
      <c r="I51" s="3">
        <v>0.10395500000000001</v>
      </c>
      <c r="J51" s="3">
        <v>0.10395500000000001</v>
      </c>
      <c r="K51" s="3">
        <v>18</v>
      </c>
      <c r="L51" s="3">
        <f t="shared" si="0"/>
        <v>0</v>
      </c>
      <c r="M51" s="2" t="s">
        <v>1718</v>
      </c>
    </row>
    <row r="52" spans="2:13" hidden="1" x14ac:dyDescent="0.25">
      <c r="B52" s="2" t="s">
        <v>2</v>
      </c>
      <c r="C52" s="2" t="s">
        <v>9</v>
      </c>
      <c r="D52" s="2" t="s">
        <v>1711</v>
      </c>
      <c r="E52" s="2" t="s">
        <v>1717</v>
      </c>
      <c r="F52" s="2" t="s">
        <v>1707</v>
      </c>
      <c r="G52" s="3">
        <v>-167396252.94</v>
      </c>
      <c r="H52" s="3">
        <v>167396252.94</v>
      </c>
      <c r="I52" s="3">
        <v>53452.106120667799</v>
      </c>
      <c r="J52" s="3">
        <v>53452.293265</v>
      </c>
      <c r="K52" s="3">
        <v>625</v>
      </c>
      <c r="L52" s="3">
        <f t="shared" si="0"/>
        <v>0.18714433220156934</v>
      </c>
      <c r="M52" s="2"/>
    </row>
    <row r="53" spans="2:13" hidden="1" x14ac:dyDescent="0.25">
      <c r="B53" s="2" t="s">
        <v>2</v>
      </c>
      <c r="C53" s="2" t="s">
        <v>9</v>
      </c>
      <c r="D53" s="2" t="s">
        <v>1712</v>
      </c>
      <c r="E53" s="2" t="s">
        <v>1717</v>
      </c>
      <c r="F53" s="2" t="s">
        <v>1710</v>
      </c>
      <c r="G53" s="3">
        <v>-1664.39</v>
      </c>
      <c r="H53" s="3">
        <v>1664.39</v>
      </c>
      <c r="I53" s="3">
        <v>1.1645108E-2</v>
      </c>
      <c r="J53" s="3">
        <v>1.16619999999999E-2</v>
      </c>
      <c r="K53" s="3">
        <v>4</v>
      </c>
      <c r="L53" s="3">
        <f t="shared" si="0"/>
        <v>1.6891999999900376E-5</v>
      </c>
      <c r="M53" s="2"/>
    </row>
    <row r="54" spans="2:13" hidden="1" x14ac:dyDescent="0.25">
      <c r="B54" s="2" t="s">
        <v>2</v>
      </c>
      <c r="C54" s="2" t="s">
        <v>9</v>
      </c>
      <c r="D54" s="2" t="s">
        <v>9</v>
      </c>
      <c r="E54" s="2" t="s">
        <v>1715</v>
      </c>
      <c r="F54" s="2" t="s">
        <v>104</v>
      </c>
      <c r="G54" s="3">
        <v>-137671.307328</v>
      </c>
      <c r="H54" s="3">
        <v>137671.307328</v>
      </c>
      <c r="I54" s="3">
        <v>2.7768609999999998</v>
      </c>
      <c r="J54" s="3">
        <v>2.7768609999999998</v>
      </c>
      <c r="K54" s="3">
        <v>6072</v>
      </c>
      <c r="L54" s="3">
        <f t="shared" si="0"/>
        <v>0</v>
      </c>
      <c r="M54" s="2" t="s">
        <v>1718</v>
      </c>
    </row>
    <row r="55" spans="2:13" hidden="1" x14ac:dyDescent="0.25">
      <c r="B55" s="2" t="s">
        <v>2</v>
      </c>
      <c r="C55" s="2" t="s">
        <v>9</v>
      </c>
      <c r="D55" s="2" t="s">
        <v>9</v>
      </c>
      <c r="E55" s="2" t="s">
        <v>1717</v>
      </c>
      <c r="F55" s="2" t="s">
        <v>104</v>
      </c>
      <c r="G55" s="3">
        <v>249480.65</v>
      </c>
      <c r="H55" s="3">
        <v>-249480.65</v>
      </c>
      <c r="I55" s="3">
        <v>0</v>
      </c>
      <c r="J55" s="3">
        <v>0</v>
      </c>
      <c r="K55" s="3">
        <v>781</v>
      </c>
      <c r="L55" s="3">
        <f t="shared" si="0"/>
        <v>0</v>
      </c>
      <c r="M55" s="2" t="s">
        <v>1718</v>
      </c>
    </row>
    <row r="56" spans="2:13" hidden="1" x14ac:dyDescent="0.25">
      <c r="B56" s="2" t="s">
        <v>2</v>
      </c>
      <c r="C56" s="2" t="s">
        <v>9</v>
      </c>
      <c r="D56" s="2" t="s">
        <v>1712</v>
      </c>
      <c r="E56" s="2" t="s">
        <v>1717</v>
      </c>
      <c r="F56" s="2" t="s">
        <v>104</v>
      </c>
      <c r="G56" s="3">
        <v>5.25</v>
      </c>
      <c r="H56" s="3">
        <v>-5.25</v>
      </c>
      <c r="I56" s="3">
        <v>5.8473710999999999E-5</v>
      </c>
      <c r="J56" s="3">
        <v>0</v>
      </c>
      <c r="K56" s="3">
        <v>6</v>
      </c>
      <c r="L56" s="3">
        <f t="shared" si="0"/>
        <v>-5.8473710999999999E-5</v>
      </c>
      <c r="M56" s="2"/>
    </row>
    <row r="57" spans="2:13" hidden="1" x14ac:dyDescent="0.25">
      <c r="B57" s="2" t="s">
        <v>2</v>
      </c>
      <c r="C57" s="2" t="s">
        <v>9</v>
      </c>
      <c r="D57" s="2" t="s">
        <v>1712</v>
      </c>
      <c r="E57" s="2" t="s">
        <v>1716</v>
      </c>
      <c r="F57" s="2" t="s">
        <v>104</v>
      </c>
      <c r="G57" s="3">
        <v>-34343.969552000002</v>
      </c>
      <c r="H57" s="3">
        <v>34343.969552000002</v>
      </c>
      <c r="I57" s="3">
        <v>0.41378945928299998</v>
      </c>
      <c r="J57" s="3">
        <v>0.40686899999999998</v>
      </c>
      <c r="K57" s="3">
        <v>3049</v>
      </c>
      <c r="L57" s="3">
        <f t="shared" si="0"/>
        <v>-6.9204592830000022E-3</v>
      </c>
      <c r="M57" s="2" t="s">
        <v>1723</v>
      </c>
    </row>
    <row r="58" spans="2:13" hidden="1" x14ac:dyDescent="0.25">
      <c r="B58" s="2" t="s">
        <v>2</v>
      </c>
      <c r="C58" s="2" t="s">
        <v>9</v>
      </c>
      <c r="D58" s="2" t="s">
        <v>1711</v>
      </c>
      <c r="E58" s="2" t="s">
        <v>1717</v>
      </c>
      <c r="F58" s="2" t="s">
        <v>104</v>
      </c>
      <c r="G58" s="3">
        <v>-8838.17</v>
      </c>
      <c r="H58" s="3">
        <v>8838.17</v>
      </c>
      <c r="I58" s="3">
        <v>2.4960104888710002</v>
      </c>
      <c r="J58" s="3">
        <v>0</v>
      </c>
      <c r="K58" s="3">
        <v>32</v>
      </c>
      <c r="L58" s="3">
        <f t="shared" si="0"/>
        <v>-2.4960104888710002</v>
      </c>
      <c r="M58" s="2"/>
    </row>
    <row r="59" spans="2:13" hidden="1" x14ac:dyDescent="0.25">
      <c r="B59" s="2" t="s">
        <v>2</v>
      </c>
      <c r="C59" s="2" t="s">
        <v>9</v>
      </c>
      <c r="D59" s="2" t="s">
        <v>9</v>
      </c>
      <c r="E59" s="2" t="s">
        <v>1716</v>
      </c>
      <c r="F59" s="2" t="s">
        <v>104</v>
      </c>
      <c r="G59" s="3">
        <v>-17371297.289999999</v>
      </c>
      <c r="H59" s="3">
        <v>17371297.289999999</v>
      </c>
      <c r="I59" s="3">
        <v>0</v>
      </c>
      <c r="J59" s="3">
        <v>0</v>
      </c>
      <c r="K59" s="3">
        <v>1596</v>
      </c>
      <c r="L59" s="3">
        <f t="shared" si="0"/>
        <v>0</v>
      </c>
      <c r="M59" s="2" t="s">
        <v>1719</v>
      </c>
    </row>
    <row r="60" spans="2:13" hidden="1" x14ac:dyDescent="0.25">
      <c r="B60" s="2" t="s">
        <v>2</v>
      </c>
      <c r="C60" s="2" t="s">
        <v>9</v>
      </c>
      <c r="D60" s="2" t="s">
        <v>1712</v>
      </c>
      <c r="E60" s="2" t="s">
        <v>1715</v>
      </c>
      <c r="F60" s="2" t="s">
        <v>104</v>
      </c>
      <c r="G60" s="3">
        <v>-5024212620.0306396</v>
      </c>
      <c r="H60" s="3">
        <v>5024212620.0306396</v>
      </c>
      <c r="I60" s="3">
        <v>940332.58561551396</v>
      </c>
      <c r="J60" s="3">
        <v>940332.58572799899</v>
      </c>
      <c r="K60" s="3">
        <v>188074</v>
      </c>
      <c r="L60" s="3">
        <f t="shared" si="0"/>
        <v>1.1248502414673567E-4</v>
      </c>
      <c r="M60" s="2"/>
    </row>
    <row r="61" spans="2:13" hidden="1" x14ac:dyDescent="0.25">
      <c r="B61" s="2" t="s">
        <v>2</v>
      </c>
      <c r="C61" s="2" t="s">
        <v>9</v>
      </c>
      <c r="D61" s="2" t="s">
        <v>1676</v>
      </c>
      <c r="E61" s="2" t="s">
        <v>1716</v>
      </c>
      <c r="F61" s="2" t="s">
        <v>104</v>
      </c>
      <c r="G61" s="3">
        <v>-623393500.70345998</v>
      </c>
      <c r="H61" s="3">
        <v>623393500.70345998</v>
      </c>
      <c r="I61" s="3">
        <v>671725.03194432403</v>
      </c>
      <c r="J61" s="3">
        <v>63366.522607999897</v>
      </c>
      <c r="K61" s="3">
        <v>9073</v>
      </c>
      <c r="L61" s="3">
        <f t="shared" si="0"/>
        <v>-608358.50933632418</v>
      </c>
      <c r="M61" s="2" t="s">
        <v>1723</v>
      </c>
    </row>
    <row r="62" spans="2:13" hidden="1" x14ac:dyDescent="0.25">
      <c r="B62" s="2" t="s">
        <v>2</v>
      </c>
      <c r="C62" s="2" t="s">
        <v>9</v>
      </c>
      <c r="D62" s="2" t="s">
        <v>1676</v>
      </c>
      <c r="E62" s="2" t="s">
        <v>1717</v>
      </c>
      <c r="F62" s="2" t="s">
        <v>104</v>
      </c>
      <c r="G62" s="3">
        <v>-3211.22</v>
      </c>
      <c r="H62" s="3">
        <v>3211.22</v>
      </c>
      <c r="I62" s="3">
        <v>2.1314317945229999</v>
      </c>
      <c r="J62" s="3">
        <v>0</v>
      </c>
      <c r="K62" s="3">
        <v>5</v>
      </c>
      <c r="L62" s="3">
        <f t="shared" si="0"/>
        <v>-2.1314317945229999</v>
      </c>
      <c r="M62" s="2"/>
    </row>
    <row r="63" spans="2:13" hidden="1" x14ac:dyDescent="0.25">
      <c r="B63" s="2" t="s">
        <v>2</v>
      </c>
      <c r="C63" s="2" t="s">
        <v>9</v>
      </c>
      <c r="D63" s="2" t="s">
        <v>1676</v>
      </c>
      <c r="E63" s="2" t="s">
        <v>1715</v>
      </c>
      <c r="F63" s="2" t="s">
        <v>104</v>
      </c>
      <c r="G63" s="3">
        <v>-87568898.010000005</v>
      </c>
      <c r="H63" s="3">
        <v>87568898.010000005</v>
      </c>
      <c r="I63" s="3">
        <v>20866.2924372987</v>
      </c>
      <c r="J63" s="3">
        <v>0</v>
      </c>
      <c r="K63" s="3">
        <v>7</v>
      </c>
      <c r="L63" s="3">
        <f t="shared" si="0"/>
        <v>-20866.2924372987</v>
      </c>
      <c r="M63" s="2"/>
    </row>
    <row r="64" spans="2:13" hidden="1" x14ac:dyDescent="0.25">
      <c r="B64" s="2" t="s">
        <v>2</v>
      </c>
      <c r="C64" s="2" t="s">
        <v>9</v>
      </c>
      <c r="D64" s="2" t="s">
        <v>1711</v>
      </c>
      <c r="E64" s="2" t="s">
        <v>1716</v>
      </c>
      <c r="F64" s="2" t="s">
        <v>104</v>
      </c>
      <c r="G64" s="3">
        <v>-101634896.33253101</v>
      </c>
      <c r="H64" s="3">
        <v>101634896.33253101</v>
      </c>
      <c r="I64" s="3">
        <v>4975.1242391590904</v>
      </c>
      <c r="J64" s="3">
        <v>2247.7478329999999</v>
      </c>
      <c r="K64" s="3">
        <v>40452</v>
      </c>
      <c r="L64" s="3">
        <f t="shared" si="0"/>
        <v>-2727.3764061590905</v>
      </c>
      <c r="M64" s="2" t="s">
        <v>1723</v>
      </c>
    </row>
    <row r="65" spans="2:13" hidden="1" x14ac:dyDescent="0.25">
      <c r="B65" s="2" t="s">
        <v>2</v>
      </c>
      <c r="C65" s="2" t="s">
        <v>9</v>
      </c>
      <c r="D65" s="2" t="s">
        <v>1711</v>
      </c>
      <c r="E65" s="2" t="s">
        <v>1717</v>
      </c>
      <c r="F65" s="2" t="s">
        <v>1705</v>
      </c>
      <c r="G65" s="3">
        <v>-81315055.129999995</v>
      </c>
      <c r="H65" s="3">
        <v>81315055.129999995</v>
      </c>
      <c r="I65" s="3">
        <v>46615.613201239197</v>
      </c>
      <c r="J65" s="3">
        <v>46616.226967000002</v>
      </c>
      <c r="K65" s="3">
        <v>3893</v>
      </c>
      <c r="L65" s="3">
        <f t="shared" si="0"/>
        <v>0.61376576080510858</v>
      </c>
      <c r="M65" s="2"/>
    </row>
    <row r="66" spans="2:13" hidden="1" x14ac:dyDescent="0.25">
      <c r="B66" s="2" t="s">
        <v>2</v>
      </c>
      <c r="C66" s="2" t="s">
        <v>9</v>
      </c>
      <c r="D66" s="2" t="s">
        <v>9</v>
      </c>
      <c r="E66" s="2" t="s">
        <v>1717</v>
      </c>
      <c r="F66" s="2" t="s">
        <v>1705</v>
      </c>
      <c r="G66" s="3">
        <v>0</v>
      </c>
      <c r="H66" s="3">
        <v>0</v>
      </c>
      <c r="I66" s="3">
        <v>0</v>
      </c>
      <c r="J66" s="3">
        <v>0</v>
      </c>
      <c r="K66" s="3">
        <v>1</v>
      </c>
      <c r="L66" s="3">
        <f t="shared" si="0"/>
        <v>0</v>
      </c>
      <c r="M66" s="2" t="s">
        <v>1718</v>
      </c>
    </row>
    <row r="67" spans="2:13" hidden="1" x14ac:dyDescent="0.25">
      <c r="B67" s="2" t="s">
        <v>2</v>
      </c>
      <c r="C67" s="2" t="s">
        <v>9</v>
      </c>
      <c r="D67" s="2" t="s">
        <v>1712</v>
      </c>
      <c r="E67" s="2" t="s">
        <v>1717</v>
      </c>
      <c r="F67" s="2" t="s">
        <v>1705</v>
      </c>
      <c r="G67" s="3">
        <v>-190054050.53999999</v>
      </c>
      <c r="H67" s="3">
        <v>190054050.53999999</v>
      </c>
      <c r="I67" s="3">
        <v>139845.959591227</v>
      </c>
      <c r="J67" s="3">
        <v>139846.28250599999</v>
      </c>
      <c r="K67" s="3">
        <v>7774</v>
      </c>
      <c r="L67" s="3">
        <f t="shared" si="0"/>
        <v>0.32291477298713289</v>
      </c>
      <c r="M67" s="2"/>
    </row>
    <row r="68" spans="2:13" hidden="1" x14ac:dyDescent="0.25">
      <c r="B68" s="2" t="s">
        <v>2</v>
      </c>
      <c r="C68" s="2" t="s">
        <v>9</v>
      </c>
      <c r="D68" s="2" t="s">
        <v>9</v>
      </c>
      <c r="E68" s="2" t="s">
        <v>1716</v>
      </c>
      <c r="F68" s="2" t="s">
        <v>652</v>
      </c>
      <c r="G68" s="3">
        <v>-2947025.74</v>
      </c>
      <c r="H68" s="3">
        <v>2947025.74</v>
      </c>
      <c r="I68" s="3">
        <v>32.810924</v>
      </c>
      <c r="J68" s="3">
        <v>32.810923999999901</v>
      </c>
      <c r="K68" s="3">
        <v>1793</v>
      </c>
      <c r="L68" s="3">
        <f t="shared" si="0"/>
        <v>-9.9475983006414026E-14</v>
      </c>
      <c r="M68" s="2" t="s">
        <v>1718</v>
      </c>
    </row>
    <row r="69" spans="2:13" hidden="1" x14ac:dyDescent="0.25">
      <c r="B69" s="2" t="s">
        <v>2</v>
      </c>
      <c r="C69" s="2" t="s">
        <v>9</v>
      </c>
      <c r="D69" s="2" t="s">
        <v>1712</v>
      </c>
      <c r="E69" s="2" t="s">
        <v>1717</v>
      </c>
      <c r="F69" s="2" t="s">
        <v>652</v>
      </c>
      <c r="G69" s="3">
        <v>1.1000000000000001</v>
      </c>
      <c r="H69" s="3">
        <v>-1.1000000000000001</v>
      </c>
      <c r="I69" s="3">
        <v>1.01E-4</v>
      </c>
      <c r="J69" s="3">
        <v>0</v>
      </c>
      <c r="K69" s="3">
        <v>2</v>
      </c>
      <c r="L69" s="3">
        <f t="shared" si="0"/>
        <v>-1.01E-4</v>
      </c>
      <c r="M69" s="2"/>
    </row>
    <row r="70" spans="2:13" hidden="1" x14ac:dyDescent="0.25">
      <c r="B70" s="2" t="s">
        <v>2</v>
      </c>
      <c r="C70" s="2" t="s">
        <v>9</v>
      </c>
      <c r="D70" s="2" t="s">
        <v>1676</v>
      </c>
      <c r="E70" s="2" t="s">
        <v>1717</v>
      </c>
      <c r="F70" s="2" t="s">
        <v>652</v>
      </c>
      <c r="G70" s="3">
        <v>655.93</v>
      </c>
      <c r="H70" s="3">
        <v>-655.93</v>
      </c>
      <c r="I70" s="3">
        <v>36.630401999999997</v>
      </c>
      <c r="J70" s="3">
        <v>0</v>
      </c>
      <c r="K70" s="3">
        <v>12</v>
      </c>
      <c r="L70" s="3">
        <f t="shared" ref="L70:L99" si="2">+J70-I70</f>
        <v>-36.630401999999997</v>
      </c>
      <c r="M70" s="2"/>
    </row>
    <row r="71" spans="2:13" hidden="1" x14ac:dyDescent="0.25">
      <c r="B71" s="2" t="s">
        <v>2</v>
      </c>
      <c r="C71" s="2" t="s">
        <v>9</v>
      </c>
      <c r="D71" s="2" t="s">
        <v>1711</v>
      </c>
      <c r="E71" s="2" t="s">
        <v>1716</v>
      </c>
      <c r="F71" s="2" t="s">
        <v>652</v>
      </c>
      <c r="G71" s="3">
        <v>-31647841.656385001</v>
      </c>
      <c r="H71" s="3">
        <v>31647841.656385001</v>
      </c>
      <c r="I71" s="3">
        <v>3475.1711730000002</v>
      </c>
      <c r="J71" s="3">
        <v>2555.1871769999898</v>
      </c>
      <c r="K71" s="3">
        <v>8014</v>
      </c>
      <c r="L71" s="3">
        <f t="shared" si="2"/>
        <v>-919.98399600001039</v>
      </c>
      <c r="M71" s="2"/>
    </row>
    <row r="72" spans="2:13" hidden="1" x14ac:dyDescent="0.25">
      <c r="B72" s="2" t="s">
        <v>2</v>
      </c>
      <c r="C72" s="2" t="s">
        <v>9</v>
      </c>
      <c r="D72" s="2" t="s">
        <v>1711</v>
      </c>
      <c r="E72" s="2" t="s">
        <v>1717</v>
      </c>
      <c r="F72" s="2" t="s">
        <v>652</v>
      </c>
      <c r="G72" s="3">
        <v>2132.23</v>
      </c>
      <c r="H72" s="3">
        <v>-2132.23</v>
      </c>
      <c r="I72" s="3">
        <v>4.4044150000000002</v>
      </c>
      <c r="J72" s="3">
        <v>0</v>
      </c>
      <c r="K72" s="3">
        <v>50</v>
      </c>
      <c r="L72" s="3">
        <f t="shared" si="2"/>
        <v>-4.4044150000000002</v>
      </c>
      <c r="M72" s="2"/>
    </row>
    <row r="73" spans="2:13" hidden="1" x14ac:dyDescent="0.25">
      <c r="B73" s="2" t="s">
        <v>2</v>
      </c>
      <c r="C73" s="2" t="s">
        <v>9</v>
      </c>
      <c r="D73" s="2" t="s">
        <v>1712</v>
      </c>
      <c r="E73" s="2" t="s">
        <v>1716</v>
      </c>
      <c r="F73" s="2" t="s">
        <v>652</v>
      </c>
      <c r="G73" s="3">
        <v>-27302906.172511</v>
      </c>
      <c r="H73" s="3">
        <v>27302906.172511</v>
      </c>
      <c r="I73" s="3">
        <v>1078.5321140000001</v>
      </c>
      <c r="J73" s="3">
        <v>1078.36035099999</v>
      </c>
      <c r="K73" s="3">
        <v>10592</v>
      </c>
      <c r="L73" s="3">
        <f t="shared" si="2"/>
        <v>-0.17176300001005984</v>
      </c>
      <c r="M73" s="2"/>
    </row>
    <row r="74" spans="2:13" hidden="1" x14ac:dyDescent="0.25">
      <c r="B74" s="2" t="s">
        <v>2</v>
      </c>
      <c r="C74" s="2" t="s">
        <v>9</v>
      </c>
      <c r="D74" s="2" t="s">
        <v>1676</v>
      </c>
      <c r="E74" s="2" t="s">
        <v>1716</v>
      </c>
      <c r="F74" s="2" t="s">
        <v>652</v>
      </c>
      <c r="G74" s="3">
        <v>-577451160.47000003</v>
      </c>
      <c r="H74" s="3">
        <v>577451160.47000003</v>
      </c>
      <c r="I74" s="3">
        <v>4976559.0019840002</v>
      </c>
      <c r="J74" s="3">
        <v>148953.36411899899</v>
      </c>
      <c r="K74" s="3">
        <v>10984</v>
      </c>
      <c r="L74" s="3">
        <f t="shared" si="2"/>
        <v>-4827605.6378650013</v>
      </c>
      <c r="M74" s="2"/>
    </row>
    <row r="75" spans="2:13" x14ac:dyDescent="0.25">
      <c r="B75" s="2" t="s">
        <v>2</v>
      </c>
      <c r="C75" s="2" t="s">
        <v>9</v>
      </c>
      <c r="D75" s="2" t="s">
        <v>1676</v>
      </c>
      <c r="E75" s="2" t="s">
        <v>1716</v>
      </c>
      <c r="F75" s="2" t="s">
        <v>1704</v>
      </c>
      <c r="G75" s="3">
        <v>-19757406.789999999</v>
      </c>
      <c r="H75" s="3">
        <v>19757406.789999999</v>
      </c>
      <c r="I75" s="3" t="s">
        <v>105</v>
      </c>
      <c r="J75" s="3">
        <v>1496.50958699999</v>
      </c>
      <c r="K75" s="3">
        <v>670</v>
      </c>
      <c r="L75" s="3">
        <f>+J75</f>
        <v>1496.50958699999</v>
      </c>
      <c r="M75" s="2"/>
    </row>
    <row r="76" spans="2:13" x14ac:dyDescent="0.25">
      <c r="B76" s="2" t="s">
        <v>2</v>
      </c>
      <c r="C76" s="2" t="s">
        <v>9</v>
      </c>
      <c r="D76" s="2" t="s">
        <v>1676</v>
      </c>
      <c r="E76" s="2" t="s">
        <v>1715</v>
      </c>
      <c r="F76" s="2" t="s">
        <v>1704</v>
      </c>
      <c r="G76" s="3">
        <v>-24995924.719999999</v>
      </c>
      <c r="H76" s="3">
        <v>24995924.719999999</v>
      </c>
      <c r="I76" s="3" t="s">
        <v>105</v>
      </c>
      <c r="J76" s="3">
        <v>2541.959202</v>
      </c>
      <c r="K76" s="3">
        <v>974</v>
      </c>
      <c r="L76" s="3">
        <f t="shared" ref="L76:L77" si="3">+J76</f>
        <v>2541.959202</v>
      </c>
      <c r="M76" s="2"/>
    </row>
    <row r="77" spans="2:13" x14ac:dyDescent="0.25">
      <c r="B77" s="2" t="s">
        <v>2</v>
      </c>
      <c r="C77" s="2" t="s">
        <v>9</v>
      </c>
      <c r="D77" s="2" t="s">
        <v>1676</v>
      </c>
      <c r="E77" s="2" t="s">
        <v>1717</v>
      </c>
      <c r="F77" s="2" t="s">
        <v>1704</v>
      </c>
      <c r="G77" s="3">
        <v>-58732.18</v>
      </c>
      <c r="H77" s="3">
        <v>58732.18</v>
      </c>
      <c r="I77" s="3" t="s">
        <v>105</v>
      </c>
      <c r="J77" s="3">
        <v>0</v>
      </c>
      <c r="K77" s="3">
        <v>106</v>
      </c>
      <c r="L77" s="3">
        <f t="shared" si="3"/>
        <v>0</v>
      </c>
      <c r="M77" s="2"/>
    </row>
    <row r="78" spans="2:13" x14ac:dyDescent="0.25">
      <c r="B78" s="2" t="s">
        <v>2</v>
      </c>
      <c r="C78" s="2" t="s">
        <v>9</v>
      </c>
      <c r="D78" s="2" t="s">
        <v>1709</v>
      </c>
      <c r="E78" s="2" t="s">
        <v>1716</v>
      </c>
      <c r="F78" s="2" t="s">
        <v>100</v>
      </c>
      <c r="G78" s="3">
        <v>-784101.56</v>
      </c>
      <c r="H78" s="3">
        <v>784101.56</v>
      </c>
      <c r="I78" s="3" t="s">
        <v>105</v>
      </c>
      <c r="J78" s="3">
        <v>7.2588079999999904</v>
      </c>
      <c r="K78" s="3">
        <v>48</v>
      </c>
      <c r="L78" s="3">
        <f>+J78</f>
        <v>7.2588079999999904</v>
      </c>
      <c r="M78" s="2" t="s">
        <v>1722</v>
      </c>
    </row>
    <row r="79" spans="2:13" hidden="1" x14ac:dyDescent="0.25">
      <c r="B79" s="2" t="s">
        <v>2</v>
      </c>
      <c r="C79" s="2" t="s">
        <v>9</v>
      </c>
      <c r="D79" s="2" t="s">
        <v>1709</v>
      </c>
      <c r="E79" s="2" t="s">
        <v>1717</v>
      </c>
      <c r="F79" s="2" t="s">
        <v>100</v>
      </c>
      <c r="G79" s="3">
        <v>-2040209.4</v>
      </c>
      <c r="H79" s="3">
        <v>2040209.4</v>
      </c>
      <c r="I79" s="3">
        <v>4.7742042625450001</v>
      </c>
      <c r="J79" s="3">
        <v>6.5921519999999996</v>
      </c>
      <c r="K79" s="3">
        <v>11</v>
      </c>
      <c r="L79" s="3">
        <f t="shared" si="2"/>
        <v>1.8179477374549995</v>
      </c>
      <c r="M79" s="2" t="s">
        <v>1722</v>
      </c>
    </row>
    <row r="80" spans="2:13" x14ac:dyDescent="0.25">
      <c r="B80" s="2" t="s">
        <v>2</v>
      </c>
      <c r="C80" s="2" t="s">
        <v>9</v>
      </c>
      <c r="D80" s="2" t="s">
        <v>1676</v>
      </c>
      <c r="E80" s="2" t="s">
        <v>1717</v>
      </c>
      <c r="F80" s="2" t="s">
        <v>105</v>
      </c>
      <c r="G80" s="3">
        <v>28660240.300000001</v>
      </c>
      <c r="H80" s="3">
        <v>-28660240.300000001</v>
      </c>
      <c r="I80" s="3" t="s">
        <v>105</v>
      </c>
      <c r="J80" s="3">
        <v>0</v>
      </c>
      <c r="K80" s="3">
        <v>54</v>
      </c>
      <c r="L80" s="3">
        <f>+J80</f>
        <v>0</v>
      </c>
      <c r="M80" s="2" t="s">
        <v>9</v>
      </c>
    </row>
    <row r="81" spans="2:13" hidden="1" x14ac:dyDescent="0.25">
      <c r="B81" s="2" t="s">
        <v>2</v>
      </c>
      <c r="C81" s="2" t="s">
        <v>9</v>
      </c>
      <c r="D81" s="2" t="s">
        <v>9</v>
      </c>
      <c r="E81" s="2" t="s">
        <v>1716</v>
      </c>
      <c r="F81" s="2" t="s">
        <v>1706</v>
      </c>
      <c r="G81" s="3">
        <v>-184550561.03</v>
      </c>
      <c r="H81" s="3">
        <v>184550561.03</v>
      </c>
      <c r="I81" s="3">
        <v>0</v>
      </c>
      <c r="J81" s="3">
        <v>0</v>
      </c>
      <c r="K81" s="3">
        <v>9</v>
      </c>
      <c r="L81" s="3">
        <f t="shared" si="2"/>
        <v>0</v>
      </c>
      <c r="M81" s="2" t="s">
        <v>1718</v>
      </c>
    </row>
    <row r="82" spans="2:13" hidden="1" x14ac:dyDescent="0.25">
      <c r="B82" s="2" t="s">
        <v>2</v>
      </c>
      <c r="C82" s="2" t="s">
        <v>9</v>
      </c>
      <c r="D82" s="2" t="s">
        <v>9</v>
      </c>
      <c r="E82" s="2" t="s">
        <v>1717</v>
      </c>
      <c r="F82" s="2" t="s">
        <v>1706</v>
      </c>
      <c r="G82" s="3">
        <v>-33421288.300000001</v>
      </c>
      <c r="H82" s="3">
        <v>33421288.300000001</v>
      </c>
      <c r="I82" s="3">
        <v>0</v>
      </c>
      <c r="J82" s="3">
        <v>0</v>
      </c>
      <c r="K82" s="3">
        <v>16</v>
      </c>
      <c r="L82" s="3">
        <f t="shared" si="2"/>
        <v>0</v>
      </c>
      <c r="M82" s="2" t="s">
        <v>1718</v>
      </c>
    </row>
    <row r="83" spans="2:13" hidden="1" x14ac:dyDescent="0.25">
      <c r="B83" s="2" t="s">
        <v>2</v>
      </c>
      <c r="C83" s="2" t="s">
        <v>9</v>
      </c>
      <c r="D83" s="2" t="s">
        <v>9</v>
      </c>
      <c r="E83" s="2" t="s">
        <v>1715</v>
      </c>
      <c r="F83" s="2" t="s">
        <v>1706</v>
      </c>
      <c r="G83" s="3">
        <v>-4458184.5599999996</v>
      </c>
      <c r="H83" s="3">
        <v>4458184.5599999996</v>
      </c>
      <c r="I83" s="3">
        <v>0</v>
      </c>
      <c r="J83" s="3">
        <v>0</v>
      </c>
      <c r="K83" s="3">
        <v>1</v>
      </c>
      <c r="L83" s="3">
        <f t="shared" si="2"/>
        <v>0</v>
      </c>
      <c r="M83" s="2" t="s">
        <v>1718</v>
      </c>
    </row>
    <row r="84" spans="2:13" hidden="1" x14ac:dyDescent="0.25">
      <c r="B84" s="2" t="s">
        <v>2</v>
      </c>
      <c r="C84" s="2" t="s">
        <v>9</v>
      </c>
      <c r="D84" s="2" t="s">
        <v>1712</v>
      </c>
      <c r="E84" s="2" t="s">
        <v>1717</v>
      </c>
      <c r="F84" s="2" t="s">
        <v>1708</v>
      </c>
      <c r="G84" s="3">
        <v>-18294174.039999999</v>
      </c>
      <c r="H84" s="3">
        <v>18294174.039999999</v>
      </c>
      <c r="I84" s="3">
        <v>540.65545750019999</v>
      </c>
      <c r="J84" s="3">
        <v>540.65546600000005</v>
      </c>
      <c r="K84" s="3">
        <v>1</v>
      </c>
      <c r="L84" s="3">
        <f t="shared" si="2"/>
        <v>8.4998000602354296E-6</v>
      </c>
      <c r="M84" s="2"/>
    </row>
    <row r="85" spans="2:13" hidden="1" x14ac:dyDescent="0.25">
      <c r="B85" s="2" t="s">
        <v>2</v>
      </c>
      <c r="C85" s="2" t="s">
        <v>9</v>
      </c>
      <c r="D85" s="2" t="s">
        <v>1711</v>
      </c>
      <c r="E85" s="2" t="s">
        <v>1717</v>
      </c>
      <c r="F85" s="2" t="s">
        <v>1708</v>
      </c>
      <c r="G85" s="3">
        <v>-34489108.829999998</v>
      </c>
      <c r="H85" s="3">
        <v>34489108.829999998</v>
      </c>
      <c r="I85" s="3">
        <v>15223.614396213001</v>
      </c>
      <c r="J85" s="3">
        <v>15223.614826000001</v>
      </c>
      <c r="K85" s="3">
        <v>1</v>
      </c>
      <c r="L85" s="3">
        <f t="shared" si="2"/>
        <v>4.2978700003004633E-4</v>
      </c>
      <c r="M85" s="2"/>
    </row>
    <row r="86" spans="2:13" hidden="1" x14ac:dyDescent="0.25">
      <c r="B86" s="2" t="s">
        <v>2</v>
      </c>
      <c r="C86" s="2" t="s">
        <v>9</v>
      </c>
      <c r="D86" s="2" t="s">
        <v>1712</v>
      </c>
      <c r="E86" s="2" t="s">
        <v>1717</v>
      </c>
      <c r="F86" s="2" t="s">
        <v>446</v>
      </c>
      <c r="G86" s="3">
        <v>-3379537.73</v>
      </c>
      <c r="H86" s="3">
        <v>3379537.73</v>
      </c>
      <c r="I86" s="3">
        <v>419.80887010539999</v>
      </c>
      <c r="J86" s="3">
        <v>419.80888399999998</v>
      </c>
      <c r="K86" s="3">
        <v>1</v>
      </c>
      <c r="L86" s="3">
        <f t="shared" si="2"/>
        <v>1.3894599987906986E-5</v>
      </c>
      <c r="M86" s="2"/>
    </row>
    <row r="87" spans="2:13" hidden="1" x14ac:dyDescent="0.25">
      <c r="B87" s="2" t="s">
        <v>2</v>
      </c>
      <c r="C87" s="2" t="s">
        <v>9</v>
      </c>
      <c r="D87" s="2" t="s">
        <v>1712</v>
      </c>
      <c r="E87" s="2" t="s">
        <v>1716</v>
      </c>
      <c r="F87" s="2" t="s">
        <v>126</v>
      </c>
      <c r="G87" s="3">
        <v>-26160665.559999999</v>
      </c>
      <c r="H87" s="3">
        <v>26160665.559999999</v>
      </c>
      <c r="I87" s="3">
        <v>24.802927</v>
      </c>
      <c r="J87" s="3">
        <v>24.802925999999999</v>
      </c>
      <c r="K87" s="3">
        <v>1</v>
      </c>
      <c r="L87" s="3">
        <f t="shared" si="2"/>
        <v>-1.0000000010279564E-6</v>
      </c>
      <c r="M87" s="2"/>
    </row>
    <row r="88" spans="2:13" hidden="1" x14ac:dyDescent="0.25">
      <c r="B88" s="2" t="s">
        <v>2</v>
      </c>
      <c r="C88" s="2" t="s">
        <v>9</v>
      </c>
      <c r="D88" s="2" t="s">
        <v>1711</v>
      </c>
      <c r="E88" s="2" t="s">
        <v>1717</v>
      </c>
      <c r="F88" s="2" t="s">
        <v>126</v>
      </c>
      <c r="G88" s="3">
        <v>-612.75</v>
      </c>
      <c r="H88" s="3">
        <v>612.75</v>
      </c>
      <c r="I88" s="3">
        <v>0.96016900000000005</v>
      </c>
      <c r="J88" s="3">
        <v>0</v>
      </c>
      <c r="K88" s="3">
        <v>1</v>
      </c>
      <c r="L88" s="3">
        <f t="shared" si="2"/>
        <v>-0.96016900000000005</v>
      </c>
      <c r="M88" s="2"/>
    </row>
    <row r="89" spans="2:13" hidden="1" x14ac:dyDescent="0.25">
      <c r="B89" s="2" t="s">
        <v>2</v>
      </c>
      <c r="C89" s="2" t="s">
        <v>9</v>
      </c>
      <c r="D89" s="2" t="s">
        <v>1711</v>
      </c>
      <c r="E89" s="2" t="s">
        <v>1716</v>
      </c>
      <c r="F89" s="2" t="s">
        <v>126</v>
      </c>
      <c r="G89" s="3">
        <v>-24490527.32</v>
      </c>
      <c r="H89" s="3">
        <v>24490527.32</v>
      </c>
      <c r="I89" s="3">
        <v>23.257574999999999</v>
      </c>
      <c r="J89" s="3">
        <v>23.219469</v>
      </c>
      <c r="K89" s="3">
        <v>1</v>
      </c>
      <c r="L89" s="3">
        <f t="shared" si="2"/>
        <v>-3.8105999999999085E-2</v>
      </c>
      <c r="M89" s="2"/>
    </row>
    <row r="90" spans="2:13" hidden="1" x14ac:dyDescent="0.25">
      <c r="B90" s="2" t="s">
        <v>2</v>
      </c>
      <c r="C90" s="2" t="s">
        <v>9</v>
      </c>
      <c r="D90" s="2" t="s">
        <v>1676</v>
      </c>
      <c r="E90" s="2" t="s">
        <v>1715</v>
      </c>
      <c r="F90" s="2" t="s">
        <v>126</v>
      </c>
      <c r="G90" s="3">
        <v>-50215504.700000003</v>
      </c>
      <c r="H90" s="3">
        <v>50215504.700000003</v>
      </c>
      <c r="I90" s="3">
        <v>2756.8909880000001</v>
      </c>
      <c r="J90" s="3">
        <v>709.25647400000003</v>
      </c>
      <c r="K90" s="3">
        <v>6</v>
      </c>
      <c r="L90" s="3">
        <f t="shared" si="2"/>
        <v>-2047.6345140000001</v>
      </c>
      <c r="M90" s="2"/>
    </row>
    <row r="91" spans="2:13" hidden="1" x14ac:dyDescent="0.25">
      <c r="B91" s="2" t="s">
        <v>2</v>
      </c>
      <c r="C91" s="2" t="s">
        <v>9</v>
      </c>
      <c r="D91" s="2" t="s">
        <v>9</v>
      </c>
      <c r="E91" s="2" t="s">
        <v>1716</v>
      </c>
      <c r="F91" s="2" t="s">
        <v>126</v>
      </c>
      <c r="G91" s="3">
        <v>-50980131.270000003</v>
      </c>
      <c r="H91" s="3">
        <v>50980131.270000003</v>
      </c>
      <c r="I91" s="3">
        <v>48.334262000000003</v>
      </c>
      <c r="J91" s="3">
        <v>48.334262000000003</v>
      </c>
      <c r="K91" s="3">
        <v>1</v>
      </c>
      <c r="L91" s="3">
        <f t="shared" si="2"/>
        <v>0</v>
      </c>
      <c r="M91" s="2" t="s">
        <v>1718</v>
      </c>
    </row>
    <row r="92" spans="2:13" hidden="1" x14ac:dyDescent="0.25">
      <c r="B92" s="2" t="s">
        <v>2</v>
      </c>
      <c r="C92" s="2" t="s">
        <v>9</v>
      </c>
      <c r="D92" s="2" t="s">
        <v>1676</v>
      </c>
      <c r="E92" s="2" t="s">
        <v>1716</v>
      </c>
      <c r="F92" s="2" t="s">
        <v>126</v>
      </c>
      <c r="G92" s="3">
        <v>-215654022.63999999</v>
      </c>
      <c r="H92" s="3">
        <v>215654022.63999999</v>
      </c>
      <c r="I92" s="3">
        <v>13061.588503999999</v>
      </c>
      <c r="J92" s="3">
        <v>12634.415655999999</v>
      </c>
      <c r="K92" s="3">
        <v>15</v>
      </c>
      <c r="L92" s="3">
        <f t="shared" si="2"/>
        <v>-427.17284800000016</v>
      </c>
      <c r="M92" s="2"/>
    </row>
    <row r="93" spans="2:13" hidden="1" x14ac:dyDescent="0.25">
      <c r="B93" s="2" t="s">
        <v>2</v>
      </c>
      <c r="C93" s="2" t="s">
        <v>9</v>
      </c>
      <c r="D93" s="2" t="s">
        <v>1676</v>
      </c>
      <c r="E93" s="2" t="s">
        <v>1717</v>
      </c>
      <c r="F93" s="2" t="s">
        <v>126</v>
      </c>
      <c r="G93" s="3">
        <v>123860.42</v>
      </c>
      <c r="H93" s="3">
        <v>-123860.42</v>
      </c>
      <c r="I93" s="3">
        <v>136.75695899999999</v>
      </c>
      <c r="J93" s="3">
        <v>0</v>
      </c>
      <c r="K93" s="3">
        <v>2</v>
      </c>
      <c r="L93" s="3">
        <f t="shared" si="2"/>
        <v>-136.75695899999999</v>
      </c>
      <c r="M93" s="2"/>
    </row>
    <row r="94" spans="2:13" x14ac:dyDescent="0.25">
      <c r="B94" s="2" t="s">
        <v>2</v>
      </c>
      <c r="C94" s="2" t="s">
        <v>9</v>
      </c>
      <c r="D94" s="2" t="s">
        <v>1676</v>
      </c>
      <c r="E94" s="2" t="s">
        <v>1717</v>
      </c>
      <c r="F94" s="2" t="s">
        <v>192</v>
      </c>
      <c r="G94" s="3">
        <v>-23049744.399999999</v>
      </c>
      <c r="H94" s="3">
        <v>23049744.399999999</v>
      </c>
      <c r="I94" s="3" t="s">
        <v>105</v>
      </c>
      <c r="J94" s="3">
        <v>35.5</v>
      </c>
      <c r="K94" s="3">
        <v>51</v>
      </c>
      <c r="L94" s="3">
        <f>+J94</f>
        <v>35.5</v>
      </c>
      <c r="M94" s="2"/>
    </row>
    <row r="95" spans="2:13" hidden="1" x14ac:dyDescent="0.25">
      <c r="B95" s="2" t="s">
        <v>2</v>
      </c>
      <c r="C95" s="2" t="s">
        <v>9</v>
      </c>
      <c r="D95" s="2" t="s">
        <v>1711</v>
      </c>
      <c r="E95" s="2" t="s">
        <v>1717</v>
      </c>
      <c r="F95" s="2" t="s">
        <v>122</v>
      </c>
      <c r="G95" s="3">
        <v>-156166.5</v>
      </c>
      <c r="H95" s="3">
        <v>156166.5</v>
      </c>
      <c r="I95" s="3">
        <v>1.0651166384740001</v>
      </c>
      <c r="J95" s="3">
        <v>0.99</v>
      </c>
      <c r="K95" s="3">
        <v>5</v>
      </c>
      <c r="L95" s="3">
        <f t="shared" si="2"/>
        <v>-7.5116638474000075E-2</v>
      </c>
      <c r="M95" s="2"/>
    </row>
    <row r="96" spans="2:13" hidden="1" x14ac:dyDescent="0.25">
      <c r="B96" s="2" t="s">
        <v>2</v>
      </c>
      <c r="C96" s="2" t="s">
        <v>9</v>
      </c>
      <c r="D96" s="2" t="s">
        <v>1676</v>
      </c>
      <c r="E96" s="2" t="s">
        <v>1717</v>
      </c>
      <c r="F96" s="2" t="s">
        <v>122</v>
      </c>
      <c r="G96" s="3">
        <v>-110733283.09999999</v>
      </c>
      <c r="H96" s="3">
        <v>110733283.09999999</v>
      </c>
      <c r="I96" s="3">
        <v>26.536491700226001</v>
      </c>
      <c r="J96" s="3">
        <v>151.02000000000001</v>
      </c>
      <c r="K96" s="3">
        <v>196</v>
      </c>
      <c r="L96" s="3">
        <f t="shared" si="2"/>
        <v>124.483508299774</v>
      </c>
      <c r="M96" s="2"/>
    </row>
    <row r="97" spans="2:13" hidden="1" x14ac:dyDescent="0.25">
      <c r="B97" s="2" t="s">
        <v>2</v>
      </c>
      <c r="C97" s="2" t="s">
        <v>9</v>
      </c>
      <c r="D97" s="2" t="s">
        <v>1676</v>
      </c>
      <c r="E97" s="2" t="s">
        <v>1717</v>
      </c>
      <c r="F97" s="2" t="s">
        <v>99</v>
      </c>
      <c r="G97" s="3">
        <v>-16341377.300000001</v>
      </c>
      <c r="H97" s="3">
        <v>16341377.300000001</v>
      </c>
      <c r="I97" s="3">
        <v>137.07190715224999</v>
      </c>
      <c r="J97" s="3">
        <v>59.65</v>
      </c>
      <c r="K97" s="3">
        <v>33</v>
      </c>
      <c r="L97" s="3">
        <f t="shared" si="2"/>
        <v>-77.421907152249986</v>
      </c>
      <c r="M97" s="2"/>
    </row>
    <row r="98" spans="2:13" hidden="1" x14ac:dyDescent="0.25">
      <c r="B98" s="2" t="s">
        <v>2</v>
      </c>
      <c r="C98" s="2" t="s">
        <v>9</v>
      </c>
      <c r="D98" s="2" t="s">
        <v>1712</v>
      </c>
      <c r="E98" s="2" t="s">
        <v>1717</v>
      </c>
      <c r="F98" s="2" t="s">
        <v>99</v>
      </c>
      <c r="G98" s="3">
        <v>-15.7</v>
      </c>
      <c r="H98" s="3">
        <v>15.7</v>
      </c>
      <c r="I98" s="3">
        <v>2.2549200000000001E-5</v>
      </c>
      <c r="J98" s="3">
        <v>0</v>
      </c>
      <c r="K98" s="3">
        <v>2</v>
      </c>
      <c r="L98" s="3">
        <f t="shared" si="2"/>
        <v>-2.2549200000000001E-5</v>
      </c>
      <c r="M98" s="2"/>
    </row>
    <row r="99" spans="2:13" hidden="1" x14ac:dyDescent="0.25">
      <c r="B99" s="2" t="s">
        <v>2</v>
      </c>
      <c r="C99" s="2" t="s">
        <v>9</v>
      </c>
      <c r="D99" s="2" t="s">
        <v>1711</v>
      </c>
      <c r="E99" s="2" t="s">
        <v>1717</v>
      </c>
      <c r="F99" s="2" t="s">
        <v>99</v>
      </c>
      <c r="G99" s="3">
        <v>-23968840.5</v>
      </c>
      <c r="H99" s="3">
        <v>23968840.5</v>
      </c>
      <c r="I99" s="3">
        <v>323.74023444775003</v>
      </c>
      <c r="J99" s="3">
        <v>293.31</v>
      </c>
      <c r="K99" s="3">
        <v>220</v>
      </c>
      <c r="L99" s="3">
        <f t="shared" si="2"/>
        <v>-30.430234447750024</v>
      </c>
      <c r="M99" s="2"/>
    </row>
    <row r="100" spans="2:13" hidden="1" x14ac:dyDescent="0.25">
      <c r="I100" s="1">
        <f>+SUM(I5:I99)</f>
        <v>7007021.2674439894</v>
      </c>
      <c r="J100" s="1">
        <f>+SUM(J5:J99)</f>
        <v>2163830.5555519988</v>
      </c>
      <c r="L100" s="1">
        <f>+SUM(L5:L99)</f>
        <v>-4843190.711891992</v>
      </c>
    </row>
  </sheetData>
  <autoFilter ref="B4:M100">
    <filterColumn colId="7">
      <filters>
        <filter val="NULL"/>
      </filters>
    </filterColumn>
  </autoFilter>
  <sortState ref="B89:K183">
    <sortCondition ref="B89:B183"/>
    <sortCondition ref="C89:C183"/>
    <sortCondition ref="F89:F183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35"/>
  <sheetViews>
    <sheetView showGridLines="0" workbookViewId="0"/>
  </sheetViews>
  <sheetFormatPr defaultRowHeight="15" x14ac:dyDescent="0.25"/>
  <sheetData>
    <row r="1" spans="1:71" x14ac:dyDescent="0.25">
      <c r="A1" s="10" t="s">
        <v>1669</v>
      </c>
    </row>
    <row r="3" spans="1:71" x14ac:dyDescent="0.25">
      <c r="A3" s="11" t="s">
        <v>11</v>
      </c>
      <c r="B3" s="11" t="s">
        <v>12</v>
      </c>
      <c r="C3" s="11" t="s">
        <v>13</v>
      </c>
      <c r="D3" s="11" t="s">
        <v>14</v>
      </c>
      <c r="E3" s="11" t="s">
        <v>15</v>
      </c>
      <c r="F3" s="11" t="s">
        <v>16</v>
      </c>
      <c r="G3" s="11" t="s">
        <v>17</v>
      </c>
      <c r="H3" s="11" t="s">
        <v>18</v>
      </c>
      <c r="I3" s="11" t="s">
        <v>5</v>
      </c>
      <c r="J3" s="11" t="s">
        <v>19</v>
      </c>
      <c r="K3" s="11" t="s">
        <v>20</v>
      </c>
      <c r="L3" s="11" t="s">
        <v>21</v>
      </c>
      <c r="M3" s="11" t="s">
        <v>22</v>
      </c>
      <c r="N3" s="11" t="s">
        <v>23</v>
      </c>
      <c r="O3" s="11" t="s">
        <v>24</v>
      </c>
      <c r="P3" s="11" t="s">
        <v>25</v>
      </c>
      <c r="Q3" s="11" t="s">
        <v>26</v>
      </c>
      <c r="R3" s="11" t="s">
        <v>27</v>
      </c>
      <c r="S3" s="11" t="s">
        <v>28</v>
      </c>
      <c r="T3" s="11" t="s">
        <v>29</v>
      </c>
      <c r="U3" s="11" t="s">
        <v>30</v>
      </c>
      <c r="V3" s="11" t="s">
        <v>31</v>
      </c>
      <c r="W3" s="11" t="s">
        <v>32</v>
      </c>
      <c r="X3" s="11" t="s">
        <v>33</v>
      </c>
      <c r="Y3" s="11" t="s">
        <v>34</v>
      </c>
      <c r="Z3" s="11" t="s">
        <v>35</v>
      </c>
      <c r="AA3" s="11" t="s">
        <v>36</v>
      </c>
      <c r="AB3" s="11" t="s">
        <v>37</v>
      </c>
      <c r="AC3" s="11" t="s">
        <v>38</v>
      </c>
      <c r="AD3" s="11" t="s">
        <v>39</v>
      </c>
      <c r="AE3" s="11" t="s">
        <v>40</v>
      </c>
      <c r="AF3" s="11" t="s">
        <v>41</v>
      </c>
      <c r="AG3" s="11" t="s">
        <v>42</v>
      </c>
      <c r="AH3" s="11" t="s">
        <v>43</v>
      </c>
      <c r="AI3" s="11" t="s">
        <v>44</v>
      </c>
      <c r="AJ3" s="11" t="s">
        <v>45</v>
      </c>
      <c r="AK3" s="11" t="s">
        <v>46</v>
      </c>
      <c r="AL3" s="11" t="s">
        <v>47</v>
      </c>
      <c r="AM3" s="11" t="s">
        <v>48</v>
      </c>
      <c r="AN3" s="11" t="s">
        <v>49</v>
      </c>
      <c r="AO3" s="11" t="s">
        <v>50</v>
      </c>
      <c r="AP3" s="11" t="s">
        <v>51</v>
      </c>
      <c r="AQ3" s="11" t="s">
        <v>52</v>
      </c>
      <c r="AR3" s="11" t="s">
        <v>53</v>
      </c>
      <c r="AS3" s="11" t="s">
        <v>54</v>
      </c>
      <c r="AT3" s="11" t="s">
        <v>55</v>
      </c>
      <c r="AU3" s="11" t="s">
        <v>56</v>
      </c>
      <c r="AV3" s="11" t="s">
        <v>57</v>
      </c>
      <c r="AW3" s="11" t="s">
        <v>58</v>
      </c>
      <c r="AX3" s="11" t="s">
        <v>59</v>
      </c>
      <c r="AY3" s="11" t="s">
        <v>60</v>
      </c>
      <c r="AZ3" s="11" t="s">
        <v>61</v>
      </c>
      <c r="BA3" s="11" t="s">
        <v>62</v>
      </c>
      <c r="BB3" s="11" t="s">
        <v>63</v>
      </c>
      <c r="BC3" s="11" t="s">
        <v>64</v>
      </c>
      <c r="BD3" s="11" t="s">
        <v>65</v>
      </c>
      <c r="BE3" s="11" t="s">
        <v>66</v>
      </c>
      <c r="BF3" s="11" t="s">
        <v>67</v>
      </c>
      <c r="BG3" s="11" t="s">
        <v>68</v>
      </c>
      <c r="BH3" s="11" t="s">
        <v>69</v>
      </c>
      <c r="BI3" s="11" t="s">
        <v>70</v>
      </c>
      <c r="BJ3" s="11" t="s">
        <v>71</v>
      </c>
      <c r="BK3" s="11" t="s">
        <v>72</v>
      </c>
      <c r="BL3" s="11" t="s">
        <v>73</v>
      </c>
      <c r="BM3" s="11" t="s">
        <v>74</v>
      </c>
      <c r="BN3" s="11" t="s">
        <v>75</v>
      </c>
      <c r="BO3" s="11" t="s">
        <v>76</v>
      </c>
      <c r="BP3" s="11" t="s">
        <v>77</v>
      </c>
      <c r="BQ3" s="11" t="s">
        <v>78</v>
      </c>
      <c r="BR3" s="11" t="s">
        <v>79</v>
      </c>
      <c r="BS3" s="9"/>
    </row>
    <row r="4" spans="1:71" x14ac:dyDescent="0.25">
      <c r="A4" s="9" t="s">
        <v>1202</v>
      </c>
      <c r="B4" s="9" t="s">
        <v>1203</v>
      </c>
      <c r="C4" s="9" t="s">
        <v>1204</v>
      </c>
      <c r="D4" s="9" t="s">
        <v>1205</v>
      </c>
      <c r="E4" s="9" t="s">
        <v>1206</v>
      </c>
      <c r="F4" s="9" t="s">
        <v>1207</v>
      </c>
      <c r="G4" s="9" t="s">
        <v>1206</v>
      </c>
      <c r="H4" s="9" t="s">
        <v>1208</v>
      </c>
      <c r="I4" s="9" t="s">
        <v>6</v>
      </c>
      <c r="J4" s="9" t="s">
        <v>1209</v>
      </c>
      <c r="K4" s="9" t="s">
        <v>1209</v>
      </c>
      <c r="L4" s="9" t="s">
        <v>1206</v>
      </c>
      <c r="M4" s="9" t="s">
        <v>80</v>
      </c>
      <c r="N4" s="9" t="s">
        <v>1206</v>
      </c>
      <c r="O4" s="9" t="s">
        <v>1208</v>
      </c>
      <c r="P4" s="9" t="s">
        <v>81</v>
      </c>
      <c r="Q4" s="9" t="s">
        <v>1210</v>
      </c>
      <c r="R4" s="9" t="s">
        <v>81</v>
      </c>
      <c r="S4" s="9" t="s">
        <v>82</v>
      </c>
      <c r="T4" s="9" t="s">
        <v>83</v>
      </c>
      <c r="U4" s="9" t="s">
        <v>84</v>
      </c>
      <c r="V4" s="9" t="s">
        <v>85</v>
      </c>
      <c r="W4" s="9" t="s">
        <v>86</v>
      </c>
      <c r="X4" s="9" t="s">
        <v>1209</v>
      </c>
      <c r="Y4" s="9" t="s">
        <v>1211</v>
      </c>
      <c r="Z4" s="9" t="s">
        <v>1212</v>
      </c>
      <c r="AA4" s="9"/>
      <c r="AB4" s="9" t="s">
        <v>87</v>
      </c>
      <c r="AC4" s="9" t="s">
        <v>88</v>
      </c>
      <c r="AD4" s="9" t="s">
        <v>1213</v>
      </c>
      <c r="AE4" s="9" t="s">
        <v>89</v>
      </c>
      <c r="AF4" s="9" t="s">
        <v>1214</v>
      </c>
      <c r="AG4" s="9" t="s">
        <v>90</v>
      </c>
      <c r="AH4" s="9" t="s">
        <v>91</v>
      </c>
      <c r="AI4" s="9" t="s">
        <v>92</v>
      </c>
      <c r="AJ4" s="9" t="s">
        <v>92</v>
      </c>
      <c r="AK4" s="9" t="s">
        <v>93</v>
      </c>
      <c r="AL4" s="9" t="s">
        <v>92</v>
      </c>
      <c r="AM4" s="9" t="s">
        <v>92</v>
      </c>
      <c r="AN4" s="9" t="s">
        <v>94</v>
      </c>
      <c r="AO4" s="9" t="s">
        <v>95</v>
      </c>
      <c r="AP4" s="9" t="s">
        <v>96</v>
      </c>
      <c r="AQ4" s="9" t="s">
        <v>97</v>
      </c>
      <c r="AR4" s="9" t="s">
        <v>98</v>
      </c>
      <c r="AS4" s="9" t="s">
        <v>99</v>
      </c>
      <c r="AT4" s="9" t="s">
        <v>99</v>
      </c>
      <c r="AU4" s="9" t="s">
        <v>100</v>
      </c>
      <c r="AV4" s="9" t="s">
        <v>101</v>
      </c>
      <c r="AW4" s="9" t="s">
        <v>102</v>
      </c>
      <c r="AX4" s="9" t="s">
        <v>103</v>
      </c>
      <c r="AY4" s="9" t="s">
        <v>104</v>
      </c>
      <c r="AZ4" s="9" t="s">
        <v>104</v>
      </c>
      <c r="BA4" s="9" t="s">
        <v>104</v>
      </c>
      <c r="BB4" s="9" t="s">
        <v>105</v>
      </c>
      <c r="BC4" s="9" t="s">
        <v>105</v>
      </c>
      <c r="BD4" s="9" t="s">
        <v>105</v>
      </c>
      <c r="BE4" s="9" t="s">
        <v>105</v>
      </c>
      <c r="BF4" s="9" t="s">
        <v>105</v>
      </c>
      <c r="BG4" s="9" t="s">
        <v>105</v>
      </c>
      <c r="BH4" s="9" t="s">
        <v>105</v>
      </c>
      <c r="BI4" s="9" t="s">
        <v>105</v>
      </c>
      <c r="BJ4" s="9" t="s">
        <v>106</v>
      </c>
      <c r="BK4" s="9" t="s">
        <v>107</v>
      </c>
      <c r="BL4" s="9" t="s">
        <v>105</v>
      </c>
      <c r="BM4" s="9" t="s">
        <v>99</v>
      </c>
      <c r="BN4" s="9" t="s">
        <v>99</v>
      </c>
      <c r="BO4" s="9" t="s">
        <v>100</v>
      </c>
      <c r="BP4" s="9" t="s">
        <v>96</v>
      </c>
      <c r="BQ4" s="9" t="s">
        <v>97</v>
      </c>
      <c r="BR4" s="9" t="s">
        <v>98</v>
      </c>
      <c r="BS4" s="9"/>
    </row>
    <row r="5" spans="1:71" x14ac:dyDescent="0.25">
      <c r="A5" s="9" t="s">
        <v>1202</v>
      </c>
      <c r="B5" s="9" t="s">
        <v>1203</v>
      </c>
      <c r="C5" s="9" t="s">
        <v>1204</v>
      </c>
      <c r="D5" s="9" t="s">
        <v>1205</v>
      </c>
      <c r="E5" s="9" t="s">
        <v>1206</v>
      </c>
      <c r="F5" s="9" t="s">
        <v>1207</v>
      </c>
      <c r="G5" s="9" t="s">
        <v>1206</v>
      </c>
      <c r="H5" s="9" t="s">
        <v>1215</v>
      </c>
      <c r="I5" s="9" t="s">
        <v>6</v>
      </c>
      <c r="J5" s="9" t="s">
        <v>1209</v>
      </c>
      <c r="K5" s="9" t="s">
        <v>1209</v>
      </c>
      <c r="L5" s="9" t="s">
        <v>1206</v>
      </c>
      <c r="M5" s="9" t="s">
        <v>80</v>
      </c>
      <c r="N5" s="9" t="s">
        <v>1206</v>
      </c>
      <c r="O5" s="9" t="s">
        <v>1215</v>
      </c>
      <c r="P5" s="9" t="s">
        <v>92</v>
      </c>
      <c r="Q5" s="9" t="s">
        <v>1210</v>
      </c>
      <c r="R5" s="9" t="s">
        <v>81</v>
      </c>
      <c r="S5" s="9" t="s">
        <v>82</v>
      </c>
      <c r="T5" s="9" t="s">
        <v>108</v>
      </c>
      <c r="U5" s="9" t="s">
        <v>108</v>
      </c>
      <c r="V5" s="9" t="s">
        <v>85</v>
      </c>
      <c r="W5" s="9" t="s">
        <v>109</v>
      </c>
      <c r="X5" s="9" t="s">
        <v>1209</v>
      </c>
      <c r="Y5" s="9" t="s">
        <v>1211</v>
      </c>
      <c r="Z5" s="9" t="s">
        <v>1212</v>
      </c>
      <c r="AA5" s="9"/>
      <c r="AB5" s="9" t="s">
        <v>87</v>
      </c>
      <c r="AC5" s="9" t="s">
        <v>88</v>
      </c>
      <c r="AD5" s="9" t="s">
        <v>1213</v>
      </c>
      <c r="AE5" s="9" t="s">
        <v>89</v>
      </c>
      <c r="AF5" s="9" t="s">
        <v>1214</v>
      </c>
      <c r="AG5" s="9" t="s">
        <v>90</v>
      </c>
      <c r="AH5" s="9" t="s">
        <v>91</v>
      </c>
      <c r="AI5" s="9" t="s">
        <v>92</v>
      </c>
      <c r="AJ5" s="9" t="s">
        <v>92</v>
      </c>
      <c r="AK5" s="9" t="s">
        <v>93</v>
      </c>
      <c r="AL5" s="9" t="s">
        <v>92</v>
      </c>
      <c r="AM5" s="9" t="s">
        <v>92</v>
      </c>
      <c r="AN5" s="9" t="s">
        <v>94</v>
      </c>
      <c r="AO5" s="9" t="s">
        <v>95</v>
      </c>
      <c r="AP5" s="9" t="s">
        <v>105</v>
      </c>
      <c r="AQ5" s="9" t="s">
        <v>105</v>
      </c>
      <c r="AR5" s="9" t="s">
        <v>110</v>
      </c>
      <c r="AS5" s="9" t="s">
        <v>99</v>
      </c>
      <c r="AT5" s="9" t="s">
        <v>99</v>
      </c>
      <c r="AU5" s="9" t="s">
        <v>100</v>
      </c>
      <c r="AV5" s="9" t="s">
        <v>101</v>
      </c>
      <c r="AW5" s="9" t="s">
        <v>102</v>
      </c>
      <c r="AX5" s="9" t="s">
        <v>103</v>
      </c>
      <c r="AY5" s="9" t="s">
        <v>104</v>
      </c>
      <c r="AZ5" s="9" t="s">
        <v>104</v>
      </c>
      <c r="BA5" s="9" t="s">
        <v>104</v>
      </c>
      <c r="BB5" s="9" t="s">
        <v>105</v>
      </c>
      <c r="BC5" s="9" t="s">
        <v>105</v>
      </c>
      <c r="BD5" s="9" t="s">
        <v>105</v>
      </c>
      <c r="BE5" s="9" t="s">
        <v>105</v>
      </c>
      <c r="BF5" s="9" t="s">
        <v>105</v>
      </c>
      <c r="BG5" s="9" t="s">
        <v>105</v>
      </c>
      <c r="BH5" s="9" t="s">
        <v>105</v>
      </c>
      <c r="BI5" s="9" t="s">
        <v>105</v>
      </c>
      <c r="BJ5" s="9" t="s">
        <v>106</v>
      </c>
      <c r="BK5" s="9" t="s">
        <v>107</v>
      </c>
      <c r="BL5" s="9" t="s">
        <v>105</v>
      </c>
      <c r="BM5" s="9" t="s">
        <v>99</v>
      </c>
      <c r="BN5" s="9" t="s">
        <v>99</v>
      </c>
      <c r="BO5" s="9" t="s">
        <v>100</v>
      </c>
      <c r="BP5" s="9" t="s">
        <v>105</v>
      </c>
      <c r="BQ5" s="9" t="s">
        <v>105</v>
      </c>
      <c r="BR5" s="9" t="s">
        <v>110</v>
      </c>
      <c r="BS5" s="9"/>
    </row>
    <row r="6" spans="1:71" x14ac:dyDescent="0.25">
      <c r="A6" s="9" t="s">
        <v>1216</v>
      </c>
      <c r="B6" s="9" t="s">
        <v>1217</v>
      </c>
      <c r="C6" s="9" t="s">
        <v>1218</v>
      </c>
      <c r="D6" s="9" t="s">
        <v>1219</v>
      </c>
      <c r="E6" s="9" t="s">
        <v>1220</v>
      </c>
      <c r="F6" s="9" t="s">
        <v>1221</v>
      </c>
      <c r="G6" s="9" t="s">
        <v>1220</v>
      </c>
      <c r="H6" s="9" t="s">
        <v>1222</v>
      </c>
      <c r="I6" s="9" t="s">
        <v>6</v>
      </c>
      <c r="J6" s="9" t="s">
        <v>1209</v>
      </c>
      <c r="K6" s="9" t="s">
        <v>1209</v>
      </c>
      <c r="L6" s="9" t="s">
        <v>1220</v>
      </c>
      <c r="M6" s="9" t="s">
        <v>111</v>
      </c>
      <c r="N6" s="9" t="s">
        <v>1220</v>
      </c>
      <c r="O6" s="9" t="s">
        <v>1222</v>
      </c>
      <c r="P6" s="9" t="s">
        <v>112</v>
      </c>
      <c r="Q6" s="9" t="s">
        <v>1209</v>
      </c>
      <c r="R6" s="9" t="s">
        <v>112</v>
      </c>
      <c r="S6" s="9" t="s">
        <v>82</v>
      </c>
      <c r="T6" s="9" t="s">
        <v>83</v>
      </c>
      <c r="U6" s="9" t="s">
        <v>113</v>
      </c>
      <c r="V6" s="9" t="s">
        <v>85</v>
      </c>
      <c r="W6" s="9" t="s">
        <v>114</v>
      </c>
      <c r="X6" s="9" t="s">
        <v>1209</v>
      </c>
      <c r="Y6" s="9" t="s">
        <v>1223</v>
      </c>
      <c r="Z6" s="9" t="s">
        <v>1212</v>
      </c>
      <c r="AA6" s="9"/>
      <c r="AB6" s="9" t="s">
        <v>115</v>
      </c>
      <c r="AC6" s="9" t="s">
        <v>88</v>
      </c>
      <c r="AD6" s="9" t="s">
        <v>1213</v>
      </c>
      <c r="AE6" s="9" t="s">
        <v>89</v>
      </c>
      <c r="AF6" s="9" t="s">
        <v>1224</v>
      </c>
      <c r="AG6" s="9" t="s">
        <v>116</v>
      </c>
      <c r="AH6" s="9" t="s">
        <v>117</v>
      </c>
      <c r="AI6" s="9" t="s">
        <v>92</v>
      </c>
      <c r="AJ6" s="9" t="s">
        <v>92</v>
      </c>
      <c r="AK6" s="9" t="s">
        <v>118</v>
      </c>
      <c r="AL6" s="9" t="s">
        <v>92</v>
      </c>
      <c r="AM6" s="9" t="s">
        <v>92</v>
      </c>
      <c r="AN6" s="9" t="s">
        <v>119</v>
      </c>
      <c r="AO6" s="9" t="s">
        <v>120</v>
      </c>
      <c r="AP6" s="9" t="s">
        <v>105</v>
      </c>
      <c r="AQ6" s="9" t="s">
        <v>105</v>
      </c>
      <c r="AR6" s="9" t="s">
        <v>121</v>
      </c>
      <c r="AS6" s="9" t="s">
        <v>122</v>
      </c>
      <c r="AT6" s="9" t="s">
        <v>122</v>
      </c>
      <c r="AU6" s="9" t="s">
        <v>100</v>
      </c>
      <c r="AV6" s="9" t="s">
        <v>123</v>
      </c>
      <c r="AW6" s="9" t="s">
        <v>124</v>
      </c>
      <c r="AX6" s="9" t="s">
        <v>125</v>
      </c>
      <c r="AY6" s="9" t="s">
        <v>126</v>
      </c>
      <c r="AZ6" s="9" t="s">
        <v>126</v>
      </c>
      <c r="BA6" s="9" t="s">
        <v>126</v>
      </c>
      <c r="BB6" s="9" t="s">
        <v>105</v>
      </c>
      <c r="BC6" s="9" t="s">
        <v>105</v>
      </c>
      <c r="BD6" s="9" t="s">
        <v>105</v>
      </c>
      <c r="BE6" s="9" t="s">
        <v>105</v>
      </c>
      <c r="BF6" s="9" t="s">
        <v>105</v>
      </c>
      <c r="BG6" s="9" t="s">
        <v>105</v>
      </c>
      <c r="BH6" s="9" t="s">
        <v>105</v>
      </c>
      <c r="BI6" s="9" t="s">
        <v>105</v>
      </c>
      <c r="BJ6" s="9" t="s">
        <v>127</v>
      </c>
      <c r="BK6" s="9" t="s">
        <v>128</v>
      </c>
      <c r="BL6" s="9" t="s">
        <v>105</v>
      </c>
      <c r="BM6" s="9" t="s">
        <v>122</v>
      </c>
      <c r="BN6" s="9" t="s">
        <v>122</v>
      </c>
      <c r="BO6" s="9" t="s">
        <v>100</v>
      </c>
      <c r="BP6" s="9" t="s">
        <v>105</v>
      </c>
      <c r="BQ6" s="9" t="s">
        <v>105</v>
      </c>
      <c r="BR6" s="9" t="s">
        <v>121</v>
      </c>
      <c r="BS6" s="9"/>
    </row>
    <row r="7" spans="1:71" x14ac:dyDescent="0.25">
      <c r="A7" s="9" t="s">
        <v>1216</v>
      </c>
      <c r="B7" s="9" t="s">
        <v>1225</v>
      </c>
      <c r="C7" s="9" t="s">
        <v>1226</v>
      </c>
      <c r="D7" s="9" t="s">
        <v>1219</v>
      </c>
      <c r="E7" s="9" t="s">
        <v>1227</v>
      </c>
      <c r="F7" s="9" t="s">
        <v>1228</v>
      </c>
      <c r="G7" s="9" t="s">
        <v>1227</v>
      </c>
      <c r="H7" s="9" t="s">
        <v>1229</v>
      </c>
      <c r="I7" s="9" t="s">
        <v>6</v>
      </c>
      <c r="J7" s="9" t="s">
        <v>1209</v>
      </c>
      <c r="K7" s="9" t="s">
        <v>1209</v>
      </c>
      <c r="L7" s="9" t="s">
        <v>1227</v>
      </c>
      <c r="M7" s="9" t="s">
        <v>129</v>
      </c>
      <c r="N7" s="9" t="s">
        <v>1227</v>
      </c>
      <c r="O7" s="9" t="s">
        <v>1229</v>
      </c>
      <c r="P7" s="9" t="s">
        <v>130</v>
      </c>
      <c r="Q7" s="9" t="s">
        <v>1209</v>
      </c>
      <c r="R7" s="9" t="s">
        <v>130</v>
      </c>
      <c r="S7" s="9" t="s">
        <v>82</v>
      </c>
      <c r="T7" s="9" t="s">
        <v>83</v>
      </c>
      <c r="U7" s="9" t="s">
        <v>131</v>
      </c>
      <c r="V7" s="9" t="s">
        <v>85</v>
      </c>
      <c r="W7" s="9" t="s">
        <v>132</v>
      </c>
      <c r="X7" s="9" t="s">
        <v>1209</v>
      </c>
      <c r="Y7" s="9" t="s">
        <v>1230</v>
      </c>
      <c r="Z7" s="9" t="s">
        <v>1212</v>
      </c>
      <c r="AA7" s="9" t="s">
        <v>133</v>
      </c>
      <c r="AB7" s="9" t="s">
        <v>134</v>
      </c>
      <c r="AC7" s="9" t="s">
        <v>88</v>
      </c>
      <c r="AD7" s="9" t="s">
        <v>1213</v>
      </c>
      <c r="AE7" s="9" t="s">
        <v>89</v>
      </c>
      <c r="AF7" s="9" t="s">
        <v>1231</v>
      </c>
      <c r="AG7" s="9" t="s">
        <v>135</v>
      </c>
      <c r="AH7" s="9" t="s">
        <v>136</v>
      </c>
      <c r="AI7" s="9" t="s">
        <v>92</v>
      </c>
      <c r="AJ7" s="9" t="s">
        <v>92</v>
      </c>
      <c r="AK7" s="9" t="s">
        <v>137</v>
      </c>
      <c r="AL7" s="9" t="s">
        <v>92</v>
      </c>
      <c r="AM7" s="9" t="s">
        <v>92</v>
      </c>
      <c r="AN7" s="9" t="s">
        <v>138</v>
      </c>
      <c r="AO7" s="9" t="s">
        <v>139</v>
      </c>
      <c r="AP7" s="9" t="s">
        <v>105</v>
      </c>
      <c r="AQ7" s="9" t="s">
        <v>105</v>
      </c>
      <c r="AR7" s="9" t="s">
        <v>140</v>
      </c>
      <c r="AS7" s="9" t="s">
        <v>122</v>
      </c>
      <c r="AT7" s="9" t="s">
        <v>122</v>
      </c>
      <c r="AU7" s="9" t="s">
        <v>100</v>
      </c>
      <c r="AV7" s="9" t="s">
        <v>141</v>
      </c>
      <c r="AW7" s="9" t="s">
        <v>142</v>
      </c>
      <c r="AX7" s="9" t="s">
        <v>143</v>
      </c>
      <c r="AY7" s="9" t="s">
        <v>126</v>
      </c>
      <c r="AZ7" s="9" t="s">
        <v>126</v>
      </c>
      <c r="BA7" s="9" t="s">
        <v>126</v>
      </c>
      <c r="BB7" s="9" t="s">
        <v>105</v>
      </c>
      <c r="BC7" s="9" t="s">
        <v>105</v>
      </c>
      <c r="BD7" s="9" t="s">
        <v>105</v>
      </c>
      <c r="BE7" s="9" t="s">
        <v>105</v>
      </c>
      <c r="BF7" s="9" t="s">
        <v>105</v>
      </c>
      <c r="BG7" s="9" t="s">
        <v>105</v>
      </c>
      <c r="BH7" s="9" t="s">
        <v>105</v>
      </c>
      <c r="BI7" s="9" t="s">
        <v>105</v>
      </c>
      <c r="BJ7" s="9" t="s">
        <v>144</v>
      </c>
      <c r="BK7" s="9" t="s">
        <v>145</v>
      </c>
      <c r="BL7" s="9" t="s">
        <v>105</v>
      </c>
      <c r="BM7" s="9" t="s">
        <v>122</v>
      </c>
      <c r="BN7" s="9" t="s">
        <v>122</v>
      </c>
      <c r="BO7" s="9" t="s">
        <v>100</v>
      </c>
      <c r="BP7" s="9" t="s">
        <v>105</v>
      </c>
      <c r="BQ7" s="9" t="s">
        <v>105</v>
      </c>
      <c r="BR7" s="9" t="s">
        <v>140</v>
      </c>
      <c r="BS7" s="9"/>
    </row>
    <row r="8" spans="1:71" x14ac:dyDescent="0.25">
      <c r="A8" s="9" t="s">
        <v>1202</v>
      </c>
      <c r="B8" s="9" t="s">
        <v>1203</v>
      </c>
      <c r="C8" s="9" t="s">
        <v>1232</v>
      </c>
      <c r="D8" s="9" t="s">
        <v>1233</v>
      </c>
      <c r="E8" s="9" t="s">
        <v>1234</v>
      </c>
      <c r="F8" s="9" t="s">
        <v>1235</v>
      </c>
      <c r="G8" s="9" t="s">
        <v>1234</v>
      </c>
      <c r="H8" s="9" t="s">
        <v>1236</v>
      </c>
      <c r="I8" s="9" t="s">
        <v>6</v>
      </c>
      <c r="J8" s="9" t="s">
        <v>1209</v>
      </c>
      <c r="K8" s="9" t="s">
        <v>1209</v>
      </c>
      <c r="L8" s="9" t="s">
        <v>1234</v>
      </c>
      <c r="M8" s="9" t="s">
        <v>146</v>
      </c>
      <c r="N8" s="9" t="s">
        <v>1234</v>
      </c>
      <c r="O8" s="9" t="s">
        <v>1236</v>
      </c>
      <c r="P8" s="9" t="s">
        <v>147</v>
      </c>
      <c r="Q8" s="9" t="s">
        <v>1210</v>
      </c>
      <c r="R8" s="9" t="s">
        <v>147</v>
      </c>
      <c r="S8" s="9" t="s">
        <v>82</v>
      </c>
      <c r="T8" s="9" t="s">
        <v>83</v>
      </c>
      <c r="U8" s="9" t="s">
        <v>148</v>
      </c>
      <c r="V8" s="9" t="s">
        <v>85</v>
      </c>
      <c r="W8" s="9" t="s">
        <v>149</v>
      </c>
      <c r="X8" s="9" t="s">
        <v>1209</v>
      </c>
      <c r="Y8" s="9" t="s">
        <v>1237</v>
      </c>
      <c r="Z8" s="9" t="s">
        <v>1212</v>
      </c>
      <c r="AA8" s="9"/>
      <c r="AB8" s="9" t="s">
        <v>150</v>
      </c>
      <c r="AC8" s="9" t="s">
        <v>88</v>
      </c>
      <c r="AD8" s="9" t="s">
        <v>1213</v>
      </c>
      <c r="AE8" s="9" t="s">
        <v>89</v>
      </c>
      <c r="AF8" s="9" t="s">
        <v>1238</v>
      </c>
      <c r="AG8" s="9" t="s">
        <v>151</v>
      </c>
      <c r="AH8" s="9" t="s">
        <v>152</v>
      </c>
      <c r="AI8" s="9" t="s">
        <v>92</v>
      </c>
      <c r="AJ8" s="9" t="s">
        <v>92</v>
      </c>
      <c r="AK8" s="9" t="s">
        <v>153</v>
      </c>
      <c r="AL8" s="9" t="s">
        <v>92</v>
      </c>
      <c r="AM8" s="9" t="s">
        <v>92</v>
      </c>
      <c r="AN8" s="9" t="s">
        <v>154</v>
      </c>
      <c r="AO8" s="9" t="s">
        <v>155</v>
      </c>
      <c r="AP8" s="9" t="s">
        <v>156</v>
      </c>
      <c r="AQ8" s="9" t="s">
        <v>157</v>
      </c>
      <c r="AR8" s="9" t="s">
        <v>158</v>
      </c>
      <c r="AS8" s="9" t="s">
        <v>99</v>
      </c>
      <c r="AT8" s="9" t="s">
        <v>99</v>
      </c>
      <c r="AU8" s="9" t="s">
        <v>100</v>
      </c>
      <c r="AV8" s="9" t="s">
        <v>159</v>
      </c>
      <c r="AW8" s="9" t="s">
        <v>160</v>
      </c>
      <c r="AX8" s="9" t="s">
        <v>161</v>
      </c>
      <c r="AY8" s="9" t="s">
        <v>104</v>
      </c>
      <c r="AZ8" s="9" t="s">
        <v>104</v>
      </c>
      <c r="BA8" s="9" t="s">
        <v>104</v>
      </c>
      <c r="BB8" s="9" t="s">
        <v>105</v>
      </c>
      <c r="BC8" s="9" t="s">
        <v>105</v>
      </c>
      <c r="BD8" s="9" t="s">
        <v>105</v>
      </c>
      <c r="BE8" s="9" t="s">
        <v>105</v>
      </c>
      <c r="BF8" s="9" t="s">
        <v>105</v>
      </c>
      <c r="BG8" s="9" t="s">
        <v>105</v>
      </c>
      <c r="BH8" s="9" t="s">
        <v>105</v>
      </c>
      <c r="BI8" s="9" t="s">
        <v>105</v>
      </c>
      <c r="BJ8" s="9" t="s">
        <v>106</v>
      </c>
      <c r="BK8" s="9" t="s">
        <v>107</v>
      </c>
      <c r="BL8" s="9" t="s">
        <v>105</v>
      </c>
      <c r="BM8" s="9" t="s">
        <v>99</v>
      </c>
      <c r="BN8" s="9" t="s">
        <v>99</v>
      </c>
      <c r="BO8" s="9" t="s">
        <v>100</v>
      </c>
      <c r="BP8" s="9" t="s">
        <v>156</v>
      </c>
      <c r="BQ8" s="9" t="s">
        <v>157</v>
      </c>
      <c r="BR8" s="9" t="s">
        <v>158</v>
      </c>
      <c r="BS8" s="9"/>
    </row>
    <row r="9" spans="1:71" x14ac:dyDescent="0.25">
      <c r="A9" s="9" t="s">
        <v>1202</v>
      </c>
      <c r="B9" s="9" t="s">
        <v>1203</v>
      </c>
      <c r="C9" s="9" t="s">
        <v>1232</v>
      </c>
      <c r="D9" s="9" t="s">
        <v>1233</v>
      </c>
      <c r="E9" s="9" t="s">
        <v>1234</v>
      </c>
      <c r="F9" s="9" t="s">
        <v>1235</v>
      </c>
      <c r="G9" s="9" t="s">
        <v>1234</v>
      </c>
      <c r="H9" s="9" t="s">
        <v>1239</v>
      </c>
      <c r="I9" s="9" t="s">
        <v>6</v>
      </c>
      <c r="J9" s="9" t="s">
        <v>1209</v>
      </c>
      <c r="K9" s="9" t="s">
        <v>1209</v>
      </c>
      <c r="L9" s="9" t="s">
        <v>1234</v>
      </c>
      <c r="M9" s="9" t="s">
        <v>146</v>
      </c>
      <c r="N9" s="9" t="s">
        <v>1234</v>
      </c>
      <c r="O9" s="9" t="s">
        <v>1239</v>
      </c>
      <c r="P9" s="9" t="s">
        <v>92</v>
      </c>
      <c r="Q9" s="9" t="s">
        <v>1210</v>
      </c>
      <c r="R9" s="9" t="s">
        <v>147</v>
      </c>
      <c r="S9" s="9" t="s">
        <v>82</v>
      </c>
      <c r="T9" s="9" t="s">
        <v>108</v>
      </c>
      <c r="U9" s="9" t="s">
        <v>108</v>
      </c>
      <c r="V9" s="9" t="s">
        <v>85</v>
      </c>
      <c r="W9" s="9" t="s">
        <v>109</v>
      </c>
      <c r="X9" s="9" t="s">
        <v>1209</v>
      </c>
      <c r="Y9" s="9" t="s">
        <v>1237</v>
      </c>
      <c r="Z9" s="9" t="s">
        <v>1212</v>
      </c>
      <c r="AA9" s="9"/>
      <c r="AB9" s="9" t="s">
        <v>150</v>
      </c>
      <c r="AC9" s="9" t="s">
        <v>88</v>
      </c>
      <c r="AD9" s="9" t="s">
        <v>1213</v>
      </c>
      <c r="AE9" s="9" t="s">
        <v>89</v>
      </c>
      <c r="AF9" s="9" t="s">
        <v>1238</v>
      </c>
      <c r="AG9" s="9" t="s">
        <v>151</v>
      </c>
      <c r="AH9" s="9" t="s">
        <v>152</v>
      </c>
      <c r="AI9" s="9" t="s">
        <v>92</v>
      </c>
      <c r="AJ9" s="9" t="s">
        <v>92</v>
      </c>
      <c r="AK9" s="9" t="s">
        <v>153</v>
      </c>
      <c r="AL9" s="9" t="s">
        <v>92</v>
      </c>
      <c r="AM9" s="9" t="s">
        <v>92</v>
      </c>
      <c r="AN9" s="9" t="s">
        <v>154</v>
      </c>
      <c r="AO9" s="9" t="s">
        <v>155</v>
      </c>
      <c r="AP9" s="9" t="s">
        <v>110</v>
      </c>
      <c r="AQ9" s="9" t="s">
        <v>110</v>
      </c>
      <c r="AR9" s="9" t="s">
        <v>110</v>
      </c>
      <c r="AS9" s="9" t="s">
        <v>99</v>
      </c>
      <c r="AT9" s="9" t="s">
        <v>99</v>
      </c>
      <c r="AU9" s="9" t="s">
        <v>100</v>
      </c>
      <c r="AV9" s="9" t="s">
        <v>159</v>
      </c>
      <c r="AW9" s="9" t="s">
        <v>160</v>
      </c>
      <c r="AX9" s="9" t="s">
        <v>161</v>
      </c>
      <c r="AY9" s="9" t="s">
        <v>104</v>
      </c>
      <c r="AZ9" s="9" t="s">
        <v>104</v>
      </c>
      <c r="BA9" s="9" t="s">
        <v>104</v>
      </c>
      <c r="BB9" s="9" t="s">
        <v>105</v>
      </c>
      <c r="BC9" s="9" t="s">
        <v>105</v>
      </c>
      <c r="BD9" s="9" t="s">
        <v>105</v>
      </c>
      <c r="BE9" s="9" t="s">
        <v>105</v>
      </c>
      <c r="BF9" s="9" t="s">
        <v>105</v>
      </c>
      <c r="BG9" s="9" t="s">
        <v>105</v>
      </c>
      <c r="BH9" s="9" t="s">
        <v>105</v>
      </c>
      <c r="BI9" s="9" t="s">
        <v>105</v>
      </c>
      <c r="BJ9" s="9" t="s">
        <v>106</v>
      </c>
      <c r="BK9" s="9" t="s">
        <v>107</v>
      </c>
      <c r="BL9" s="9" t="s">
        <v>105</v>
      </c>
      <c r="BM9" s="9" t="s">
        <v>99</v>
      </c>
      <c r="BN9" s="9" t="s">
        <v>99</v>
      </c>
      <c r="BO9" s="9" t="s">
        <v>100</v>
      </c>
      <c r="BP9" s="9" t="s">
        <v>110</v>
      </c>
      <c r="BQ9" s="9" t="s">
        <v>110</v>
      </c>
      <c r="BR9" s="9" t="s">
        <v>110</v>
      </c>
      <c r="BS9" s="9"/>
    </row>
    <row r="10" spans="1:71" x14ac:dyDescent="0.25">
      <c r="A10" s="9" t="s">
        <v>1202</v>
      </c>
      <c r="B10" s="9" t="s">
        <v>1203</v>
      </c>
      <c r="C10" s="9" t="s">
        <v>1240</v>
      </c>
      <c r="D10" s="9" t="s">
        <v>1241</v>
      </c>
      <c r="E10" s="9" t="s">
        <v>1242</v>
      </c>
      <c r="F10" s="9" t="s">
        <v>1243</v>
      </c>
      <c r="G10" s="9" t="s">
        <v>1242</v>
      </c>
      <c r="H10" s="9" t="s">
        <v>1244</v>
      </c>
      <c r="I10" s="9" t="s">
        <v>6</v>
      </c>
      <c r="J10" s="9" t="s">
        <v>1209</v>
      </c>
      <c r="K10" s="9" t="s">
        <v>1209</v>
      </c>
      <c r="L10" s="9" t="s">
        <v>1242</v>
      </c>
      <c r="M10" s="9" t="s">
        <v>162</v>
      </c>
      <c r="N10" s="9" t="s">
        <v>1242</v>
      </c>
      <c r="O10" s="9" t="s">
        <v>1244</v>
      </c>
      <c r="P10" s="9" t="s">
        <v>163</v>
      </c>
      <c r="Q10" s="9" t="s">
        <v>1245</v>
      </c>
      <c r="R10" s="9" t="s">
        <v>163</v>
      </c>
      <c r="S10" s="9" t="s">
        <v>82</v>
      </c>
      <c r="T10" s="9" t="s">
        <v>83</v>
      </c>
      <c r="U10" s="9" t="s">
        <v>164</v>
      </c>
      <c r="V10" s="9" t="s">
        <v>85</v>
      </c>
      <c r="W10" s="9" t="s">
        <v>165</v>
      </c>
      <c r="X10" s="9" t="s">
        <v>1209</v>
      </c>
      <c r="Y10" s="9" t="s">
        <v>1246</v>
      </c>
      <c r="Z10" s="9" t="s">
        <v>1212</v>
      </c>
      <c r="AA10" s="9" t="s">
        <v>166</v>
      </c>
      <c r="AB10" s="9" t="s">
        <v>167</v>
      </c>
      <c r="AC10" s="9" t="s">
        <v>88</v>
      </c>
      <c r="AD10" s="9" t="s">
        <v>1213</v>
      </c>
      <c r="AE10" s="9" t="s">
        <v>89</v>
      </c>
      <c r="AF10" s="9" t="s">
        <v>1247</v>
      </c>
      <c r="AG10" s="9" t="s">
        <v>168</v>
      </c>
      <c r="AH10" s="9" t="s">
        <v>169</v>
      </c>
      <c r="AI10" s="9" t="s">
        <v>92</v>
      </c>
      <c r="AJ10" s="9" t="s">
        <v>92</v>
      </c>
      <c r="AK10" s="9" t="s">
        <v>92</v>
      </c>
      <c r="AL10" s="9" t="s">
        <v>92</v>
      </c>
      <c r="AM10" s="9" t="s">
        <v>92</v>
      </c>
      <c r="AN10" s="9" t="s">
        <v>170</v>
      </c>
      <c r="AO10" s="9" t="s">
        <v>171</v>
      </c>
      <c r="AP10" s="9" t="s">
        <v>172</v>
      </c>
      <c r="AQ10" s="9" t="s">
        <v>173</v>
      </c>
      <c r="AR10" s="9" t="s">
        <v>174</v>
      </c>
      <c r="AS10" s="9" t="s">
        <v>99</v>
      </c>
      <c r="AT10" s="9" t="s">
        <v>99</v>
      </c>
      <c r="AU10" s="9" t="s">
        <v>100</v>
      </c>
      <c r="AV10" s="9" t="s">
        <v>175</v>
      </c>
      <c r="AW10" s="9" t="s">
        <v>176</v>
      </c>
      <c r="AX10" s="9" t="s">
        <v>177</v>
      </c>
      <c r="AY10" s="9" t="s">
        <v>104</v>
      </c>
      <c r="AZ10" s="9" t="s">
        <v>104</v>
      </c>
      <c r="BA10" s="9" t="s">
        <v>104</v>
      </c>
      <c r="BB10" s="9" t="s">
        <v>105</v>
      </c>
      <c r="BC10" s="9" t="s">
        <v>105</v>
      </c>
      <c r="BD10" s="9" t="s">
        <v>105</v>
      </c>
      <c r="BE10" s="9" t="s">
        <v>105</v>
      </c>
      <c r="BF10" s="9" t="s">
        <v>105</v>
      </c>
      <c r="BG10" s="9" t="s">
        <v>105</v>
      </c>
      <c r="BH10" s="9" t="s">
        <v>105</v>
      </c>
      <c r="BI10" s="9" t="s">
        <v>105</v>
      </c>
      <c r="BJ10" s="9" t="s">
        <v>178</v>
      </c>
      <c r="BK10" s="9" t="s">
        <v>179</v>
      </c>
      <c r="BL10" s="9" t="s">
        <v>105</v>
      </c>
      <c r="BM10" s="9" t="s">
        <v>99</v>
      </c>
      <c r="BN10" s="9" t="s">
        <v>99</v>
      </c>
      <c r="BO10" s="9" t="s">
        <v>100</v>
      </c>
      <c r="BP10" s="9" t="s">
        <v>172</v>
      </c>
      <c r="BQ10" s="9" t="s">
        <v>173</v>
      </c>
      <c r="BR10" s="9" t="s">
        <v>174</v>
      </c>
      <c r="BS10" s="9"/>
    </row>
    <row r="11" spans="1:71" x14ac:dyDescent="0.25">
      <c r="A11" s="9" t="s">
        <v>1202</v>
      </c>
      <c r="B11" s="9" t="s">
        <v>1203</v>
      </c>
      <c r="C11" s="9" t="s">
        <v>1240</v>
      </c>
      <c r="D11" s="9" t="s">
        <v>1241</v>
      </c>
      <c r="E11" s="9" t="s">
        <v>1242</v>
      </c>
      <c r="F11" s="9" t="s">
        <v>1243</v>
      </c>
      <c r="G11" s="9" t="s">
        <v>1242</v>
      </c>
      <c r="H11" s="9" t="s">
        <v>1248</v>
      </c>
      <c r="I11" s="9" t="s">
        <v>6</v>
      </c>
      <c r="J11" s="9" t="s">
        <v>1209</v>
      </c>
      <c r="K11" s="9" t="s">
        <v>1209</v>
      </c>
      <c r="L11" s="9" t="s">
        <v>1242</v>
      </c>
      <c r="M11" s="9" t="s">
        <v>162</v>
      </c>
      <c r="N11" s="9" t="s">
        <v>1242</v>
      </c>
      <c r="O11" s="9" t="s">
        <v>1248</v>
      </c>
      <c r="P11" s="9" t="s">
        <v>92</v>
      </c>
      <c r="Q11" s="9" t="s">
        <v>1245</v>
      </c>
      <c r="R11" s="9" t="s">
        <v>163</v>
      </c>
      <c r="S11" s="9" t="s">
        <v>82</v>
      </c>
      <c r="T11" s="9" t="s">
        <v>108</v>
      </c>
      <c r="U11" s="9" t="s">
        <v>108</v>
      </c>
      <c r="V11" s="9" t="s">
        <v>85</v>
      </c>
      <c r="W11" s="9" t="s">
        <v>109</v>
      </c>
      <c r="X11" s="9" t="s">
        <v>1209</v>
      </c>
      <c r="Y11" s="9" t="s">
        <v>1246</v>
      </c>
      <c r="Z11" s="9" t="s">
        <v>1212</v>
      </c>
      <c r="AA11" s="9" t="s">
        <v>166</v>
      </c>
      <c r="AB11" s="9" t="s">
        <v>167</v>
      </c>
      <c r="AC11" s="9" t="s">
        <v>88</v>
      </c>
      <c r="AD11" s="9" t="s">
        <v>1213</v>
      </c>
      <c r="AE11" s="9" t="s">
        <v>89</v>
      </c>
      <c r="AF11" s="9" t="s">
        <v>1247</v>
      </c>
      <c r="AG11" s="9" t="s">
        <v>168</v>
      </c>
      <c r="AH11" s="9" t="s">
        <v>169</v>
      </c>
      <c r="AI11" s="9" t="s">
        <v>92</v>
      </c>
      <c r="AJ11" s="9" t="s">
        <v>92</v>
      </c>
      <c r="AK11" s="9" t="s">
        <v>92</v>
      </c>
      <c r="AL11" s="9" t="s">
        <v>92</v>
      </c>
      <c r="AM11" s="9" t="s">
        <v>92</v>
      </c>
      <c r="AN11" s="9" t="s">
        <v>170</v>
      </c>
      <c r="AO11" s="9" t="s">
        <v>171</v>
      </c>
      <c r="AP11" s="9" t="s">
        <v>110</v>
      </c>
      <c r="AQ11" s="9" t="s">
        <v>110</v>
      </c>
      <c r="AR11" s="9" t="s">
        <v>110</v>
      </c>
      <c r="AS11" s="9" t="s">
        <v>99</v>
      </c>
      <c r="AT11" s="9" t="s">
        <v>99</v>
      </c>
      <c r="AU11" s="9" t="s">
        <v>100</v>
      </c>
      <c r="AV11" s="9" t="s">
        <v>175</v>
      </c>
      <c r="AW11" s="9" t="s">
        <v>176</v>
      </c>
      <c r="AX11" s="9" t="s">
        <v>177</v>
      </c>
      <c r="AY11" s="9" t="s">
        <v>104</v>
      </c>
      <c r="AZ11" s="9" t="s">
        <v>104</v>
      </c>
      <c r="BA11" s="9" t="s">
        <v>104</v>
      </c>
      <c r="BB11" s="9" t="s">
        <v>105</v>
      </c>
      <c r="BC11" s="9" t="s">
        <v>105</v>
      </c>
      <c r="BD11" s="9" t="s">
        <v>105</v>
      </c>
      <c r="BE11" s="9" t="s">
        <v>105</v>
      </c>
      <c r="BF11" s="9" t="s">
        <v>105</v>
      </c>
      <c r="BG11" s="9" t="s">
        <v>105</v>
      </c>
      <c r="BH11" s="9" t="s">
        <v>105</v>
      </c>
      <c r="BI11" s="9" t="s">
        <v>105</v>
      </c>
      <c r="BJ11" s="9" t="s">
        <v>178</v>
      </c>
      <c r="BK11" s="9" t="s">
        <v>179</v>
      </c>
      <c r="BL11" s="9" t="s">
        <v>105</v>
      </c>
      <c r="BM11" s="9" t="s">
        <v>99</v>
      </c>
      <c r="BN11" s="9" t="s">
        <v>99</v>
      </c>
      <c r="BO11" s="9" t="s">
        <v>100</v>
      </c>
      <c r="BP11" s="9" t="s">
        <v>110</v>
      </c>
      <c r="BQ11" s="9" t="s">
        <v>110</v>
      </c>
      <c r="BR11" s="9" t="s">
        <v>110</v>
      </c>
      <c r="BS11" s="9"/>
    </row>
    <row r="12" spans="1:71" x14ac:dyDescent="0.25">
      <c r="A12" s="9" t="s">
        <v>1202</v>
      </c>
      <c r="B12" s="9" t="s">
        <v>1203</v>
      </c>
      <c r="C12" s="9" t="s">
        <v>1240</v>
      </c>
      <c r="D12" s="9" t="s">
        <v>1241</v>
      </c>
      <c r="E12" s="9" t="s">
        <v>1242</v>
      </c>
      <c r="F12" s="9" t="s">
        <v>1243</v>
      </c>
      <c r="G12" s="9" t="s">
        <v>1242</v>
      </c>
      <c r="H12" s="9" t="s">
        <v>1249</v>
      </c>
      <c r="I12" s="9" t="s">
        <v>6</v>
      </c>
      <c r="J12" s="9" t="s">
        <v>1209</v>
      </c>
      <c r="K12" s="9" t="s">
        <v>1209</v>
      </c>
      <c r="L12" s="9" t="s">
        <v>1242</v>
      </c>
      <c r="M12" s="9" t="s">
        <v>162</v>
      </c>
      <c r="N12" s="9" t="s">
        <v>1242</v>
      </c>
      <c r="O12" s="9" t="s">
        <v>1249</v>
      </c>
      <c r="P12" s="9" t="s">
        <v>92</v>
      </c>
      <c r="Q12" s="9" t="s">
        <v>1245</v>
      </c>
      <c r="R12" s="9" t="s">
        <v>163</v>
      </c>
      <c r="S12" s="9" t="s">
        <v>82</v>
      </c>
      <c r="T12" s="9" t="s">
        <v>108</v>
      </c>
      <c r="U12" s="9" t="s">
        <v>108</v>
      </c>
      <c r="V12" s="9" t="s">
        <v>85</v>
      </c>
      <c r="W12" s="9" t="s">
        <v>109</v>
      </c>
      <c r="X12" s="9" t="s">
        <v>1209</v>
      </c>
      <c r="Y12" s="9" t="s">
        <v>1246</v>
      </c>
      <c r="Z12" s="9" t="s">
        <v>1212</v>
      </c>
      <c r="AA12" s="9" t="s">
        <v>166</v>
      </c>
      <c r="AB12" s="9" t="s">
        <v>167</v>
      </c>
      <c r="AC12" s="9" t="s">
        <v>88</v>
      </c>
      <c r="AD12" s="9" t="s">
        <v>1213</v>
      </c>
      <c r="AE12" s="9" t="s">
        <v>89</v>
      </c>
      <c r="AF12" s="9" t="s">
        <v>1247</v>
      </c>
      <c r="AG12" s="9" t="s">
        <v>168</v>
      </c>
      <c r="AH12" s="9" t="s">
        <v>169</v>
      </c>
      <c r="AI12" s="9" t="s">
        <v>92</v>
      </c>
      <c r="AJ12" s="9" t="s">
        <v>92</v>
      </c>
      <c r="AK12" s="9" t="s">
        <v>92</v>
      </c>
      <c r="AL12" s="9" t="s">
        <v>92</v>
      </c>
      <c r="AM12" s="9" t="s">
        <v>92</v>
      </c>
      <c r="AN12" s="9" t="s">
        <v>170</v>
      </c>
      <c r="AO12" s="9" t="s">
        <v>171</v>
      </c>
      <c r="AP12" s="9" t="s">
        <v>110</v>
      </c>
      <c r="AQ12" s="9" t="s">
        <v>110</v>
      </c>
      <c r="AR12" s="9" t="s">
        <v>110</v>
      </c>
      <c r="AS12" s="9" t="s">
        <v>99</v>
      </c>
      <c r="AT12" s="9" t="s">
        <v>99</v>
      </c>
      <c r="AU12" s="9" t="s">
        <v>100</v>
      </c>
      <c r="AV12" s="9" t="s">
        <v>175</v>
      </c>
      <c r="AW12" s="9" t="s">
        <v>176</v>
      </c>
      <c r="AX12" s="9" t="s">
        <v>177</v>
      </c>
      <c r="AY12" s="9" t="s">
        <v>104</v>
      </c>
      <c r="AZ12" s="9" t="s">
        <v>104</v>
      </c>
      <c r="BA12" s="9" t="s">
        <v>104</v>
      </c>
      <c r="BB12" s="9" t="s">
        <v>105</v>
      </c>
      <c r="BC12" s="9" t="s">
        <v>105</v>
      </c>
      <c r="BD12" s="9" t="s">
        <v>105</v>
      </c>
      <c r="BE12" s="9" t="s">
        <v>105</v>
      </c>
      <c r="BF12" s="9" t="s">
        <v>105</v>
      </c>
      <c r="BG12" s="9" t="s">
        <v>105</v>
      </c>
      <c r="BH12" s="9" t="s">
        <v>105</v>
      </c>
      <c r="BI12" s="9" t="s">
        <v>105</v>
      </c>
      <c r="BJ12" s="9" t="s">
        <v>178</v>
      </c>
      <c r="BK12" s="9" t="s">
        <v>179</v>
      </c>
      <c r="BL12" s="9" t="s">
        <v>105</v>
      </c>
      <c r="BM12" s="9" t="s">
        <v>99</v>
      </c>
      <c r="BN12" s="9" t="s">
        <v>99</v>
      </c>
      <c r="BO12" s="9" t="s">
        <v>100</v>
      </c>
      <c r="BP12" s="9" t="s">
        <v>110</v>
      </c>
      <c r="BQ12" s="9" t="s">
        <v>110</v>
      </c>
      <c r="BR12" s="9" t="s">
        <v>110</v>
      </c>
      <c r="BS12" s="9"/>
    </row>
    <row r="13" spans="1:71" x14ac:dyDescent="0.25">
      <c r="A13" s="9" t="s">
        <v>1202</v>
      </c>
      <c r="B13" s="9" t="s">
        <v>1203</v>
      </c>
      <c r="C13" s="9" t="s">
        <v>1240</v>
      </c>
      <c r="D13" s="9" t="s">
        <v>1241</v>
      </c>
      <c r="E13" s="9" t="s">
        <v>1242</v>
      </c>
      <c r="F13" s="9" t="s">
        <v>1243</v>
      </c>
      <c r="G13" s="9" t="s">
        <v>1242</v>
      </c>
      <c r="H13" s="9" t="s">
        <v>1250</v>
      </c>
      <c r="I13" s="9" t="s">
        <v>6</v>
      </c>
      <c r="J13" s="9" t="s">
        <v>1209</v>
      </c>
      <c r="K13" s="9" t="s">
        <v>1209</v>
      </c>
      <c r="L13" s="9" t="s">
        <v>1242</v>
      </c>
      <c r="M13" s="9" t="s">
        <v>162</v>
      </c>
      <c r="N13" s="9" t="s">
        <v>1242</v>
      </c>
      <c r="O13" s="9" t="s">
        <v>1250</v>
      </c>
      <c r="P13" s="9" t="s">
        <v>92</v>
      </c>
      <c r="Q13" s="9" t="s">
        <v>1245</v>
      </c>
      <c r="R13" s="9" t="s">
        <v>163</v>
      </c>
      <c r="S13" s="9" t="s">
        <v>82</v>
      </c>
      <c r="T13" s="9" t="s">
        <v>108</v>
      </c>
      <c r="U13" s="9" t="s">
        <v>108</v>
      </c>
      <c r="V13" s="9" t="s">
        <v>85</v>
      </c>
      <c r="W13" s="9" t="s">
        <v>109</v>
      </c>
      <c r="X13" s="9" t="s">
        <v>1209</v>
      </c>
      <c r="Y13" s="9" t="s">
        <v>1246</v>
      </c>
      <c r="Z13" s="9" t="s">
        <v>1212</v>
      </c>
      <c r="AA13" s="9" t="s">
        <v>166</v>
      </c>
      <c r="AB13" s="9" t="s">
        <v>167</v>
      </c>
      <c r="AC13" s="9" t="s">
        <v>88</v>
      </c>
      <c r="AD13" s="9" t="s">
        <v>1213</v>
      </c>
      <c r="AE13" s="9" t="s">
        <v>89</v>
      </c>
      <c r="AF13" s="9" t="s">
        <v>1247</v>
      </c>
      <c r="AG13" s="9" t="s">
        <v>168</v>
      </c>
      <c r="AH13" s="9" t="s">
        <v>169</v>
      </c>
      <c r="AI13" s="9" t="s">
        <v>92</v>
      </c>
      <c r="AJ13" s="9" t="s">
        <v>92</v>
      </c>
      <c r="AK13" s="9" t="s">
        <v>92</v>
      </c>
      <c r="AL13" s="9" t="s">
        <v>92</v>
      </c>
      <c r="AM13" s="9" t="s">
        <v>92</v>
      </c>
      <c r="AN13" s="9" t="s">
        <v>170</v>
      </c>
      <c r="AO13" s="9" t="s">
        <v>171</v>
      </c>
      <c r="AP13" s="9" t="s">
        <v>110</v>
      </c>
      <c r="AQ13" s="9" t="s">
        <v>110</v>
      </c>
      <c r="AR13" s="9" t="s">
        <v>110</v>
      </c>
      <c r="AS13" s="9" t="s">
        <v>99</v>
      </c>
      <c r="AT13" s="9" t="s">
        <v>99</v>
      </c>
      <c r="AU13" s="9" t="s">
        <v>100</v>
      </c>
      <c r="AV13" s="9" t="s">
        <v>175</v>
      </c>
      <c r="AW13" s="9" t="s">
        <v>176</v>
      </c>
      <c r="AX13" s="9" t="s">
        <v>177</v>
      </c>
      <c r="AY13" s="9" t="s">
        <v>104</v>
      </c>
      <c r="AZ13" s="9" t="s">
        <v>104</v>
      </c>
      <c r="BA13" s="9" t="s">
        <v>104</v>
      </c>
      <c r="BB13" s="9" t="s">
        <v>105</v>
      </c>
      <c r="BC13" s="9" t="s">
        <v>105</v>
      </c>
      <c r="BD13" s="9" t="s">
        <v>105</v>
      </c>
      <c r="BE13" s="9" t="s">
        <v>105</v>
      </c>
      <c r="BF13" s="9" t="s">
        <v>105</v>
      </c>
      <c r="BG13" s="9" t="s">
        <v>105</v>
      </c>
      <c r="BH13" s="9" t="s">
        <v>105</v>
      </c>
      <c r="BI13" s="9" t="s">
        <v>105</v>
      </c>
      <c r="BJ13" s="9" t="s">
        <v>178</v>
      </c>
      <c r="BK13" s="9" t="s">
        <v>179</v>
      </c>
      <c r="BL13" s="9" t="s">
        <v>105</v>
      </c>
      <c r="BM13" s="9" t="s">
        <v>99</v>
      </c>
      <c r="BN13" s="9" t="s">
        <v>99</v>
      </c>
      <c r="BO13" s="9" t="s">
        <v>100</v>
      </c>
      <c r="BP13" s="9" t="s">
        <v>110</v>
      </c>
      <c r="BQ13" s="9" t="s">
        <v>110</v>
      </c>
      <c r="BR13" s="9" t="s">
        <v>110</v>
      </c>
      <c r="BS13" s="9"/>
    </row>
    <row r="14" spans="1:71" x14ac:dyDescent="0.25">
      <c r="A14" s="9" t="s">
        <v>1216</v>
      </c>
      <c r="B14" s="9" t="s">
        <v>1217</v>
      </c>
      <c r="C14" s="9" t="s">
        <v>1251</v>
      </c>
      <c r="D14" s="9" t="s">
        <v>1219</v>
      </c>
      <c r="E14" s="9" t="s">
        <v>1252</v>
      </c>
      <c r="F14" s="9" t="s">
        <v>1253</v>
      </c>
      <c r="G14" s="9" t="s">
        <v>1252</v>
      </c>
      <c r="H14" s="9" t="s">
        <v>1254</v>
      </c>
      <c r="I14" s="9" t="s">
        <v>6</v>
      </c>
      <c r="J14" s="9" t="s">
        <v>1209</v>
      </c>
      <c r="K14" s="9" t="s">
        <v>1209</v>
      </c>
      <c r="L14" s="9" t="s">
        <v>1252</v>
      </c>
      <c r="M14" s="9" t="s">
        <v>180</v>
      </c>
      <c r="N14" s="9" t="s">
        <v>1252</v>
      </c>
      <c r="O14" s="9" t="s">
        <v>1254</v>
      </c>
      <c r="P14" s="9" t="s">
        <v>181</v>
      </c>
      <c r="Q14" s="9" t="s">
        <v>1209</v>
      </c>
      <c r="R14" s="9" t="s">
        <v>181</v>
      </c>
      <c r="S14" s="9" t="s">
        <v>82</v>
      </c>
      <c r="T14" s="9" t="s">
        <v>83</v>
      </c>
      <c r="U14" s="9" t="s">
        <v>182</v>
      </c>
      <c r="V14" s="9" t="s">
        <v>85</v>
      </c>
      <c r="W14" s="9" t="s">
        <v>183</v>
      </c>
      <c r="X14" s="9" t="s">
        <v>1209</v>
      </c>
      <c r="Y14" s="9" t="s">
        <v>1255</v>
      </c>
      <c r="Z14" s="9" t="s">
        <v>1212</v>
      </c>
      <c r="AA14" s="9" t="s">
        <v>184</v>
      </c>
      <c r="AB14" s="9" t="s">
        <v>185</v>
      </c>
      <c r="AC14" s="9" t="s">
        <v>88</v>
      </c>
      <c r="AD14" s="9" t="s">
        <v>1213</v>
      </c>
      <c r="AE14" s="9" t="s">
        <v>89</v>
      </c>
      <c r="AF14" s="9" t="s">
        <v>1256</v>
      </c>
      <c r="AG14" s="9" t="s">
        <v>186</v>
      </c>
      <c r="AH14" s="9" t="s">
        <v>187</v>
      </c>
      <c r="AI14" s="9" t="s">
        <v>92</v>
      </c>
      <c r="AJ14" s="9" t="s">
        <v>92</v>
      </c>
      <c r="AK14" s="9" t="s">
        <v>188</v>
      </c>
      <c r="AL14" s="9" t="s">
        <v>92</v>
      </c>
      <c r="AM14" s="9" t="s">
        <v>92</v>
      </c>
      <c r="AN14" s="9" t="s">
        <v>189</v>
      </c>
      <c r="AO14" s="9" t="s">
        <v>190</v>
      </c>
      <c r="AP14" s="9" t="s">
        <v>105</v>
      </c>
      <c r="AQ14" s="9" t="s">
        <v>105</v>
      </c>
      <c r="AR14" s="9" t="s">
        <v>191</v>
      </c>
      <c r="AS14" s="9" t="s">
        <v>192</v>
      </c>
      <c r="AT14" s="9" t="s">
        <v>192</v>
      </c>
      <c r="AU14" s="9" t="s">
        <v>100</v>
      </c>
      <c r="AV14" s="9" t="s">
        <v>193</v>
      </c>
      <c r="AW14" s="9" t="s">
        <v>194</v>
      </c>
      <c r="AX14" s="9" t="s">
        <v>195</v>
      </c>
      <c r="AY14" s="9" t="s">
        <v>126</v>
      </c>
      <c r="AZ14" s="9" t="s">
        <v>126</v>
      </c>
      <c r="BA14" s="9" t="s">
        <v>126</v>
      </c>
      <c r="BB14" s="9" t="s">
        <v>105</v>
      </c>
      <c r="BC14" s="9" t="s">
        <v>105</v>
      </c>
      <c r="BD14" s="9" t="s">
        <v>105</v>
      </c>
      <c r="BE14" s="9" t="s">
        <v>105</v>
      </c>
      <c r="BF14" s="9" t="s">
        <v>105</v>
      </c>
      <c r="BG14" s="9" t="s">
        <v>105</v>
      </c>
      <c r="BH14" s="9" t="s">
        <v>105</v>
      </c>
      <c r="BI14" s="9" t="s">
        <v>105</v>
      </c>
      <c r="BJ14" s="9" t="s">
        <v>196</v>
      </c>
      <c r="BK14" s="9" t="s">
        <v>197</v>
      </c>
      <c r="BL14" s="9" t="s">
        <v>105</v>
      </c>
      <c r="BM14" s="9" t="s">
        <v>192</v>
      </c>
      <c r="BN14" s="9" t="s">
        <v>192</v>
      </c>
      <c r="BO14" s="9" t="s">
        <v>100</v>
      </c>
      <c r="BP14" s="9" t="s">
        <v>105</v>
      </c>
      <c r="BQ14" s="9" t="s">
        <v>105</v>
      </c>
      <c r="BR14" s="9" t="s">
        <v>191</v>
      </c>
      <c r="BS14" s="9"/>
    </row>
    <row r="15" spans="1:71" x14ac:dyDescent="0.25">
      <c r="A15" s="9" t="s">
        <v>1216</v>
      </c>
      <c r="B15" s="9" t="s">
        <v>1217</v>
      </c>
      <c r="C15" s="9" t="s">
        <v>1257</v>
      </c>
      <c r="D15" s="9" t="s">
        <v>1219</v>
      </c>
      <c r="E15" s="9" t="s">
        <v>1258</v>
      </c>
      <c r="F15" s="9" t="s">
        <v>1259</v>
      </c>
      <c r="G15" s="9" t="s">
        <v>1258</v>
      </c>
      <c r="H15" s="9" t="s">
        <v>1260</v>
      </c>
      <c r="I15" s="9" t="s">
        <v>6</v>
      </c>
      <c r="J15" s="9" t="s">
        <v>1209</v>
      </c>
      <c r="K15" s="9" t="s">
        <v>1209</v>
      </c>
      <c r="L15" s="9" t="s">
        <v>1258</v>
      </c>
      <c r="M15" s="9" t="s">
        <v>198</v>
      </c>
      <c r="N15" s="9" t="s">
        <v>1258</v>
      </c>
      <c r="O15" s="9" t="s">
        <v>1260</v>
      </c>
      <c r="P15" s="9" t="s">
        <v>199</v>
      </c>
      <c r="Q15" s="9" t="s">
        <v>1209</v>
      </c>
      <c r="R15" s="9" t="s">
        <v>199</v>
      </c>
      <c r="S15" s="9" t="s">
        <v>82</v>
      </c>
      <c r="T15" s="9" t="s">
        <v>83</v>
      </c>
      <c r="U15" s="9" t="s">
        <v>200</v>
      </c>
      <c r="V15" s="9" t="s">
        <v>85</v>
      </c>
      <c r="W15" s="9" t="s">
        <v>201</v>
      </c>
      <c r="X15" s="9" t="s">
        <v>1209</v>
      </c>
      <c r="Y15" s="9" t="s">
        <v>1261</v>
      </c>
      <c r="Z15" s="9" t="s">
        <v>1212</v>
      </c>
      <c r="AA15" s="9"/>
      <c r="AB15" s="9" t="s">
        <v>202</v>
      </c>
      <c r="AC15" s="9" t="s">
        <v>88</v>
      </c>
      <c r="AD15" s="9" t="s">
        <v>1213</v>
      </c>
      <c r="AE15" s="9" t="s">
        <v>89</v>
      </c>
      <c r="AF15" s="9" t="s">
        <v>1262</v>
      </c>
      <c r="AG15" s="9" t="s">
        <v>203</v>
      </c>
      <c r="AH15" s="9" t="s">
        <v>92</v>
      </c>
      <c r="AI15" s="9" t="s">
        <v>92</v>
      </c>
      <c r="AJ15" s="9" t="s">
        <v>204</v>
      </c>
      <c r="AK15" s="9" t="s">
        <v>92</v>
      </c>
      <c r="AL15" s="9" t="s">
        <v>92</v>
      </c>
      <c r="AM15" s="9" t="s">
        <v>92</v>
      </c>
      <c r="AN15" s="9" t="s">
        <v>205</v>
      </c>
      <c r="AO15" s="9" t="s">
        <v>206</v>
      </c>
      <c r="AP15" s="9" t="s">
        <v>105</v>
      </c>
      <c r="AQ15" s="9" t="s">
        <v>105</v>
      </c>
      <c r="AR15" s="9" t="s">
        <v>207</v>
      </c>
      <c r="AS15" s="9" t="s">
        <v>122</v>
      </c>
      <c r="AT15" s="9" t="s">
        <v>122</v>
      </c>
      <c r="AU15" s="9" t="s">
        <v>100</v>
      </c>
      <c r="AV15" s="9" t="s">
        <v>208</v>
      </c>
      <c r="AW15" s="9" t="s">
        <v>209</v>
      </c>
      <c r="AX15" s="9" t="s">
        <v>210</v>
      </c>
      <c r="AY15" s="9" t="s">
        <v>126</v>
      </c>
      <c r="AZ15" s="9" t="s">
        <v>126</v>
      </c>
      <c r="BA15" s="9" t="s">
        <v>126</v>
      </c>
      <c r="BB15" s="9" t="s">
        <v>105</v>
      </c>
      <c r="BC15" s="9" t="s">
        <v>105</v>
      </c>
      <c r="BD15" s="9" t="s">
        <v>105</v>
      </c>
      <c r="BE15" s="9" t="s">
        <v>105</v>
      </c>
      <c r="BF15" s="9" t="s">
        <v>105</v>
      </c>
      <c r="BG15" s="9" t="s">
        <v>105</v>
      </c>
      <c r="BH15" s="9" t="s">
        <v>105</v>
      </c>
      <c r="BI15" s="9" t="s">
        <v>105</v>
      </c>
      <c r="BJ15" s="9" t="s">
        <v>211</v>
      </c>
      <c r="BK15" s="9" t="s">
        <v>212</v>
      </c>
      <c r="BL15" s="9" t="s">
        <v>105</v>
      </c>
      <c r="BM15" s="9" t="s">
        <v>122</v>
      </c>
      <c r="BN15" s="9" t="s">
        <v>122</v>
      </c>
      <c r="BO15" s="9" t="s">
        <v>100</v>
      </c>
      <c r="BP15" s="9" t="s">
        <v>105</v>
      </c>
      <c r="BQ15" s="9" t="s">
        <v>105</v>
      </c>
      <c r="BR15" s="9" t="s">
        <v>207</v>
      </c>
      <c r="BS15" s="9"/>
    </row>
    <row r="16" spans="1:71" x14ac:dyDescent="0.25">
      <c r="A16" s="9" t="s">
        <v>1216</v>
      </c>
      <c r="B16" s="9" t="s">
        <v>1217</v>
      </c>
      <c r="C16" s="9" t="s">
        <v>1263</v>
      </c>
      <c r="D16" s="9" t="s">
        <v>1219</v>
      </c>
      <c r="E16" s="9" t="s">
        <v>1264</v>
      </c>
      <c r="F16" s="9" t="s">
        <v>1259</v>
      </c>
      <c r="G16" s="9" t="s">
        <v>1264</v>
      </c>
      <c r="H16" s="9" t="s">
        <v>1260</v>
      </c>
      <c r="I16" s="9" t="s">
        <v>6</v>
      </c>
      <c r="J16" s="9" t="s">
        <v>1209</v>
      </c>
      <c r="K16" s="9" t="s">
        <v>1209</v>
      </c>
      <c r="L16" s="9" t="s">
        <v>1264</v>
      </c>
      <c r="M16" s="9" t="s">
        <v>213</v>
      </c>
      <c r="N16" s="9" t="s">
        <v>1264</v>
      </c>
      <c r="O16" s="9" t="s">
        <v>1260</v>
      </c>
      <c r="P16" s="9" t="s">
        <v>214</v>
      </c>
      <c r="Q16" s="9" t="s">
        <v>1209</v>
      </c>
      <c r="R16" s="9" t="s">
        <v>214</v>
      </c>
      <c r="S16" s="9" t="s">
        <v>82</v>
      </c>
      <c r="T16" s="9" t="s">
        <v>83</v>
      </c>
      <c r="U16" s="9" t="s">
        <v>215</v>
      </c>
      <c r="V16" s="9" t="s">
        <v>85</v>
      </c>
      <c r="W16" s="9" t="s">
        <v>216</v>
      </c>
      <c r="X16" s="9" t="s">
        <v>1209</v>
      </c>
      <c r="Y16" s="9" t="s">
        <v>1261</v>
      </c>
      <c r="Z16" s="9" t="s">
        <v>1212</v>
      </c>
      <c r="AA16" s="9"/>
      <c r="AB16" s="9" t="s">
        <v>202</v>
      </c>
      <c r="AC16" s="9" t="s">
        <v>88</v>
      </c>
      <c r="AD16" s="9" t="s">
        <v>1213</v>
      </c>
      <c r="AE16" s="9" t="s">
        <v>89</v>
      </c>
      <c r="AF16" s="9" t="s">
        <v>1262</v>
      </c>
      <c r="AG16" s="9" t="s">
        <v>203</v>
      </c>
      <c r="AH16" s="9" t="s">
        <v>92</v>
      </c>
      <c r="AI16" s="9" t="s">
        <v>92</v>
      </c>
      <c r="AJ16" s="9" t="s">
        <v>204</v>
      </c>
      <c r="AK16" s="9" t="s">
        <v>92</v>
      </c>
      <c r="AL16" s="9" t="s">
        <v>92</v>
      </c>
      <c r="AM16" s="9" t="s">
        <v>92</v>
      </c>
      <c r="AN16" s="9" t="s">
        <v>205</v>
      </c>
      <c r="AO16" s="9" t="s">
        <v>206</v>
      </c>
      <c r="AP16" s="9" t="s">
        <v>105</v>
      </c>
      <c r="AQ16" s="9" t="s">
        <v>105</v>
      </c>
      <c r="AR16" s="9" t="s">
        <v>207</v>
      </c>
      <c r="AS16" s="9" t="s">
        <v>122</v>
      </c>
      <c r="AT16" s="9" t="s">
        <v>122</v>
      </c>
      <c r="AU16" s="9" t="s">
        <v>100</v>
      </c>
      <c r="AV16" s="9" t="s">
        <v>208</v>
      </c>
      <c r="AW16" s="9" t="s">
        <v>209</v>
      </c>
      <c r="AX16" s="9" t="s">
        <v>210</v>
      </c>
      <c r="AY16" s="9" t="s">
        <v>126</v>
      </c>
      <c r="AZ16" s="9" t="s">
        <v>126</v>
      </c>
      <c r="BA16" s="9" t="s">
        <v>126</v>
      </c>
      <c r="BB16" s="9" t="s">
        <v>105</v>
      </c>
      <c r="BC16" s="9" t="s">
        <v>105</v>
      </c>
      <c r="BD16" s="9" t="s">
        <v>105</v>
      </c>
      <c r="BE16" s="9" t="s">
        <v>105</v>
      </c>
      <c r="BF16" s="9" t="s">
        <v>105</v>
      </c>
      <c r="BG16" s="9" t="s">
        <v>105</v>
      </c>
      <c r="BH16" s="9" t="s">
        <v>105</v>
      </c>
      <c r="BI16" s="9" t="s">
        <v>105</v>
      </c>
      <c r="BJ16" s="9" t="s">
        <v>211</v>
      </c>
      <c r="BK16" s="9" t="s">
        <v>212</v>
      </c>
      <c r="BL16" s="9" t="s">
        <v>105</v>
      </c>
      <c r="BM16" s="9" t="s">
        <v>122</v>
      </c>
      <c r="BN16" s="9" t="s">
        <v>122</v>
      </c>
      <c r="BO16" s="9" t="s">
        <v>100</v>
      </c>
      <c r="BP16" s="9" t="s">
        <v>105</v>
      </c>
      <c r="BQ16" s="9" t="s">
        <v>105</v>
      </c>
      <c r="BR16" s="9" t="s">
        <v>207</v>
      </c>
      <c r="BS16" s="9"/>
    </row>
    <row r="17" spans="1:71" x14ac:dyDescent="0.25">
      <c r="A17" s="9" t="s">
        <v>1216</v>
      </c>
      <c r="B17" s="9" t="s">
        <v>1217</v>
      </c>
      <c r="C17" s="9" t="s">
        <v>1265</v>
      </c>
      <c r="D17" s="9" t="s">
        <v>1219</v>
      </c>
      <c r="E17" s="9" t="s">
        <v>1266</v>
      </c>
      <c r="F17" s="9" t="s">
        <v>1259</v>
      </c>
      <c r="G17" s="9" t="s">
        <v>1266</v>
      </c>
      <c r="H17" s="9" t="s">
        <v>1260</v>
      </c>
      <c r="I17" s="9" t="s">
        <v>6</v>
      </c>
      <c r="J17" s="9" t="s">
        <v>1209</v>
      </c>
      <c r="K17" s="9" t="s">
        <v>1209</v>
      </c>
      <c r="L17" s="9" t="s">
        <v>1266</v>
      </c>
      <c r="M17" s="9" t="s">
        <v>217</v>
      </c>
      <c r="N17" s="9" t="s">
        <v>1266</v>
      </c>
      <c r="O17" s="9" t="s">
        <v>1260</v>
      </c>
      <c r="P17" s="9" t="s">
        <v>218</v>
      </c>
      <c r="Q17" s="9" t="s">
        <v>1209</v>
      </c>
      <c r="R17" s="9" t="s">
        <v>218</v>
      </c>
      <c r="S17" s="9" t="s">
        <v>82</v>
      </c>
      <c r="T17" s="9" t="s">
        <v>83</v>
      </c>
      <c r="U17" s="9" t="s">
        <v>219</v>
      </c>
      <c r="V17" s="9" t="s">
        <v>85</v>
      </c>
      <c r="W17" s="9" t="s">
        <v>220</v>
      </c>
      <c r="X17" s="9" t="s">
        <v>1209</v>
      </c>
      <c r="Y17" s="9" t="s">
        <v>1261</v>
      </c>
      <c r="Z17" s="9" t="s">
        <v>1212</v>
      </c>
      <c r="AA17" s="9"/>
      <c r="AB17" s="9" t="s">
        <v>202</v>
      </c>
      <c r="AC17" s="9" t="s">
        <v>88</v>
      </c>
      <c r="AD17" s="9" t="s">
        <v>1213</v>
      </c>
      <c r="AE17" s="9" t="s">
        <v>89</v>
      </c>
      <c r="AF17" s="9" t="s">
        <v>1262</v>
      </c>
      <c r="AG17" s="9" t="s">
        <v>203</v>
      </c>
      <c r="AH17" s="9" t="s">
        <v>92</v>
      </c>
      <c r="AI17" s="9" t="s">
        <v>92</v>
      </c>
      <c r="AJ17" s="9" t="s">
        <v>204</v>
      </c>
      <c r="AK17" s="9" t="s">
        <v>92</v>
      </c>
      <c r="AL17" s="9" t="s">
        <v>92</v>
      </c>
      <c r="AM17" s="9" t="s">
        <v>92</v>
      </c>
      <c r="AN17" s="9" t="s">
        <v>205</v>
      </c>
      <c r="AO17" s="9" t="s">
        <v>206</v>
      </c>
      <c r="AP17" s="9" t="s">
        <v>105</v>
      </c>
      <c r="AQ17" s="9" t="s">
        <v>105</v>
      </c>
      <c r="AR17" s="9" t="s">
        <v>207</v>
      </c>
      <c r="AS17" s="9" t="s">
        <v>122</v>
      </c>
      <c r="AT17" s="9" t="s">
        <v>122</v>
      </c>
      <c r="AU17" s="9" t="s">
        <v>100</v>
      </c>
      <c r="AV17" s="9" t="s">
        <v>208</v>
      </c>
      <c r="AW17" s="9" t="s">
        <v>209</v>
      </c>
      <c r="AX17" s="9" t="s">
        <v>210</v>
      </c>
      <c r="AY17" s="9" t="s">
        <v>126</v>
      </c>
      <c r="AZ17" s="9" t="s">
        <v>126</v>
      </c>
      <c r="BA17" s="9" t="s">
        <v>126</v>
      </c>
      <c r="BB17" s="9" t="s">
        <v>105</v>
      </c>
      <c r="BC17" s="9" t="s">
        <v>105</v>
      </c>
      <c r="BD17" s="9" t="s">
        <v>105</v>
      </c>
      <c r="BE17" s="9" t="s">
        <v>105</v>
      </c>
      <c r="BF17" s="9" t="s">
        <v>105</v>
      </c>
      <c r="BG17" s="9" t="s">
        <v>105</v>
      </c>
      <c r="BH17" s="9" t="s">
        <v>105</v>
      </c>
      <c r="BI17" s="9" t="s">
        <v>105</v>
      </c>
      <c r="BJ17" s="9" t="s">
        <v>211</v>
      </c>
      <c r="BK17" s="9" t="s">
        <v>212</v>
      </c>
      <c r="BL17" s="9" t="s">
        <v>105</v>
      </c>
      <c r="BM17" s="9" t="s">
        <v>122</v>
      </c>
      <c r="BN17" s="9" t="s">
        <v>122</v>
      </c>
      <c r="BO17" s="9" t="s">
        <v>100</v>
      </c>
      <c r="BP17" s="9" t="s">
        <v>105</v>
      </c>
      <c r="BQ17" s="9" t="s">
        <v>105</v>
      </c>
      <c r="BR17" s="9" t="s">
        <v>207</v>
      </c>
      <c r="BS17" s="9"/>
    </row>
    <row r="18" spans="1:71" x14ac:dyDescent="0.25">
      <c r="A18" s="9" t="s">
        <v>1216</v>
      </c>
      <c r="B18" s="9" t="s">
        <v>1217</v>
      </c>
      <c r="C18" s="9" t="s">
        <v>1267</v>
      </c>
      <c r="D18" s="9" t="s">
        <v>1219</v>
      </c>
      <c r="E18" s="9" t="s">
        <v>1268</v>
      </c>
      <c r="F18" s="9" t="s">
        <v>1269</v>
      </c>
      <c r="G18" s="9" t="s">
        <v>1268</v>
      </c>
      <c r="H18" s="9" t="s">
        <v>1270</v>
      </c>
      <c r="I18" s="9" t="s">
        <v>6</v>
      </c>
      <c r="J18" s="9" t="s">
        <v>1209</v>
      </c>
      <c r="K18" s="9" t="s">
        <v>1209</v>
      </c>
      <c r="L18" s="9" t="s">
        <v>1268</v>
      </c>
      <c r="M18" s="9" t="s">
        <v>221</v>
      </c>
      <c r="N18" s="9" t="s">
        <v>1268</v>
      </c>
      <c r="O18" s="9" t="s">
        <v>1270</v>
      </c>
      <c r="P18" s="9" t="s">
        <v>222</v>
      </c>
      <c r="Q18" s="9" t="s">
        <v>1209</v>
      </c>
      <c r="R18" s="9" t="s">
        <v>222</v>
      </c>
      <c r="S18" s="9" t="s">
        <v>82</v>
      </c>
      <c r="T18" s="9" t="s">
        <v>83</v>
      </c>
      <c r="U18" s="9" t="s">
        <v>223</v>
      </c>
      <c r="V18" s="9" t="s">
        <v>85</v>
      </c>
      <c r="W18" s="9" t="s">
        <v>224</v>
      </c>
      <c r="X18" s="9" t="s">
        <v>1209</v>
      </c>
      <c r="Y18" s="9" t="s">
        <v>1271</v>
      </c>
      <c r="Z18" s="9" t="s">
        <v>1212</v>
      </c>
      <c r="AA18" s="9" t="s">
        <v>225</v>
      </c>
      <c r="AB18" s="9" t="s">
        <v>226</v>
      </c>
      <c r="AC18" s="9" t="s">
        <v>88</v>
      </c>
      <c r="AD18" s="9" t="s">
        <v>1213</v>
      </c>
      <c r="AE18" s="9" t="s">
        <v>89</v>
      </c>
      <c r="AF18" s="9" t="s">
        <v>1272</v>
      </c>
      <c r="AG18" s="9" t="s">
        <v>227</v>
      </c>
      <c r="AH18" s="9" t="s">
        <v>228</v>
      </c>
      <c r="AI18" s="9" t="s">
        <v>92</v>
      </c>
      <c r="AJ18" s="9" t="s">
        <v>92</v>
      </c>
      <c r="AK18" s="9" t="s">
        <v>229</v>
      </c>
      <c r="AL18" s="9" t="s">
        <v>92</v>
      </c>
      <c r="AM18" s="9" t="s">
        <v>92</v>
      </c>
      <c r="AN18" s="9" t="s">
        <v>230</v>
      </c>
      <c r="AO18" s="9" t="s">
        <v>231</v>
      </c>
      <c r="AP18" s="9" t="s">
        <v>105</v>
      </c>
      <c r="AQ18" s="9" t="s">
        <v>105</v>
      </c>
      <c r="AR18" s="9" t="s">
        <v>232</v>
      </c>
      <c r="AS18" s="9" t="s">
        <v>122</v>
      </c>
      <c r="AT18" s="9" t="s">
        <v>122</v>
      </c>
      <c r="AU18" s="9" t="s">
        <v>100</v>
      </c>
      <c r="AV18" s="9" t="s">
        <v>233</v>
      </c>
      <c r="AW18" s="9" t="s">
        <v>234</v>
      </c>
      <c r="AX18" s="9" t="s">
        <v>235</v>
      </c>
      <c r="AY18" s="9" t="s">
        <v>126</v>
      </c>
      <c r="AZ18" s="9" t="s">
        <v>126</v>
      </c>
      <c r="BA18" s="9" t="s">
        <v>126</v>
      </c>
      <c r="BB18" s="9" t="s">
        <v>105</v>
      </c>
      <c r="BC18" s="9" t="s">
        <v>105</v>
      </c>
      <c r="BD18" s="9" t="s">
        <v>105</v>
      </c>
      <c r="BE18" s="9" t="s">
        <v>105</v>
      </c>
      <c r="BF18" s="9" t="s">
        <v>105</v>
      </c>
      <c r="BG18" s="9" t="s">
        <v>105</v>
      </c>
      <c r="BH18" s="9" t="s">
        <v>105</v>
      </c>
      <c r="BI18" s="9" t="s">
        <v>105</v>
      </c>
      <c r="BJ18" s="9" t="s">
        <v>236</v>
      </c>
      <c r="BK18" s="9" t="s">
        <v>237</v>
      </c>
      <c r="BL18" s="9" t="s">
        <v>105</v>
      </c>
      <c r="BM18" s="9" t="s">
        <v>122</v>
      </c>
      <c r="BN18" s="9" t="s">
        <v>122</v>
      </c>
      <c r="BO18" s="9" t="s">
        <v>100</v>
      </c>
      <c r="BP18" s="9" t="s">
        <v>105</v>
      </c>
      <c r="BQ18" s="9" t="s">
        <v>105</v>
      </c>
      <c r="BR18" s="9" t="s">
        <v>232</v>
      </c>
      <c r="BS18" s="9"/>
    </row>
    <row r="19" spans="1:71" x14ac:dyDescent="0.25">
      <c r="A19" s="9" t="s">
        <v>1202</v>
      </c>
      <c r="B19" s="9" t="s">
        <v>1203</v>
      </c>
      <c r="C19" s="9" t="s">
        <v>1273</v>
      </c>
      <c r="D19" s="9" t="s">
        <v>1274</v>
      </c>
      <c r="E19" s="9" t="s">
        <v>1275</v>
      </c>
      <c r="F19" s="9" t="s">
        <v>1276</v>
      </c>
      <c r="G19" s="9" t="s">
        <v>1275</v>
      </c>
      <c r="H19" s="9" t="s">
        <v>1277</v>
      </c>
      <c r="I19" s="9" t="s">
        <v>6</v>
      </c>
      <c r="J19" s="9" t="s">
        <v>1209</v>
      </c>
      <c r="K19" s="9" t="s">
        <v>1209</v>
      </c>
      <c r="L19" s="9" t="s">
        <v>1275</v>
      </c>
      <c r="M19" s="9" t="s">
        <v>238</v>
      </c>
      <c r="N19" s="9" t="s">
        <v>1275</v>
      </c>
      <c r="O19" s="9" t="s">
        <v>1277</v>
      </c>
      <c r="P19" s="9" t="s">
        <v>239</v>
      </c>
      <c r="Q19" s="9" t="s">
        <v>1210</v>
      </c>
      <c r="R19" s="9" t="s">
        <v>239</v>
      </c>
      <c r="S19" s="9" t="s">
        <v>82</v>
      </c>
      <c r="T19" s="9" t="s">
        <v>83</v>
      </c>
      <c r="U19" s="9" t="s">
        <v>240</v>
      </c>
      <c r="V19" s="9" t="s">
        <v>85</v>
      </c>
      <c r="W19" s="9" t="s">
        <v>241</v>
      </c>
      <c r="X19" s="9" t="s">
        <v>1209</v>
      </c>
      <c r="Y19" s="9" t="s">
        <v>1278</v>
      </c>
      <c r="Z19" s="9" t="s">
        <v>1212</v>
      </c>
      <c r="AA19" s="9"/>
      <c r="AB19" s="9" t="s">
        <v>242</v>
      </c>
      <c r="AC19" s="9" t="s">
        <v>88</v>
      </c>
      <c r="AD19" s="9" t="s">
        <v>1213</v>
      </c>
      <c r="AE19" s="9" t="s">
        <v>89</v>
      </c>
      <c r="AF19" s="9" t="s">
        <v>1279</v>
      </c>
      <c r="AG19" s="9" t="s">
        <v>243</v>
      </c>
      <c r="AH19" s="9" t="s">
        <v>244</v>
      </c>
      <c r="AI19" s="9" t="s">
        <v>92</v>
      </c>
      <c r="AJ19" s="9" t="s">
        <v>92</v>
      </c>
      <c r="AK19" s="9" t="s">
        <v>245</v>
      </c>
      <c r="AL19" s="9" t="s">
        <v>92</v>
      </c>
      <c r="AM19" s="9" t="s">
        <v>92</v>
      </c>
      <c r="AN19" s="9" t="s">
        <v>246</v>
      </c>
      <c r="AO19" s="9" t="s">
        <v>247</v>
      </c>
      <c r="AP19" s="9" t="s">
        <v>248</v>
      </c>
      <c r="AQ19" s="9" t="s">
        <v>249</v>
      </c>
      <c r="AR19" s="9" t="s">
        <v>250</v>
      </c>
      <c r="AS19" s="9" t="s">
        <v>99</v>
      </c>
      <c r="AT19" s="9" t="s">
        <v>99</v>
      </c>
      <c r="AU19" s="9" t="s">
        <v>100</v>
      </c>
      <c r="AV19" s="9" t="s">
        <v>251</v>
      </c>
      <c r="AW19" s="9" t="s">
        <v>252</v>
      </c>
      <c r="AX19" s="9" t="s">
        <v>253</v>
      </c>
      <c r="AY19" s="9" t="s">
        <v>104</v>
      </c>
      <c r="AZ19" s="9" t="s">
        <v>104</v>
      </c>
      <c r="BA19" s="9" t="s">
        <v>104</v>
      </c>
      <c r="BB19" s="9" t="s">
        <v>105</v>
      </c>
      <c r="BC19" s="9" t="s">
        <v>105</v>
      </c>
      <c r="BD19" s="9" t="s">
        <v>105</v>
      </c>
      <c r="BE19" s="9" t="s">
        <v>105</v>
      </c>
      <c r="BF19" s="9" t="s">
        <v>105</v>
      </c>
      <c r="BG19" s="9" t="s">
        <v>105</v>
      </c>
      <c r="BH19" s="9" t="s">
        <v>105</v>
      </c>
      <c r="BI19" s="9" t="s">
        <v>105</v>
      </c>
      <c r="BJ19" s="9" t="s">
        <v>106</v>
      </c>
      <c r="BK19" s="9" t="s">
        <v>107</v>
      </c>
      <c r="BL19" s="9" t="s">
        <v>105</v>
      </c>
      <c r="BM19" s="9" t="s">
        <v>99</v>
      </c>
      <c r="BN19" s="9" t="s">
        <v>99</v>
      </c>
      <c r="BO19" s="9" t="s">
        <v>100</v>
      </c>
      <c r="BP19" s="9" t="s">
        <v>248</v>
      </c>
      <c r="BQ19" s="9" t="s">
        <v>249</v>
      </c>
      <c r="BR19" s="9" t="s">
        <v>250</v>
      </c>
      <c r="BS19" s="9"/>
    </row>
    <row r="20" spans="1:71" x14ac:dyDescent="0.25">
      <c r="A20" s="9" t="s">
        <v>1202</v>
      </c>
      <c r="B20" s="9" t="s">
        <v>1203</v>
      </c>
      <c r="C20" s="9" t="s">
        <v>1273</v>
      </c>
      <c r="D20" s="9" t="s">
        <v>1274</v>
      </c>
      <c r="E20" s="9" t="s">
        <v>1275</v>
      </c>
      <c r="F20" s="9" t="s">
        <v>1276</v>
      </c>
      <c r="G20" s="9" t="s">
        <v>1275</v>
      </c>
      <c r="H20" s="9" t="s">
        <v>1280</v>
      </c>
      <c r="I20" s="9" t="s">
        <v>6</v>
      </c>
      <c r="J20" s="9" t="s">
        <v>1209</v>
      </c>
      <c r="K20" s="9" t="s">
        <v>1209</v>
      </c>
      <c r="L20" s="9" t="s">
        <v>1275</v>
      </c>
      <c r="M20" s="9" t="s">
        <v>238</v>
      </c>
      <c r="N20" s="9" t="s">
        <v>1275</v>
      </c>
      <c r="O20" s="9" t="s">
        <v>1280</v>
      </c>
      <c r="P20" s="9" t="s">
        <v>92</v>
      </c>
      <c r="Q20" s="9" t="s">
        <v>1210</v>
      </c>
      <c r="R20" s="9" t="s">
        <v>239</v>
      </c>
      <c r="S20" s="9" t="s">
        <v>82</v>
      </c>
      <c r="T20" s="9" t="s">
        <v>108</v>
      </c>
      <c r="U20" s="9" t="s">
        <v>108</v>
      </c>
      <c r="V20" s="9" t="s">
        <v>85</v>
      </c>
      <c r="W20" s="9" t="s">
        <v>109</v>
      </c>
      <c r="X20" s="9" t="s">
        <v>1209</v>
      </c>
      <c r="Y20" s="9" t="s">
        <v>1278</v>
      </c>
      <c r="Z20" s="9" t="s">
        <v>1212</v>
      </c>
      <c r="AA20" s="9"/>
      <c r="AB20" s="9" t="s">
        <v>242</v>
      </c>
      <c r="AC20" s="9" t="s">
        <v>88</v>
      </c>
      <c r="AD20" s="9" t="s">
        <v>1213</v>
      </c>
      <c r="AE20" s="9" t="s">
        <v>89</v>
      </c>
      <c r="AF20" s="9" t="s">
        <v>1279</v>
      </c>
      <c r="AG20" s="9" t="s">
        <v>243</v>
      </c>
      <c r="AH20" s="9" t="s">
        <v>244</v>
      </c>
      <c r="AI20" s="9" t="s">
        <v>92</v>
      </c>
      <c r="AJ20" s="9" t="s">
        <v>92</v>
      </c>
      <c r="AK20" s="9" t="s">
        <v>245</v>
      </c>
      <c r="AL20" s="9" t="s">
        <v>92</v>
      </c>
      <c r="AM20" s="9" t="s">
        <v>92</v>
      </c>
      <c r="AN20" s="9" t="s">
        <v>246</v>
      </c>
      <c r="AO20" s="9" t="s">
        <v>247</v>
      </c>
      <c r="AP20" s="9" t="s">
        <v>110</v>
      </c>
      <c r="AQ20" s="9" t="s">
        <v>110</v>
      </c>
      <c r="AR20" s="9" t="s">
        <v>110</v>
      </c>
      <c r="AS20" s="9" t="s">
        <v>99</v>
      </c>
      <c r="AT20" s="9" t="s">
        <v>99</v>
      </c>
      <c r="AU20" s="9" t="s">
        <v>100</v>
      </c>
      <c r="AV20" s="9" t="s">
        <v>251</v>
      </c>
      <c r="AW20" s="9" t="s">
        <v>252</v>
      </c>
      <c r="AX20" s="9" t="s">
        <v>253</v>
      </c>
      <c r="AY20" s="9" t="s">
        <v>104</v>
      </c>
      <c r="AZ20" s="9" t="s">
        <v>104</v>
      </c>
      <c r="BA20" s="9" t="s">
        <v>104</v>
      </c>
      <c r="BB20" s="9" t="s">
        <v>105</v>
      </c>
      <c r="BC20" s="9" t="s">
        <v>105</v>
      </c>
      <c r="BD20" s="9" t="s">
        <v>105</v>
      </c>
      <c r="BE20" s="9" t="s">
        <v>105</v>
      </c>
      <c r="BF20" s="9" t="s">
        <v>105</v>
      </c>
      <c r="BG20" s="9" t="s">
        <v>105</v>
      </c>
      <c r="BH20" s="9" t="s">
        <v>105</v>
      </c>
      <c r="BI20" s="9" t="s">
        <v>105</v>
      </c>
      <c r="BJ20" s="9" t="s">
        <v>106</v>
      </c>
      <c r="BK20" s="9" t="s">
        <v>107</v>
      </c>
      <c r="BL20" s="9" t="s">
        <v>105</v>
      </c>
      <c r="BM20" s="9" t="s">
        <v>99</v>
      </c>
      <c r="BN20" s="9" t="s">
        <v>99</v>
      </c>
      <c r="BO20" s="9" t="s">
        <v>100</v>
      </c>
      <c r="BP20" s="9" t="s">
        <v>110</v>
      </c>
      <c r="BQ20" s="9" t="s">
        <v>110</v>
      </c>
      <c r="BR20" s="9" t="s">
        <v>110</v>
      </c>
      <c r="BS20" s="9"/>
    </row>
    <row r="21" spans="1:71" x14ac:dyDescent="0.25">
      <c r="A21" s="9" t="s">
        <v>1216</v>
      </c>
      <c r="B21" s="9" t="s">
        <v>1217</v>
      </c>
      <c r="C21" s="9" t="s">
        <v>1281</v>
      </c>
      <c r="D21" s="9" t="s">
        <v>1219</v>
      </c>
      <c r="E21" s="9" t="s">
        <v>1282</v>
      </c>
      <c r="F21" s="9" t="s">
        <v>1283</v>
      </c>
      <c r="G21" s="9" t="s">
        <v>1282</v>
      </c>
      <c r="H21" s="9" t="s">
        <v>1284</v>
      </c>
      <c r="I21" s="9" t="s">
        <v>6</v>
      </c>
      <c r="J21" s="9" t="s">
        <v>1209</v>
      </c>
      <c r="K21" s="9" t="s">
        <v>1209</v>
      </c>
      <c r="L21" s="9" t="s">
        <v>1282</v>
      </c>
      <c r="M21" s="9" t="s">
        <v>254</v>
      </c>
      <c r="N21" s="9" t="s">
        <v>1282</v>
      </c>
      <c r="O21" s="9" t="s">
        <v>1284</v>
      </c>
      <c r="P21" s="9" t="s">
        <v>255</v>
      </c>
      <c r="Q21" s="9" t="s">
        <v>1209</v>
      </c>
      <c r="R21" s="9" t="s">
        <v>255</v>
      </c>
      <c r="S21" s="9" t="s">
        <v>82</v>
      </c>
      <c r="T21" s="9" t="s">
        <v>83</v>
      </c>
      <c r="U21" s="9" t="s">
        <v>256</v>
      </c>
      <c r="V21" s="9" t="s">
        <v>85</v>
      </c>
      <c r="W21" s="9" t="s">
        <v>257</v>
      </c>
      <c r="X21" s="9" t="s">
        <v>1209</v>
      </c>
      <c r="Y21" s="9" t="s">
        <v>1285</v>
      </c>
      <c r="Z21" s="9" t="s">
        <v>1212</v>
      </c>
      <c r="AA21" s="9" t="s">
        <v>133</v>
      </c>
      <c r="AB21" s="9" t="s">
        <v>258</v>
      </c>
      <c r="AC21" s="9" t="s">
        <v>88</v>
      </c>
      <c r="AD21" s="9" t="s">
        <v>1213</v>
      </c>
      <c r="AE21" s="9" t="s">
        <v>89</v>
      </c>
      <c r="AF21" s="9" t="s">
        <v>1286</v>
      </c>
      <c r="AG21" s="9" t="s">
        <v>259</v>
      </c>
      <c r="AH21" s="9" t="s">
        <v>260</v>
      </c>
      <c r="AI21" s="9" t="s">
        <v>92</v>
      </c>
      <c r="AJ21" s="9" t="s">
        <v>92</v>
      </c>
      <c r="AK21" s="9" t="s">
        <v>92</v>
      </c>
      <c r="AL21" s="9" t="s">
        <v>92</v>
      </c>
      <c r="AM21" s="9" t="s">
        <v>92</v>
      </c>
      <c r="AN21" s="9" t="s">
        <v>261</v>
      </c>
      <c r="AO21" s="9" t="s">
        <v>262</v>
      </c>
      <c r="AP21" s="9" t="s">
        <v>105</v>
      </c>
      <c r="AQ21" s="9" t="s">
        <v>105</v>
      </c>
      <c r="AR21" s="9" t="s">
        <v>263</v>
      </c>
      <c r="AS21" s="9" t="s">
        <v>122</v>
      </c>
      <c r="AT21" s="9" t="s">
        <v>122</v>
      </c>
      <c r="AU21" s="9" t="s">
        <v>100</v>
      </c>
      <c r="AV21" s="9" t="s">
        <v>264</v>
      </c>
      <c r="AW21" s="9" t="s">
        <v>265</v>
      </c>
      <c r="AX21" s="9" t="s">
        <v>266</v>
      </c>
      <c r="AY21" s="9" t="s">
        <v>126</v>
      </c>
      <c r="AZ21" s="9" t="s">
        <v>126</v>
      </c>
      <c r="BA21" s="9" t="s">
        <v>126</v>
      </c>
      <c r="BB21" s="9" t="s">
        <v>105</v>
      </c>
      <c r="BC21" s="9" t="s">
        <v>105</v>
      </c>
      <c r="BD21" s="9" t="s">
        <v>105</v>
      </c>
      <c r="BE21" s="9" t="s">
        <v>105</v>
      </c>
      <c r="BF21" s="9" t="s">
        <v>105</v>
      </c>
      <c r="BG21" s="9" t="s">
        <v>105</v>
      </c>
      <c r="BH21" s="9" t="s">
        <v>105</v>
      </c>
      <c r="BI21" s="9" t="s">
        <v>105</v>
      </c>
      <c r="BJ21" s="9" t="s">
        <v>267</v>
      </c>
      <c r="BK21" s="9" t="s">
        <v>268</v>
      </c>
      <c r="BL21" s="9" t="s">
        <v>105</v>
      </c>
      <c r="BM21" s="9" t="s">
        <v>122</v>
      </c>
      <c r="BN21" s="9" t="s">
        <v>122</v>
      </c>
      <c r="BO21" s="9" t="s">
        <v>100</v>
      </c>
      <c r="BP21" s="9" t="s">
        <v>105</v>
      </c>
      <c r="BQ21" s="9" t="s">
        <v>105</v>
      </c>
      <c r="BR21" s="9" t="s">
        <v>263</v>
      </c>
      <c r="BS21" s="9"/>
    </row>
    <row r="22" spans="1:71" x14ac:dyDescent="0.25">
      <c r="A22" s="9" t="s">
        <v>1216</v>
      </c>
      <c r="B22" s="9" t="s">
        <v>1217</v>
      </c>
      <c r="C22" s="9" t="s">
        <v>1287</v>
      </c>
      <c r="D22" s="9" t="s">
        <v>1219</v>
      </c>
      <c r="E22" s="9" t="s">
        <v>1288</v>
      </c>
      <c r="F22" s="9" t="s">
        <v>1289</v>
      </c>
      <c r="G22" s="9" t="s">
        <v>1288</v>
      </c>
      <c r="H22" s="9" t="s">
        <v>1290</v>
      </c>
      <c r="I22" s="9" t="s">
        <v>6</v>
      </c>
      <c r="J22" s="9" t="s">
        <v>1209</v>
      </c>
      <c r="K22" s="9" t="s">
        <v>1209</v>
      </c>
      <c r="L22" s="9" t="s">
        <v>1288</v>
      </c>
      <c r="M22" s="9" t="s">
        <v>269</v>
      </c>
      <c r="N22" s="9" t="s">
        <v>1288</v>
      </c>
      <c r="O22" s="9" t="s">
        <v>1290</v>
      </c>
      <c r="P22" s="9" t="s">
        <v>270</v>
      </c>
      <c r="Q22" s="9" t="s">
        <v>1209</v>
      </c>
      <c r="R22" s="9" t="s">
        <v>270</v>
      </c>
      <c r="S22" s="9" t="s">
        <v>82</v>
      </c>
      <c r="T22" s="9" t="s">
        <v>83</v>
      </c>
      <c r="U22" s="9" t="s">
        <v>271</v>
      </c>
      <c r="V22" s="9" t="s">
        <v>85</v>
      </c>
      <c r="W22" s="9" t="s">
        <v>272</v>
      </c>
      <c r="X22" s="9" t="s">
        <v>1209</v>
      </c>
      <c r="Y22" s="9" t="s">
        <v>1291</v>
      </c>
      <c r="Z22" s="9" t="s">
        <v>1212</v>
      </c>
      <c r="AA22" s="9" t="s">
        <v>133</v>
      </c>
      <c r="AB22" s="9" t="s">
        <v>273</v>
      </c>
      <c r="AC22" s="9" t="s">
        <v>88</v>
      </c>
      <c r="AD22" s="9" t="s">
        <v>1213</v>
      </c>
      <c r="AE22" s="9" t="s">
        <v>89</v>
      </c>
      <c r="AF22" s="9" t="s">
        <v>1292</v>
      </c>
      <c r="AG22" s="9" t="s">
        <v>274</v>
      </c>
      <c r="AH22" s="9" t="s">
        <v>92</v>
      </c>
      <c r="AI22" s="9" t="s">
        <v>92</v>
      </c>
      <c r="AJ22" s="9" t="s">
        <v>92</v>
      </c>
      <c r="AK22" s="9" t="s">
        <v>92</v>
      </c>
      <c r="AL22" s="9" t="s">
        <v>92</v>
      </c>
      <c r="AM22" s="9" t="s">
        <v>92</v>
      </c>
      <c r="AN22" s="9" t="s">
        <v>275</v>
      </c>
      <c r="AO22" s="9" t="s">
        <v>108</v>
      </c>
      <c r="AP22" s="9" t="s">
        <v>105</v>
      </c>
      <c r="AQ22" s="9" t="s">
        <v>105</v>
      </c>
      <c r="AR22" s="9" t="s">
        <v>276</v>
      </c>
      <c r="AS22" s="9" t="s">
        <v>122</v>
      </c>
      <c r="AT22" s="9" t="s">
        <v>122</v>
      </c>
      <c r="AU22" s="9" t="s">
        <v>100</v>
      </c>
      <c r="AV22" s="9" t="s">
        <v>277</v>
      </c>
      <c r="AW22" s="9" t="s">
        <v>278</v>
      </c>
      <c r="AX22" s="9" t="s">
        <v>279</v>
      </c>
      <c r="AY22" s="9" t="s">
        <v>126</v>
      </c>
      <c r="AZ22" s="9" t="s">
        <v>126</v>
      </c>
      <c r="BA22" s="9" t="s">
        <v>126</v>
      </c>
      <c r="BB22" s="9" t="s">
        <v>105</v>
      </c>
      <c r="BC22" s="9" t="s">
        <v>105</v>
      </c>
      <c r="BD22" s="9" t="s">
        <v>105</v>
      </c>
      <c r="BE22" s="9" t="s">
        <v>105</v>
      </c>
      <c r="BF22" s="9" t="s">
        <v>105</v>
      </c>
      <c r="BG22" s="9" t="s">
        <v>105</v>
      </c>
      <c r="BH22" s="9" t="s">
        <v>105</v>
      </c>
      <c r="BI22" s="9" t="s">
        <v>105</v>
      </c>
      <c r="BJ22" s="9" t="s">
        <v>280</v>
      </c>
      <c r="BK22" s="9" t="s">
        <v>281</v>
      </c>
      <c r="BL22" s="9" t="s">
        <v>105</v>
      </c>
      <c r="BM22" s="9" t="s">
        <v>122</v>
      </c>
      <c r="BN22" s="9" t="s">
        <v>122</v>
      </c>
      <c r="BO22" s="9" t="s">
        <v>100</v>
      </c>
      <c r="BP22" s="9" t="s">
        <v>105</v>
      </c>
      <c r="BQ22" s="9" t="s">
        <v>105</v>
      </c>
      <c r="BR22" s="9" t="s">
        <v>276</v>
      </c>
      <c r="BS22" s="9"/>
    </row>
    <row r="23" spans="1:71" x14ac:dyDescent="0.25">
      <c r="A23" s="9" t="s">
        <v>1216</v>
      </c>
      <c r="B23" s="9" t="s">
        <v>1217</v>
      </c>
      <c r="C23" s="9" t="s">
        <v>1293</v>
      </c>
      <c r="D23" s="9" t="s">
        <v>1219</v>
      </c>
      <c r="E23" s="9" t="s">
        <v>1294</v>
      </c>
      <c r="F23" s="9" t="s">
        <v>1295</v>
      </c>
      <c r="G23" s="9" t="s">
        <v>1294</v>
      </c>
      <c r="H23" s="9" t="s">
        <v>1296</v>
      </c>
      <c r="I23" s="9" t="s">
        <v>6</v>
      </c>
      <c r="J23" s="9" t="s">
        <v>1209</v>
      </c>
      <c r="K23" s="9" t="s">
        <v>1209</v>
      </c>
      <c r="L23" s="9" t="s">
        <v>1294</v>
      </c>
      <c r="M23" s="9" t="s">
        <v>282</v>
      </c>
      <c r="N23" s="9" t="s">
        <v>1294</v>
      </c>
      <c r="O23" s="9" t="s">
        <v>1296</v>
      </c>
      <c r="P23" s="9" t="s">
        <v>283</v>
      </c>
      <c r="Q23" s="9" t="s">
        <v>1209</v>
      </c>
      <c r="R23" s="9" t="s">
        <v>283</v>
      </c>
      <c r="S23" s="9" t="s">
        <v>82</v>
      </c>
      <c r="T23" s="9" t="s">
        <v>83</v>
      </c>
      <c r="U23" s="9" t="s">
        <v>284</v>
      </c>
      <c r="V23" s="9" t="s">
        <v>85</v>
      </c>
      <c r="W23" s="9" t="s">
        <v>285</v>
      </c>
      <c r="X23" s="9" t="s">
        <v>1209</v>
      </c>
      <c r="Y23" s="9" t="s">
        <v>1297</v>
      </c>
      <c r="Z23" s="9" t="s">
        <v>1298</v>
      </c>
      <c r="AA23" s="9" t="s">
        <v>133</v>
      </c>
      <c r="AB23" s="9" t="s">
        <v>286</v>
      </c>
      <c r="AC23" s="9" t="s">
        <v>88</v>
      </c>
      <c r="AD23" s="9" t="s">
        <v>1213</v>
      </c>
      <c r="AE23" s="9" t="s">
        <v>89</v>
      </c>
      <c r="AF23" s="9" t="s">
        <v>1299</v>
      </c>
      <c r="AG23" s="9" t="s">
        <v>287</v>
      </c>
      <c r="AH23" s="9" t="s">
        <v>92</v>
      </c>
      <c r="AI23" s="9" t="s">
        <v>92</v>
      </c>
      <c r="AJ23" s="9" t="s">
        <v>288</v>
      </c>
      <c r="AK23" s="9" t="s">
        <v>92</v>
      </c>
      <c r="AL23" s="9" t="s">
        <v>289</v>
      </c>
      <c r="AM23" s="9" t="s">
        <v>92</v>
      </c>
      <c r="AN23" s="9" t="s">
        <v>290</v>
      </c>
      <c r="AO23" s="9" t="s">
        <v>291</v>
      </c>
      <c r="AP23" s="9" t="s">
        <v>105</v>
      </c>
      <c r="AQ23" s="9" t="s">
        <v>105</v>
      </c>
      <c r="AR23" s="9" t="s">
        <v>292</v>
      </c>
      <c r="AS23" s="9" t="s">
        <v>122</v>
      </c>
      <c r="AT23" s="9" t="s">
        <v>122</v>
      </c>
      <c r="AU23" s="9" t="s">
        <v>100</v>
      </c>
      <c r="AV23" s="9" t="s">
        <v>293</v>
      </c>
      <c r="AW23" s="9" t="s">
        <v>294</v>
      </c>
      <c r="AX23" s="9" t="s">
        <v>295</v>
      </c>
      <c r="AY23" s="9" t="s">
        <v>126</v>
      </c>
      <c r="AZ23" s="9" t="s">
        <v>126</v>
      </c>
      <c r="BA23" s="9" t="s">
        <v>126</v>
      </c>
      <c r="BB23" s="9" t="s">
        <v>105</v>
      </c>
      <c r="BC23" s="9" t="s">
        <v>105</v>
      </c>
      <c r="BD23" s="9" t="s">
        <v>105</v>
      </c>
      <c r="BE23" s="9" t="s">
        <v>105</v>
      </c>
      <c r="BF23" s="9" t="s">
        <v>105</v>
      </c>
      <c r="BG23" s="9" t="s">
        <v>105</v>
      </c>
      <c r="BH23" s="9" t="s">
        <v>105</v>
      </c>
      <c r="BI23" s="9" t="s">
        <v>105</v>
      </c>
      <c r="BJ23" s="9" t="s">
        <v>296</v>
      </c>
      <c r="BK23" s="9" t="s">
        <v>297</v>
      </c>
      <c r="BL23" s="9" t="s">
        <v>105</v>
      </c>
      <c r="BM23" s="9" t="s">
        <v>122</v>
      </c>
      <c r="BN23" s="9" t="s">
        <v>122</v>
      </c>
      <c r="BO23" s="9" t="s">
        <v>100</v>
      </c>
      <c r="BP23" s="9" t="s">
        <v>105</v>
      </c>
      <c r="BQ23" s="9" t="s">
        <v>105</v>
      </c>
      <c r="BR23" s="9" t="s">
        <v>292</v>
      </c>
      <c r="BS23" s="9"/>
    </row>
    <row r="24" spans="1:71" x14ac:dyDescent="0.25">
      <c r="A24" s="9" t="s">
        <v>1216</v>
      </c>
      <c r="B24" s="9" t="s">
        <v>1300</v>
      </c>
      <c r="C24" s="9" t="s">
        <v>1301</v>
      </c>
      <c r="D24" s="9" t="s">
        <v>298</v>
      </c>
      <c r="E24" s="9" t="s">
        <v>299</v>
      </c>
      <c r="F24" s="9" t="s">
        <v>1302</v>
      </c>
      <c r="G24" s="9" t="s">
        <v>299</v>
      </c>
      <c r="H24" s="9" t="s">
        <v>1303</v>
      </c>
      <c r="I24" s="9" t="s">
        <v>6</v>
      </c>
      <c r="J24" s="9" t="s">
        <v>1209</v>
      </c>
      <c r="K24" s="9" t="s">
        <v>1209</v>
      </c>
      <c r="L24" s="9" t="s">
        <v>299</v>
      </c>
      <c r="M24" s="9" t="s">
        <v>300</v>
      </c>
      <c r="N24" s="9" t="s">
        <v>299</v>
      </c>
      <c r="O24" s="9" t="s">
        <v>1303</v>
      </c>
      <c r="P24" s="9" t="s">
        <v>301</v>
      </c>
      <c r="Q24" s="9" t="s">
        <v>1209</v>
      </c>
      <c r="R24" s="9" t="s">
        <v>301</v>
      </c>
      <c r="S24" s="9" t="s">
        <v>82</v>
      </c>
      <c r="T24" s="9" t="s">
        <v>83</v>
      </c>
      <c r="U24" s="9" t="s">
        <v>302</v>
      </c>
      <c r="V24" s="9" t="s">
        <v>85</v>
      </c>
      <c r="W24" s="9" t="s">
        <v>303</v>
      </c>
      <c r="X24" s="9" t="s">
        <v>1209</v>
      </c>
      <c r="Y24" s="9" t="s">
        <v>1304</v>
      </c>
      <c r="Z24" s="9" t="s">
        <v>1212</v>
      </c>
      <c r="AA24" s="9" t="s">
        <v>304</v>
      </c>
      <c r="AB24" s="9" t="s">
        <v>305</v>
      </c>
      <c r="AC24" s="9" t="s">
        <v>88</v>
      </c>
      <c r="AD24" s="9" t="s">
        <v>1213</v>
      </c>
      <c r="AE24" s="9" t="s">
        <v>89</v>
      </c>
      <c r="AF24" s="9" t="s">
        <v>1305</v>
      </c>
      <c r="AG24" s="9" t="s">
        <v>306</v>
      </c>
      <c r="AH24" s="9" t="s">
        <v>307</v>
      </c>
      <c r="AI24" s="9" t="s">
        <v>92</v>
      </c>
      <c r="AJ24" s="9" t="s">
        <v>92</v>
      </c>
      <c r="AK24" s="9" t="s">
        <v>308</v>
      </c>
      <c r="AL24" s="9" t="s">
        <v>92</v>
      </c>
      <c r="AM24" s="9" t="s">
        <v>92</v>
      </c>
      <c r="AN24" s="9" t="s">
        <v>309</v>
      </c>
      <c r="AO24" s="9" t="s">
        <v>310</v>
      </c>
      <c r="AP24" s="9" t="s">
        <v>105</v>
      </c>
      <c r="AQ24" s="9" t="s">
        <v>105</v>
      </c>
      <c r="AR24" s="9" t="s">
        <v>311</v>
      </c>
      <c r="AS24" s="9" t="s">
        <v>122</v>
      </c>
      <c r="AT24" s="9" t="s">
        <v>122</v>
      </c>
      <c r="AU24" s="9" t="s">
        <v>100</v>
      </c>
      <c r="AV24" s="9" t="s">
        <v>312</v>
      </c>
      <c r="AW24" s="9" t="s">
        <v>313</v>
      </c>
      <c r="AX24" s="9" t="s">
        <v>314</v>
      </c>
      <c r="AY24" s="9" t="s">
        <v>104</v>
      </c>
      <c r="AZ24" s="9" t="s">
        <v>104</v>
      </c>
      <c r="BA24" s="9" t="s">
        <v>104</v>
      </c>
      <c r="BB24" s="9" t="s">
        <v>105</v>
      </c>
      <c r="BC24" s="9" t="s">
        <v>105</v>
      </c>
      <c r="BD24" s="9" t="s">
        <v>105</v>
      </c>
      <c r="BE24" s="9" t="s">
        <v>105</v>
      </c>
      <c r="BF24" s="9" t="s">
        <v>105</v>
      </c>
      <c r="BG24" s="9" t="s">
        <v>105</v>
      </c>
      <c r="BH24" s="9" t="s">
        <v>105</v>
      </c>
      <c r="BI24" s="9" t="s">
        <v>105</v>
      </c>
      <c r="BJ24" s="9" t="s">
        <v>315</v>
      </c>
      <c r="BK24" s="9" t="s">
        <v>316</v>
      </c>
      <c r="BL24" s="9" t="s">
        <v>105</v>
      </c>
      <c r="BM24" s="9" t="s">
        <v>122</v>
      </c>
      <c r="BN24" s="9" t="s">
        <v>122</v>
      </c>
      <c r="BO24" s="9" t="s">
        <v>100</v>
      </c>
      <c r="BP24" s="9" t="s">
        <v>105</v>
      </c>
      <c r="BQ24" s="9" t="s">
        <v>105</v>
      </c>
      <c r="BR24" s="9" t="s">
        <v>311</v>
      </c>
      <c r="BS24" s="9"/>
    </row>
    <row r="25" spans="1:71" x14ac:dyDescent="0.25">
      <c r="A25" s="9" t="s">
        <v>1216</v>
      </c>
      <c r="B25" s="9" t="s">
        <v>1225</v>
      </c>
      <c r="C25" s="9" t="s">
        <v>1306</v>
      </c>
      <c r="D25" s="9" t="s">
        <v>1219</v>
      </c>
      <c r="E25" s="9" t="s">
        <v>1307</v>
      </c>
      <c r="F25" s="9" t="s">
        <v>1308</v>
      </c>
      <c r="G25" s="9" t="s">
        <v>1307</v>
      </c>
      <c r="H25" s="9" t="s">
        <v>1309</v>
      </c>
      <c r="I25" s="9" t="s">
        <v>6</v>
      </c>
      <c r="J25" s="9" t="s">
        <v>1209</v>
      </c>
      <c r="K25" s="9" t="s">
        <v>1209</v>
      </c>
      <c r="L25" s="9" t="s">
        <v>1307</v>
      </c>
      <c r="M25" s="9" t="s">
        <v>317</v>
      </c>
      <c r="N25" s="9" t="s">
        <v>1307</v>
      </c>
      <c r="O25" s="9" t="s">
        <v>1309</v>
      </c>
      <c r="P25" s="9" t="s">
        <v>318</v>
      </c>
      <c r="Q25" s="9" t="s">
        <v>1209</v>
      </c>
      <c r="R25" s="9" t="s">
        <v>318</v>
      </c>
      <c r="S25" s="9" t="s">
        <v>82</v>
      </c>
      <c r="T25" s="9" t="s">
        <v>83</v>
      </c>
      <c r="U25" s="9" t="s">
        <v>319</v>
      </c>
      <c r="V25" s="9" t="s">
        <v>85</v>
      </c>
      <c r="W25" s="9" t="s">
        <v>320</v>
      </c>
      <c r="X25" s="9" t="s">
        <v>1209</v>
      </c>
      <c r="Y25" s="9" t="s">
        <v>1310</v>
      </c>
      <c r="Z25" s="9" t="s">
        <v>1212</v>
      </c>
      <c r="AA25" s="9" t="s">
        <v>133</v>
      </c>
      <c r="AB25" s="9" t="s">
        <v>321</v>
      </c>
      <c r="AC25" s="9" t="s">
        <v>88</v>
      </c>
      <c r="AD25" s="9" t="s">
        <v>1213</v>
      </c>
      <c r="AE25" s="9" t="s">
        <v>89</v>
      </c>
      <c r="AF25" s="9" t="s">
        <v>1311</v>
      </c>
      <c r="AG25" s="9" t="s">
        <v>322</v>
      </c>
      <c r="AH25" s="9" t="s">
        <v>323</v>
      </c>
      <c r="AI25" s="9" t="s">
        <v>92</v>
      </c>
      <c r="AJ25" s="9" t="s">
        <v>92</v>
      </c>
      <c r="AK25" s="9" t="s">
        <v>324</v>
      </c>
      <c r="AL25" s="9" t="s">
        <v>92</v>
      </c>
      <c r="AM25" s="9" t="s">
        <v>92</v>
      </c>
      <c r="AN25" s="9" t="s">
        <v>325</v>
      </c>
      <c r="AO25" s="9" t="s">
        <v>326</v>
      </c>
      <c r="AP25" s="9" t="s">
        <v>105</v>
      </c>
      <c r="AQ25" s="9" t="s">
        <v>105</v>
      </c>
      <c r="AR25" s="9" t="s">
        <v>327</v>
      </c>
      <c r="AS25" s="9" t="s">
        <v>122</v>
      </c>
      <c r="AT25" s="9" t="s">
        <v>122</v>
      </c>
      <c r="AU25" s="9" t="s">
        <v>100</v>
      </c>
      <c r="AV25" s="9" t="s">
        <v>328</v>
      </c>
      <c r="AW25" s="9" t="s">
        <v>329</v>
      </c>
      <c r="AX25" s="9" t="s">
        <v>330</v>
      </c>
      <c r="AY25" s="9" t="s">
        <v>126</v>
      </c>
      <c r="AZ25" s="9" t="s">
        <v>126</v>
      </c>
      <c r="BA25" s="9" t="s">
        <v>126</v>
      </c>
      <c r="BB25" s="9" t="s">
        <v>105</v>
      </c>
      <c r="BC25" s="9" t="s">
        <v>105</v>
      </c>
      <c r="BD25" s="9" t="s">
        <v>105</v>
      </c>
      <c r="BE25" s="9" t="s">
        <v>105</v>
      </c>
      <c r="BF25" s="9" t="s">
        <v>105</v>
      </c>
      <c r="BG25" s="9" t="s">
        <v>105</v>
      </c>
      <c r="BH25" s="9" t="s">
        <v>105</v>
      </c>
      <c r="BI25" s="9" t="s">
        <v>105</v>
      </c>
      <c r="BJ25" s="9" t="s">
        <v>331</v>
      </c>
      <c r="BK25" s="9" t="s">
        <v>332</v>
      </c>
      <c r="BL25" s="9" t="s">
        <v>105</v>
      </c>
      <c r="BM25" s="9" t="s">
        <v>122</v>
      </c>
      <c r="BN25" s="9" t="s">
        <v>122</v>
      </c>
      <c r="BO25" s="9" t="s">
        <v>100</v>
      </c>
      <c r="BP25" s="9" t="s">
        <v>105</v>
      </c>
      <c r="BQ25" s="9" t="s">
        <v>105</v>
      </c>
      <c r="BR25" s="9" t="s">
        <v>327</v>
      </c>
      <c r="BS25" s="9"/>
    </row>
    <row r="26" spans="1:71" x14ac:dyDescent="0.25">
      <c r="A26" s="9" t="s">
        <v>1216</v>
      </c>
      <c r="B26" s="9" t="s">
        <v>1217</v>
      </c>
      <c r="C26" s="9" t="s">
        <v>1312</v>
      </c>
      <c r="D26" s="9" t="s">
        <v>1219</v>
      </c>
      <c r="E26" s="9" t="s">
        <v>1313</v>
      </c>
      <c r="F26" s="9" t="s">
        <v>1314</v>
      </c>
      <c r="G26" s="9" t="s">
        <v>1313</v>
      </c>
      <c r="H26" s="9" t="s">
        <v>1315</v>
      </c>
      <c r="I26" s="9" t="s">
        <v>6</v>
      </c>
      <c r="J26" s="9" t="s">
        <v>1209</v>
      </c>
      <c r="K26" s="9" t="s">
        <v>1209</v>
      </c>
      <c r="L26" s="9" t="s">
        <v>1313</v>
      </c>
      <c r="M26" s="9" t="s">
        <v>333</v>
      </c>
      <c r="N26" s="9" t="s">
        <v>1313</v>
      </c>
      <c r="O26" s="9" t="s">
        <v>1315</v>
      </c>
      <c r="P26" s="9" t="s">
        <v>334</v>
      </c>
      <c r="Q26" s="9" t="s">
        <v>1209</v>
      </c>
      <c r="R26" s="9" t="s">
        <v>334</v>
      </c>
      <c r="S26" s="9" t="s">
        <v>82</v>
      </c>
      <c r="T26" s="9" t="s">
        <v>83</v>
      </c>
      <c r="U26" s="9" t="s">
        <v>335</v>
      </c>
      <c r="V26" s="9" t="s">
        <v>85</v>
      </c>
      <c r="W26" s="9" t="s">
        <v>336</v>
      </c>
      <c r="X26" s="9" t="s">
        <v>1209</v>
      </c>
      <c r="Y26" s="9" t="s">
        <v>1316</v>
      </c>
      <c r="Z26" s="9" t="s">
        <v>1212</v>
      </c>
      <c r="AA26" s="9" t="s">
        <v>133</v>
      </c>
      <c r="AB26" s="9" t="s">
        <v>321</v>
      </c>
      <c r="AC26" s="9" t="s">
        <v>88</v>
      </c>
      <c r="AD26" s="9" t="s">
        <v>1213</v>
      </c>
      <c r="AE26" s="9" t="s">
        <v>89</v>
      </c>
      <c r="AF26" s="9" t="s">
        <v>1311</v>
      </c>
      <c r="AG26" s="9" t="s">
        <v>337</v>
      </c>
      <c r="AH26" s="9" t="s">
        <v>338</v>
      </c>
      <c r="AI26" s="9" t="s">
        <v>92</v>
      </c>
      <c r="AJ26" s="9" t="s">
        <v>92</v>
      </c>
      <c r="AK26" s="9" t="s">
        <v>339</v>
      </c>
      <c r="AL26" s="9" t="s">
        <v>92</v>
      </c>
      <c r="AM26" s="9" t="s">
        <v>92</v>
      </c>
      <c r="AN26" s="9" t="s">
        <v>340</v>
      </c>
      <c r="AO26" s="9" t="s">
        <v>341</v>
      </c>
      <c r="AP26" s="9" t="s">
        <v>105</v>
      </c>
      <c r="AQ26" s="9" t="s">
        <v>105</v>
      </c>
      <c r="AR26" s="9" t="s">
        <v>342</v>
      </c>
      <c r="AS26" s="9" t="s">
        <v>122</v>
      </c>
      <c r="AT26" s="9" t="s">
        <v>122</v>
      </c>
      <c r="AU26" s="9" t="s">
        <v>100</v>
      </c>
      <c r="AV26" s="9" t="s">
        <v>343</v>
      </c>
      <c r="AW26" s="9" t="s">
        <v>344</v>
      </c>
      <c r="AX26" s="9" t="s">
        <v>345</v>
      </c>
      <c r="AY26" s="9" t="s">
        <v>126</v>
      </c>
      <c r="AZ26" s="9" t="s">
        <v>126</v>
      </c>
      <c r="BA26" s="9" t="s">
        <v>126</v>
      </c>
      <c r="BB26" s="9" t="s">
        <v>105</v>
      </c>
      <c r="BC26" s="9" t="s">
        <v>105</v>
      </c>
      <c r="BD26" s="9" t="s">
        <v>105</v>
      </c>
      <c r="BE26" s="9" t="s">
        <v>105</v>
      </c>
      <c r="BF26" s="9" t="s">
        <v>105</v>
      </c>
      <c r="BG26" s="9" t="s">
        <v>105</v>
      </c>
      <c r="BH26" s="9" t="s">
        <v>105</v>
      </c>
      <c r="BI26" s="9" t="s">
        <v>105</v>
      </c>
      <c r="BJ26" s="9" t="s">
        <v>346</v>
      </c>
      <c r="BK26" s="9" t="s">
        <v>347</v>
      </c>
      <c r="BL26" s="9" t="s">
        <v>105</v>
      </c>
      <c r="BM26" s="9" t="s">
        <v>122</v>
      </c>
      <c r="BN26" s="9" t="s">
        <v>122</v>
      </c>
      <c r="BO26" s="9" t="s">
        <v>100</v>
      </c>
      <c r="BP26" s="9" t="s">
        <v>105</v>
      </c>
      <c r="BQ26" s="9" t="s">
        <v>105</v>
      </c>
      <c r="BR26" s="9" t="s">
        <v>342</v>
      </c>
      <c r="BS26" s="9"/>
    </row>
    <row r="27" spans="1:71" x14ac:dyDescent="0.25">
      <c r="A27" s="9" t="s">
        <v>1202</v>
      </c>
      <c r="B27" s="9" t="s">
        <v>1203</v>
      </c>
      <c r="C27" s="9" t="s">
        <v>1317</v>
      </c>
      <c r="D27" s="9" t="s">
        <v>1318</v>
      </c>
      <c r="E27" s="9" t="s">
        <v>1319</v>
      </c>
      <c r="F27" s="9" t="s">
        <v>1320</v>
      </c>
      <c r="G27" s="9" t="s">
        <v>1319</v>
      </c>
      <c r="H27" s="9" t="s">
        <v>1321</v>
      </c>
      <c r="I27" s="9" t="s">
        <v>6</v>
      </c>
      <c r="J27" s="9" t="s">
        <v>1209</v>
      </c>
      <c r="K27" s="9" t="s">
        <v>1209</v>
      </c>
      <c r="L27" s="9" t="s">
        <v>1319</v>
      </c>
      <c r="M27" s="9" t="s">
        <v>348</v>
      </c>
      <c r="N27" s="9" t="s">
        <v>1319</v>
      </c>
      <c r="O27" s="9" t="s">
        <v>1321</v>
      </c>
      <c r="P27" s="9" t="s">
        <v>349</v>
      </c>
      <c r="Q27" s="9" t="s">
        <v>1322</v>
      </c>
      <c r="R27" s="9" t="s">
        <v>349</v>
      </c>
      <c r="S27" s="9" t="s">
        <v>82</v>
      </c>
      <c r="T27" s="9" t="s">
        <v>83</v>
      </c>
      <c r="U27" s="9" t="s">
        <v>350</v>
      </c>
      <c r="V27" s="9" t="s">
        <v>85</v>
      </c>
      <c r="W27" s="9" t="s">
        <v>351</v>
      </c>
      <c r="X27" s="9" t="s">
        <v>1209</v>
      </c>
      <c r="Y27" s="9" t="s">
        <v>1323</v>
      </c>
      <c r="Z27" s="9" t="s">
        <v>1212</v>
      </c>
      <c r="AA27" s="9" t="s">
        <v>352</v>
      </c>
      <c r="AB27" s="9" t="s">
        <v>353</v>
      </c>
      <c r="AC27" s="9" t="s">
        <v>88</v>
      </c>
      <c r="AD27" s="9" t="s">
        <v>1213</v>
      </c>
      <c r="AE27" s="9" t="s">
        <v>89</v>
      </c>
      <c r="AF27" s="9" t="s">
        <v>1324</v>
      </c>
      <c r="AG27" s="9" t="s">
        <v>354</v>
      </c>
      <c r="AH27" s="9" t="s">
        <v>355</v>
      </c>
      <c r="AI27" s="9" t="s">
        <v>92</v>
      </c>
      <c r="AJ27" s="9" t="s">
        <v>92</v>
      </c>
      <c r="AK27" s="9" t="s">
        <v>356</v>
      </c>
      <c r="AL27" s="9" t="s">
        <v>92</v>
      </c>
      <c r="AM27" s="9" t="s">
        <v>92</v>
      </c>
      <c r="AN27" s="9" t="s">
        <v>357</v>
      </c>
      <c r="AO27" s="9" t="s">
        <v>358</v>
      </c>
      <c r="AP27" s="9" t="s">
        <v>359</v>
      </c>
      <c r="AQ27" s="9" t="s">
        <v>360</v>
      </c>
      <c r="AR27" s="9" t="s">
        <v>361</v>
      </c>
      <c r="AS27" s="9" t="s">
        <v>99</v>
      </c>
      <c r="AT27" s="9" t="s">
        <v>99</v>
      </c>
      <c r="AU27" s="9" t="s">
        <v>100</v>
      </c>
      <c r="AV27" s="9" t="s">
        <v>362</v>
      </c>
      <c r="AW27" s="9" t="s">
        <v>363</v>
      </c>
      <c r="AX27" s="9" t="s">
        <v>364</v>
      </c>
      <c r="AY27" s="9" t="s">
        <v>104</v>
      </c>
      <c r="AZ27" s="9" t="s">
        <v>104</v>
      </c>
      <c r="BA27" s="9" t="s">
        <v>104</v>
      </c>
      <c r="BB27" s="9" t="s">
        <v>105</v>
      </c>
      <c r="BC27" s="9" t="s">
        <v>105</v>
      </c>
      <c r="BD27" s="9" t="s">
        <v>105</v>
      </c>
      <c r="BE27" s="9" t="s">
        <v>105</v>
      </c>
      <c r="BF27" s="9" t="s">
        <v>105</v>
      </c>
      <c r="BG27" s="9" t="s">
        <v>105</v>
      </c>
      <c r="BH27" s="9" t="s">
        <v>105</v>
      </c>
      <c r="BI27" s="9" t="s">
        <v>105</v>
      </c>
      <c r="BJ27" s="9" t="s">
        <v>365</v>
      </c>
      <c r="BK27" s="9" t="s">
        <v>366</v>
      </c>
      <c r="BL27" s="9" t="s">
        <v>105</v>
      </c>
      <c r="BM27" s="9" t="s">
        <v>99</v>
      </c>
      <c r="BN27" s="9" t="s">
        <v>99</v>
      </c>
      <c r="BO27" s="9" t="s">
        <v>100</v>
      </c>
      <c r="BP27" s="9" t="s">
        <v>359</v>
      </c>
      <c r="BQ27" s="9" t="s">
        <v>360</v>
      </c>
      <c r="BR27" s="9" t="s">
        <v>361</v>
      </c>
      <c r="BS27" s="9"/>
    </row>
    <row r="28" spans="1:71" x14ac:dyDescent="0.25">
      <c r="A28" s="9" t="s">
        <v>1202</v>
      </c>
      <c r="B28" s="9" t="s">
        <v>1203</v>
      </c>
      <c r="C28" s="9" t="s">
        <v>1317</v>
      </c>
      <c r="D28" s="9" t="s">
        <v>1318</v>
      </c>
      <c r="E28" s="9" t="s">
        <v>1319</v>
      </c>
      <c r="F28" s="9" t="s">
        <v>1320</v>
      </c>
      <c r="G28" s="9" t="s">
        <v>1319</v>
      </c>
      <c r="H28" s="9" t="s">
        <v>1325</v>
      </c>
      <c r="I28" s="9" t="s">
        <v>6</v>
      </c>
      <c r="J28" s="9" t="s">
        <v>1209</v>
      </c>
      <c r="K28" s="9" t="s">
        <v>1209</v>
      </c>
      <c r="L28" s="9" t="s">
        <v>1319</v>
      </c>
      <c r="M28" s="9" t="s">
        <v>348</v>
      </c>
      <c r="N28" s="9" t="s">
        <v>1319</v>
      </c>
      <c r="O28" s="9" t="s">
        <v>1325</v>
      </c>
      <c r="P28" s="9" t="s">
        <v>92</v>
      </c>
      <c r="Q28" s="9" t="s">
        <v>1322</v>
      </c>
      <c r="R28" s="9" t="s">
        <v>349</v>
      </c>
      <c r="S28" s="9" t="s">
        <v>82</v>
      </c>
      <c r="T28" s="9" t="s">
        <v>108</v>
      </c>
      <c r="U28" s="9" t="s">
        <v>108</v>
      </c>
      <c r="V28" s="9" t="s">
        <v>85</v>
      </c>
      <c r="W28" s="9" t="s">
        <v>109</v>
      </c>
      <c r="X28" s="9" t="s">
        <v>1209</v>
      </c>
      <c r="Y28" s="9" t="s">
        <v>1323</v>
      </c>
      <c r="Z28" s="9" t="s">
        <v>1212</v>
      </c>
      <c r="AA28" s="9" t="s">
        <v>352</v>
      </c>
      <c r="AB28" s="9" t="s">
        <v>353</v>
      </c>
      <c r="AC28" s="9" t="s">
        <v>88</v>
      </c>
      <c r="AD28" s="9" t="s">
        <v>1213</v>
      </c>
      <c r="AE28" s="9" t="s">
        <v>89</v>
      </c>
      <c r="AF28" s="9" t="s">
        <v>1324</v>
      </c>
      <c r="AG28" s="9" t="s">
        <v>354</v>
      </c>
      <c r="AH28" s="9" t="s">
        <v>355</v>
      </c>
      <c r="AI28" s="9" t="s">
        <v>92</v>
      </c>
      <c r="AJ28" s="9" t="s">
        <v>92</v>
      </c>
      <c r="AK28" s="9" t="s">
        <v>356</v>
      </c>
      <c r="AL28" s="9" t="s">
        <v>92</v>
      </c>
      <c r="AM28" s="9" t="s">
        <v>92</v>
      </c>
      <c r="AN28" s="9" t="s">
        <v>357</v>
      </c>
      <c r="AO28" s="9" t="s">
        <v>358</v>
      </c>
      <c r="AP28" s="9" t="s">
        <v>105</v>
      </c>
      <c r="AQ28" s="9" t="s">
        <v>105</v>
      </c>
      <c r="AR28" s="9" t="s">
        <v>110</v>
      </c>
      <c r="AS28" s="9" t="s">
        <v>99</v>
      </c>
      <c r="AT28" s="9" t="s">
        <v>99</v>
      </c>
      <c r="AU28" s="9" t="s">
        <v>100</v>
      </c>
      <c r="AV28" s="9" t="s">
        <v>362</v>
      </c>
      <c r="AW28" s="9" t="s">
        <v>363</v>
      </c>
      <c r="AX28" s="9" t="s">
        <v>364</v>
      </c>
      <c r="AY28" s="9" t="s">
        <v>104</v>
      </c>
      <c r="AZ28" s="9" t="s">
        <v>104</v>
      </c>
      <c r="BA28" s="9" t="s">
        <v>104</v>
      </c>
      <c r="BB28" s="9" t="s">
        <v>105</v>
      </c>
      <c r="BC28" s="9" t="s">
        <v>105</v>
      </c>
      <c r="BD28" s="9" t="s">
        <v>105</v>
      </c>
      <c r="BE28" s="9" t="s">
        <v>105</v>
      </c>
      <c r="BF28" s="9" t="s">
        <v>105</v>
      </c>
      <c r="BG28" s="9" t="s">
        <v>105</v>
      </c>
      <c r="BH28" s="9" t="s">
        <v>105</v>
      </c>
      <c r="BI28" s="9" t="s">
        <v>105</v>
      </c>
      <c r="BJ28" s="9" t="s">
        <v>365</v>
      </c>
      <c r="BK28" s="9" t="s">
        <v>366</v>
      </c>
      <c r="BL28" s="9" t="s">
        <v>105</v>
      </c>
      <c r="BM28" s="9" t="s">
        <v>99</v>
      </c>
      <c r="BN28" s="9" t="s">
        <v>99</v>
      </c>
      <c r="BO28" s="9" t="s">
        <v>100</v>
      </c>
      <c r="BP28" s="9" t="s">
        <v>105</v>
      </c>
      <c r="BQ28" s="9" t="s">
        <v>105</v>
      </c>
      <c r="BR28" s="9" t="s">
        <v>110</v>
      </c>
      <c r="BS28" s="9"/>
    </row>
    <row r="29" spans="1:71" x14ac:dyDescent="0.25">
      <c r="A29" s="9" t="s">
        <v>1202</v>
      </c>
      <c r="B29" s="9" t="s">
        <v>1203</v>
      </c>
      <c r="C29" s="9" t="s">
        <v>1317</v>
      </c>
      <c r="D29" s="9" t="s">
        <v>1318</v>
      </c>
      <c r="E29" s="9" t="s">
        <v>1319</v>
      </c>
      <c r="F29" s="9" t="s">
        <v>1320</v>
      </c>
      <c r="G29" s="9" t="s">
        <v>1319</v>
      </c>
      <c r="H29" s="9" t="s">
        <v>1326</v>
      </c>
      <c r="I29" s="9" t="s">
        <v>6</v>
      </c>
      <c r="J29" s="9" t="s">
        <v>1209</v>
      </c>
      <c r="K29" s="9" t="s">
        <v>1209</v>
      </c>
      <c r="L29" s="9" t="s">
        <v>1319</v>
      </c>
      <c r="M29" s="9" t="s">
        <v>348</v>
      </c>
      <c r="N29" s="9" t="s">
        <v>1319</v>
      </c>
      <c r="O29" s="9" t="s">
        <v>1326</v>
      </c>
      <c r="P29" s="9" t="s">
        <v>92</v>
      </c>
      <c r="Q29" s="9" t="s">
        <v>1322</v>
      </c>
      <c r="R29" s="9" t="s">
        <v>349</v>
      </c>
      <c r="S29" s="9" t="s">
        <v>82</v>
      </c>
      <c r="T29" s="9" t="s">
        <v>108</v>
      </c>
      <c r="U29" s="9" t="s">
        <v>108</v>
      </c>
      <c r="V29" s="9" t="s">
        <v>85</v>
      </c>
      <c r="W29" s="9" t="s">
        <v>109</v>
      </c>
      <c r="X29" s="9" t="s">
        <v>1209</v>
      </c>
      <c r="Y29" s="9" t="s">
        <v>1323</v>
      </c>
      <c r="Z29" s="9" t="s">
        <v>1212</v>
      </c>
      <c r="AA29" s="9" t="s">
        <v>352</v>
      </c>
      <c r="AB29" s="9" t="s">
        <v>353</v>
      </c>
      <c r="AC29" s="9" t="s">
        <v>88</v>
      </c>
      <c r="AD29" s="9" t="s">
        <v>1213</v>
      </c>
      <c r="AE29" s="9" t="s">
        <v>89</v>
      </c>
      <c r="AF29" s="9" t="s">
        <v>1324</v>
      </c>
      <c r="AG29" s="9" t="s">
        <v>354</v>
      </c>
      <c r="AH29" s="9" t="s">
        <v>355</v>
      </c>
      <c r="AI29" s="9" t="s">
        <v>92</v>
      </c>
      <c r="AJ29" s="9" t="s">
        <v>92</v>
      </c>
      <c r="AK29" s="9" t="s">
        <v>356</v>
      </c>
      <c r="AL29" s="9" t="s">
        <v>92</v>
      </c>
      <c r="AM29" s="9" t="s">
        <v>92</v>
      </c>
      <c r="AN29" s="9" t="s">
        <v>357</v>
      </c>
      <c r="AO29" s="9" t="s">
        <v>358</v>
      </c>
      <c r="AP29" s="9" t="s">
        <v>105</v>
      </c>
      <c r="AQ29" s="9" t="s">
        <v>105</v>
      </c>
      <c r="AR29" s="9" t="s">
        <v>110</v>
      </c>
      <c r="AS29" s="9" t="s">
        <v>99</v>
      </c>
      <c r="AT29" s="9" t="s">
        <v>99</v>
      </c>
      <c r="AU29" s="9" t="s">
        <v>100</v>
      </c>
      <c r="AV29" s="9" t="s">
        <v>362</v>
      </c>
      <c r="AW29" s="9" t="s">
        <v>363</v>
      </c>
      <c r="AX29" s="9" t="s">
        <v>364</v>
      </c>
      <c r="AY29" s="9" t="s">
        <v>104</v>
      </c>
      <c r="AZ29" s="9" t="s">
        <v>104</v>
      </c>
      <c r="BA29" s="9" t="s">
        <v>104</v>
      </c>
      <c r="BB29" s="9" t="s">
        <v>105</v>
      </c>
      <c r="BC29" s="9" t="s">
        <v>105</v>
      </c>
      <c r="BD29" s="9" t="s">
        <v>105</v>
      </c>
      <c r="BE29" s="9" t="s">
        <v>105</v>
      </c>
      <c r="BF29" s="9" t="s">
        <v>105</v>
      </c>
      <c r="BG29" s="9" t="s">
        <v>105</v>
      </c>
      <c r="BH29" s="9" t="s">
        <v>105</v>
      </c>
      <c r="BI29" s="9" t="s">
        <v>105</v>
      </c>
      <c r="BJ29" s="9" t="s">
        <v>365</v>
      </c>
      <c r="BK29" s="9" t="s">
        <v>366</v>
      </c>
      <c r="BL29" s="9" t="s">
        <v>105</v>
      </c>
      <c r="BM29" s="9" t="s">
        <v>99</v>
      </c>
      <c r="BN29" s="9" t="s">
        <v>99</v>
      </c>
      <c r="BO29" s="9" t="s">
        <v>100</v>
      </c>
      <c r="BP29" s="9" t="s">
        <v>105</v>
      </c>
      <c r="BQ29" s="9" t="s">
        <v>105</v>
      </c>
      <c r="BR29" s="9" t="s">
        <v>110</v>
      </c>
      <c r="BS29" s="9"/>
    </row>
    <row r="30" spans="1:71" x14ac:dyDescent="0.25">
      <c r="A30" s="9" t="s">
        <v>1216</v>
      </c>
      <c r="B30" s="9" t="s">
        <v>1327</v>
      </c>
      <c r="C30" s="9" t="s">
        <v>1328</v>
      </c>
      <c r="D30" s="9" t="s">
        <v>1219</v>
      </c>
      <c r="E30" s="9" t="s">
        <v>1329</v>
      </c>
      <c r="F30" s="9" t="s">
        <v>1330</v>
      </c>
      <c r="G30" s="9" t="s">
        <v>1329</v>
      </c>
      <c r="H30" s="9" t="s">
        <v>1331</v>
      </c>
      <c r="I30" s="9" t="s">
        <v>6</v>
      </c>
      <c r="J30" s="9" t="s">
        <v>1209</v>
      </c>
      <c r="K30" s="9" t="s">
        <v>1209</v>
      </c>
      <c r="L30" s="9" t="s">
        <v>1329</v>
      </c>
      <c r="M30" s="9" t="s">
        <v>367</v>
      </c>
      <c r="N30" s="9" t="s">
        <v>1329</v>
      </c>
      <c r="O30" s="9" t="s">
        <v>1331</v>
      </c>
      <c r="P30" s="9" t="s">
        <v>368</v>
      </c>
      <c r="Q30" s="9" t="s">
        <v>1332</v>
      </c>
      <c r="R30" s="9" t="s">
        <v>369</v>
      </c>
      <c r="S30" s="9" t="s">
        <v>82</v>
      </c>
      <c r="T30" s="9" t="s">
        <v>370</v>
      </c>
      <c r="U30" s="9" t="s">
        <v>371</v>
      </c>
      <c r="V30" s="9" t="s">
        <v>85</v>
      </c>
      <c r="W30" s="9" t="s">
        <v>372</v>
      </c>
      <c r="X30" s="9" t="s">
        <v>1209</v>
      </c>
      <c r="Y30" s="9" t="s">
        <v>1333</v>
      </c>
      <c r="Z30" s="9" t="s">
        <v>1212</v>
      </c>
      <c r="AA30" s="9"/>
      <c r="AB30" s="9" t="s">
        <v>321</v>
      </c>
      <c r="AC30" s="9" t="s">
        <v>88</v>
      </c>
      <c r="AD30" s="9" t="s">
        <v>1213</v>
      </c>
      <c r="AE30" s="9" t="s">
        <v>89</v>
      </c>
      <c r="AF30" s="9" t="s">
        <v>1311</v>
      </c>
      <c r="AG30" s="9" t="s">
        <v>373</v>
      </c>
      <c r="AH30" s="9" t="s">
        <v>374</v>
      </c>
      <c r="AI30" s="9" t="s">
        <v>92</v>
      </c>
      <c r="AJ30" s="9" t="s">
        <v>92</v>
      </c>
      <c r="AK30" s="9" t="s">
        <v>375</v>
      </c>
      <c r="AL30" s="9" t="s">
        <v>92</v>
      </c>
      <c r="AM30" s="9" t="s">
        <v>92</v>
      </c>
      <c r="AN30" s="9" t="s">
        <v>376</v>
      </c>
      <c r="AO30" s="9" t="s">
        <v>377</v>
      </c>
      <c r="AP30" s="9" t="s">
        <v>378</v>
      </c>
      <c r="AQ30" s="9" t="s">
        <v>379</v>
      </c>
      <c r="AR30" s="9" t="s">
        <v>380</v>
      </c>
      <c r="AS30" s="9" t="s">
        <v>100</v>
      </c>
      <c r="AT30" s="9" t="s">
        <v>100</v>
      </c>
      <c r="AU30" s="9" t="s">
        <v>100</v>
      </c>
      <c r="AV30" s="9" t="s">
        <v>381</v>
      </c>
      <c r="AW30" s="9" t="s">
        <v>382</v>
      </c>
      <c r="AX30" s="9" t="s">
        <v>383</v>
      </c>
      <c r="AY30" s="9" t="s">
        <v>104</v>
      </c>
      <c r="AZ30" s="9" t="s">
        <v>104</v>
      </c>
      <c r="BA30" s="9" t="s">
        <v>104</v>
      </c>
      <c r="BB30" s="9" t="s">
        <v>105</v>
      </c>
      <c r="BC30" s="9" t="s">
        <v>105</v>
      </c>
      <c r="BD30" s="9" t="s">
        <v>105</v>
      </c>
      <c r="BE30" s="9" t="s">
        <v>105</v>
      </c>
      <c r="BF30" s="9" t="s">
        <v>105</v>
      </c>
      <c r="BG30" s="9" t="s">
        <v>105</v>
      </c>
      <c r="BH30" s="9" t="s">
        <v>105</v>
      </c>
      <c r="BI30" s="9" t="s">
        <v>105</v>
      </c>
      <c r="BJ30" s="9" t="s">
        <v>105</v>
      </c>
      <c r="BK30" s="9" t="s">
        <v>105</v>
      </c>
      <c r="BL30" s="9" t="s">
        <v>105</v>
      </c>
      <c r="BM30" s="9" t="s">
        <v>100</v>
      </c>
      <c r="BN30" s="9" t="s">
        <v>100</v>
      </c>
      <c r="BO30" s="9" t="s">
        <v>100</v>
      </c>
      <c r="BP30" s="9" t="s">
        <v>378</v>
      </c>
      <c r="BQ30" s="9" t="s">
        <v>379</v>
      </c>
      <c r="BR30" s="9" t="s">
        <v>380</v>
      </c>
      <c r="BS30" s="9"/>
    </row>
    <row r="31" spans="1:71" x14ac:dyDescent="0.25">
      <c r="A31" s="9" t="s">
        <v>1216</v>
      </c>
      <c r="B31" s="9" t="s">
        <v>1327</v>
      </c>
      <c r="C31" s="9" t="s">
        <v>1328</v>
      </c>
      <c r="D31" s="9" t="s">
        <v>1219</v>
      </c>
      <c r="E31" s="9" t="s">
        <v>1329</v>
      </c>
      <c r="F31" s="9" t="s">
        <v>1330</v>
      </c>
      <c r="G31" s="9" t="s">
        <v>1329</v>
      </c>
      <c r="H31" s="9" t="s">
        <v>1334</v>
      </c>
      <c r="I31" s="9" t="s">
        <v>6</v>
      </c>
      <c r="J31" s="9" t="s">
        <v>1209</v>
      </c>
      <c r="K31" s="9" t="s">
        <v>1209</v>
      </c>
      <c r="L31" s="9" t="s">
        <v>1329</v>
      </c>
      <c r="M31" s="9" t="s">
        <v>367</v>
      </c>
      <c r="N31" s="9" t="s">
        <v>1329</v>
      </c>
      <c r="O31" s="9" t="s">
        <v>1334</v>
      </c>
      <c r="P31" s="9" t="s">
        <v>368</v>
      </c>
      <c r="Q31" s="9" t="s">
        <v>1332</v>
      </c>
      <c r="R31" s="9" t="s">
        <v>369</v>
      </c>
      <c r="S31" s="9" t="s">
        <v>82</v>
      </c>
      <c r="T31" s="9" t="s">
        <v>370</v>
      </c>
      <c r="U31" s="9" t="s">
        <v>371</v>
      </c>
      <c r="V31" s="9" t="s">
        <v>85</v>
      </c>
      <c r="W31" s="9" t="s">
        <v>372</v>
      </c>
      <c r="X31" s="9" t="s">
        <v>1209</v>
      </c>
      <c r="Y31" s="9" t="s">
        <v>1333</v>
      </c>
      <c r="Z31" s="9" t="s">
        <v>1212</v>
      </c>
      <c r="AA31" s="9"/>
      <c r="AB31" s="9" t="s">
        <v>321</v>
      </c>
      <c r="AC31" s="9" t="s">
        <v>88</v>
      </c>
      <c r="AD31" s="9" t="s">
        <v>1213</v>
      </c>
      <c r="AE31" s="9" t="s">
        <v>89</v>
      </c>
      <c r="AF31" s="9" t="s">
        <v>1311</v>
      </c>
      <c r="AG31" s="9" t="s">
        <v>373</v>
      </c>
      <c r="AH31" s="9" t="s">
        <v>374</v>
      </c>
      <c r="AI31" s="9" t="s">
        <v>92</v>
      </c>
      <c r="AJ31" s="9" t="s">
        <v>92</v>
      </c>
      <c r="AK31" s="9" t="s">
        <v>375</v>
      </c>
      <c r="AL31" s="9" t="s">
        <v>92</v>
      </c>
      <c r="AM31" s="9" t="s">
        <v>92</v>
      </c>
      <c r="AN31" s="9" t="s">
        <v>376</v>
      </c>
      <c r="AO31" s="9" t="s">
        <v>377</v>
      </c>
      <c r="AP31" s="9" t="s">
        <v>378</v>
      </c>
      <c r="AQ31" s="9" t="s">
        <v>379</v>
      </c>
      <c r="AR31" s="9" t="s">
        <v>380</v>
      </c>
      <c r="AS31" s="9" t="s">
        <v>100</v>
      </c>
      <c r="AT31" s="9" t="s">
        <v>100</v>
      </c>
      <c r="AU31" s="9" t="s">
        <v>100</v>
      </c>
      <c r="AV31" s="9" t="s">
        <v>381</v>
      </c>
      <c r="AW31" s="9" t="s">
        <v>382</v>
      </c>
      <c r="AX31" s="9" t="s">
        <v>383</v>
      </c>
      <c r="AY31" s="9" t="s">
        <v>104</v>
      </c>
      <c r="AZ31" s="9" t="s">
        <v>104</v>
      </c>
      <c r="BA31" s="9" t="s">
        <v>104</v>
      </c>
      <c r="BB31" s="9" t="s">
        <v>105</v>
      </c>
      <c r="BC31" s="9" t="s">
        <v>105</v>
      </c>
      <c r="BD31" s="9" t="s">
        <v>105</v>
      </c>
      <c r="BE31" s="9" t="s">
        <v>105</v>
      </c>
      <c r="BF31" s="9" t="s">
        <v>105</v>
      </c>
      <c r="BG31" s="9" t="s">
        <v>105</v>
      </c>
      <c r="BH31" s="9" t="s">
        <v>105</v>
      </c>
      <c r="BI31" s="9" t="s">
        <v>105</v>
      </c>
      <c r="BJ31" s="9" t="s">
        <v>105</v>
      </c>
      <c r="BK31" s="9" t="s">
        <v>105</v>
      </c>
      <c r="BL31" s="9" t="s">
        <v>105</v>
      </c>
      <c r="BM31" s="9" t="s">
        <v>100</v>
      </c>
      <c r="BN31" s="9" t="s">
        <v>100</v>
      </c>
      <c r="BO31" s="9" t="s">
        <v>100</v>
      </c>
      <c r="BP31" s="9" t="s">
        <v>378</v>
      </c>
      <c r="BQ31" s="9" t="s">
        <v>379</v>
      </c>
      <c r="BR31" s="9" t="s">
        <v>380</v>
      </c>
      <c r="BS31" s="9"/>
    </row>
    <row r="32" spans="1:71" x14ac:dyDescent="0.25">
      <c r="A32" s="9" t="s">
        <v>1216</v>
      </c>
      <c r="B32" s="9" t="s">
        <v>1327</v>
      </c>
      <c r="C32" s="9" t="s">
        <v>1328</v>
      </c>
      <c r="D32" s="9" t="s">
        <v>1219</v>
      </c>
      <c r="E32" s="9" t="s">
        <v>1329</v>
      </c>
      <c r="F32" s="9" t="s">
        <v>1330</v>
      </c>
      <c r="G32" s="9" t="s">
        <v>1329</v>
      </c>
      <c r="H32" s="9" t="s">
        <v>1335</v>
      </c>
      <c r="I32" s="9" t="s">
        <v>6</v>
      </c>
      <c r="J32" s="9" t="s">
        <v>1209</v>
      </c>
      <c r="K32" s="9" t="s">
        <v>1209</v>
      </c>
      <c r="L32" s="9" t="s">
        <v>1329</v>
      </c>
      <c r="M32" s="9" t="s">
        <v>367</v>
      </c>
      <c r="N32" s="9" t="s">
        <v>1329</v>
      </c>
      <c r="O32" s="9" t="s">
        <v>1335</v>
      </c>
      <c r="P32" s="9" t="s">
        <v>368</v>
      </c>
      <c r="Q32" s="9" t="s">
        <v>1332</v>
      </c>
      <c r="R32" s="9" t="s">
        <v>369</v>
      </c>
      <c r="S32" s="9" t="s">
        <v>82</v>
      </c>
      <c r="T32" s="9" t="s">
        <v>370</v>
      </c>
      <c r="U32" s="9" t="s">
        <v>371</v>
      </c>
      <c r="V32" s="9" t="s">
        <v>85</v>
      </c>
      <c r="W32" s="9" t="s">
        <v>372</v>
      </c>
      <c r="X32" s="9" t="s">
        <v>1209</v>
      </c>
      <c r="Y32" s="9" t="s">
        <v>1333</v>
      </c>
      <c r="Z32" s="9" t="s">
        <v>1212</v>
      </c>
      <c r="AA32" s="9"/>
      <c r="AB32" s="9" t="s">
        <v>321</v>
      </c>
      <c r="AC32" s="9" t="s">
        <v>88</v>
      </c>
      <c r="AD32" s="9" t="s">
        <v>1213</v>
      </c>
      <c r="AE32" s="9" t="s">
        <v>89</v>
      </c>
      <c r="AF32" s="9" t="s">
        <v>1311</v>
      </c>
      <c r="AG32" s="9" t="s">
        <v>373</v>
      </c>
      <c r="AH32" s="9" t="s">
        <v>374</v>
      </c>
      <c r="AI32" s="9" t="s">
        <v>92</v>
      </c>
      <c r="AJ32" s="9" t="s">
        <v>92</v>
      </c>
      <c r="AK32" s="9" t="s">
        <v>375</v>
      </c>
      <c r="AL32" s="9" t="s">
        <v>92</v>
      </c>
      <c r="AM32" s="9" t="s">
        <v>92</v>
      </c>
      <c r="AN32" s="9" t="s">
        <v>376</v>
      </c>
      <c r="AO32" s="9" t="s">
        <v>377</v>
      </c>
      <c r="AP32" s="9" t="s">
        <v>378</v>
      </c>
      <c r="AQ32" s="9" t="s">
        <v>379</v>
      </c>
      <c r="AR32" s="9" t="s">
        <v>380</v>
      </c>
      <c r="AS32" s="9" t="s">
        <v>100</v>
      </c>
      <c r="AT32" s="9" t="s">
        <v>100</v>
      </c>
      <c r="AU32" s="9" t="s">
        <v>100</v>
      </c>
      <c r="AV32" s="9" t="s">
        <v>381</v>
      </c>
      <c r="AW32" s="9" t="s">
        <v>382</v>
      </c>
      <c r="AX32" s="9" t="s">
        <v>383</v>
      </c>
      <c r="AY32" s="9" t="s">
        <v>104</v>
      </c>
      <c r="AZ32" s="9" t="s">
        <v>104</v>
      </c>
      <c r="BA32" s="9" t="s">
        <v>104</v>
      </c>
      <c r="BB32" s="9" t="s">
        <v>105</v>
      </c>
      <c r="BC32" s="9" t="s">
        <v>105</v>
      </c>
      <c r="BD32" s="9" t="s">
        <v>105</v>
      </c>
      <c r="BE32" s="9" t="s">
        <v>105</v>
      </c>
      <c r="BF32" s="9" t="s">
        <v>105</v>
      </c>
      <c r="BG32" s="9" t="s">
        <v>105</v>
      </c>
      <c r="BH32" s="9" t="s">
        <v>105</v>
      </c>
      <c r="BI32" s="9" t="s">
        <v>105</v>
      </c>
      <c r="BJ32" s="9" t="s">
        <v>105</v>
      </c>
      <c r="BK32" s="9" t="s">
        <v>105</v>
      </c>
      <c r="BL32" s="9" t="s">
        <v>105</v>
      </c>
      <c r="BM32" s="9" t="s">
        <v>100</v>
      </c>
      <c r="BN32" s="9" t="s">
        <v>100</v>
      </c>
      <c r="BO32" s="9" t="s">
        <v>100</v>
      </c>
      <c r="BP32" s="9" t="s">
        <v>378</v>
      </c>
      <c r="BQ32" s="9" t="s">
        <v>379</v>
      </c>
      <c r="BR32" s="9" t="s">
        <v>380</v>
      </c>
      <c r="BS32" s="9"/>
    </row>
    <row r="33" spans="1:71" x14ac:dyDescent="0.25">
      <c r="A33" s="9" t="s">
        <v>1216</v>
      </c>
      <c r="B33" s="9" t="s">
        <v>1327</v>
      </c>
      <c r="C33" s="9" t="s">
        <v>1328</v>
      </c>
      <c r="D33" s="9" t="s">
        <v>1219</v>
      </c>
      <c r="E33" s="9" t="s">
        <v>1329</v>
      </c>
      <c r="F33" s="9" t="s">
        <v>1330</v>
      </c>
      <c r="G33" s="9" t="s">
        <v>1329</v>
      </c>
      <c r="H33" s="9" t="s">
        <v>1336</v>
      </c>
      <c r="I33" s="9" t="s">
        <v>6</v>
      </c>
      <c r="J33" s="9" t="s">
        <v>1209</v>
      </c>
      <c r="K33" s="9" t="s">
        <v>1209</v>
      </c>
      <c r="L33" s="9" t="s">
        <v>1329</v>
      </c>
      <c r="M33" s="9" t="s">
        <v>367</v>
      </c>
      <c r="N33" s="9" t="s">
        <v>1329</v>
      </c>
      <c r="O33" s="9" t="s">
        <v>1336</v>
      </c>
      <c r="P33" s="9" t="s">
        <v>384</v>
      </c>
      <c r="Q33" s="9" t="s">
        <v>1332</v>
      </c>
      <c r="R33" s="9" t="s">
        <v>369</v>
      </c>
      <c r="S33" s="9" t="s">
        <v>82</v>
      </c>
      <c r="T33" s="9" t="s">
        <v>385</v>
      </c>
      <c r="U33" s="9" t="s">
        <v>386</v>
      </c>
      <c r="V33" s="9" t="s">
        <v>85</v>
      </c>
      <c r="W33" s="9" t="s">
        <v>387</v>
      </c>
      <c r="X33" s="9" t="s">
        <v>1209</v>
      </c>
      <c r="Y33" s="9" t="s">
        <v>1333</v>
      </c>
      <c r="Z33" s="9" t="s">
        <v>1212</v>
      </c>
      <c r="AA33" s="9"/>
      <c r="AB33" s="9" t="s">
        <v>321</v>
      </c>
      <c r="AC33" s="9" t="s">
        <v>88</v>
      </c>
      <c r="AD33" s="9" t="s">
        <v>1213</v>
      </c>
      <c r="AE33" s="9" t="s">
        <v>89</v>
      </c>
      <c r="AF33" s="9" t="s">
        <v>1311</v>
      </c>
      <c r="AG33" s="9" t="s">
        <v>373</v>
      </c>
      <c r="AH33" s="9" t="s">
        <v>374</v>
      </c>
      <c r="AI33" s="9" t="s">
        <v>92</v>
      </c>
      <c r="AJ33" s="9" t="s">
        <v>92</v>
      </c>
      <c r="AK33" s="9" t="s">
        <v>375</v>
      </c>
      <c r="AL33" s="9" t="s">
        <v>92</v>
      </c>
      <c r="AM33" s="9" t="s">
        <v>92</v>
      </c>
      <c r="AN33" s="9" t="s">
        <v>376</v>
      </c>
      <c r="AO33" s="9" t="s">
        <v>377</v>
      </c>
      <c r="AP33" s="9" t="s">
        <v>388</v>
      </c>
      <c r="AQ33" s="9" t="s">
        <v>389</v>
      </c>
      <c r="AR33" s="9" t="s">
        <v>390</v>
      </c>
      <c r="AS33" s="9" t="s">
        <v>122</v>
      </c>
      <c r="AT33" s="9" t="s">
        <v>122</v>
      </c>
      <c r="AU33" s="9" t="s">
        <v>100</v>
      </c>
      <c r="AV33" s="9" t="s">
        <v>381</v>
      </c>
      <c r="AW33" s="9" t="s">
        <v>382</v>
      </c>
      <c r="AX33" s="9" t="s">
        <v>383</v>
      </c>
      <c r="AY33" s="9" t="s">
        <v>104</v>
      </c>
      <c r="AZ33" s="9" t="s">
        <v>104</v>
      </c>
      <c r="BA33" s="9" t="s">
        <v>104</v>
      </c>
      <c r="BB33" s="9" t="s">
        <v>105</v>
      </c>
      <c r="BC33" s="9" t="s">
        <v>105</v>
      </c>
      <c r="BD33" s="9" t="s">
        <v>105</v>
      </c>
      <c r="BE33" s="9" t="s">
        <v>105</v>
      </c>
      <c r="BF33" s="9" t="s">
        <v>105</v>
      </c>
      <c r="BG33" s="9" t="s">
        <v>105</v>
      </c>
      <c r="BH33" s="9" t="s">
        <v>105</v>
      </c>
      <c r="BI33" s="9" t="s">
        <v>105</v>
      </c>
      <c r="BJ33" s="9" t="s">
        <v>391</v>
      </c>
      <c r="BK33" s="9" t="s">
        <v>392</v>
      </c>
      <c r="BL33" s="9" t="s">
        <v>105</v>
      </c>
      <c r="BM33" s="9" t="s">
        <v>122</v>
      </c>
      <c r="BN33" s="9" t="s">
        <v>122</v>
      </c>
      <c r="BO33" s="9" t="s">
        <v>100</v>
      </c>
      <c r="BP33" s="9" t="s">
        <v>388</v>
      </c>
      <c r="BQ33" s="9" t="s">
        <v>389</v>
      </c>
      <c r="BR33" s="9" t="s">
        <v>390</v>
      </c>
      <c r="BS33" s="9"/>
    </row>
    <row r="34" spans="1:71" x14ac:dyDescent="0.25">
      <c r="A34" s="9" t="s">
        <v>1216</v>
      </c>
      <c r="B34" s="9" t="s">
        <v>1327</v>
      </c>
      <c r="C34" s="9" t="s">
        <v>1328</v>
      </c>
      <c r="D34" s="9" t="s">
        <v>1219</v>
      </c>
      <c r="E34" s="9" t="s">
        <v>1329</v>
      </c>
      <c r="F34" s="9" t="s">
        <v>1330</v>
      </c>
      <c r="G34" s="9" t="s">
        <v>1329</v>
      </c>
      <c r="H34" s="9" t="s">
        <v>1337</v>
      </c>
      <c r="I34" s="9" t="s">
        <v>6</v>
      </c>
      <c r="J34" s="9" t="s">
        <v>1209</v>
      </c>
      <c r="K34" s="9" t="s">
        <v>1209</v>
      </c>
      <c r="L34" s="9" t="s">
        <v>1329</v>
      </c>
      <c r="M34" s="9" t="s">
        <v>367</v>
      </c>
      <c r="N34" s="9" t="s">
        <v>1329</v>
      </c>
      <c r="O34" s="9" t="s">
        <v>1337</v>
      </c>
      <c r="P34" s="9" t="s">
        <v>368</v>
      </c>
      <c r="Q34" s="9" t="s">
        <v>1332</v>
      </c>
      <c r="R34" s="9" t="s">
        <v>369</v>
      </c>
      <c r="S34" s="9" t="s">
        <v>82</v>
      </c>
      <c r="T34" s="9" t="s">
        <v>370</v>
      </c>
      <c r="U34" s="9" t="s">
        <v>371</v>
      </c>
      <c r="V34" s="9" t="s">
        <v>85</v>
      </c>
      <c r="W34" s="9" t="s">
        <v>372</v>
      </c>
      <c r="X34" s="9" t="s">
        <v>1209</v>
      </c>
      <c r="Y34" s="9" t="s">
        <v>1333</v>
      </c>
      <c r="Z34" s="9" t="s">
        <v>1212</v>
      </c>
      <c r="AA34" s="9"/>
      <c r="AB34" s="9" t="s">
        <v>321</v>
      </c>
      <c r="AC34" s="9" t="s">
        <v>88</v>
      </c>
      <c r="AD34" s="9" t="s">
        <v>1213</v>
      </c>
      <c r="AE34" s="9" t="s">
        <v>89</v>
      </c>
      <c r="AF34" s="9" t="s">
        <v>1311</v>
      </c>
      <c r="AG34" s="9" t="s">
        <v>373</v>
      </c>
      <c r="AH34" s="9" t="s">
        <v>374</v>
      </c>
      <c r="AI34" s="9" t="s">
        <v>92</v>
      </c>
      <c r="AJ34" s="9" t="s">
        <v>92</v>
      </c>
      <c r="AK34" s="9" t="s">
        <v>375</v>
      </c>
      <c r="AL34" s="9" t="s">
        <v>92</v>
      </c>
      <c r="AM34" s="9" t="s">
        <v>92</v>
      </c>
      <c r="AN34" s="9" t="s">
        <v>376</v>
      </c>
      <c r="AO34" s="9" t="s">
        <v>377</v>
      </c>
      <c r="AP34" s="9" t="s">
        <v>378</v>
      </c>
      <c r="AQ34" s="9" t="s">
        <v>379</v>
      </c>
      <c r="AR34" s="9" t="s">
        <v>380</v>
      </c>
      <c r="AS34" s="9" t="s">
        <v>100</v>
      </c>
      <c r="AT34" s="9" t="s">
        <v>100</v>
      </c>
      <c r="AU34" s="9" t="s">
        <v>100</v>
      </c>
      <c r="AV34" s="9" t="s">
        <v>381</v>
      </c>
      <c r="AW34" s="9" t="s">
        <v>382</v>
      </c>
      <c r="AX34" s="9" t="s">
        <v>383</v>
      </c>
      <c r="AY34" s="9" t="s">
        <v>104</v>
      </c>
      <c r="AZ34" s="9" t="s">
        <v>104</v>
      </c>
      <c r="BA34" s="9" t="s">
        <v>104</v>
      </c>
      <c r="BB34" s="9" t="s">
        <v>105</v>
      </c>
      <c r="BC34" s="9" t="s">
        <v>105</v>
      </c>
      <c r="BD34" s="9" t="s">
        <v>105</v>
      </c>
      <c r="BE34" s="9" t="s">
        <v>105</v>
      </c>
      <c r="BF34" s="9" t="s">
        <v>105</v>
      </c>
      <c r="BG34" s="9" t="s">
        <v>105</v>
      </c>
      <c r="BH34" s="9" t="s">
        <v>105</v>
      </c>
      <c r="BI34" s="9" t="s">
        <v>105</v>
      </c>
      <c r="BJ34" s="9" t="s">
        <v>105</v>
      </c>
      <c r="BK34" s="9" t="s">
        <v>105</v>
      </c>
      <c r="BL34" s="9" t="s">
        <v>105</v>
      </c>
      <c r="BM34" s="9" t="s">
        <v>100</v>
      </c>
      <c r="BN34" s="9" t="s">
        <v>100</v>
      </c>
      <c r="BO34" s="9" t="s">
        <v>100</v>
      </c>
      <c r="BP34" s="9" t="s">
        <v>378</v>
      </c>
      <c r="BQ34" s="9" t="s">
        <v>379</v>
      </c>
      <c r="BR34" s="9" t="s">
        <v>380</v>
      </c>
      <c r="BS34" s="9"/>
    </row>
    <row r="35" spans="1:71" x14ac:dyDescent="0.25">
      <c r="A35" s="9" t="s">
        <v>1216</v>
      </c>
      <c r="B35" s="9" t="s">
        <v>1327</v>
      </c>
      <c r="C35" s="9" t="s">
        <v>1328</v>
      </c>
      <c r="D35" s="9" t="s">
        <v>1219</v>
      </c>
      <c r="E35" s="9" t="s">
        <v>1329</v>
      </c>
      <c r="F35" s="9" t="s">
        <v>1330</v>
      </c>
      <c r="G35" s="9" t="s">
        <v>1329</v>
      </c>
      <c r="H35" s="9" t="s">
        <v>1338</v>
      </c>
      <c r="I35" s="9" t="s">
        <v>6</v>
      </c>
      <c r="J35" s="9" t="s">
        <v>1209</v>
      </c>
      <c r="K35" s="9" t="s">
        <v>1209</v>
      </c>
      <c r="L35" s="9" t="s">
        <v>1329</v>
      </c>
      <c r="M35" s="9" t="s">
        <v>367</v>
      </c>
      <c r="N35" s="9" t="s">
        <v>1329</v>
      </c>
      <c r="O35" s="9" t="s">
        <v>1338</v>
      </c>
      <c r="P35" s="9" t="s">
        <v>393</v>
      </c>
      <c r="Q35" s="9" t="s">
        <v>1332</v>
      </c>
      <c r="R35" s="9" t="s">
        <v>369</v>
      </c>
      <c r="S35" s="9" t="s">
        <v>82</v>
      </c>
      <c r="T35" s="9" t="s">
        <v>394</v>
      </c>
      <c r="U35" s="9" t="s">
        <v>395</v>
      </c>
      <c r="V35" s="9" t="s">
        <v>85</v>
      </c>
      <c r="W35" s="9" t="s">
        <v>396</v>
      </c>
      <c r="X35" s="9" t="s">
        <v>1209</v>
      </c>
      <c r="Y35" s="9" t="s">
        <v>1333</v>
      </c>
      <c r="Z35" s="9" t="s">
        <v>1212</v>
      </c>
      <c r="AA35" s="9"/>
      <c r="AB35" s="9" t="s">
        <v>321</v>
      </c>
      <c r="AC35" s="9" t="s">
        <v>88</v>
      </c>
      <c r="AD35" s="9" t="s">
        <v>1213</v>
      </c>
      <c r="AE35" s="9" t="s">
        <v>89</v>
      </c>
      <c r="AF35" s="9" t="s">
        <v>1311</v>
      </c>
      <c r="AG35" s="9" t="s">
        <v>373</v>
      </c>
      <c r="AH35" s="9" t="s">
        <v>374</v>
      </c>
      <c r="AI35" s="9" t="s">
        <v>92</v>
      </c>
      <c r="AJ35" s="9" t="s">
        <v>92</v>
      </c>
      <c r="AK35" s="9" t="s">
        <v>375</v>
      </c>
      <c r="AL35" s="9" t="s">
        <v>92</v>
      </c>
      <c r="AM35" s="9" t="s">
        <v>92</v>
      </c>
      <c r="AN35" s="9" t="s">
        <v>376</v>
      </c>
      <c r="AO35" s="9" t="s">
        <v>377</v>
      </c>
      <c r="AP35" s="9" t="s">
        <v>397</v>
      </c>
      <c r="AQ35" s="9" t="s">
        <v>398</v>
      </c>
      <c r="AR35" s="9" t="s">
        <v>399</v>
      </c>
      <c r="AS35" s="9" t="s">
        <v>122</v>
      </c>
      <c r="AT35" s="9" t="s">
        <v>122</v>
      </c>
      <c r="AU35" s="9" t="s">
        <v>100</v>
      </c>
      <c r="AV35" s="9" t="s">
        <v>381</v>
      </c>
      <c r="AW35" s="9" t="s">
        <v>382</v>
      </c>
      <c r="AX35" s="9" t="s">
        <v>383</v>
      </c>
      <c r="AY35" s="9" t="s">
        <v>104</v>
      </c>
      <c r="AZ35" s="9" t="s">
        <v>104</v>
      </c>
      <c r="BA35" s="9" t="s">
        <v>104</v>
      </c>
      <c r="BB35" s="9" t="s">
        <v>105</v>
      </c>
      <c r="BC35" s="9" t="s">
        <v>105</v>
      </c>
      <c r="BD35" s="9" t="s">
        <v>105</v>
      </c>
      <c r="BE35" s="9" t="s">
        <v>105</v>
      </c>
      <c r="BF35" s="9" t="s">
        <v>105</v>
      </c>
      <c r="BG35" s="9" t="s">
        <v>105</v>
      </c>
      <c r="BH35" s="9" t="s">
        <v>105</v>
      </c>
      <c r="BI35" s="9" t="s">
        <v>105</v>
      </c>
      <c r="BJ35" s="9" t="s">
        <v>400</v>
      </c>
      <c r="BK35" s="9" t="s">
        <v>401</v>
      </c>
      <c r="BL35" s="9" t="s">
        <v>105</v>
      </c>
      <c r="BM35" s="9" t="s">
        <v>122</v>
      </c>
      <c r="BN35" s="9" t="s">
        <v>122</v>
      </c>
      <c r="BO35" s="9" t="s">
        <v>100</v>
      </c>
      <c r="BP35" s="9" t="s">
        <v>397</v>
      </c>
      <c r="BQ35" s="9" t="s">
        <v>398</v>
      </c>
      <c r="BR35" s="9" t="s">
        <v>399</v>
      </c>
      <c r="BS35" s="9"/>
    </row>
    <row r="36" spans="1:71" x14ac:dyDescent="0.25">
      <c r="A36" s="9" t="s">
        <v>1216</v>
      </c>
      <c r="B36" s="9" t="s">
        <v>1327</v>
      </c>
      <c r="C36" s="9" t="s">
        <v>1328</v>
      </c>
      <c r="D36" s="9" t="s">
        <v>1219</v>
      </c>
      <c r="E36" s="9" t="s">
        <v>1329</v>
      </c>
      <c r="F36" s="9" t="s">
        <v>1330</v>
      </c>
      <c r="G36" s="9" t="s">
        <v>1329</v>
      </c>
      <c r="H36" s="9" t="s">
        <v>1339</v>
      </c>
      <c r="I36" s="9" t="s">
        <v>6</v>
      </c>
      <c r="J36" s="9" t="s">
        <v>1209</v>
      </c>
      <c r="K36" s="9" t="s">
        <v>1209</v>
      </c>
      <c r="L36" s="9" t="s">
        <v>1329</v>
      </c>
      <c r="M36" s="9" t="s">
        <v>367</v>
      </c>
      <c r="N36" s="9" t="s">
        <v>1329</v>
      </c>
      <c r="O36" s="9" t="s">
        <v>1339</v>
      </c>
      <c r="P36" s="9" t="s">
        <v>92</v>
      </c>
      <c r="Q36" s="9" t="s">
        <v>1332</v>
      </c>
      <c r="R36" s="9" t="s">
        <v>369</v>
      </c>
      <c r="S36" s="9" t="s">
        <v>82</v>
      </c>
      <c r="T36" s="9" t="s">
        <v>108</v>
      </c>
      <c r="U36" s="9" t="s">
        <v>108</v>
      </c>
      <c r="V36" s="9" t="s">
        <v>85</v>
      </c>
      <c r="W36" s="9" t="s">
        <v>109</v>
      </c>
      <c r="X36" s="9" t="s">
        <v>1209</v>
      </c>
      <c r="Y36" s="9" t="s">
        <v>1333</v>
      </c>
      <c r="Z36" s="9" t="s">
        <v>1212</v>
      </c>
      <c r="AA36" s="9"/>
      <c r="AB36" s="9" t="s">
        <v>321</v>
      </c>
      <c r="AC36" s="9" t="s">
        <v>88</v>
      </c>
      <c r="AD36" s="9" t="s">
        <v>1213</v>
      </c>
      <c r="AE36" s="9" t="s">
        <v>89</v>
      </c>
      <c r="AF36" s="9" t="s">
        <v>1311</v>
      </c>
      <c r="AG36" s="9" t="s">
        <v>373</v>
      </c>
      <c r="AH36" s="9" t="s">
        <v>374</v>
      </c>
      <c r="AI36" s="9" t="s">
        <v>92</v>
      </c>
      <c r="AJ36" s="9" t="s">
        <v>92</v>
      </c>
      <c r="AK36" s="9" t="s">
        <v>375</v>
      </c>
      <c r="AL36" s="9" t="s">
        <v>92</v>
      </c>
      <c r="AM36" s="9" t="s">
        <v>92</v>
      </c>
      <c r="AN36" s="9" t="s">
        <v>376</v>
      </c>
      <c r="AO36" s="9" t="s">
        <v>377</v>
      </c>
      <c r="AP36" s="9" t="s">
        <v>110</v>
      </c>
      <c r="AQ36" s="9" t="s">
        <v>110</v>
      </c>
      <c r="AR36" s="9" t="s">
        <v>110</v>
      </c>
      <c r="AS36" s="9" t="s">
        <v>100</v>
      </c>
      <c r="AT36" s="9" t="s">
        <v>100</v>
      </c>
      <c r="AU36" s="9" t="s">
        <v>100</v>
      </c>
      <c r="AV36" s="9" t="s">
        <v>381</v>
      </c>
      <c r="AW36" s="9" t="s">
        <v>382</v>
      </c>
      <c r="AX36" s="9" t="s">
        <v>383</v>
      </c>
      <c r="AY36" s="9" t="s">
        <v>104</v>
      </c>
      <c r="AZ36" s="9" t="s">
        <v>104</v>
      </c>
      <c r="BA36" s="9" t="s">
        <v>104</v>
      </c>
      <c r="BB36" s="9" t="s">
        <v>105</v>
      </c>
      <c r="BC36" s="9" t="s">
        <v>105</v>
      </c>
      <c r="BD36" s="9" t="s">
        <v>105</v>
      </c>
      <c r="BE36" s="9" t="s">
        <v>105</v>
      </c>
      <c r="BF36" s="9" t="s">
        <v>105</v>
      </c>
      <c r="BG36" s="9" t="s">
        <v>105</v>
      </c>
      <c r="BH36" s="9" t="s">
        <v>105</v>
      </c>
      <c r="BI36" s="9" t="s">
        <v>105</v>
      </c>
      <c r="BJ36" s="9" t="s">
        <v>105</v>
      </c>
      <c r="BK36" s="9" t="s">
        <v>105</v>
      </c>
      <c r="BL36" s="9" t="s">
        <v>105</v>
      </c>
      <c r="BM36" s="9" t="s">
        <v>100</v>
      </c>
      <c r="BN36" s="9" t="s">
        <v>100</v>
      </c>
      <c r="BO36" s="9" t="s">
        <v>100</v>
      </c>
      <c r="BP36" s="9" t="s">
        <v>110</v>
      </c>
      <c r="BQ36" s="9" t="s">
        <v>110</v>
      </c>
      <c r="BR36" s="9" t="s">
        <v>110</v>
      </c>
      <c r="BS36" s="9"/>
    </row>
    <row r="37" spans="1:71" x14ac:dyDescent="0.25">
      <c r="A37" s="9" t="s">
        <v>1216</v>
      </c>
      <c r="B37" s="9" t="s">
        <v>1327</v>
      </c>
      <c r="C37" s="9" t="s">
        <v>1328</v>
      </c>
      <c r="D37" s="9" t="s">
        <v>1219</v>
      </c>
      <c r="E37" s="9" t="s">
        <v>1329</v>
      </c>
      <c r="F37" s="9" t="s">
        <v>1330</v>
      </c>
      <c r="G37" s="9" t="s">
        <v>1329</v>
      </c>
      <c r="H37" s="9" t="s">
        <v>1340</v>
      </c>
      <c r="I37" s="9" t="s">
        <v>6</v>
      </c>
      <c r="J37" s="9" t="s">
        <v>1209</v>
      </c>
      <c r="K37" s="9" t="s">
        <v>1209</v>
      </c>
      <c r="L37" s="9" t="s">
        <v>1329</v>
      </c>
      <c r="M37" s="9" t="s">
        <v>367</v>
      </c>
      <c r="N37" s="9" t="s">
        <v>1329</v>
      </c>
      <c r="O37" s="9" t="s">
        <v>1340</v>
      </c>
      <c r="P37" s="9" t="s">
        <v>92</v>
      </c>
      <c r="Q37" s="9" t="s">
        <v>1332</v>
      </c>
      <c r="R37" s="9" t="s">
        <v>369</v>
      </c>
      <c r="S37" s="9" t="s">
        <v>82</v>
      </c>
      <c r="T37" s="9" t="s">
        <v>108</v>
      </c>
      <c r="U37" s="9" t="s">
        <v>108</v>
      </c>
      <c r="V37" s="9" t="s">
        <v>85</v>
      </c>
      <c r="W37" s="9" t="s">
        <v>109</v>
      </c>
      <c r="X37" s="9" t="s">
        <v>1209</v>
      </c>
      <c r="Y37" s="9" t="s">
        <v>1333</v>
      </c>
      <c r="Z37" s="9" t="s">
        <v>1212</v>
      </c>
      <c r="AA37" s="9"/>
      <c r="AB37" s="9" t="s">
        <v>321</v>
      </c>
      <c r="AC37" s="9" t="s">
        <v>88</v>
      </c>
      <c r="AD37" s="9" t="s">
        <v>1213</v>
      </c>
      <c r="AE37" s="9" t="s">
        <v>89</v>
      </c>
      <c r="AF37" s="9" t="s">
        <v>1311</v>
      </c>
      <c r="AG37" s="9" t="s">
        <v>373</v>
      </c>
      <c r="AH37" s="9" t="s">
        <v>374</v>
      </c>
      <c r="AI37" s="9" t="s">
        <v>92</v>
      </c>
      <c r="AJ37" s="9" t="s">
        <v>92</v>
      </c>
      <c r="AK37" s="9" t="s">
        <v>375</v>
      </c>
      <c r="AL37" s="9" t="s">
        <v>92</v>
      </c>
      <c r="AM37" s="9" t="s">
        <v>92</v>
      </c>
      <c r="AN37" s="9" t="s">
        <v>376</v>
      </c>
      <c r="AO37" s="9" t="s">
        <v>377</v>
      </c>
      <c r="AP37" s="9" t="s">
        <v>110</v>
      </c>
      <c r="AQ37" s="9" t="s">
        <v>110</v>
      </c>
      <c r="AR37" s="9" t="s">
        <v>110</v>
      </c>
      <c r="AS37" s="9" t="s">
        <v>100</v>
      </c>
      <c r="AT37" s="9" t="s">
        <v>100</v>
      </c>
      <c r="AU37" s="9" t="s">
        <v>100</v>
      </c>
      <c r="AV37" s="9" t="s">
        <v>381</v>
      </c>
      <c r="AW37" s="9" t="s">
        <v>382</v>
      </c>
      <c r="AX37" s="9" t="s">
        <v>383</v>
      </c>
      <c r="AY37" s="9" t="s">
        <v>104</v>
      </c>
      <c r="AZ37" s="9" t="s">
        <v>104</v>
      </c>
      <c r="BA37" s="9" t="s">
        <v>104</v>
      </c>
      <c r="BB37" s="9" t="s">
        <v>105</v>
      </c>
      <c r="BC37" s="9" t="s">
        <v>105</v>
      </c>
      <c r="BD37" s="9" t="s">
        <v>105</v>
      </c>
      <c r="BE37" s="9" t="s">
        <v>105</v>
      </c>
      <c r="BF37" s="9" t="s">
        <v>105</v>
      </c>
      <c r="BG37" s="9" t="s">
        <v>105</v>
      </c>
      <c r="BH37" s="9" t="s">
        <v>105</v>
      </c>
      <c r="BI37" s="9" t="s">
        <v>105</v>
      </c>
      <c r="BJ37" s="9" t="s">
        <v>105</v>
      </c>
      <c r="BK37" s="9" t="s">
        <v>105</v>
      </c>
      <c r="BL37" s="9" t="s">
        <v>105</v>
      </c>
      <c r="BM37" s="9" t="s">
        <v>100</v>
      </c>
      <c r="BN37" s="9" t="s">
        <v>100</v>
      </c>
      <c r="BO37" s="9" t="s">
        <v>100</v>
      </c>
      <c r="BP37" s="9" t="s">
        <v>110</v>
      </c>
      <c r="BQ37" s="9" t="s">
        <v>110</v>
      </c>
      <c r="BR37" s="9" t="s">
        <v>110</v>
      </c>
      <c r="BS37" s="9"/>
    </row>
    <row r="38" spans="1:71" x14ac:dyDescent="0.25">
      <c r="A38" s="9" t="s">
        <v>1216</v>
      </c>
      <c r="B38" s="9" t="s">
        <v>1217</v>
      </c>
      <c r="C38" s="9" t="s">
        <v>1341</v>
      </c>
      <c r="D38" s="9" t="s">
        <v>1219</v>
      </c>
      <c r="E38" s="9" t="s">
        <v>1342</v>
      </c>
      <c r="F38" s="9" t="s">
        <v>1343</v>
      </c>
      <c r="G38" s="9" t="s">
        <v>1342</v>
      </c>
      <c r="H38" s="9" t="s">
        <v>1344</v>
      </c>
      <c r="I38" s="9" t="s">
        <v>6</v>
      </c>
      <c r="J38" s="9" t="s">
        <v>1209</v>
      </c>
      <c r="K38" s="9" t="s">
        <v>1209</v>
      </c>
      <c r="L38" s="9" t="s">
        <v>1342</v>
      </c>
      <c r="M38" s="9" t="s">
        <v>402</v>
      </c>
      <c r="N38" s="9" t="s">
        <v>1342</v>
      </c>
      <c r="O38" s="9" t="s">
        <v>1344</v>
      </c>
      <c r="P38" s="9" t="s">
        <v>403</v>
      </c>
      <c r="Q38" s="9" t="s">
        <v>1209</v>
      </c>
      <c r="R38" s="9" t="s">
        <v>403</v>
      </c>
      <c r="S38" s="9" t="s">
        <v>82</v>
      </c>
      <c r="T38" s="9" t="s">
        <v>83</v>
      </c>
      <c r="U38" s="9" t="s">
        <v>404</v>
      </c>
      <c r="V38" s="9" t="s">
        <v>85</v>
      </c>
      <c r="W38" s="9" t="s">
        <v>405</v>
      </c>
      <c r="X38" s="9" t="s">
        <v>1209</v>
      </c>
      <c r="Y38" s="9" t="s">
        <v>1345</v>
      </c>
      <c r="Z38" s="9" t="s">
        <v>1212</v>
      </c>
      <c r="AA38" s="9" t="s">
        <v>133</v>
      </c>
      <c r="AB38" s="9" t="s">
        <v>406</v>
      </c>
      <c r="AC38" s="9" t="s">
        <v>88</v>
      </c>
      <c r="AD38" s="9" t="s">
        <v>1213</v>
      </c>
      <c r="AE38" s="9" t="s">
        <v>89</v>
      </c>
      <c r="AF38" s="9" t="s">
        <v>1346</v>
      </c>
      <c r="AG38" s="9" t="s">
        <v>407</v>
      </c>
      <c r="AH38" s="9" t="s">
        <v>408</v>
      </c>
      <c r="AI38" s="9" t="s">
        <v>92</v>
      </c>
      <c r="AJ38" s="9" t="s">
        <v>92</v>
      </c>
      <c r="AK38" s="9" t="s">
        <v>409</v>
      </c>
      <c r="AL38" s="9" t="s">
        <v>92</v>
      </c>
      <c r="AM38" s="9" t="s">
        <v>92</v>
      </c>
      <c r="AN38" s="9" t="s">
        <v>410</v>
      </c>
      <c r="AO38" s="9" t="s">
        <v>411</v>
      </c>
      <c r="AP38" s="9" t="s">
        <v>105</v>
      </c>
      <c r="AQ38" s="9" t="s">
        <v>105</v>
      </c>
      <c r="AR38" s="9" t="s">
        <v>412</v>
      </c>
      <c r="AS38" s="9" t="s">
        <v>122</v>
      </c>
      <c r="AT38" s="9" t="s">
        <v>122</v>
      </c>
      <c r="AU38" s="9" t="s">
        <v>100</v>
      </c>
      <c r="AV38" s="9" t="s">
        <v>413</v>
      </c>
      <c r="AW38" s="9" t="s">
        <v>414</v>
      </c>
      <c r="AX38" s="9" t="s">
        <v>415</v>
      </c>
      <c r="AY38" s="9" t="s">
        <v>126</v>
      </c>
      <c r="AZ38" s="9" t="s">
        <v>126</v>
      </c>
      <c r="BA38" s="9" t="s">
        <v>126</v>
      </c>
      <c r="BB38" s="9" t="s">
        <v>105</v>
      </c>
      <c r="BC38" s="9" t="s">
        <v>105</v>
      </c>
      <c r="BD38" s="9" t="s">
        <v>105</v>
      </c>
      <c r="BE38" s="9" t="s">
        <v>105</v>
      </c>
      <c r="BF38" s="9" t="s">
        <v>105</v>
      </c>
      <c r="BG38" s="9" t="s">
        <v>105</v>
      </c>
      <c r="BH38" s="9" t="s">
        <v>105</v>
      </c>
      <c r="BI38" s="9" t="s">
        <v>105</v>
      </c>
      <c r="BJ38" s="9" t="s">
        <v>416</v>
      </c>
      <c r="BK38" s="9" t="s">
        <v>417</v>
      </c>
      <c r="BL38" s="9" t="s">
        <v>105</v>
      </c>
      <c r="BM38" s="9" t="s">
        <v>122</v>
      </c>
      <c r="BN38" s="9" t="s">
        <v>122</v>
      </c>
      <c r="BO38" s="9" t="s">
        <v>100</v>
      </c>
      <c r="BP38" s="9" t="s">
        <v>105</v>
      </c>
      <c r="BQ38" s="9" t="s">
        <v>105</v>
      </c>
      <c r="BR38" s="9" t="s">
        <v>412</v>
      </c>
      <c r="BS38" s="9"/>
    </row>
    <row r="39" spans="1:71" x14ac:dyDescent="0.25">
      <c r="A39" s="9" t="s">
        <v>1202</v>
      </c>
      <c r="B39" s="9" t="s">
        <v>1203</v>
      </c>
      <c r="C39" s="9" t="s">
        <v>1347</v>
      </c>
      <c r="D39" s="9" t="s">
        <v>1348</v>
      </c>
      <c r="E39" s="9" t="s">
        <v>1349</v>
      </c>
      <c r="F39" s="9" t="s">
        <v>1350</v>
      </c>
      <c r="G39" s="9" t="s">
        <v>1349</v>
      </c>
      <c r="H39" s="9" t="s">
        <v>1351</v>
      </c>
      <c r="I39" s="9" t="s">
        <v>6</v>
      </c>
      <c r="J39" s="9" t="s">
        <v>1209</v>
      </c>
      <c r="K39" s="9" t="s">
        <v>1209</v>
      </c>
      <c r="L39" s="9" t="s">
        <v>1349</v>
      </c>
      <c r="M39" s="9" t="s">
        <v>418</v>
      </c>
      <c r="N39" s="9" t="s">
        <v>1349</v>
      </c>
      <c r="O39" s="9" t="s">
        <v>1351</v>
      </c>
      <c r="P39" s="9" t="s">
        <v>92</v>
      </c>
      <c r="Q39" s="9" t="s">
        <v>1210</v>
      </c>
      <c r="R39" s="9" t="s">
        <v>419</v>
      </c>
      <c r="S39" s="9" t="s">
        <v>82</v>
      </c>
      <c r="T39" s="9" t="s">
        <v>108</v>
      </c>
      <c r="U39" s="9" t="s">
        <v>108</v>
      </c>
      <c r="V39" s="9" t="s">
        <v>85</v>
      </c>
      <c r="W39" s="9" t="s">
        <v>109</v>
      </c>
      <c r="X39" s="9" t="s">
        <v>1209</v>
      </c>
      <c r="Y39" s="9" t="s">
        <v>1352</v>
      </c>
      <c r="Z39" s="9" t="s">
        <v>1298</v>
      </c>
      <c r="AA39" s="9"/>
      <c r="AB39" s="9" t="s">
        <v>420</v>
      </c>
      <c r="AC39" s="9" t="s">
        <v>88</v>
      </c>
      <c r="AD39" s="9" t="s">
        <v>1213</v>
      </c>
      <c r="AE39" s="9" t="s">
        <v>89</v>
      </c>
      <c r="AF39" s="9" t="s">
        <v>1353</v>
      </c>
      <c r="AG39" s="9" t="s">
        <v>421</v>
      </c>
      <c r="AH39" s="9" t="s">
        <v>422</v>
      </c>
      <c r="AI39" s="9" t="s">
        <v>92</v>
      </c>
      <c r="AJ39" s="9" t="s">
        <v>92</v>
      </c>
      <c r="AK39" s="9" t="s">
        <v>92</v>
      </c>
      <c r="AL39" s="9" t="s">
        <v>92</v>
      </c>
      <c r="AM39" s="9" t="s">
        <v>92</v>
      </c>
      <c r="AN39" s="9" t="s">
        <v>423</v>
      </c>
      <c r="AO39" s="9" t="s">
        <v>424</v>
      </c>
      <c r="AP39" s="9" t="s">
        <v>110</v>
      </c>
      <c r="AQ39" s="9" t="s">
        <v>110</v>
      </c>
      <c r="AR39" s="9" t="s">
        <v>110</v>
      </c>
      <c r="AS39" s="9" t="s">
        <v>99</v>
      </c>
      <c r="AT39" s="9" t="s">
        <v>99</v>
      </c>
      <c r="AU39" s="9" t="s">
        <v>100</v>
      </c>
      <c r="AV39" s="9" t="s">
        <v>425</v>
      </c>
      <c r="AW39" s="9" t="s">
        <v>426</v>
      </c>
      <c r="AX39" s="9" t="s">
        <v>427</v>
      </c>
      <c r="AY39" s="9" t="s">
        <v>104</v>
      </c>
      <c r="AZ39" s="9" t="s">
        <v>104</v>
      </c>
      <c r="BA39" s="9" t="s">
        <v>104</v>
      </c>
      <c r="BB39" s="9" t="s">
        <v>105</v>
      </c>
      <c r="BC39" s="9" t="s">
        <v>105</v>
      </c>
      <c r="BD39" s="9" t="s">
        <v>105</v>
      </c>
      <c r="BE39" s="9" t="s">
        <v>105</v>
      </c>
      <c r="BF39" s="9" t="s">
        <v>105</v>
      </c>
      <c r="BG39" s="9" t="s">
        <v>105</v>
      </c>
      <c r="BH39" s="9" t="s">
        <v>105</v>
      </c>
      <c r="BI39" s="9" t="s">
        <v>105</v>
      </c>
      <c r="BJ39" s="9" t="s">
        <v>106</v>
      </c>
      <c r="BK39" s="9" t="s">
        <v>107</v>
      </c>
      <c r="BL39" s="9" t="s">
        <v>105</v>
      </c>
      <c r="BM39" s="9" t="s">
        <v>99</v>
      </c>
      <c r="BN39" s="9" t="s">
        <v>99</v>
      </c>
      <c r="BO39" s="9" t="s">
        <v>100</v>
      </c>
      <c r="BP39" s="9" t="s">
        <v>110</v>
      </c>
      <c r="BQ39" s="9" t="s">
        <v>110</v>
      </c>
      <c r="BR39" s="9" t="s">
        <v>110</v>
      </c>
      <c r="BS39" s="9"/>
    </row>
    <row r="40" spans="1:71" x14ac:dyDescent="0.25">
      <c r="A40" s="9" t="s">
        <v>1202</v>
      </c>
      <c r="B40" s="9" t="s">
        <v>1203</v>
      </c>
      <c r="C40" s="9" t="s">
        <v>1347</v>
      </c>
      <c r="D40" s="9" t="s">
        <v>1348</v>
      </c>
      <c r="E40" s="9" t="s">
        <v>1349</v>
      </c>
      <c r="F40" s="9" t="s">
        <v>1350</v>
      </c>
      <c r="G40" s="9" t="s">
        <v>1349</v>
      </c>
      <c r="H40" s="9" t="s">
        <v>1354</v>
      </c>
      <c r="I40" s="9" t="s">
        <v>6</v>
      </c>
      <c r="J40" s="9" t="s">
        <v>1209</v>
      </c>
      <c r="K40" s="9" t="s">
        <v>1209</v>
      </c>
      <c r="L40" s="9" t="s">
        <v>1349</v>
      </c>
      <c r="M40" s="9" t="s">
        <v>418</v>
      </c>
      <c r="N40" s="9" t="s">
        <v>1349</v>
      </c>
      <c r="O40" s="9" t="s">
        <v>1354</v>
      </c>
      <c r="P40" s="9" t="s">
        <v>419</v>
      </c>
      <c r="Q40" s="9" t="s">
        <v>1210</v>
      </c>
      <c r="R40" s="9" t="s">
        <v>419</v>
      </c>
      <c r="S40" s="9" t="s">
        <v>82</v>
      </c>
      <c r="T40" s="9" t="s">
        <v>83</v>
      </c>
      <c r="U40" s="9" t="s">
        <v>428</v>
      </c>
      <c r="V40" s="9" t="s">
        <v>85</v>
      </c>
      <c r="W40" s="9" t="s">
        <v>429</v>
      </c>
      <c r="X40" s="9" t="s">
        <v>1209</v>
      </c>
      <c r="Y40" s="9" t="s">
        <v>1352</v>
      </c>
      <c r="Z40" s="9" t="s">
        <v>1298</v>
      </c>
      <c r="AA40" s="9"/>
      <c r="AB40" s="9" t="s">
        <v>420</v>
      </c>
      <c r="AC40" s="9" t="s">
        <v>88</v>
      </c>
      <c r="AD40" s="9" t="s">
        <v>1213</v>
      </c>
      <c r="AE40" s="9" t="s">
        <v>89</v>
      </c>
      <c r="AF40" s="9" t="s">
        <v>1353</v>
      </c>
      <c r="AG40" s="9" t="s">
        <v>421</v>
      </c>
      <c r="AH40" s="9" t="s">
        <v>422</v>
      </c>
      <c r="AI40" s="9" t="s">
        <v>92</v>
      </c>
      <c r="AJ40" s="9" t="s">
        <v>92</v>
      </c>
      <c r="AK40" s="9" t="s">
        <v>92</v>
      </c>
      <c r="AL40" s="9" t="s">
        <v>92</v>
      </c>
      <c r="AM40" s="9" t="s">
        <v>92</v>
      </c>
      <c r="AN40" s="9" t="s">
        <v>423</v>
      </c>
      <c r="AO40" s="9" t="s">
        <v>424</v>
      </c>
      <c r="AP40" s="9" t="s">
        <v>430</v>
      </c>
      <c r="AQ40" s="9" t="s">
        <v>431</v>
      </c>
      <c r="AR40" s="9" t="s">
        <v>432</v>
      </c>
      <c r="AS40" s="9" t="s">
        <v>99</v>
      </c>
      <c r="AT40" s="9" t="s">
        <v>99</v>
      </c>
      <c r="AU40" s="9" t="s">
        <v>100</v>
      </c>
      <c r="AV40" s="9" t="s">
        <v>425</v>
      </c>
      <c r="AW40" s="9" t="s">
        <v>426</v>
      </c>
      <c r="AX40" s="9" t="s">
        <v>427</v>
      </c>
      <c r="AY40" s="9" t="s">
        <v>104</v>
      </c>
      <c r="AZ40" s="9" t="s">
        <v>104</v>
      </c>
      <c r="BA40" s="9" t="s">
        <v>104</v>
      </c>
      <c r="BB40" s="9" t="s">
        <v>105</v>
      </c>
      <c r="BC40" s="9" t="s">
        <v>105</v>
      </c>
      <c r="BD40" s="9" t="s">
        <v>105</v>
      </c>
      <c r="BE40" s="9" t="s">
        <v>105</v>
      </c>
      <c r="BF40" s="9" t="s">
        <v>105</v>
      </c>
      <c r="BG40" s="9" t="s">
        <v>105</v>
      </c>
      <c r="BH40" s="9" t="s">
        <v>105</v>
      </c>
      <c r="BI40" s="9" t="s">
        <v>105</v>
      </c>
      <c r="BJ40" s="9" t="s">
        <v>106</v>
      </c>
      <c r="BK40" s="9" t="s">
        <v>107</v>
      </c>
      <c r="BL40" s="9" t="s">
        <v>105</v>
      </c>
      <c r="BM40" s="9" t="s">
        <v>99</v>
      </c>
      <c r="BN40" s="9" t="s">
        <v>99</v>
      </c>
      <c r="BO40" s="9" t="s">
        <v>100</v>
      </c>
      <c r="BP40" s="9" t="s">
        <v>430</v>
      </c>
      <c r="BQ40" s="9" t="s">
        <v>431</v>
      </c>
      <c r="BR40" s="9" t="s">
        <v>432</v>
      </c>
      <c r="BS40" s="9"/>
    </row>
    <row r="41" spans="1:71" x14ac:dyDescent="0.25">
      <c r="A41" s="9" t="s">
        <v>1216</v>
      </c>
      <c r="B41" s="9" t="s">
        <v>1217</v>
      </c>
      <c r="C41" s="9" t="s">
        <v>1355</v>
      </c>
      <c r="D41" s="9" t="s">
        <v>1219</v>
      </c>
      <c r="E41" s="9" t="s">
        <v>1356</v>
      </c>
      <c r="F41" s="9" t="s">
        <v>1357</v>
      </c>
      <c r="G41" s="9" t="s">
        <v>1356</v>
      </c>
      <c r="H41" s="9" t="s">
        <v>1358</v>
      </c>
      <c r="I41" s="9" t="s">
        <v>6</v>
      </c>
      <c r="J41" s="9" t="s">
        <v>1209</v>
      </c>
      <c r="K41" s="9" t="s">
        <v>1209</v>
      </c>
      <c r="L41" s="9" t="s">
        <v>1356</v>
      </c>
      <c r="M41" s="9" t="s">
        <v>433</v>
      </c>
      <c r="N41" s="9" t="s">
        <v>1356</v>
      </c>
      <c r="O41" s="9" t="s">
        <v>1358</v>
      </c>
      <c r="P41" s="9" t="s">
        <v>434</v>
      </c>
      <c r="Q41" s="9" t="s">
        <v>1209</v>
      </c>
      <c r="R41" s="9" t="s">
        <v>434</v>
      </c>
      <c r="S41" s="9" t="s">
        <v>82</v>
      </c>
      <c r="T41" s="9" t="s">
        <v>83</v>
      </c>
      <c r="U41" s="9" t="s">
        <v>435</v>
      </c>
      <c r="V41" s="9" t="s">
        <v>85</v>
      </c>
      <c r="W41" s="9" t="s">
        <v>436</v>
      </c>
      <c r="X41" s="9" t="s">
        <v>1209</v>
      </c>
      <c r="Y41" s="9" t="s">
        <v>1359</v>
      </c>
      <c r="Z41" s="9" t="s">
        <v>1212</v>
      </c>
      <c r="AA41" s="9" t="s">
        <v>133</v>
      </c>
      <c r="AB41" s="9" t="s">
        <v>202</v>
      </c>
      <c r="AC41" s="9" t="s">
        <v>88</v>
      </c>
      <c r="AD41" s="9" t="s">
        <v>1213</v>
      </c>
      <c r="AE41" s="9" t="s">
        <v>89</v>
      </c>
      <c r="AF41" s="9" t="s">
        <v>1262</v>
      </c>
      <c r="AG41" s="9" t="s">
        <v>437</v>
      </c>
      <c r="AH41" s="9" t="s">
        <v>438</v>
      </c>
      <c r="AI41" s="9" t="s">
        <v>92</v>
      </c>
      <c r="AJ41" s="9" t="s">
        <v>92</v>
      </c>
      <c r="AK41" s="9" t="s">
        <v>439</v>
      </c>
      <c r="AL41" s="9" t="s">
        <v>92</v>
      </c>
      <c r="AM41" s="9" t="s">
        <v>92</v>
      </c>
      <c r="AN41" s="9" t="s">
        <v>440</v>
      </c>
      <c r="AO41" s="9" t="s">
        <v>441</v>
      </c>
      <c r="AP41" s="9" t="s">
        <v>105</v>
      </c>
      <c r="AQ41" s="9" t="s">
        <v>105</v>
      </c>
      <c r="AR41" s="9" t="s">
        <v>442</v>
      </c>
      <c r="AS41" s="9" t="s">
        <v>122</v>
      </c>
      <c r="AT41" s="9" t="s">
        <v>122</v>
      </c>
      <c r="AU41" s="9" t="s">
        <v>100</v>
      </c>
      <c r="AV41" s="9" t="s">
        <v>443</v>
      </c>
      <c r="AW41" s="9" t="s">
        <v>444</v>
      </c>
      <c r="AX41" s="9" t="s">
        <v>445</v>
      </c>
      <c r="AY41" s="9" t="s">
        <v>446</v>
      </c>
      <c r="AZ41" s="9" t="s">
        <v>446</v>
      </c>
      <c r="BA41" s="9" t="s">
        <v>446</v>
      </c>
      <c r="BB41" s="9" t="s">
        <v>447</v>
      </c>
      <c r="BC41" s="9" t="s">
        <v>448</v>
      </c>
      <c r="BD41" s="9" t="s">
        <v>105</v>
      </c>
      <c r="BE41" s="9" t="s">
        <v>105</v>
      </c>
      <c r="BF41" s="9" t="s">
        <v>105</v>
      </c>
      <c r="BG41" s="9" t="s">
        <v>105</v>
      </c>
      <c r="BH41" s="9" t="s">
        <v>105</v>
      </c>
      <c r="BI41" s="9" t="s">
        <v>105</v>
      </c>
      <c r="BJ41" s="9" t="s">
        <v>449</v>
      </c>
      <c r="BK41" s="9" t="s">
        <v>450</v>
      </c>
      <c r="BL41" s="9" t="s">
        <v>105</v>
      </c>
      <c r="BM41" s="9" t="s">
        <v>122</v>
      </c>
      <c r="BN41" s="9" t="s">
        <v>122</v>
      </c>
      <c r="BO41" s="9" t="s">
        <v>100</v>
      </c>
      <c r="BP41" s="9" t="s">
        <v>105</v>
      </c>
      <c r="BQ41" s="9" t="s">
        <v>105</v>
      </c>
      <c r="BR41" s="9" t="s">
        <v>442</v>
      </c>
      <c r="BS41" s="9"/>
    </row>
    <row r="42" spans="1:71" x14ac:dyDescent="0.25">
      <c r="A42" s="9" t="s">
        <v>1216</v>
      </c>
      <c r="B42" s="9" t="s">
        <v>1217</v>
      </c>
      <c r="C42" s="9" t="s">
        <v>1360</v>
      </c>
      <c r="D42" s="9" t="s">
        <v>1219</v>
      </c>
      <c r="E42" s="9" t="s">
        <v>1361</v>
      </c>
      <c r="F42" s="9" t="s">
        <v>1362</v>
      </c>
      <c r="G42" s="9" t="s">
        <v>1361</v>
      </c>
      <c r="H42" s="9" t="s">
        <v>1363</v>
      </c>
      <c r="I42" s="9" t="s">
        <v>6</v>
      </c>
      <c r="J42" s="9" t="s">
        <v>1209</v>
      </c>
      <c r="K42" s="9" t="s">
        <v>1209</v>
      </c>
      <c r="L42" s="9" t="s">
        <v>1361</v>
      </c>
      <c r="M42" s="9" t="s">
        <v>451</v>
      </c>
      <c r="N42" s="9" t="s">
        <v>1361</v>
      </c>
      <c r="O42" s="9" t="s">
        <v>1363</v>
      </c>
      <c r="P42" s="9" t="s">
        <v>452</v>
      </c>
      <c r="Q42" s="9" t="s">
        <v>1209</v>
      </c>
      <c r="R42" s="9" t="s">
        <v>452</v>
      </c>
      <c r="S42" s="9" t="s">
        <v>82</v>
      </c>
      <c r="T42" s="9" t="s">
        <v>83</v>
      </c>
      <c r="U42" s="9" t="s">
        <v>453</v>
      </c>
      <c r="V42" s="9" t="s">
        <v>85</v>
      </c>
      <c r="W42" s="9" t="s">
        <v>454</v>
      </c>
      <c r="X42" s="9" t="s">
        <v>1209</v>
      </c>
      <c r="Y42" s="9" t="s">
        <v>1364</v>
      </c>
      <c r="Z42" s="9" t="s">
        <v>1212</v>
      </c>
      <c r="AA42" s="9" t="s">
        <v>133</v>
      </c>
      <c r="AB42" s="9" t="s">
        <v>455</v>
      </c>
      <c r="AC42" s="9" t="s">
        <v>88</v>
      </c>
      <c r="AD42" s="9" t="s">
        <v>1213</v>
      </c>
      <c r="AE42" s="9" t="s">
        <v>89</v>
      </c>
      <c r="AF42" s="9" t="s">
        <v>1365</v>
      </c>
      <c r="AG42" s="9" t="s">
        <v>456</v>
      </c>
      <c r="AH42" s="9" t="s">
        <v>457</v>
      </c>
      <c r="AI42" s="9" t="s">
        <v>92</v>
      </c>
      <c r="AJ42" s="9" t="s">
        <v>92</v>
      </c>
      <c r="AK42" s="9" t="s">
        <v>458</v>
      </c>
      <c r="AL42" s="9" t="s">
        <v>92</v>
      </c>
      <c r="AM42" s="9" t="s">
        <v>92</v>
      </c>
      <c r="AN42" s="9" t="s">
        <v>459</v>
      </c>
      <c r="AO42" s="9" t="s">
        <v>460</v>
      </c>
      <c r="AP42" s="9" t="s">
        <v>105</v>
      </c>
      <c r="AQ42" s="9" t="s">
        <v>105</v>
      </c>
      <c r="AR42" s="9" t="s">
        <v>461</v>
      </c>
      <c r="AS42" s="9" t="s">
        <v>122</v>
      </c>
      <c r="AT42" s="9" t="s">
        <v>122</v>
      </c>
      <c r="AU42" s="9" t="s">
        <v>100</v>
      </c>
      <c r="AV42" s="9" t="s">
        <v>462</v>
      </c>
      <c r="AW42" s="9" t="s">
        <v>463</v>
      </c>
      <c r="AX42" s="9" t="s">
        <v>464</v>
      </c>
      <c r="AY42" s="9" t="s">
        <v>126</v>
      </c>
      <c r="AZ42" s="9" t="s">
        <v>126</v>
      </c>
      <c r="BA42" s="9" t="s">
        <v>126</v>
      </c>
      <c r="BB42" s="9" t="s">
        <v>105</v>
      </c>
      <c r="BC42" s="9" t="s">
        <v>105</v>
      </c>
      <c r="BD42" s="9" t="s">
        <v>105</v>
      </c>
      <c r="BE42" s="9" t="s">
        <v>105</v>
      </c>
      <c r="BF42" s="9" t="s">
        <v>105</v>
      </c>
      <c r="BG42" s="9" t="s">
        <v>105</v>
      </c>
      <c r="BH42" s="9" t="s">
        <v>105</v>
      </c>
      <c r="BI42" s="9" t="s">
        <v>105</v>
      </c>
      <c r="BJ42" s="9" t="s">
        <v>465</v>
      </c>
      <c r="BK42" s="9" t="s">
        <v>466</v>
      </c>
      <c r="BL42" s="9" t="s">
        <v>105</v>
      </c>
      <c r="BM42" s="9" t="s">
        <v>122</v>
      </c>
      <c r="BN42" s="9" t="s">
        <v>122</v>
      </c>
      <c r="BO42" s="9" t="s">
        <v>100</v>
      </c>
      <c r="BP42" s="9" t="s">
        <v>105</v>
      </c>
      <c r="BQ42" s="9" t="s">
        <v>105</v>
      </c>
      <c r="BR42" s="9" t="s">
        <v>461</v>
      </c>
      <c r="BS42" s="9"/>
    </row>
    <row r="43" spans="1:71" x14ac:dyDescent="0.25">
      <c r="A43" s="9" t="s">
        <v>1202</v>
      </c>
      <c r="B43" s="9" t="s">
        <v>1203</v>
      </c>
      <c r="C43" s="9" t="s">
        <v>1366</v>
      </c>
      <c r="D43" s="9" t="s">
        <v>1367</v>
      </c>
      <c r="E43" s="9" t="s">
        <v>1368</v>
      </c>
      <c r="F43" s="9" t="s">
        <v>1369</v>
      </c>
      <c r="G43" s="9" t="s">
        <v>1368</v>
      </c>
      <c r="H43" s="9" t="s">
        <v>1370</v>
      </c>
      <c r="I43" s="9" t="s">
        <v>6</v>
      </c>
      <c r="J43" s="9" t="s">
        <v>1209</v>
      </c>
      <c r="K43" s="9" t="s">
        <v>1209</v>
      </c>
      <c r="L43" s="9" t="s">
        <v>1368</v>
      </c>
      <c r="M43" s="9" t="s">
        <v>467</v>
      </c>
      <c r="N43" s="9" t="s">
        <v>1368</v>
      </c>
      <c r="O43" s="9" t="s">
        <v>1370</v>
      </c>
      <c r="P43" s="9" t="s">
        <v>92</v>
      </c>
      <c r="Q43" s="9" t="s">
        <v>1210</v>
      </c>
      <c r="R43" s="9" t="s">
        <v>468</v>
      </c>
      <c r="S43" s="9" t="s">
        <v>82</v>
      </c>
      <c r="T43" s="9" t="s">
        <v>108</v>
      </c>
      <c r="U43" s="9" t="s">
        <v>108</v>
      </c>
      <c r="V43" s="9" t="s">
        <v>85</v>
      </c>
      <c r="W43" s="9" t="s">
        <v>109</v>
      </c>
      <c r="X43" s="9" t="s">
        <v>1209</v>
      </c>
      <c r="Y43" s="9" t="s">
        <v>1371</v>
      </c>
      <c r="Z43" s="9" t="s">
        <v>1212</v>
      </c>
      <c r="AA43" s="9"/>
      <c r="AB43" s="9" t="s">
        <v>469</v>
      </c>
      <c r="AC43" s="9" t="s">
        <v>88</v>
      </c>
      <c r="AD43" s="9" t="s">
        <v>1213</v>
      </c>
      <c r="AE43" s="9" t="s">
        <v>89</v>
      </c>
      <c r="AF43" s="9" t="s">
        <v>1372</v>
      </c>
      <c r="AG43" s="9" t="s">
        <v>470</v>
      </c>
      <c r="AH43" s="9" t="s">
        <v>471</v>
      </c>
      <c r="AI43" s="9" t="s">
        <v>92</v>
      </c>
      <c r="AJ43" s="9" t="s">
        <v>92</v>
      </c>
      <c r="AK43" s="9" t="s">
        <v>92</v>
      </c>
      <c r="AL43" s="9" t="s">
        <v>92</v>
      </c>
      <c r="AM43" s="9" t="s">
        <v>92</v>
      </c>
      <c r="AN43" s="9" t="s">
        <v>472</v>
      </c>
      <c r="AO43" s="9" t="s">
        <v>473</v>
      </c>
      <c r="AP43" s="9" t="s">
        <v>110</v>
      </c>
      <c r="AQ43" s="9" t="s">
        <v>110</v>
      </c>
      <c r="AR43" s="9" t="s">
        <v>110</v>
      </c>
      <c r="AS43" s="9" t="s">
        <v>99</v>
      </c>
      <c r="AT43" s="9" t="s">
        <v>99</v>
      </c>
      <c r="AU43" s="9" t="s">
        <v>100</v>
      </c>
      <c r="AV43" s="9" t="s">
        <v>474</v>
      </c>
      <c r="AW43" s="9" t="s">
        <v>474</v>
      </c>
      <c r="AX43" s="9" t="s">
        <v>474</v>
      </c>
      <c r="AY43" s="9" t="s">
        <v>104</v>
      </c>
      <c r="AZ43" s="9" t="s">
        <v>104</v>
      </c>
      <c r="BA43" s="9" t="s">
        <v>104</v>
      </c>
      <c r="BB43" s="9" t="s">
        <v>105</v>
      </c>
      <c r="BC43" s="9" t="s">
        <v>105</v>
      </c>
      <c r="BD43" s="9" t="s">
        <v>105</v>
      </c>
      <c r="BE43" s="9" t="s">
        <v>105</v>
      </c>
      <c r="BF43" s="9" t="s">
        <v>105</v>
      </c>
      <c r="BG43" s="9" t="s">
        <v>105</v>
      </c>
      <c r="BH43" s="9" t="s">
        <v>105</v>
      </c>
      <c r="BI43" s="9" t="s">
        <v>105</v>
      </c>
      <c r="BJ43" s="9" t="s">
        <v>106</v>
      </c>
      <c r="BK43" s="9" t="s">
        <v>107</v>
      </c>
      <c r="BL43" s="9" t="s">
        <v>105</v>
      </c>
      <c r="BM43" s="9" t="s">
        <v>99</v>
      </c>
      <c r="BN43" s="9" t="s">
        <v>99</v>
      </c>
      <c r="BO43" s="9" t="s">
        <v>100</v>
      </c>
      <c r="BP43" s="9" t="s">
        <v>110</v>
      </c>
      <c r="BQ43" s="9" t="s">
        <v>110</v>
      </c>
      <c r="BR43" s="9" t="s">
        <v>110</v>
      </c>
      <c r="BS43" s="9"/>
    </row>
    <row r="44" spans="1:71" x14ac:dyDescent="0.25">
      <c r="A44" s="9" t="s">
        <v>1202</v>
      </c>
      <c r="B44" s="9" t="s">
        <v>1203</v>
      </c>
      <c r="C44" s="9" t="s">
        <v>1366</v>
      </c>
      <c r="D44" s="9" t="s">
        <v>1367</v>
      </c>
      <c r="E44" s="9" t="s">
        <v>1368</v>
      </c>
      <c r="F44" s="9" t="s">
        <v>1369</v>
      </c>
      <c r="G44" s="9" t="s">
        <v>1368</v>
      </c>
      <c r="H44" s="9" t="s">
        <v>1373</v>
      </c>
      <c r="I44" s="9" t="s">
        <v>6</v>
      </c>
      <c r="J44" s="9" t="s">
        <v>1209</v>
      </c>
      <c r="K44" s="9" t="s">
        <v>1209</v>
      </c>
      <c r="L44" s="9" t="s">
        <v>1368</v>
      </c>
      <c r="M44" s="9" t="s">
        <v>467</v>
      </c>
      <c r="N44" s="9" t="s">
        <v>1368</v>
      </c>
      <c r="O44" s="9" t="s">
        <v>1373</v>
      </c>
      <c r="P44" s="9" t="s">
        <v>468</v>
      </c>
      <c r="Q44" s="9" t="s">
        <v>1210</v>
      </c>
      <c r="R44" s="9" t="s">
        <v>468</v>
      </c>
      <c r="S44" s="9" t="s">
        <v>82</v>
      </c>
      <c r="T44" s="9" t="s">
        <v>83</v>
      </c>
      <c r="U44" s="9" t="s">
        <v>475</v>
      </c>
      <c r="V44" s="9" t="s">
        <v>85</v>
      </c>
      <c r="W44" s="9" t="s">
        <v>476</v>
      </c>
      <c r="X44" s="9" t="s">
        <v>1209</v>
      </c>
      <c r="Y44" s="9" t="s">
        <v>1371</v>
      </c>
      <c r="Z44" s="9" t="s">
        <v>1212</v>
      </c>
      <c r="AA44" s="9"/>
      <c r="AB44" s="9" t="s">
        <v>469</v>
      </c>
      <c r="AC44" s="9" t="s">
        <v>88</v>
      </c>
      <c r="AD44" s="9" t="s">
        <v>1213</v>
      </c>
      <c r="AE44" s="9" t="s">
        <v>89</v>
      </c>
      <c r="AF44" s="9" t="s">
        <v>1372</v>
      </c>
      <c r="AG44" s="9" t="s">
        <v>470</v>
      </c>
      <c r="AH44" s="9" t="s">
        <v>471</v>
      </c>
      <c r="AI44" s="9" t="s">
        <v>92</v>
      </c>
      <c r="AJ44" s="9" t="s">
        <v>92</v>
      </c>
      <c r="AK44" s="9" t="s">
        <v>92</v>
      </c>
      <c r="AL44" s="9" t="s">
        <v>92</v>
      </c>
      <c r="AM44" s="9" t="s">
        <v>92</v>
      </c>
      <c r="AN44" s="9" t="s">
        <v>472</v>
      </c>
      <c r="AO44" s="9" t="s">
        <v>473</v>
      </c>
      <c r="AP44" s="9" t="s">
        <v>477</v>
      </c>
      <c r="AQ44" s="9" t="s">
        <v>478</v>
      </c>
      <c r="AR44" s="9" t="s">
        <v>110</v>
      </c>
      <c r="AS44" s="9" t="s">
        <v>99</v>
      </c>
      <c r="AT44" s="9" t="s">
        <v>99</v>
      </c>
      <c r="AU44" s="9" t="s">
        <v>100</v>
      </c>
      <c r="AV44" s="9" t="s">
        <v>474</v>
      </c>
      <c r="AW44" s="9" t="s">
        <v>474</v>
      </c>
      <c r="AX44" s="9" t="s">
        <v>474</v>
      </c>
      <c r="AY44" s="9" t="s">
        <v>104</v>
      </c>
      <c r="AZ44" s="9" t="s">
        <v>104</v>
      </c>
      <c r="BA44" s="9" t="s">
        <v>104</v>
      </c>
      <c r="BB44" s="9" t="s">
        <v>105</v>
      </c>
      <c r="BC44" s="9" t="s">
        <v>105</v>
      </c>
      <c r="BD44" s="9" t="s">
        <v>105</v>
      </c>
      <c r="BE44" s="9" t="s">
        <v>105</v>
      </c>
      <c r="BF44" s="9" t="s">
        <v>105</v>
      </c>
      <c r="BG44" s="9" t="s">
        <v>105</v>
      </c>
      <c r="BH44" s="9" t="s">
        <v>105</v>
      </c>
      <c r="BI44" s="9" t="s">
        <v>105</v>
      </c>
      <c r="BJ44" s="9" t="s">
        <v>106</v>
      </c>
      <c r="BK44" s="9" t="s">
        <v>107</v>
      </c>
      <c r="BL44" s="9" t="s">
        <v>105</v>
      </c>
      <c r="BM44" s="9" t="s">
        <v>99</v>
      </c>
      <c r="BN44" s="9" t="s">
        <v>99</v>
      </c>
      <c r="BO44" s="9" t="s">
        <v>100</v>
      </c>
      <c r="BP44" s="9" t="s">
        <v>477</v>
      </c>
      <c r="BQ44" s="9" t="s">
        <v>478</v>
      </c>
      <c r="BR44" s="9" t="s">
        <v>110</v>
      </c>
      <c r="BS44" s="9"/>
    </row>
    <row r="45" spans="1:71" x14ac:dyDescent="0.25">
      <c r="A45" s="9" t="s">
        <v>1216</v>
      </c>
      <c r="B45" s="9" t="s">
        <v>1217</v>
      </c>
      <c r="C45" s="9" t="s">
        <v>1374</v>
      </c>
      <c r="D45" s="9" t="s">
        <v>1219</v>
      </c>
      <c r="E45" s="9" t="s">
        <v>1375</v>
      </c>
      <c r="F45" s="9" t="s">
        <v>1376</v>
      </c>
      <c r="G45" s="9" t="s">
        <v>1375</v>
      </c>
      <c r="H45" s="9" t="s">
        <v>1377</v>
      </c>
      <c r="I45" s="9" t="s">
        <v>6</v>
      </c>
      <c r="J45" s="9" t="s">
        <v>1209</v>
      </c>
      <c r="K45" s="9" t="s">
        <v>1209</v>
      </c>
      <c r="L45" s="9" t="s">
        <v>1375</v>
      </c>
      <c r="M45" s="9" t="s">
        <v>479</v>
      </c>
      <c r="N45" s="9" t="s">
        <v>1375</v>
      </c>
      <c r="O45" s="9" t="s">
        <v>1377</v>
      </c>
      <c r="P45" s="9" t="s">
        <v>480</v>
      </c>
      <c r="Q45" s="9" t="s">
        <v>1210</v>
      </c>
      <c r="R45" s="9" t="s">
        <v>481</v>
      </c>
      <c r="S45" s="9" t="s">
        <v>82</v>
      </c>
      <c r="T45" s="9" t="s">
        <v>482</v>
      </c>
      <c r="U45" s="9" t="s">
        <v>483</v>
      </c>
      <c r="V45" s="9" t="s">
        <v>85</v>
      </c>
      <c r="W45" s="9" t="s">
        <v>484</v>
      </c>
      <c r="X45" s="9" t="s">
        <v>1209</v>
      </c>
      <c r="Y45" s="9" t="s">
        <v>1378</v>
      </c>
      <c r="Z45" s="9" t="s">
        <v>1212</v>
      </c>
      <c r="AA45" s="9" t="s">
        <v>133</v>
      </c>
      <c r="AB45" s="9" t="s">
        <v>455</v>
      </c>
      <c r="AC45" s="9" t="s">
        <v>88</v>
      </c>
      <c r="AD45" s="9" t="s">
        <v>1213</v>
      </c>
      <c r="AE45" s="9" t="s">
        <v>89</v>
      </c>
      <c r="AF45" s="9" t="s">
        <v>1365</v>
      </c>
      <c r="AG45" s="9" t="s">
        <v>485</v>
      </c>
      <c r="AH45" s="9" t="s">
        <v>92</v>
      </c>
      <c r="AI45" s="9" t="s">
        <v>92</v>
      </c>
      <c r="AJ45" s="9" t="s">
        <v>92</v>
      </c>
      <c r="AK45" s="9" t="s">
        <v>92</v>
      </c>
      <c r="AL45" s="9" t="s">
        <v>92</v>
      </c>
      <c r="AM45" s="9" t="s">
        <v>92</v>
      </c>
      <c r="AN45" s="9" t="s">
        <v>486</v>
      </c>
      <c r="AO45" s="9" t="s">
        <v>108</v>
      </c>
      <c r="AP45" s="9" t="s">
        <v>105</v>
      </c>
      <c r="AQ45" s="9" t="s">
        <v>105</v>
      </c>
      <c r="AR45" s="9" t="s">
        <v>487</v>
      </c>
      <c r="AS45" s="9" t="s">
        <v>122</v>
      </c>
      <c r="AT45" s="9" t="s">
        <v>122</v>
      </c>
      <c r="AU45" s="9" t="s">
        <v>100</v>
      </c>
      <c r="AV45" s="9" t="s">
        <v>488</v>
      </c>
      <c r="AW45" s="9" t="s">
        <v>489</v>
      </c>
      <c r="AX45" s="9" t="s">
        <v>490</v>
      </c>
      <c r="AY45" s="9" t="s">
        <v>126</v>
      </c>
      <c r="AZ45" s="9" t="s">
        <v>126</v>
      </c>
      <c r="BA45" s="9" t="s">
        <v>126</v>
      </c>
      <c r="BB45" s="9" t="s">
        <v>105</v>
      </c>
      <c r="BC45" s="9" t="s">
        <v>105</v>
      </c>
      <c r="BD45" s="9" t="s">
        <v>105</v>
      </c>
      <c r="BE45" s="9" t="s">
        <v>105</v>
      </c>
      <c r="BF45" s="9" t="s">
        <v>105</v>
      </c>
      <c r="BG45" s="9" t="s">
        <v>105</v>
      </c>
      <c r="BH45" s="9" t="s">
        <v>105</v>
      </c>
      <c r="BI45" s="9" t="s">
        <v>105</v>
      </c>
      <c r="BJ45" s="9" t="s">
        <v>491</v>
      </c>
      <c r="BK45" s="9" t="s">
        <v>492</v>
      </c>
      <c r="BL45" s="9" t="s">
        <v>105</v>
      </c>
      <c r="BM45" s="9" t="s">
        <v>122</v>
      </c>
      <c r="BN45" s="9" t="s">
        <v>122</v>
      </c>
      <c r="BO45" s="9" t="s">
        <v>100</v>
      </c>
      <c r="BP45" s="9" t="s">
        <v>105</v>
      </c>
      <c r="BQ45" s="9" t="s">
        <v>105</v>
      </c>
      <c r="BR45" s="9" t="s">
        <v>487</v>
      </c>
      <c r="BS45" s="9"/>
    </row>
    <row r="46" spans="1:71" x14ac:dyDescent="0.25">
      <c r="A46" s="9" t="s">
        <v>1216</v>
      </c>
      <c r="B46" s="9" t="s">
        <v>1217</v>
      </c>
      <c r="C46" s="9" t="s">
        <v>1374</v>
      </c>
      <c r="D46" s="9" t="s">
        <v>1219</v>
      </c>
      <c r="E46" s="9" t="s">
        <v>1375</v>
      </c>
      <c r="F46" s="9" t="s">
        <v>1376</v>
      </c>
      <c r="G46" s="9" t="s">
        <v>1375</v>
      </c>
      <c r="H46" s="9" t="s">
        <v>1379</v>
      </c>
      <c r="I46" s="9" t="s">
        <v>6</v>
      </c>
      <c r="J46" s="9" t="s">
        <v>1209</v>
      </c>
      <c r="K46" s="9" t="s">
        <v>1209</v>
      </c>
      <c r="L46" s="9" t="s">
        <v>1375</v>
      </c>
      <c r="M46" s="9" t="s">
        <v>479</v>
      </c>
      <c r="N46" s="9" t="s">
        <v>1375</v>
      </c>
      <c r="O46" s="9" t="s">
        <v>1379</v>
      </c>
      <c r="P46" s="9" t="s">
        <v>493</v>
      </c>
      <c r="Q46" s="9" t="s">
        <v>1210</v>
      </c>
      <c r="R46" s="9" t="s">
        <v>481</v>
      </c>
      <c r="S46" s="9" t="s">
        <v>82</v>
      </c>
      <c r="T46" s="9" t="s">
        <v>494</v>
      </c>
      <c r="U46" s="9" t="s">
        <v>495</v>
      </c>
      <c r="V46" s="9" t="s">
        <v>85</v>
      </c>
      <c r="W46" s="9" t="s">
        <v>496</v>
      </c>
      <c r="X46" s="9" t="s">
        <v>1209</v>
      </c>
      <c r="Y46" s="9" t="s">
        <v>1378</v>
      </c>
      <c r="Z46" s="9" t="s">
        <v>1212</v>
      </c>
      <c r="AA46" s="9" t="s">
        <v>133</v>
      </c>
      <c r="AB46" s="9" t="s">
        <v>455</v>
      </c>
      <c r="AC46" s="9" t="s">
        <v>88</v>
      </c>
      <c r="AD46" s="9" t="s">
        <v>1213</v>
      </c>
      <c r="AE46" s="9" t="s">
        <v>89</v>
      </c>
      <c r="AF46" s="9" t="s">
        <v>1365</v>
      </c>
      <c r="AG46" s="9" t="s">
        <v>485</v>
      </c>
      <c r="AH46" s="9" t="s">
        <v>92</v>
      </c>
      <c r="AI46" s="9" t="s">
        <v>92</v>
      </c>
      <c r="AJ46" s="9" t="s">
        <v>92</v>
      </c>
      <c r="AK46" s="9" t="s">
        <v>92</v>
      </c>
      <c r="AL46" s="9" t="s">
        <v>92</v>
      </c>
      <c r="AM46" s="9" t="s">
        <v>92</v>
      </c>
      <c r="AN46" s="9" t="s">
        <v>486</v>
      </c>
      <c r="AO46" s="9" t="s">
        <v>108</v>
      </c>
      <c r="AP46" s="9" t="s">
        <v>105</v>
      </c>
      <c r="AQ46" s="9" t="s">
        <v>105</v>
      </c>
      <c r="AR46" s="9" t="s">
        <v>487</v>
      </c>
      <c r="AS46" s="9" t="s">
        <v>122</v>
      </c>
      <c r="AT46" s="9" t="s">
        <v>122</v>
      </c>
      <c r="AU46" s="9" t="s">
        <v>100</v>
      </c>
      <c r="AV46" s="9" t="s">
        <v>488</v>
      </c>
      <c r="AW46" s="9" t="s">
        <v>489</v>
      </c>
      <c r="AX46" s="9" t="s">
        <v>490</v>
      </c>
      <c r="AY46" s="9" t="s">
        <v>126</v>
      </c>
      <c r="AZ46" s="9" t="s">
        <v>126</v>
      </c>
      <c r="BA46" s="9" t="s">
        <v>126</v>
      </c>
      <c r="BB46" s="9" t="s">
        <v>105</v>
      </c>
      <c r="BC46" s="9" t="s">
        <v>105</v>
      </c>
      <c r="BD46" s="9" t="s">
        <v>105</v>
      </c>
      <c r="BE46" s="9" t="s">
        <v>105</v>
      </c>
      <c r="BF46" s="9" t="s">
        <v>105</v>
      </c>
      <c r="BG46" s="9" t="s">
        <v>105</v>
      </c>
      <c r="BH46" s="9" t="s">
        <v>105</v>
      </c>
      <c r="BI46" s="9" t="s">
        <v>105</v>
      </c>
      <c r="BJ46" s="9" t="s">
        <v>497</v>
      </c>
      <c r="BK46" s="9" t="s">
        <v>498</v>
      </c>
      <c r="BL46" s="9" t="s">
        <v>105</v>
      </c>
      <c r="BM46" s="9" t="s">
        <v>122</v>
      </c>
      <c r="BN46" s="9" t="s">
        <v>122</v>
      </c>
      <c r="BO46" s="9" t="s">
        <v>100</v>
      </c>
      <c r="BP46" s="9" t="s">
        <v>105</v>
      </c>
      <c r="BQ46" s="9" t="s">
        <v>105</v>
      </c>
      <c r="BR46" s="9" t="s">
        <v>487</v>
      </c>
      <c r="BS46" s="9"/>
    </row>
    <row r="47" spans="1:71" x14ac:dyDescent="0.25">
      <c r="A47" s="9" t="s">
        <v>1202</v>
      </c>
      <c r="B47" s="9" t="s">
        <v>1203</v>
      </c>
      <c r="C47" s="9" t="s">
        <v>1380</v>
      </c>
      <c r="D47" s="9" t="s">
        <v>1381</v>
      </c>
      <c r="E47" s="9" t="s">
        <v>1382</v>
      </c>
      <c r="F47" s="9" t="s">
        <v>1383</v>
      </c>
      <c r="G47" s="9" t="s">
        <v>1382</v>
      </c>
      <c r="H47" s="9" t="s">
        <v>1384</v>
      </c>
      <c r="I47" s="9" t="s">
        <v>6</v>
      </c>
      <c r="J47" s="9" t="s">
        <v>1209</v>
      </c>
      <c r="K47" s="9" t="s">
        <v>1209</v>
      </c>
      <c r="L47" s="9" t="s">
        <v>1382</v>
      </c>
      <c r="M47" s="9" t="s">
        <v>499</v>
      </c>
      <c r="N47" s="9" t="s">
        <v>1382</v>
      </c>
      <c r="O47" s="9" t="s">
        <v>1384</v>
      </c>
      <c r="P47" s="9" t="s">
        <v>500</v>
      </c>
      <c r="Q47" s="9" t="s">
        <v>1210</v>
      </c>
      <c r="R47" s="9" t="s">
        <v>500</v>
      </c>
      <c r="S47" s="9" t="s">
        <v>82</v>
      </c>
      <c r="T47" s="9" t="s">
        <v>83</v>
      </c>
      <c r="U47" s="9" t="s">
        <v>501</v>
      </c>
      <c r="V47" s="9" t="s">
        <v>85</v>
      </c>
      <c r="W47" s="9" t="s">
        <v>502</v>
      </c>
      <c r="X47" s="9" t="s">
        <v>1209</v>
      </c>
      <c r="Y47" s="9" t="s">
        <v>1385</v>
      </c>
      <c r="Z47" s="9" t="s">
        <v>1212</v>
      </c>
      <c r="AA47" s="9" t="s">
        <v>503</v>
      </c>
      <c r="AB47" s="9" t="s">
        <v>504</v>
      </c>
      <c r="AC47" s="9" t="s">
        <v>88</v>
      </c>
      <c r="AD47" s="9" t="s">
        <v>1213</v>
      </c>
      <c r="AE47" s="9" t="s">
        <v>89</v>
      </c>
      <c r="AF47" s="9" t="s">
        <v>1386</v>
      </c>
      <c r="AG47" s="9" t="s">
        <v>505</v>
      </c>
      <c r="AH47" s="9" t="s">
        <v>506</v>
      </c>
      <c r="AI47" s="9" t="s">
        <v>92</v>
      </c>
      <c r="AJ47" s="9" t="s">
        <v>92</v>
      </c>
      <c r="AK47" s="9" t="s">
        <v>92</v>
      </c>
      <c r="AL47" s="9" t="s">
        <v>92</v>
      </c>
      <c r="AM47" s="9" t="s">
        <v>92</v>
      </c>
      <c r="AN47" s="9" t="s">
        <v>507</v>
      </c>
      <c r="AO47" s="9" t="s">
        <v>508</v>
      </c>
      <c r="AP47" s="9" t="s">
        <v>509</v>
      </c>
      <c r="AQ47" s="9" t="s">
        <v>510</v>
      </c>
      <c r="AR47" s="9" t="s">
        <v>511</v>
      </c>
      <c r="AS47" s="9" t="s">
        <v>99</v>
      </c>
      <c r="AT47" s="9" t="s">
        <v>99</v>
      </c>
      <c r="AU47" s="9" t="s">
        <v>100</v>
      </c>
      <c r="AV47" s="9" t="s">
        <v>512</v>
      </c>
      <c r="AW47" s="9" t="s">
        <v>513</v>
      </c>
      <c r="AX47" s="9" t="s">
        <v>514</v>
      </c>
      <c r="AY47" s="9" t="s">
        <v>104</v>
      </c>
      <c r="AZ47" s="9" t="s">
        <v>104</v>
      </c>
      <c r="BA47" s="9" t="s">
        <v>104</v>
      </c>
      <c r="BB47" s="9" t="s">
        <v>105</v>
      </c>
      <c r="BC47" s="9" t="s">
        <v>105</v>
      </c>
      <c r="BD47" s="9" t="s">
        <v>105</v>
      </c>
      <c r="BE47" s="9" t="s">
        <v>105</v>
      </c>
      <c r="BF47" s="9" t="s">
        <v>105</v>
      </c>
      <c r="BG47" s="9" t="s">
        <v>105</v>
      </c>
      <c r="BH47" s="9" t="s">
        <v>105</v>
      </c>
      <c r="BI47" s="9" t="s">
        <v>105</v>
      </c>
      <c r="BJ47" s="9" t="s">
        <v>106</v>
      </c>
      <c r="BK47" s="9" t="s">
        <v>107</v>
      </c>
      <c r="BL47" s="9" t="s">
        <v>105</v>
      </c>
      <c r="BM47" s="9" t="s">
        <v>99</v>
      </c>
      <c r="BN47" s="9" t="s">
        <v>99</v>
      </c>
      <c r="BO47" s="9" t="s">
        <v>100</v>
      </c>
      <c r="BP47" s="9" t="s">
        <v>509</v>
      </c>
      <c r="BQ47" s="9" t="s">
        <v>510</v>
      </c>
      <c r="BR47" s="9" t="s">
        <v>511</v>
      </c>
      <c r="BS47" s="9"/>
    </row>
    <row r="48" spans="1:71" x14ac:dyDescent="0.25">
      <c r="A48" s="9" t="s">
        <v>1202</v>
      </c>
      <c r="B48" s="9" t="s">
        <v>1203</v>
      </c>
      <c r="C48" s="9" t="s">
        <v>1380</v>
      </c>
      <c r="D48" s="9" t="s">
        <v>1381</v>
      </c>
      <c r="E48" s="9" t="s">
        <v>1382</v>
      </c>
      <c r="F48" s="9" t="s">
        <v>1383</v>
      </c>
      <c r="G48" s="9" t="s">
        <v>1382</v>
      </c>
      <c r="H48" s="9" t="s">
        <v>1387</v>
      </c>
      <c r="I48" s="9" t="s">
        <v>6</v>
      </c>
      <c r="J48" s="9" t="s">
        <v>1209</v>
      </c>
      <c r="K48" s="9" t="s">
        <v>1209</v>
      </c>
      <c r="L48" s="9" t="s">
        <v>1382</v>
      </c>
      <c r="M48" s="9" t="s">
        <v>499</v>
      </c>
      <c r="N48" s="9" t="s">
        <v>1382</v>
      </c>
      <c r="O48" s="9" t="s">
        <v>1387</v>
      </c>
      <c r="P48" s="9" t="s">
        <v>92</v>
      </c>
      <c r="Q48" s="9" t="s">
        <v>1210</v>
      </c>
      <c r="R48" s="9" t="s">
        <v>500</v>
      </c>
      <c r="S48" s="9" t="s">
        <v>82</v>
      </c>
      <c r="T48" s="9" t="s">
        <v>108</v>
      </c>
      <c r="U48" s="9" t="s">
        <v>108</v>
      </c>
      <c r="V48" s="9" t="s">
        <v>85</v>
      </c>
      <c r="W48" s="9" t="s">
        <v>109</v>
      </c>
      <c r="X48" s="9" t="s">
        <v>1209</v>
      </c>
      <c r="Y48" s="9" t="s">
        <v>1385</v>
      </c>
      <c r="Z48" s="9" t="s">
        <v>1212</v>
      </c>
      <c r="AA48" s="9" t="s">
        <v>503</v>
      </c>
      <c r="AB48" s="9" t="s">
        <v>504</v>
      </c>
      <c r="AC48" s="9" t="s">
        <v>88</v>
      </c>
      <c r="AD48" s="9" t="s">
        <v>1213</v>
      </c>
      <c r="AE48" s="9" t="s">
        <v>89</v>
      </c>
      <c r="AF48" s="9" t="s">
        <v>1386</v>
      </c>
      <c r="AG48" s="9" t="s">
        <v>505</v>
      </c>
      <c r="AH48" s="9" t="s">
        <v>506</v>
      </c>
      <c r="AI48" s="9" t="s">
        <v>92</v>
      </c>
      <c r="AJ48" s="9" t="s">
        <v>92</v>
      </c>
      <c r="AK48" s="9" t="s">
        <v>92</v>
      </c>
      <c r="AL48" s="9" t="s">
        <v>92</v>
      </c>
      <c r="AM48" s="9" t="s">
        <v>92</v>
      </c>
      <c r="AN48" s="9" t="s">
        <v>507</v>
      </c>
      <c r="AO48" s="9" t="s">
        <v>508</v>
      </c>
      <c r="AP48" s="9" t="s">
        <v>110</v>
      </c>
      <c r="AQ48" s="9" t="s">
        <v>110</v>
      </c>
      <c r="AR48" s="9" t="s">
        <v>110</v>
      </c>
      <c r="AS48" s="9" t="s">
        <v>99</v>
      </c>
      <c r="AT48" s="9" t="s">
        <v>99</v>
      </c>
      <c r="AU48" s="9" t="s">
        <v>100</v>
      </c>
      <c r="AV48" s="9" t="s">
        <v>512</v>
      </c>
      <c r="AW48" s="9" t="s">
        <v>513</v>
      </c>
      <c r="AX48" s="9" t="s">
        <v>514</v>
      </c>
      <c r="AY48" s="9" t="s">
        <v>104</v>
      </c>
      <c r="AZ48" s="9" t="s">
        <v>104</v>
      </c>
      <c r="BA48" s="9" t="s">
        <v>104</v>
      </c>
      <c r="BB48" s="9" t="s">
        <v>105</v>
      </c>
      <c r="BC48" s="9" t="s">
        <v>105</v>
      </c>
      <c r="BD48" s="9" t="s">
        <v>105</v>
      </c>
      <c r="BE48" s="9" t="s">
        <v>105</v>
      </c>
      <c r="BF48" s="9" t="s">
        <v>105</v>
      </c>
      <c r="BG48" s="9" t="s">
        <v>105</v>
      </c>
      <c r="BH48" s="9" t="s">
        <v>105</v>
      </c>
      <c r="BI48" s="9" t="s">
        <v>105</v>
      </c>
      <c r="BJ48" s="9" t="s">
        <v>106</v>
      </c>
      <c r="BK48" s="9" t="s">
        <v>107</v>
      </c>
      <c r="BL48" s="9" t="s">
        <v>105</v>
      </c>
      <c r="BM48" s="9" t="s">
        <v>99</v>
      </c>
      <c r="BN48" s="9" t="s">
        <v>99</v>
      </c>
      <c r="BO48" s="9" t="s">
        <v>100</v>
      </c>
      <c r="BP48" s="9" t="s">
        <v>110</v>
      </c>
      <c r="BQ48" s="9" t="s">
        <v>110</v>
      </c>
      <c r="BR48" s="9" t="s">
        <v>110</v>
      </c>
      <c r="BS48" s="9"/>
    </row>
    <row r="49" spans="1:71" x14ac:dyDescent="0.25">
      <c r="A49" s="9" t="s">
        <v>1216</v>
      </c>
      <c r="B49" s="9" t="s">
        <v>1217</v>
      </c>
      <c r="C49" s="9" t="s">
        <v>1388</v>
      </c>
      <c r="D49" s="9" t="s">
        <v>1219</v>
      </c>
      <c r="E49" s="9" t="s">
        <v>1389</v>
      </c>
      <c r="F49" s="9" t="s">
        <v>1390</v>
      </c>
      <c r="G49" s="9" t="s">
        <v>1389</v>
      </c>
      <c r="H49" s="9" t="s">
        <v>1391</v>
      </c>
      <c r="I49" s="9" t="s">
        <v>6</v>
      </c>
      <c r="J49" s="9" t="s">
        <v>1209</v>
      </c>
      <c r="K49" s="9" t="s">
        <v>1209</v>
      </c>
      <c r="L49" s="9" t="s">
        <v>1389</v>
      </c>
      <c r="M49" s="9" t="s">
        <v>515</v>
      </c>
      <c r="N49" s="9" t="s">
        <v>1389</v>
      </c>
      <c r="O49" s="9" t="s">
        <v>1391</v>
      </c>
      <c r="P49" s="9" t="s">
        <v>516</v>
      </c>
      <c r="Q49" s="9" t="s">
        <v>1209</v>
      </c>
      <c r="R49" s="9" t="s">
        <v>516</v>
      </c>
      <c r="S49" s="9" t="s">
        <v>82</v>
      </c>
      <c r="T49" s="9" t="s">
        <v>83</v>
      </c>
      <c r="U49" s="9" t="s">
        <v>517</v>
      </c>
      <c r="V49" s="9" t="s">
        <v>85</v>
      </c>
      <c r="W49" s="9" t="s">
        <v>518</v>
      </c>
      <c r="X49" s="9" t="s">
        <v>1209</v>
      </c>
      <c r="Y49" s="9" t="s">
        <v>1392</v>
      </c>
      <c r="Z49" s="9" t="s">
        <v>1212</v>
      </c>
      <c r="AA49" s="9" t="s">
        <v>133</v>
      </c>
      <c r="AB49" s="9" t="s">
        <v>353</v>
      </c>
      <c r="AC49" s="9" t="s">
        <v>88</v>
      </c>
      <c r="AD49" s="9" t="s">
        <v>1213</v>
      </c>
      <c r="AE49" s="9" t="s">
        <v>89</v>
      </c>
      <c r="AF49" s="9" t="s">
        <v>1324</v>
      </c>
      <c r="AG49" s="9" t="s">
        <v>519</v>
      </c>
      <c r="AH49" s="9" t="s">
        <v>520</v>
      </c>
      <c r="AI49" s="9" t="s">
        <v>92</v>
      </c>
      <c r="AJ49" s="9" t="s">
        <v>92</v>
      </c>
      <c r="AK49" s="9" t="s">
        <v>521</v>
      </c>
      <c r="AL49" s="9" t="s">
        <v>92</v>
      </c>
      <c r="AM49" s="9" t="s">
        <v>92</v>
      </c>
      <c r="AN49" s="9" t="s">
        <v>522</v>
      </c>
      <c r="AO49" s="9" t="s">
        <v>523</v>
      </c>
      <c r="AP49" s="9" t="s">
        <v>105</v>
      </c>
      <c r="AQ49" s="9" t="s">
        <v>105</v>
      </c>
      <c r="AR49" s="9" t="s">
        <v>524</v>
      </c>
      <c r="AS49" s="9" t="s">
        <v>122</v>
      </c>
      <c r="AT49" s="9" t="s">
        <v>122</v>
      </c>
      <c r="AU49" s="9" t="s">
        <v>100</v>
      </c>
      <c r="AV49" s="9" t="s">
        <v>525</v>
      </c>
      <c r="AW49" s="9" t="s">
        <v>526</v>
      </c>
      <c r="AX49" s="9" t="s">
        <v>527</v>
      </c>
      <c r="AY49" s="9" t="s">
        <v>126</v>
      </c>
      <c r="AZ49" s="9" t="s">
        <v>126</v>
      </c>
      <c r="BA49" s="9" t="s">
        <v>126</v>
      </c>
      <c r="BB49" s="9" t="s">
        <v>105</v>
      </c>
      <c r="BC49" s="9" t="s">
        <v>105</v>
      </c>
      <c r="BD49" s="9" t="s">
        <v>105</v>
      </c>
      <c r="BE49" s="9" t="s">
        <v>105</v>
      </c>
      <c r="BF49" s="9" t="s">
        <v>105</v>
      </c>
      <c r="BG49" s="9" t="s">
        <v>105</v>
      </c>
      <c r="BH49" s="9" t="s">
        <v>105</v>
      </c>
      <c r="BI49" s="9" t="s">
        <v>105</v>
      </c>
      <c r="BJ49" s="9" t="s">
        <v>528</v>
      </c>
      <c r="BK49" s="9" t="s">
        <v>529</v>
      </c>
      <c r="BL49" s="9" t="s">
        <v>105</v>
      </c>
      <c r="BM49" s="9" t="s">
        <v>122</v>
      </c>
      <c r="BN49" s="9" t="s">
        <v>122</v>
      </c>
      <c r="BO49" s="9" t="s">
        <v>100</v>
      </c>
      <c r="BP49" s="9" t="s">
        <v>105</v>
      </c>
      <c r="BQ49" s="9" t="s">
        <v>105</v>
      </c>
      <c r="BR49" s="9" t="s">
        <v>524</v>
      </c>
      <c r="BS49" s="9"/>
    </row>
    <row r="50" spans="1:71" x14ac:dyDescent="0.25">
      <c r="A50" s="9" t="s">
        <v>1216</v>
      </c>
      <c r="B50" s="9" t="s">
        <v>1217</v>
      </c>
      <c r="C50" s="9" t="s">
        <v>1393</v>
      </c>
      <c r="D50" s="9" t="s">
        <v>1219</v>
      </c>
      <c r="E50" s="9" t="s">
        <v>1394</v>
      </c>
      <c r="F50" s="9" t="s">
        <v>1395</v>
      </c>
      <c r="G50" s="9" t="s">
        <v>1394</v>
      </c>
      <c r="H50" s="9" t="s">
        <v>1396</v>
      </c>
      <c r="I50" s="9" t="s">
        <v>6</v>
      </c>
      <c r="J50" s="9" t="s">
        <v>1209</v>
      </c>
      <c r="K50" s="9" t="s">
        <v>1209</v>
      </c>
      <c r="L50" s="9" t="s">
        <v>1394</v>
      </c>
      <c r="M50" s="9" t="s">
        <v>530</v>
      </c>
      <c r="N50" s="9" t="s">
        <v>1394</v>
      </c>
      <c r="O50" s="9" t="s">
        <v>1396</v>
      </c>
      <c r="P50" s="9" t="s">
        <v>531</v>
      </c>
      <c r="Q50" s="9" t="s">
        <v>1209</v>
      </c>
      <c r="R50" s="9" t="s">
        <v>531</v>
      </c>
      <c r="S50" s="9" t="s">
        <v>82</v>
      </c>
      <c r="T50" s="9" t="s">
        <v>83</v>
      </c>
      <c r="U50" s="9" t="s">
        <v>532</v>
      </c>
      <c r="V50" s="9" t="s">
        <v>85</v>
      </c>
      <c r="W50" s="9" t="s">
        <v>533</v>
      </c>
      <c r="X50" s="9" t="s">
        <v>1209</v>
      </c>
      <c r="Y50" s="9" t="s">
        <v>1397</v>
      </c>
      <c r="Z50" s="9" t="s">
        <v>1298</v>
      </c>
      <c r="AA50" s="9"/>
      <c r="AB50" s="9" t="s">
        <v>534</v>
      </c>
      <c r="AC50" s="9" t="s">
        <v>88</v>
      </c>
      <c r="AD50" s="9" t="s">
        <v>1213</v>
      </c>
      <c r="AE50" s="9" t="s">
        <v>89</v>
      </c>
      <c r="AF50" s="9" t="s">
        <v>1398</v>
      </c>
      <c r="AG50" s="9" t="s">
        <v>535</v>
      </c>
      <c r="AH50" s="9" t="s">
        <v>92</v>
      </c>
      <c r="AI50" s="9" t="s">
        <v>92</v>
      </c>
      <c r="AJ50" s="9" t="s">
        <v>92</v>
      </c>
      <c r="AK50" s="9" t="s">
        <v>92</v>
      </c>
      <c r="AL50" s="9" t="s">
        <v>92</v>
      </c>
      <c r="AM50" s="9" t="s">
        <v>92</v>
      </c>
      <c r="AN50" s="9" t="s">
        <v>536</v>
      </c>
      <c r="AO50" s="9" t="s">
        <v>108</v>
      </c>
      <c r="AP50" s="9" t="s">
        <v>105</v>
      </c>
      <c r="AQ50" s="9" t="s">
        <v>105</v>
      </c>
      <c r="AR50" s="9" t="s">
        <v>537</v>
      </c>
      <c r="AS50" s="9" t="s">
        <v>122</v>
      </c>
      <c r="AT50" s="9" t="s">
        <v>122</v>
      </c>
      <c r="AU50" s="9" t="s">
        <v>100</v>
      </c>
      <c r="AV50" s="9" t="s">
        <v>538</v>
      </c>
      <c r="AW50" s="9" t="s">
        <v>539</v>
      </c>
      <c r="AX50" s="9" t="s">
        <v>540</v>
      </c>
      <c r="AY50" s="9" t="s">
        <v>126</v>
      </c>
      <c r="AZ50" s="9" t="s">
        <v>126</v>
      </c>
      <c r="BA50" s="9" t="s">
        <v>126</v>
      </c>
      <c r="BB50" s="9" t="s">
        <v>105</v>
      </c>
      <c r="BC50" s="9" t="s">
        <v>105</v>
      </c>
      <c r="BD50" s="9" t="s">
        <v>105</v>
      </c>
      <c r="BE50" s="9" t="s">
        <v>105</v>
      </c>
      <c r="BF50" s="9" t="s">
        <v>105</v>
      </c>
      <c r="BG50" s="9" t="s">
        <v>105</v>
      </c>
      <c r="BH50" s="9" t="s">
        <v>105</v>
      </c>
      <c r="BI50" s="9" t="s">
        <v>105</v>
      </c>
      <c r="BJ50" s="9" t="s">
        <v>541</v>
      </c>
      <c r="BK50" s="9" t="s">
        <v>542</v>
      </c>
      <c r="BL50" s="9" t="s">
        <v>105</v>
      </c>
      <c r="BM50" s="9" t="s">
        <v>122</v>
      </c>
      <c r="BN50" s="9" t="s">
        <v>122</v>
      </c>
      <c r="BO50" s="9" t="s">
        <v>100</v>
      </c>
      <c r="BP50" s="9" t="s">
        <v>105</v>
      </c>
      <c r="BQ50" s="9" t="s">
        <v>105</v>
      </c>
      <c r="BR50" s="9" t="s">
        <v>537</v>
      </c>
      <c r="BS50" s="9"/>
    </row>
    <row r="51" spans="1:71" x14ac:dyDescent="0.25">
      <c r="A51" s="9" t="s">
        <v>1202</v>
      </c>
      <c r="B51" s="9" t="s">
        <v>1203</v>
      </c>
      <c r="C51" s="9" t="s">
        <v>1399</v>
      </c>
      <c r="D51" s="9" t="s">
        <v>1400</v>
      </c>
      <c r="E51" s="9" t="s">
        <v>1401</v>
      </c>
      <c r="F51" s="9" t="s">
        <v>1402</v>
      </c>
      <c r="G51" s="9" t="s">
        <v>1401</v>
      </c>
      <c r="H51" s="9" t="s">
        <v>1403</v>
      </c>
      <c r="I51" s="9" t="s">
        <v>6</v>
      </c>
      <c r="J51" s="9" t="s">
        <v>1209</v>
      </c>
      <c r="K51" s="9" t="s">
        <v>1209</v>
      </c>
      <c r="L51" s="9" t="s">
        <v>1401</v>
      </c>
      <c r="M51" s="9" t="s">
        <v>543</v>
      </c>
      <c r="N51" s="9" t="s">
        <v>1401</v>
      </c>
      <c r="O51" s="9" t="s">
        <v>1403</v>
      </c>
      <c r="P51" s="9" t="s">
        <v>92</v>
      </c>
      <c r="Q51" s="9" t="s">
        <v>1322</v>
      </c>
      <c r="R51" s="9" t="s">
        <v>544</v>
      </c>
      <c r="S51" s="9" t="s">
        <v>82</v>
      </c>
      <c r="T51" s="9" t="s">
        <v>108</v>
      </c>
      <c r="U51" s="9" t="s">
        <v>108</v>
      </c>
      <c r="V51" s="9" t="s">
        <v>85</v>
      </c>
      <c r="W51" s="9" t="s">
        <v>109</v>
      </c>
      <c r="X51" s="9" t="s">
        <v>1209</v>
      </c>
      <c r="Y51" s="9" t="s">
        <v>1404</v>
      </c>
      <c r="Z51" s="9" t="s">
        <v>1212</v>
      </c>
      <c r="AA51" s="9"/>
      <c r="AB51" s="9" t="s">
        <v>545</v>
      </c>
      <c r="AC51" s="9" t="s">
        <v>88</v>
      </c>
      <c r="AD51" s="9" t="s">
        <v>1213</v>
      </c>
      <c r="AE51" s="9" t="s">
        <v>89</v>
      </c>
      <c r="AF51" s="9" t="s">
        <v>1405</v>
      </c>
      <c r="AG51" s="9" t="s">
        <v>546</v>
      </c>
      <c r="AH51" s="9" t="s">
        <v>547</v>
      </c>
      <c r="AI51" s="9" t="s">
        <v>92</v>
      </c>
      <c r="AJ51" s="9" t="s">
        <v>92</v>
      </c>
      <c r="AK51" s="9" t="s">
        <v>92</v>
      </c>
      <c r="AL51" s="9" t="s">
        <v>92</v>
      </c>
      <c r="AM51" s="9" t="s">
        <v>92</v>
      </c>
      <c r="AN51" s="9" t="s">
        <v>548</v>
      </c>
      <c r="AO51" s="9" t="s">
        <v>549</v>
      </c>
      <c r="AP51" s="9" t="s">
        <v>110</v>
      </c>
      <c r="AQ51" s="9" t="s">
        <v>110</v>
      </c>
      <c r="AR51" s="9" t="s">
        <v>110</v>
      </c>
      <c r="AS51" s="9" t="s">
        <v>99</v>
      </c>
      <c r="AT51" s="9" t="s">
        <v>99</v>
      </c>
      <c r="AU51" s="9" t="s">
        <v>100</v>
      </c>
      <c r="AV51" s="9" t="s">
        <v>550</v>
      </c>
      <c r="AW51" s="9" t="s">
        <v>551</v>
      </c>
      <c r="AX51" s="9" t="s">
        <v>552</v>
      </c>
      <c r="AY51" s="9" t="s">
        <v>104</v>
      </c>
      <c r="AZ51" s="9" t="s">
        <v>104</v>
      </c>
      <c r="BA51" s="9" t="s">
        <v>104</v>
      </c>
      <c r="BB51" s="9" t="s">
        <v>105</v>
      </c>
      <c r="BC51" s="9" t="s">
        <v>105</v>
      </c>
      <c r="BD51" s="9" t="s">
        <v>105</v>
      </c>
      <c r="BE51" s="9" t="s">
        <v>105</v>
      </c>
      <c r="BF51" s="9" t="s">
        <v>105</v>
      </c>
      <c r="BG51" s="9" t="s">
        <v>105</v>
      </c>
      <c r="BH51" s="9" t="s">
        <v>105</v>
      </c>
      <c r="BI51" s="9" t="s">
        <v>105</v>
      </c>
      <c r="BJ51" s="9" t="s">
        <v>365</v>
      </c>
      <c r="BK51" s="9" t="s">
        <v>366</v>
      </c>
      <c r="BL51" s="9" t="s">
        <v>105</v>
      </c>
      <c r="BM51" s="9" t="s">
        <v>99</v>
      </c>
      <c r="BN51" s="9" t="s">
        <v>99</v>
      </c>
      <c r="BO51" s="9" t="s">
        <v>100</v>
      </c>
      <c r="BP51" s="9" t="s">
        <v>110</v>
      </c>
      <c r="BQ51" s="9" t="s">
        <v>110</v>
      </c>
      <c r="BR51" s="9" t="s">
        <v>110</v>
      </c>
      <c r="BS51" s="9"/>
    </row>
    <row r="52" spans="1:71" x14ac:dyDescent="0.25">
      <c r="A52" s="9" t="s">
        <v>1202</v>
      </c>
      <c r="B52" s="9" t="s">
        <v>1203</v>
      </c>
      <c r="C52" s="9" t="s">
        <v>1399</v>
      </c>
      <c r="D52" s="9" t="s">
        <v>1400</v>
      </c>
      <c r="E52" s="9" t="s">
        <v>1401</v>
      </c>
      <c r="F52" s="9" t="s">
        <v>1402</v>
      </c>
      <c r="G52" s="9" t="s">
        <v>1401</v>
      </c>
      <c r="H52" s="9" t="s">
        <v>1406</v>
      </c>
      <c r="I52" s="9" t="s">
        <v>6</v>
      </c>
      <c r="J52" s="9" t="s">
        <v>1209</v>
      </c>
      <c r="K52" s="9" t="s">
        <v>1209</v>
      </c>
      <c r="L52" s="9" t="s">
        <v>1401</v>
      </c>
      <c r="M52" s="9" t="s">
        <v>543</v>
      </c>
      <c r="N52" s="9" t="s">
        <v>1401</v>
      </c>
      <c r="O52" s="9" t="s">
        <v>1406</v>
      </c>
      <c r="P52" s="9" t="s">
        <v>553</v>
      </c>
      <c r="Q52" s="9" t="s">
        <v>1322</v>
      </c>
      <c r="R52" s="9" t="s">
        <v>544</v>
      </c>
      <c r="S52" s="9" t="s">
        <v>82</v>
      </c>
      <c r="T52" s="9" t="s">
        <v>554</v>
      </c>
      <c r="U52" s="9" t="s">
        <v>555</v>
      </c>
      <c r="V52" s="9" t="s">
        <v>85</v>
      </c>
      <c r="W52" s="9" t="s">
        <v>556</v>
      </c>
      <c r="X52" s="9" t="s">
        <v>1209</v>
      </c>
      <c r="Y52" s="9" t="s">
        <v>1404</v>
      </c>
      <c r="Z52" s="9" t="s">
        <v>1212</v>
      </c>
      <c r="AA52" s="9"/>
      <c r="AB52" s="9" t="s">
        <v>545</v>
      </c>
      <c r="AC52" s="9" t="s">
        <v>88</v>
      </c>
      <c r="AD52" s="9" t="s">
        <v>1213</v>
      </c>
      <c r="AE52" s="9" t="s">
        <v>89</v>
      </c>
      <c r="AF52" s="9" t="s">
        <v>1405</v>
      </c>
      <c r="AG52" s="9" t="s">
        <v>546</v>
      </c>
      <c r="AH52" s="9" t="s">
        <v>547</v>
      </c>
      <c r="AI52" s="9" t="s">
        <v>92</v>
      </c>
      <c r="AJ52" s="9" t="s">
        <v>92</v>
      </c>
      <c r="AK52" s="9" t="s">
        <v>92</v>
      </c>
      <c r="AL52" s="9" t="s">
        <v>92</v>
      </c>
      <c r="AM52" s="9" t="s">
        <v>92</v>
      </c>
      <c r="AN52" s="9" t="s">
        <v>548</v>
      </c>
      <c r="AO52" s="9" t="s">
        <v>549</v>
      </c>
      <c r="AP52" s="9" t="s">
        <v>557</v>
      </c>
      <c r="AQ52" s="9" t="s">
        <v>558</v>
      </c>
      <c r="AR52" s="9" t="s">
        <v>559</v>
      </c>
      <c r="AS52" s="9" t="s">
        <v>99</v>
      </c>
      <c r="AT52" s="9" t="s">
        <v>99</v>
      </c>
      <c r="AU52" s="9" t="s">
        <v>100</v>
      </c>
      <c r="AV52" s="9" t="s">
        <v>550</v>
      </c>
      <c r="AW52" s="9" t="s">
        <v>551</v>
      </c>
      <c r="AX52" s="9" t="s">
        <v>552</v>
      </c>
      <c r="AY52" s="9" t="s">
        <v>104</v>
      </c>
      <c r="AZ52" s="9" t="s">
        <v>104</v>
      </c>
      <c r="BA52" s="9" t="s">
        <v>104</v>
      </c>
      <c r="BB52" s="9" t="s">
        <v>105</v>
      </c>
      <c r="BC52" s="9" t="s">
        <v>105</v>
      </c>
      <c r="BD52" s="9" t="s">
        <v>105</v>
      </c>
      <c r="BE52" s="9" t="s">
        <v>105</v>
      </c>
      <c r="BF52" s="9" t="s">
        <v>105</v>
      </c>
      <c r="BG52" s="9" t="s">
        <v>105</v>
      </c>
      <c r="BH52" s="9" t="s">
        <v>105</v>
      </c>
      <c r="BI52" s="9" t="s">
        <v>105</v>
      </c>
      <c r="BJ52" s="9" t="s">
        <v>560</v>
      </c>
      <c r="BK52" s="9" t="s">
        <v>561</v>
      </c>
      <c r="BL52" s="9" t="s">
        <v>105</v>
      </c>
      <c r="BM52" s="9" t="s">
        <v>99</v>
      </c>
      <c r="BN52" s="9" t="s">
        <v>99</v>
      </c>
      <c r="BO52" s="9" t="s">
        <v>100</v>
      </c>
      <c r="BP52" s="9" t="s">
        <v>557</v>
      </c>
      <c r="BQ52" s="9" t="s">
        <v>558</v>
      </c>
      <c r="BR52" s="9" t="s">
        <v>559</v>
      </c>
      <c r="BS52" s="9"/>
    </row>
    <row r="53" spans="1:71" x14ac:dyDescent="0.25">
      <c r="A53" s="9" t="s">
        <v>1202</v>
      </c>
      <c r="B53" s="9" t="s">
        <v>1203</v>
      </c>
      <c r="C53" s="9" t="s">
        <v>1399</v>
      </c>
      <c r="D53" s="9" t="s">
        <v>1400</v>
      </c>
      <c r="E53" s="9" t="s">
        <v>1401</v>
      </c>
      <c r="F53" s="9" t="s">
        <v>1402</v>
      </c>
      <c r="G53" s="9" t="s">
        <v>1401</v>
      </c>
      <c r="H53" s="9" t="s">
        <v>1407</v>
      </c>
      <c r="I53" s="9" t="s">
        <v>6</v>
      </c>
      <c r="J53" s="9" t="s">
        <v>1209</v>
      </c>
      <c r="K53" s="9" t="s">
        <v>1209</v>
      </c>
      <c r="L53" s="9" t="s">
        <v>1401</v>
      </c>
      <c r="M53" s="9" t="s">
        <v>543</v>
      </c>
      <c r="N53" s="9" t="s">
        <v>1401</v>
      </c>
      <c r="O53" s="9" t="s">
        <v>1407</v>
      </c>
      <c r="P53" s="9" t="s">
        <v>562</v>
      </c>
      <c r="Q53" s="9" t="s">
        <v>1322</v>
      </c>
      <c r="R53" s="9" t="s">
        <v>544</v>
      </c>
      <c r="S53" s="9" t="s">
        <v>82</v>
      </c>
      <c r="T53" s="9" t="s">
        <v>563</v>
      </c>
      <c r="U53" s="9" t="s">
        <v>564</v>
      </c>
      <c r="V53" s="9" t="s">
        <v>85</v>
      </c>
      <c r="W53" s="9" t="s">
        <v>565</v>
      </c>
      <c r="X53" s="9" t="s">
        <v>1209</v>
      </c>
      <c r="Y53" s="9" t="s">
        <v>1404</v>
      </c>
      <c r="Z53" s="9" t="s">
        <v>1212</v>
      </c>
      <c r="AA53" s="9"/>
      <c r="AB53" s="9" t="s">
        <v>545</v>
      </c>
      <c r="AC53" s="9" t="s">
        <v>88</v>
      </c>
      <c r="AD53" s="9" t="s">
        <v>1213</v>
      </c>
      <c r="AE53" s="9" t="s">
        <v>89</v>
      </c>
      <c r="AF53" s="9" t="s">
        <v>1405</v>
      </c>
      <c r="AG53" s="9" t="s">
        <v>546</v>
      </c>
      <c r="AH53" s="9" t="s">
        <v>547</v>
      </c>
      <c r="AI53" s="9" t="s">
        <v>92</v>
      </c>
      <c r="AJ53" s="9" t="s">
        <v>92</v>
      </c>
      <c r="AK53" s="9" t="s">
        <v>92</v>
      </c>
      <c r="AL53" s="9" t="s">
        <v>92</v>
      </c>
      <c r="AM53" s="9" t="s">
        <v>92</v>
      </c>
      <c r="AN53" s="9" t="s">
        <v>548</v>
      </c>
      <c r="AO53" s="9" t="s">
        <v>549</v>
      </c>
      <c r="AP53" s="9" t="s">
        <v>566</v>
      </c>
      <c r="AQ53" s="9" t="s">
        <v>567</v>
      </c>
      <c r="AR53" s="9" t="s">
        <v>568</v>
      </c>
      <c r="AS53" s="9" t="s">
        <v>99</v>
      </c>
      <c r="AT53" s="9" t="s">
        <v>99</v>
      </c>
      <c r="AU53" s="9" t="s">
        <v>100</v>
      </c>
      <c r="AV53" s="9" t="s">
        <v>550</v>
      </c>
      <c r="AW53" s="9" t="s">
        <v>551</v>
      </c>
      <c r="AX53" s="9" t="s">
        <v>552</v>
      </c>
      <c r="AY53" s="9" t="s">
        <v>104</v>
      </c>
      <c r="AZ53" s="9" t="s">
        <v>104</v>
      </c>
      <c r="BA53" s="9" t="s">
        <v>104</v>
      </c>
      <c r="BB53" s="9" t="s">
        <v>105</v>
      </c>
      <c r="BC53" s="9" t="s">
        <v>105</v>
      </c>
      <c r="BD53" s="9" t="s">
        <v>105</v>
      </c>
      <c r="BE53" s="9" t="s">
        <v>105</v>
      </c>
      <c r="BF53" s="9" t="s">
        <v>105</v>
      </c>
      <c r="BG53" s="9" t="s">
        <v>105</v>
      </c>
      <c r="BH53" s="9" t="s">
        <v>105</v>
      </c>
      <c r="BI53" s="9" t="s">
        <v>105</v>
      </c>
      <c r="BJ53" s="9" t="s">
        <v>560</v>
      </c>
      <c r="BK53" s="9" t="s">
        <v>561</v>
      </c>
      <c r="BL53" s="9" t="s">
        <v>105</v>
      </c>
      <c r="BM53" s="9" t="s">
        <v>99</v>
      </c>
      <c r="BN53" s="9" t="s">
        <v>99</v>
      </c>
      <c r="BO53" s="9" t="s">
        <v>100</v>
      </c>
      <c r="BP53" s="9" t="s">
        <v>566</v>
      </c>
      <c r="BQ53" s="9" t="s">
        <v>567</v>
      </c>
      <c r="BR53" s="9" t="s">
        <v>568</v>
      </c>
      <c r="BS53" s="9"/>
    </row>
    <row r="54" spans="1:71" x14ac:dyDescent="0.25">
      <c r="A54" s="9" t="s">
        <v>1216</v>
      </c>
      <c r="B54" s="9" t="s">
        <v>1217</v>
      </c>
      <c r="C54" s="9" t="s">
        <v>1408</v>
      </c>
      <c r="D54" s="9" t="s">
        <v>1219</v>
      </c>
      <c r="E54" s="9" t="s">
        <v>1409</v>
      </c>
      <c r="F54" s="9" t="s">
        <v>1410</v>
      </c>
      <c r="G54" s="9" t="s">
        <v>1409</v>
      </c>
      <c r="H54" s="9" t="s">
        <v>1411</v>
      </c>
      <c r="I54" s="9" t="s">
        <v>6</v>
      </c>
      <c r="J54" s="9" t="s">
        <v>1209</v>
      </c>
      <c r="K54" s="9" t="s">
        <v>1209</v>
      </c>
      <c r="L54" s="9" t="s">
        <v>1409</v>
      </c>
      <c r="M54" s="9" t="s">
        <v>569</v>
      </c>
      <c r="N54" s="9" t="s">
        <v>1409</v>
      </c>
      <c r="O54" s="9" t="s">
        <v>1411</v>
      </c>
      <c r="P54" s="9" t="s">
        <v>570</v>
      </c>
      <c r="Q54" s="9" t="s">
        <v>1209</v>
      </c>
      <c r="R54" s="9" t="s">
        <v>570</v>
      </c>
      <c r="S54" s="9" t="s">
        <v>82</v>
      </c>
      <c r="T54" s="9" t="s">
        <v>83</v>
      </c>
      <c r="U54" s="9" t="s">
        <v>571</v>
      </c>
      <c r="V54" s="9" t="s">
        <v>85</v>
      </c>
      <c r="W54" s="9" t="s">
        <v>572</v>
      </c>
      <c r="X54" s="9" t="s">
        <v>1209</v>
      </c>
      <c r="Y54" s="9" t="s">
        <v>1412</v>
      </c>
      <c r="Z54" s="9" t="s">
        <v>1212</v>
      </c>
      <c r="AA54" s="9" t="s">
        <v>573</v>
      </c>
      <c r="AB54" s="9" t="s">
        <v>202</v>
      </c>
      <c r="AC54" s="9" t="s">
        <v>88</v>
      </c>
      <c r="AD54" s="9" t="s">
        <v>1213</v>
      </c>
      <c r="AE54" s="9" t="s">
        <v>89</v>
      </c>
      <c r="AF54" s="9" t="s">
        <v>1262</v>
      </c>
      <c r="AG54" s="9" t="s">
        <v>574</v>
      </c>
      <c r="AH54" s="9" t="s">
        <v>92</v>
      </c>
      <c r="AI54" s="9" t="s">
        <v>92</v>
      </c>
      <c r="AJ54" s="9" t="s">
        <v>575</v>
      </c>
      <c r="AK54" s="9" t="s">
        <v>576</v>
      </c>
      <c r="AL54" s="9" t="s">
        <v>577</v>
      </c>
      <c r="AM54" s="9" t="s">
        <v>92</v>
      </c>
      <c r="AN54" s="9" t="s">
        <v>578</v>
      </c>
      <c r="AO54" s="9" t="s">
        <v>579</v>
      </c>
      <c r="AP54" s="9" t="s">
        <v>105</v>
      </c>
      <c r="AQ54" s="9" t="s">
        <v>105</v>
      </c>
      <c r="AR54" s="9" t="s">
        <v>580</v>
      </c>
      <c r="AS54" s="9" t="s">
        <v>122</v>
      </c>
      <c r="AT54" s="9" t="s">
        <v>122</v>
      </c>
      <c r="AU54" s="9" t="s">
        <v>100</v>
      </c>
      <c r="AV54" s="9" t="s">
        <v>581</v>
      </c>
      <c r="AW54" s="9" t="s">
        <v>582</v>
      </c>
      <c r="AX54" s="9" t="s">
        <v>583</v>
      </c>
      <c r="AY54" s="9" t="s">
        <v>126</v>
      </c>
      <c r="AZ54" s="9" t="s">
        <v>126</v>
      </c>
      <c r="BA54" s="9" t="s">
        <v>126</v>
      </c>
      <c r="BB54" s="9" t="s">
        <v>105</v>
      </c>
      <c r="BC54" s="9" t="s">
        <v>105</v>
      </c>
      <c r="BD54" s="9" t="s">
        <v>105</v>
      </c>
      <c r="BE54" s="9" t="s">
        <v>105</v>
      </c>
      <c r="BF54" s="9" t="s">
        <v>105</v>
      </c>
      <c r="BG54" s="9" t="s">
        <v>105</v>
      </c>
      <c r="BH54" s="9" t="s">
        <v>105</v>
      </c>
      <c r="BI54" s="9" t="s">
        <v>105</v>
      </c>
      <c r="BJ54" s="9" t="s">
        <v>584</v>
      </c>
      <c r="BK54" s="9" t="s">
        <v>585</v>
      </c>
      <c r="BL54" s="9" t="s">
        <v>105</v>
      </c>
      <c r="BM54" s="9" t="s">
        <v>122</v>
      </c>
      <c r="BN54" s="9" t="s">
        <v>122</v>
      </c>
      <c r="BO54" s="9" t="s">
        <v>100</v>
      </c>
      <c r="BP54" s="9" t="s">
        <v>105</v>
      </c>
      <c r="BQ54" s="9" t="s">
        <v>105</v>
      </c>
      <c r="BR54" s="9" t="s">
        <v>580</v>
      </c>
      <c r="BS54" s="9"/>
    </row>
    <row r="55" spans="1:71" x14ac:dyDescent="0.25">
      <c r="A55" s="9" t="s">
        <v>1216</v>
      </c>
      <c r="B55" s="9" t="s">
        <v>1217</v>
      </c>
      <c r="C55" s="9" t="s">
        <v>1413</v>
      </c>
      <c r="D55" s="9" t="s">
        <v>1219</v>
      </c>
      <c r="E55" s="9" t="s">
        <v>1414</v>
      </c>
      <c r="F55" s="9" t="s">
        <v>1410</v>
      </c>
      <c r="G55" s="9" t="s">
        <v>1414</v>
      </c>
      <c r="H55" s="9" t="s">
        <v>1411</v>
      </c>
      <c r="I55" s="9" t="s">
        <v>6</v>
      </c>
      <c r="J55" s="9" t="s">
        <v>1209</v>
      </c>
      <c r="K55" s="9" t="s">
        <v>1209</v>
      </c>
      <c r="L55" s="9" t="s">
        <v>1414</v>
      </c>
      <c r="M55" s="9" t="s">
        <v>586</v>
      </c>
      <c r="N55" s="9" t="s">
        <v>1414</v>
      </c>
      <c r="O55" s="9" t="s">
        <v>1411</v>
      </c>
      <c r="P55" s="9" t="s">
        <v>587</v>
      </c>
      <c r="Q55" s="9" t="s">
        <v>1209</v>
      </c>
      <c r="R55" s="9" t="s">
        <v>587</v>
      </c>
      <c r="S55" s="9" t="s">
        <v>82</v>
      </c>
      <c r="T55" s="9" t="s">
        <v>83</v>
      </c>
      <c r="U55" s="9" t="s">
        <v>588</v>
      </c>
      <c r="V55" s="9" t="s">
        <v>85</v>
      </c>
      <c r="W55" s="9" t="s">
        <v>589</v>
      </c>
      <c r="X55" s="9" t="s">
        <v>1209</v>
      </c>
      <c r="Y55" s="9" t="s">
        <v>1412</v>
      </c>
      <c r="Z55" s="9" t="s">
        <v>1212</v>
      </c>
      <c r="AA55" s="9" t="s">
        <v>573</v>
      </c>
      <c r="AB55" s="9" t="s">
        <v>202</v>
      </c>
      <c r="AC55" s="9" t="s">
        <v>88</v>
      </c>
      <c r="AD55" s="9" t="s">
        <v>1213</v>
      </c>
      <c r="AE55" s="9" t="s">
        <v>89</v>
      </c>
      <c r="AF55" s="9" t="s">
        <v>1262</v>
      </c>
      <c r="AG55" s="9" t="s">
        <v>574</v>
      </c>
      <c r="AH55" s="9" t="s">
        <v>92</v>
      </c>
      <c r="AI55" s="9" t="s">
        <v>92</v>
      </c>
      <c r="AJ55" s="9" t="s">
        <v>575</v>
      </c>
      <c r="AK55" s="9" t="s">
        <v>576</v>
      </c>
      <c r="AL55" s="9" t="s">
        <v>577</v>
      </c>
      <c r="AM55" s="9" t="s">
        <v>92</v>
      </c>
      <c r="AN55" s="9" t="s">
        <v>578</v>
      </c>
      <c r="AO55" s="9" t="s">
        <v>579</v>
      </c>
      <c r="AP55" s="9" t="s">
        <v>105</v>
      </c>
      <c r="AQ55" s="9" t="s">
        <v>105</v>
      </c>
      <c r="AR55" s="9" t="s">
        <v>580</v>
      </c>
      <c r="AS55" s="9" t="s">
        <v>122</v>
      </c>
      <c r="AT55" s="9" t="s">
        <v>122</v>
      </c>
      <c r="AU55" s="9" t="s">
        <v>100</v>
      </c>
      <c r="AV55" s="9" t="s">
        <v>581</v>
      </c>
      <c r="AW55" s="9" t="s">
        <v>582</v>
      </c>
      <c r="AX55" s="9" t="s">
        <v>583</v>
      </c>
      <c r="AY55" s="9" t="s">
        <v>126</v>
      </c>
      <c r="AZ55" s="9" t="s">
        <v>126</v>
      </c>
      <c r="BA55" s="9" t="s">
        <v>126</v>
      </c>
      <c r="BB55" s="9" t="s">
        <v>105</v>
      </c>
      <c r="BC55" s="9" t="s">
        <v>105</v>
      </c>
      <c r="BD55" s="9" t="s">
        <v>105</v>
      </c>
      <c r="BE55" s="9" t="s">
        <v>105</v>
      </c>
      <c r="BF55" s="9" t="s">
        <v>105</v>
      </c>
      <c r="BG55" s="9" t="s">
        <v>105</v>
      </c>
      <c r="BH55" s="9" t="s">
        <v>105</v>
      </c>
      <c r="BI55" s="9" t="s">
        <v>105</v>
      </c>
      <c r="BJ55" s="9" t="s">
        <v>584</v>
      </c>
      <c r="BK55" s="9" t="s">
        <v>585</v>
      </c>
      <c r="BL55" s="9" t="s">
        <v>105</v>
      </c>
      <c r="BM55" s="9" t="s">
        <v>122</v>
      </c>
      <c r="BN55" s="9" t="s">
        <v>122</v>
      </c>
      <c r="BO55" s="9" t="s">
        <v>100</v>
      </c>
      <c r="BP55" s="9" t="s">
        <v>105</v>
      </c>
      <c r="BQ55" s="9" t="s">
        <v>105</v>
      </c>
      <c r="BR55" s="9" t="s">
        <v>580</v>
      </c>
      <c r="BS55" s="9"/>
    </row>
    <row r="56" spans="1:71" x14ac:dyDescent="0.25">
      <c r="A56" s="9" t="s">
        <v>1216</v>
      </c>
      <c r="B56" s="9" t="s">
        <v>1217</v>
      </c>
      <c r="C56" s="9" t="s">
        <v>1415</v>
      </c>
      <c r="D56" s="9" t="s">
        <v>1219</v>
      </c>
      <c r="E56" s="9" t="s">
        <v>1416</v>
      </c>
      <c r="F56" s="9" t="s">
        <v>1417</v>
      </c>
      <c r="G56" s="9" t="s">
        <v>1416</v>
      </c>
      <c r="H56" s="9" t="s">
        <v>1418</v>
      </c>
      <c r="I56" s="9" t="s">
        <v>6</v>
      </c>
      <c r="J56" s="9" t="s">
        <v>1209</v>
      </c>
      <c r="K56" s="9" t="s">
        <v>1209</v>
      </c>
      <c r="L56" s="9" t="s">
        <v>1416</v>
      </c>
      <c r="M56" s="9" t="s">
        <v>333</v>
      </c>
      <c r="N56" s="9" t="s">
        <v>1416</v>
      </c>
      <c r="O56" s="9" t="s">
        <v>1418</v>
      </c>
      <c r="P56" s="9" t="s">
        <v>590</v>
      </c>
      <c r="Q56" s="9" t="s">
        <v>1209</v>
      </c>
      <c r="R56" s="9" t="s">
        <v>590</v>
      </c>
      <c r="S56" s="9" t="s">
        <v>82</v>
      </c>
      <c r="T56" s="9" t="s">
        <v>83</v>
      </c>
      <c r="U56" s="9" t="s">
        <v>591</v>
      </c>
      <c r="V56" s="9" t="s">
        <v>85</v>
      </c>
      <c r="W56" s="9" t="s">
        <v>336</v>
      </c>
      <c r="X56" s="9" t="s">
        <v>1209</v>
      </c>
      <c r="Y56" s="9" t="s">
        <v>1419</v>
      </c>
      <c r="Z56" s="9" t="s">
        <v>1212</v>
      </c>
      <c r="AA56" s="9" t="s">
        <v>133</v>
      </c>
      <c r="AB56" s="9" t="s">
        <v>202</v>
      </c>
      <c r="AC56" s="9" t="s">
        <v>88</v>
      </c>
      <c r="AD56" s="9" t="s">
        <v>1213</v>
      </c>
      <c r="AE56" s="9" t="s">
        <v>89</v>
      </c>
      <c r="AF56" s="9" t="s">
        <v>1262</v>
      </c>
      <c r="AG56" s="9" t="s">
        <v>592</v>
      </c>
      <c r="AH56" s="9" t="s">
        <v>338</v>
      </c>
      <c r="AI56" s="9" t="s">
        <v>92</v>
      </c>
      <c r="AJ56" s="9" t="s">
        <v>92</v>
      </c>
      <c r="AK56" s="9" t="s">
        <v>593</v>
      </c>
      <c r="AL56" s="9" t="s">
        <v>92</v>
      </c>
      <c r="AM56" s="9" t="s">
        <v>92</v>
      </c>
      <c r="AN56" s="9" t="s">
        <v>594</v>
      </c>
      <c r="AO56" s="9" t="s">
        <v>595</v>
      </c>
      <c r="AP56" s="9" t="s">
        <v>105</v>
      </c>
      <c r="AQ56" s="9" t="s">
        <v>105</v>
      </c>
      <c r="AR56" s="9" t="s">
        <v>342</v>
      </c>
      <c r="AS56" s="9" t="s">
        <v>122</v>
      </c>
      <c r="AT56" s="9" t="s">
        <v>122</v>
      </c>
      <c r="AU56" s="9" t="s">
        <v>100</v>
      </c>
      <c r="AV56" s="9" t="s">
        <v>343</v>
      </c>
      <c r="AW56" s="9" t="s">
        <v>344</v>
      </c>
      <c r="AX56" s="9" t="s">
        <v>345</v>
      </c>
      <c r="AY56" s="9" t="s">
        <v>126</v>
      </c>
      <c r="AZ56" s="9" t="s">
        <v>126</v>
      </c>
      <c r="BA56" s="9" t="s">
        <v>126</v>
      </c>
      <c r="BB56" s="9" t="s">
        <v>105</v>
      </c>
      <c r="BC56" s="9" t="s">
        <v>105</v>
      </c>
      <c r="BD56" s="9" t="s">
        <v>105</v>
      </c>
      <c r="BE56" s="9" t="s">
        <v>105</v>
      </c>
      <c r="BF56" s="9" t="s">
        <v>105</v>
      </c>
      <c r="BG56" s="9" t="s">
        <v>105</v>
      </c>
      <c r="BH56" s="9" t="s">
        <v>105</v>
      </c>
      <c r="BI56" s="9" t="s">
        <v>105</v>
      </c>
      <c r="BJ56" s="9" t="s">
        <v>346</v>
      </c>
      <c r="BK56" s="9" t="s">
        <v>347</v>
      </c>
      <c r="BL56" s="9" t="s">
        <v>105</v>
      </c>
      <c r="BM56" s="9" t="s">
        <v>122</v>
      </c>
      <c r="BN56" s="9" t="s">
        <v>122</v>
      </c>
      <c r="BO56" s="9" t="s">
        <v>100</v>
      </c>
      <c r="BP56" s="9" t="s">
        <v>105</v>
      </c>
      <c r="BQ56" s="9" t="s">
        <v>105</v>
      </c>
      <c r="BR56" s="9" t="s">
        <v>342</v>
      </c>
      <c r="BS56" s="9"/>
    </row>
    <row r="57" spans="1:71" x14ac:dyDescent="0.25">
      <c r="A57" s="9" t="s">
        <v>1216</v>
      </c>
      <c r="B57" s="9" t="s">
        <v>1217</v>
      </c>
      <c r="C57" s="9" t="s">
        <v>1420</v>
      </c>
      <c r="D57" s="9" t="s">
        <v>1219</v>
      </c>
      <c r="E57" s="9" t="s">
        <v>1421</v>
      </c>
      <c r="F57" s="9" t="s">
        <v>1422</v>
      </c>
      <c r="G57" s="9" t="s">
        <v>1421</v>
      </c>
      <c r="H57" s="9" t="s">
        <v>1423</v>
      </c>
      <c r="I57" s="9" t="s">
        <v>6</v>
      </c>
      <c r="J57" s="9" t="s">
        <v>1209</v>
      </c>
      <c r="K57" s="9" t="s">
        <v>1209</v>
      </c>
      <c r="L57" s="9" t="s">
        <v>1421</v>
      </c>
      <c r="M57" s="9" t="s">
        <v>596</v>
      </c>
      <c r="N57" s="9" t="s">
        <v>1421</v>
      </c>
      <c r="O57" s="9" t="s">
        <v>1423</v>
      </c>
      <c r="P57" s="9" t="s">
        <v>597</v>
      </c>
      <c r="Q57" s="9" t="s">
        <v>1210</v>
      </c>
      <c r="R57" s="9" t="s">
        <v>598</v>
      </c>
      <c r="S57" s="9" t="s">
        <v>82</v>
      </c>
      <c r="T57" s="9" t="s">
        <v>599</v>
      </c>
      <c r="U57" s="9" t="s">
        <v>600</v>
      </c>
      <c r="V57" s="9" t="s">
        <v>85</v>
      </c>
      <c r="W57" s="9" t="s">
        <v>601</v>
      </c>
      <c r="X57" s="9" t="s">
        <v>1209</v>
      </c>
      <c r="Y57" s="9" t="s">
        <v>1424</v>
      </c>
      <c r="Z57" s="9" t="s">
        <v>1212</v>
      </c>
      <c r="AA57" s="9" t="s">
        <v>133</v>
      </c>
      <c r="AB57" s="9" t="s">
        <v>602</v>
      </c>
      <c r="AC57" s="9" t="s">
        <v>88</v>
      </c>
      <c r="AD57" s="9" t="s">
        <v>1213</v>
      </c>
      <c r="AE57" s="9" t="s">
        <v>89</v>
      </c>
      <c r="AF57" s="9" t="s">
        <v>1425</v>
      </c>
      <c r="AG57" s="9" t="s">
        <v>603</v>
      </c>
      <c r="AH57" s="9" t="s">
        <v>604</v>
      </c>
      <c r="AI57" s="9" t="s">
        <v>92</v>
      </c>
      <c r="AJ57" s="9" t="s">
        <v>92</v>
      </c>
      <c r="AK57" s="9" t="s">
        <v>605</v>
      </c>
      <c r="AL57" s="9" t="s">
        <v>92</v>
      </c>
      <c r="AM57" s="9" t="s">
        <v>92</v>
      </c>
      <c r="AN57" s="9" t="s">
        <v>606</v>
      </c>
      <c r="AO57" s="9" t="s">
        <v>607</v>
      </c>
      <c r="AP57" s="9" t="s">
        <v>105</v>
      </c>
      <c r="AQ57" s="9" t="s">
        <v>105</v>
      </c>
      <c r="AR57" s="9" t="s">
        <v>608</v>
      </c>
      <c r="AS57" s="9" t="s">
        <v>192</v>
      </c>
      <c r="AT57" s="9" t="s">
        <v>192</v>
      </c>
      <c r="AU57" s="9" t="s">
        <v>100</v>
      </c>
      <c r="AV57" s="9" t="s">
        <v>609</v>
      </c>
      <c r="AW57" s="9" t="s">
        <v>610</v>
      </c>
      <c r="AX57" s="9" t="s">
        <v>611</v>
      </c>
      <c r="AY57" s="9" t="s">
        <v>126</v>
      </c>
      <c r="AZ57" s="9" t="s">
        <v>126</v>
      </c>
      <c r="BA57" s="9" t="s">
        <v>126</v>
      </c>
      <c r="BB57" s="9" t="s">
        <v>105</v>
      </c>
      <c r="BC57" s="9" t="s">
        <v>105</v>
      </c>
      <c r="BD57" s="9" t="s">
        <v>105</v>
      </c>
      <c r="BE57" s="9" t="s">
        <v>105</v>
      </c>
      <c r="BF57" s="9" t="s">
        <v>105</v>
      </c>
      <c r="BG57" s="9" t="s">
        <v>105</v>
      </c>
      <c r="BH57" s="9" t="s">
        <v>105</v>
      </c>
      <c r="BI57" s="9" t="s">
        <v>105</v>
      </c>
      <c r="BJ57" s="9" t="s">
        <v>612</v>
      </c>
      <c r="BK57" s="9" t="s">
        <v>613</v>
      </c>
      <c r="BL57" s="9" t="s">
        <v>105</v>
      </c>
      <c r="BM57" s="9" t="s">
        <v>192</v>
      </c>
      <c r="BN57" s="9" t="s">
        <v>192</v>
      </c>
      <c r="BO57" s="9" t="s">
        <v>100</v>
      </c>
      <c r="BP57" s="9" t="s">
        <v>105</v>
      </c>
      <c r="BQ57" s="9" t="s">
        <v>105</v>
      </c>
      <c r="BR57" s="9" t="s">
        <v>608</v>
      </c>
      <c r="BS57" s="9"/>
    </row>
    <row r="58" spans="1:71" x14ac:dyDescent="0.25">
      <c r="A58" s="9" t="s">
        <v>1216</v>
      </c>
      <c r="B58" s="9" t="s">
        <v>1217</v>
      </c>
      <c r="C58" s="9" t="s">
        <v>1420</v>
      </c>
      <c r="D58" s="9" t="s">
        <v>1219</v>
      </c>
      <c r="E58" s="9" t="s">
        <v>1421</v>
      </c>
      <c r="F58" s="9" t="s">
        <v>1422</v>
      </c>
      <c r="G58" s="9" t="s">
        <v>1421</v>
      </c>
      <c r="H58" s="9" t="s">
        <v>1426</v>
      </c>
      <c r="I58" s="9" t="s">
        <v>6</v>
      </c>
      <c r="J58" s="9" t="s">
        <v>1209</v>
      </c>
      <c r="K58" s="9" t="s">
        <v>1209</v>
      </c>
      <c r="L58" s="9" t="s">
        <v>1421</v>
      </c>
      <c r="M58" s="9" t="s">
        <v>596</v>
      </c>
      <c r="N58" s="9" t="s">
        <v>1421</v>
      </c>
      <c r="O58" s="9" t="s">
        <v>1426</v>
      </c>
      <c r="P58" s="9" t="s">
        <v>614</v>
      </c>
      <c r="Q58" s="9" t="s">
        <v>1210</v>
      </c>
      <c r="R58" s="9" t="s">
        <v>598</v>
      </c>
      <c r="S58" s="9" t="s">
        <v>82</v>
      </c>
      <c r="T58" s="9" t="s">
        <v>615</v>
      </c>
      <c r="U58" s="9" t="s">
        <v>616</v>
      </c>
      <c r="V58" s="9" t="s">
        <v>85</v>
      </c>
      <c r="W58" s="9" t="s">
        <v>617</v>
      </c>
      <c r="X58" s="9" t="s">
        <v>1209</v>
      </c>
      <c r="Y58" s="9" t="s">
        <v>1424</v>
      </c>
      <c r="Z58" s="9" t="s">
        <v>1212</v>
      </c>
      <c r="AA58" s="9" t="s">
        <v>133</v>
      </c>
      <c r="AB58" s="9" t="s">
        <v>602</v>
      </c>
      <c r="AC58" s="9" t="s">
        <v>88</v>
      </c>
      <c r="AD58" s="9" t="s">
        <v>1213</v>
      </c>
      <c r="AE58" s="9" t="s">
        <v>89</v>
      </c>
      <c r="AF58" s="9" t="s">
        <v>1425</v>
      </c>
      <c r="AG58" s="9" t="s">
        <v>603</v>
      </c>
      <c r="AH58" s="9" t="s">
        <v>604</v>
      </c>
      <c r="AI58" s="9" t="s">
        <v>92</v>
      </c>
      <c r="AJ58" s="9" t="s">
        <v>92</v>
      </c>
      <c r="AK58" s="9" t="s">
        <v>605</v>
      </c>
      <c r="AL58" s="9" t="s">
        <v>92</v>
      </c>
      <c r="AM58" s="9" t="s">
        <v>92</v>
      </c>
      <c r="AN58" s="9" t="s">
        <v>606</v>
      </c>
      <c r="AO58" s="9" t="s">
        <v>607</v>
      </c>
      <c r="AP58" s="9" t="s">
        <v>105</v>
      </c>
      <c r="AQ58" s="9" t="s">
        <v>105</v>
      </c>
      <c r="AR58" s="9" t="s">
        <v>608</v>
      </c>
      <c r="AS58" s="9" t="s">
        <v>192</v>
      </c>
      <c r="AT58" s="9" t="s">
        <v>192</v>
      </c>
      <c r="AU58" s="9" t="s">
        <v>100</v>
      </c>
      <c r="AV58" s="9" t="s">
        <v>609</v>
      </c>
      <c r="AW58" s="9" t="s">
        <v>610</v>
      </c>
      <c r="AX58" s="9" t="s">
        <v>611</v>
      </c>
      <c r="AY58" s="9" t="s">
        <v>126</v>
      </c>
      <c r="AZ58" s="9" t="s">
        <v>126</v>
      </c>
      <c r="BA58" s="9" t="s">
        <v>126</v>
      </c>
      <c r="BB58" s="9" t="s">
        <v>105</v>
      </c>
      <c r="BC58" s="9" t="s">
        <v>105</v>
      </c>
      <c r="BD58" s="9" t="s">
        <v>105</v>
      </c>
      <c r="BE58" s="9" t="s">
        <v>105</v>
      </c>
      <c r="BF58" s="9" t="s">
        <v>105</v>
      </c>
      <c r="BG58" s="9" t="s">
        <v>105</v>
      </c>
      <c r="BH58" s="9" t="s">
        <v>105</v>
      </c>
      <c r="BI58" s="9" t="s">
        <v>105</v>
      </c>
      <c r="BJ58" s="9" t="s">
        <v>618</v>
      </c>
      <c r="BK58" s="9" t="s">
        <v>619</v>
      </c>
      <c r="BL58" s="9" t="s">
        <v>105</v>
      </c>
      <c r="BM58" s="9" t="s">
        <v>192</v>
      </c>
      <c r="BN58" s="9" t="s">
        <v>192</v>
      </c>
      <c r="BO58" s="9" t="s">
        <v>100</v>
      </c>
      <c r="BP58" s="9" t="s">
        <v>105</v>
      </c>
      <c r="BQ58" s="9" t="s">
        <v>105</v>
      </c>
      <c r="BR58" s="9" t="s">
        <v>608</v>
      </c>
      <c r="BS58" s="9"/>
    </row>
    <row r="59" spans="1:71" x14ac:dyDescent="0.25">
      <c r="A59" s="9" t="s">
        <v>1202</v>
      </c>
      <c r="B59" s="9" t="s">
        <v>1203</v>
      </c>
      <c r="C59" s="9" t="s">
        <v>1427</v>
      </c>
      <c r="D59" s="9" t="s">
        <v>1428</v>
      </c>
      <c r="E59" s="9" t="s">
        <v>1429</v>
      </c>
      <c r="F59" s="9" t="s">
        <v>1430</v>
      </c>
      <c r="G59" s="9" t="s">
        <v>1429</v>
      </c>
      <c r="H59" s="9" t="s">
        <v>1431</v>
      </c>
      <c r="I59" s="9" t="s">
        <v>6</v>
      </c>
      <c r="J59" s="9" t="s">
        <v>1209</v>
      </c>
      <c r="K59" s="9" t="s">
        <v>1209</v>
      </c>
      <c r="L59" s="9" t="s">
        <v>1429</v>
      </c>
      <c r="M59" s="9" t="s">
        <v>620</v>
      </c>
      <c r="N59" s="9" t="s">
        <v>1429</v>
      </c>
      <c r="O59" s="9" t="s">
        <v>1431</v>
      </c>
      <c r="P59" s="9" t="s">
        <v>92</v>
      </c>
      <c r="Q59" s="9" t="s">
        <v>1210</v>
      </c>
      <c r="R59" s="9" t="s">
        <v>621</v>
      </c>
      <c r="S59" s="9" t="s">
        <v>82</v>
      </c>
      <c r="T59" s="9" t="s">
        <v>108</v>
      </c>
      <c r="U59" s="9" t="s">
        <v>108</v>
      </c>
      <c r="V59" s="9" t="s">
        <v>85</v>
      </c>
      <c r="W59" s="9" t="s">
        <v>109</v>
      </c>
      <c r="X59" s="9" t="s">
        <v>1209</v>
      </c>
      <c r="Y59" s="9" t="s">
        <v>1432</v>
      </c>
      <c r="Z59" s="9" t="s">
        <v>1212</v>
      </c>
      <c r="AA59" s="9"/>
      <c r="AB59" s="9" t="s">
        <v>622</v>
      </c>
      <c r="AC59" s="9" t="s">
        <v>88</v>
      </c>
      <c r="AD59" s="9" t="s">
        <v>1213</v>
      </c>
      <c r="AE59" s="9" t="s">
        <v>89</v>
      </c>
      <c r="AF59" s="9" t="s">
        <v>1433</v>
      </c>
      <c r="AG59" s="9" t="s">
        <v>623</v>
      </c>
      <c r="AH59" s="9" t="s">
        <v>624</v>
      </c>
      <c r="AI59" s="9" t="s">
        <v>92</v>
      </c>
      <c r="AJ59" s="9" t="s">
        <v>92</v>
      </c>
      <c r="AK59" s="9" t="s">
        <v>625</v>
      </c>
      <c r="AL59" s="9" t="s">
        <v>92</v>
      </c>
      <c r="AM59" s="9" t="s">
        <v>92</v>
      </c>
      <c r="AN59" s="9" t="s">
        <v>626</v>
      </c>
      <c r="AO59" s="9" t="s">
        <v>627</v>
      </c>
      <c r="AP59" s="9" t="s">
        <v>110</v>
      </c>
      <c r="AQ59" s="9" t="s">
        <v>110</v>
      </c>
      <c r="AR59" s="9" t="s">
        <v>110</v>
      </c>
      <c r="AS59" s="9" t="s">
        <v>99</v>
      </c>
      <c r="AT59" s="9" t="s">
        <v>99</v>
      </c>
      <c r="AU59" s="9" t="s">
        <v>100</v>
      </c>
      <c r="AV59" s="9" t="s">
        <v>628</v>
      </c>
      <c r="AW59" s="9" t="s">
        <v>629</v>
      </c>
      <c r="AX59" s="9" t="s">
        <v>630</v>
      </c>
      <c r="AY59" s="9" t="s">
        <v>104</v>
      </c>
      <c r="AZ59" s="9" t="s">
        <v>104</v>
      </c>
      <c r="BA59" s="9" t="s">
        <v>104</v>
      </c>
      <c r="BB59" s="9" t="s">
        <v>105</v>
      </c>
      <c r="BC59" s="9" t="s">
        <v>105</v>
      </c>
      <c r="BD59" s="9" t="s">
        <v>105</v>
      </c>
      <c r="BE59" s="9" t="s">
        <v>105</v>
      </c>
      <c r="BF59" s="9" t="s">
        <v>105</v>
      </c>
      <c r="BG59" s="9" t="s">
        <v>105</v>
      </c>
      <c r="BH59" s="9" t="s">
        <v>105</v>
      </c>
      <c r="BI59" s="9" t="s">
        <v>105</v>
      </c>
      <c r="BJ59" s="9" t="s">
        <v>106</v>
      </c>
      <c r="BK59" s="9" t="s">
        <v>107</v>
      </c>
      <c r="BL59" s="9" t="s">
        <v>105</v>
      </c>
      <c r="BM59" s="9" t="s">
        <v>99</v>
      </c>
      <c r="BN59" s="9" t="s">
        <v>99</v>
      </c>
      <c r="BO59" s="9" t="s">
        <v>100</v>
      </c>
      <c r="BP59" s="9" t="s">
        <v>110</v>
      </c>
      <c r="BQ59" s="9" t="s">
        <v>110</v>
      </c>
      <c r="BR59" s="9" t="s">
        <v>110</v>
      </c>
      <c r="BS59" s="9"/>
    </row>
    <row r="60" spans="1:71" x14ac:dyDescent="0.25">
      <c r="A60" s="9" t="s">
        <v>1202</v>
      </c>
      <c r="B60" s="9" t="s">
        <v>1203</v>
      </c>
      <c r="C60" s="9" t="s">
        <v>1427</v>
      </c>
      <c r="D60" s="9" t="s">
        <v>1428</v>
      </c>
      <c r="E60" s="9" t="s">
        <v>1429</v>
      </c>
      <c r="F60" s="9" t="s">
        <v>1430</v>
      </c>
      <c r="G60" s="9" t="s">
        <v>1429</v>
      </c>
      <c r="H60" s="9" t="s">
        <v>1434</v>
      </c>
      <c r="I60" s="9" t="s">
        <v>6</v>
      </c>
      <c r="J60" s="9" t="s">
        <v>1209</v>
      </c>
      <c r="K60" s="9" t="s">
        <v>1209</v>
      </c>
      <c r="L60" s="9" t="s">
        <v>1429</v>
      </c>
      <c r="M60" s="9" t="s">
        <v>620</v>
      </c>
      <c r="N60" s="9" t="s">
        <v>1429</v>
      </c>
      <c r="O60" s="9" t="s">
        <v>1434</v>
      </c>
      <c r="P60" s="9" t="s">
        <v>621</v>
      </c>
      <c r="Q60" s="9" t="s">
        <v>1210</v>
      </c>
      <c r="R60" s="9" t="s">
        <v>621</v>
      </c>
      <c r="S60" s="9" t="s">
        <v>82</v>
      </c>
      <c r="T60" s="9" t="s">
        <v>83</v>
      </c>
      <c r="U60" s="9" t="s">
        <v>631</v>
      </c>
      <c r="V60" s="9" t="s">
        <v>85</v>
      </c>
      <c r="W60" s="9" t="s">
        <v>632</v>
      </c>
      <c r="X60" s="9" t="s">
        <v>1209</v>
      </c>
      <c r="Y60" s="9" t="s">
        <v>1432</v>
      </c>
      <c r="Z60" s="9" t="s">
        <v>1212</v>
      </c>
      <c r="AA60" s="9"/>
      <c r="AB60" s="9" t="s">
        <v>622</v>
      </c>
      <c r="AC60" s="9" t="s">
        <v>88</v>
      </c>
      <c r="AD60" s="9" t="s">
        <v>1213</v>
      </c>
      <c r="AE60" s="9" t="s">
        <v>89</v>
      </c>
      <c r="AF60" s="9" t="s">
        <v>1433</v>
      </c>
      <c r="AG60" s="9" t="s">
        <v>623</v>
      </c>
      <c r="AH60" s="9" t="s">
        <v>624</v>
      </c>
      <c r="AI60" s="9" t="s">
        <v>92</v>
      </c>
      <c r="AJ60" s="9" t="s">
        <v>92</v>
      </c>
      <c r="AK60" s="9" t="s">
        <v>625</v>
      </c>
      <c r="AL60" s="9" t="s">
        <v>92</v>
      </c>
      <c r="AM60" s="9" t="s">
        <v>92</v>
      </c>
      <c r="AN60" s="9" t="s">
        <v>626</v>
      </c>
      <c r="AO60" s="9" t="s">
        <v>627</v>
      </c>
      <c r="AP60" s="9" t="s">
        <v>633</v>
      </c>
      <c r="AQ60" s="9" t="s">
        <v>634</v>
      </c>
      <c r="AR60" s="9" t="s">
        <v>635</v>
      </c>
      <c r="AS60" s="9" t="s">
        <v>99</v>
      </c>
      <c r="AT60" s="9" t="s">
        <v>99</v>
      </c>
      <c r="AU60" s="9" t="s">
        <v>100</v>
      </c>
      <c r="AV60" s="9" t="s">
        <v>628</v>
      </c>
      <c r="AW60" s="9" t="s">
        <v>629</v>
      </c>
      <c r="AX60" s="9" t="s">
        <v>630</v>
      </c>
      <c r="AY60" s="9" t="s">
        <v>104</v>
      </c>
      <c r="AZ60" s="9" t="s">
        <v>104</v>
      </c>
      <c r="BA60" s="9" t="s">
        <v>104</v>
      </c>
      <c r="BB60" s="9" t="s">
        <v>105</v>
      </c>
      <c r="BC60" s="9" t="s">
        <v>105</v>
      </c>
      <c r="BD60" s="9" t="s">
        <v>105</v>
      </c>
      <c r="BE60" s="9" t="s">
        <v>105</v>
      </c>
      <c r="BF60" s="9" t="s">
        <v>105</v>
      </c>
      <c r="BG60" s="9" t="s">
        <v>105</v>
      </c>
      <c r="BH60" s="9" t="s">
        <v>105</v>
      </c>
      <c r="BI60" s="9" t="s">
        <v>105</v>
      </c>
      <c r="BJ60" s="9" t="s">
        <v>106</v>
      </c>
      <c r="BK60" s="9" t="s">
        <v>107</v>
      </c>
      <c r="BL60" s="9" t="s">
        <v>105</v>
      </c>
      <c r="BM60" s="9" t="s">
        <v>99</v>
      </c>
      <c r="BN60" s="9" t="s">
        <v>99</v>
      </c>
      <c r="BO60" s="9" t="s">
        <v>100</v>
      </c>
      <c r="BP60" s="9" t="s">
        <v>633</v>
      </c>
      <c r="BQ60" s="9" t="s">
        <v>634</v>
      </c>
      <c r="BR60" s="9" t="s">
        <v>635</v>
      </c>
      <c r="BS60" s="9"/>
    </row>
    <row r="61" spans="1:71" x14ac:dyDescent="0.25">
      <c r="A61" s="9" t="s">
        <v>1202</v>
      </c>
      <c r="B61" s="9" t="s">
        <v>1203</v>
      </c>
      <c r="C61" s="9" t="s">
        <v>1435</v>
      </c>
      <c r="D61" s="9" t="s">
        <v>1436</v>
      </c>
      <c r="E61" s="9" t="s">
        <v>1437</v>
      </c>
      <c r="F61" s="9" t="s">
        <v>1438</v>
      </c>
      <c r="G61" s="9" t="s">
        <v>1437</v>
      </c>
      <c r="H61" s="9" t="s">
        <v>1439</v>
      </c>
      <c r="I61" s="9" t="s">
        <v>6</v>
      </c>
      <c r="J61" s="9" t="s">
        <v>1209</v>
      </c>
      <c r="K61" s="9" t="s">
        <v>1209</v>
      </c>
      <c r="L61" s="9" t="s">
        <v>1437</v>
      </c>
      <c r="M61" s="9" t="s">
        <v>636</v>
      </c>
      <c r="N61" s="9" t="s">
        <v>1437</v>
      </c>
      <c r="O61" s="9" t="s">
        <v>1439</v>
      </c>
      <c r="P61" s="9" t="s">
        <v>637</v>
      </c>
      <c r="Q61" s="9" t="s">
        <v>1210</v>
      </c>
      <c r="R61" s="9" t="s">
        <v>637</v>
      </c>
      <c r="S61" s="9" t="s">
        <v>82</v>
      </c>
      <c r="T61" s="9" t="s">
        <v>83</v>
      </c>
      <c r="U61" s="9" t="s">
        <v>638</v>
      </c>
      <c r="V61" s="9" t="s">
        <v>85</v>
      </c>
      <c r="W61" s="9" t="s">
        <v>639</v>
      </c>
      <c r="X61" s="9" t="s">
        <v>1209</v>
      </c>
      <c r="Y61" s="9" t="s">
        <v>1440</v>
      </c>
      <c r="Z61" s="9" t="s">
        <v>1441</v>
      </c>
      <c r="AA61" s="9" t="s">
        <v>640</v>
      </c>
      <c r="AB61" s="9" t="s">
        <v>641</v>
      </c>
      <c r="AC61" s="9" t="s">
        <v>88</v>
      </c>
      <c r="AD61" s="9" t="s">
        <v>1213</v>
      </c>
      <c r="AE61" s="9" t="s">
        <v>89</v>
      </c>
      <c r="AF61" s="9" t="s">
        <v>1442</v>
      </c>
      <c r="AG61" s="9" t="s">
        <v>642</v>
      </c>
      <c r="AH61" s="9" t="s">
        <v>643</v>
      </c>
      <c r="AI61" s="9" t="s">
        <v>92</v>
      </c>
      <c r="AJ61" s="9" t="s">
        <v>92</v>
      </c>
      <c r="AK61" s="9" t="s">
        <v>92</v>
      </c>
      <c r="AL61" s="9" t="s">
        <v>92</v>
      </c>
      <c r="AM61" s="9" t="s">
        <v>92</v>
      </c>
      <c r="AN61" s="9" t="s">
        <v>644</v>
      </c>
      <c r="AO61" s="9" t="s">
        <v>645</v>
      </c>
      <c r="AP61" s="9" t="s">
        <v>646</v>
      </c>
      <c r="AQ61" s="9" t="s">
        <v>647</v>
      </c>
      <c r="AR61" s="9" t="s">
        <v>648</v>
      </c>
      <c r="AS61" s="9" t="s">
        <v>99</v>
      </c>
      <c r="AT61" s="9" t="s">
        <v>99</v>
      </c>
      <c r="AU61" s="9" t="s">
        <v>100</v>
      </c>
      <c r="AV61" s="9" t="s">
        <v>649</v>
      </c>
      <c r="AW61" s="9" t="s">
        <v>650</v>
      </c>
      <c r="AX61" s="9" t="s">
        <v>651</v>
      </c>
      <c r="AY61" s="9" t="s">
        <v>652</v>
      </c>
      <c r="AZ61" s="9" t="s">
        <v>652</v>
      </c>
      <c r="BA61" s="9" t="s">
        <v>652</v>
      </c>
      <c r="BB61" s="9" t="s">
        <v>105</v>
      </c>
      <c r="BC61" s="9" t="s">
        <v>105</v>
      </c>
      <c r="BD61" s="9" t="s">
        <v>105</v>
      </c>
      <c r="BE61" s="9" t="s">
        <v>105</v>
      </c>
      <c r="BF61" s="9" t="s">
        <v>105</v>
      </c>
      <c r="BG61" s="9" t="s">
        <v>105</v>
      </c>
      <c r="BH61" s="9" t="s">
        <v>105</v>
      </c>
      <c r="BI61" s="9" t="s">
        <v>105</v>
      </c>
      <c r="BJ61" s="9" t="s">
        <v>106</v>
      </c>
      <c r="BK61" s="9" t="s">
        <v>107</v>
      </c>
      <c r="BL61" s="9" t="s">
        <v>105</v>
      </c>
      <c r="BM61" s="9" t="s">
        <v>99</v>
      </c>
      <c r="BN61" s="9" t="s">
        <v>99</v>
      </c>
      <c r="BO61" s="9" t="s">
        <v>100</v>
      </c>
      <c r="BP61" s="9" t="s">
        <v>646</v>
      </c>
      <c r="BQ61" s="9" t="s">
        <v>647</v>
      </c>
      <c r="BR61" s="9" t="s">
        <v>648</v>
      </c>
      <c r="BS61" s="9"/>
    </row>
    <row r="62" spans="1:71" x14ac:dyDescent="0.25">
      <c r="A62" s="9" t="s">
        <v>1202</v>
      </c>
      <c r="B62" s="9" t="s">
        <v>1203</v>
      </c>
      <c r="C62" s="9" t="s">
        <v>1435</v>
      </c>
      <c r="D62" s="9" t="s">
        <v>1436</v>
      </c>
      <c r="E62" s="9" t="s">
        <v>1437</v>
      </c>
      <c r="F62" s="9" t="s">
        <v>1438</v>
      </c>
      <c r="G62" s="9" t="s">
        <v>1437</v>
      </c>
      <c r="H62" s="9" t="s">
        <v>1443</v>
      </c>
      <c r="I62" s="9" t="s">
        <v>6</v>
      </c>
      <c r="J62" s="9" t="s">
        <v>1209</v>
      </c>
      <c r="K62" s="9" t="s">
        <v>1209</v>
      </c>
      <c r="L62" s="9" t="s">
        <v>1437</v>
      </c>
      <c r="M62" s="9" t="s">
        <v>636</v>
      </c>
      <c r="N62" s="9" t="s">
        <v>1437</v>
      </c>
      <c r="O62" s="9" t="s">
        <v>1443</v>
      </c>
      <c r="P62" s="9" t="s">
        <v>92</v>
      </c>
      <c r="Q62" s="9" t="s">
        <v>1210</v>
      </c>
      <c r="R62" s="9" t="s">
        <v>637</v>
      </c>
      <c r="S62" s="9" t="s">
        <v>82</v>
      </c>
      <c r="T62" s="9" t="s">
        <v>108</v>
      </c>
      <c r="U62" s="9" t="s">
        <v>108</v>
      </c>
      <c r="V62" s="9" t="s">
        <v>85</v>
      </c>
      <c r="W62" s="9" t="s">
        <v>109</v>
      </c>
      <c r="X62" s="9" t="s">
        <v>1209</v>
      </c>
      <c r="Y62" s="9" t="s">
        <v>1440</v>
      </c>
      <c r="Z62" s="9" t="s">
        <v>1441</v>
      </c>
      <c r="AA62" s="9" t="s">
        <v>640</v>
      </c>
      <c r="AB62" s="9" t="s">
        <v>641</v>
      </c>
      <c r="AC62" s="9" t="s">
        <v>88</v>
      </c>
      <c r="AD62" s="9" t="s">
        <v>1213</v>
      </c>
      <c r="AE62" s="9" t="s">
        <v>89</v>
      </c>
      <c r="AF62" s="9" t="s">
        <v>1442</v>
      </c>
      <c r="AG62" s="9" t="s">
        <v>642</v>
      </c>
      <c r="AH62" s="9" t="s">
        <v>643</v>
      </c>
      <c r="AI62" s="9" t="s">
        <v>92</v>
      </c>
      <c r="AJ62" s="9" t="s">
        <v>92</v>
      </c>
      <c r="AK62" s="9" t="s">
        <v>92</v>
      </c>
      <c r="AL62" s="9" t="s">
        <v>92</v>
      </c>
      <c r="AM62" s="9" t="s">
        <v>92</v>
      </c>
      <c r="AN62" s="9" t="s">
        <v>644</v>
      </c>
      <c r="AO62" s="9" t="s">
        <v>645</v>
      </c>
      <c r="AP62" s="9" t="s">
        <v>110</v>
      </c>
      <c r="AQ62" s="9" t="s">
        <v>110</v>
      </c>
      <c r="AR62" s="9" t="s">
        <v>648</v>
      </c>
      <c r="AS62" s="9" t="s">
        <v>99</v>
      </c>
      <c r="AT62" s="9" t="s">
        <v>99</v>
      </c>
      <c r="AU62" s="9" t="s">
        <v>100</v>
      </c>
      <c r="AV62" s="9" t="s">
        <v>649</v>
      </c>
      <c r="AW62" s="9" t="s">
        <v>650</v>
      </c>
      <c r="AX62" s="9" t="s">
        <v>651</v>
      </c>
      <c r="AY62" s="9" t="s">
        <v>652</v>
      </c>
      <c r="AZ62" s="9" t="s">
        <v>652</v>
      </c>
      <c r="BA62" s="9" t="s">
        <v>652</v>
      </c>
      <c r="BB62" s="9" t="s">
        <v>105</v>
      </c>
      <c r="BC62" s="9" t="s">
        <v>105</v>
      </c>
      <c r="BD62" s="9" t="s">
        <v>105</v>
      </c>
      <c r="BE62" s="9" t="s">
        <v>105</v>
      </c>
      <c r="BF62" s="9" t="s">
        <v>105</v>
      </c>
      <c r="BG62" s="9" t="s">
        <v>105</v>
      </c>
      <c r="BH62" s="9" t="s">
        <v>105</v>
      </c>
      <c r="BI62" s="9" t="s">
        <v>105</v>
      </c>
      <c r="BJ62" s="9" t="s">
        <v>106</v>
      </c>
      <c r="BK62" s="9" t="s">
        <v>107</v>
      </c>
      <c r="BL62" s="9" t="s">
        <v>105</v>
      </c>
      <c r="BM62" s="9" t="s">
        <v>99</v>
      </c>
      <c r="BN62" s="9" t="s">
        <v>99</v>
      </c>
      <c r="BO62" s="9" t="s">
        <v>100</v>
      </c>
      <c r="BP62" s="9" t="s">
        <v>110</v>
      </c>
      <c r="BQ62" s="9" t="s">
        <v>110</v>
      </c>
      <c r="BR62" s="9" t="s">
        <v>648</v>
      </c>
      <c r="BS62" s="9"/>
    </row>
    <row r="63" spans="1:71" x14ac:dyDescent="0.25">
      <c r="A63" s="9" t="s">
        <v>1216</v>
      </c>
      <c r="B63" s="9" t="s">
        <v>1217</v>
      </c>
      <c r="C63" s="9" t="s">
        <v>1444</v>
      </c>
      <c r="D63" s="9" t="s">
        <v>1219</v>
      </c>
      <c r="E63" s="9" t="s">
        <v>1445</v>
      </c>
      <c r="F63" s="9" t="s">
        <v>1446</v>
      </c>
      <c r="G63" s="9" t="s">
        <v>1445</v>
      </c>
      <c r="H63" s="9" t="s">
        <v>1447</v>
      </c>
      <c r="I63" s="9" t="s">
        <v>6</v>
      </c>
      <c r="J63" s="9" t="s">
        <v>1209</v>
      </c>
      <c r="K63" s="9" t="s">
        <v>1209</v>
      </c>
      <c r="L63" s="9" t="s">
        <v>1445</v>
      </c>
      <c r="M63" s="9" t="s">
        <v>653</v>
      </c>
      <c r="N63" s="9" t="s">
        <v>1445</v>
      </c>
      <c r="O63" s="9" t="s">
        <v>1447</v>
      </c>
      <c r="P63" s="9" t="s">
        <v>654</v>
      </c>
      <c r="Q63" s="9" t="s">
        <v>1209</v>
      </c>
      <c r="R63" s="9" t="s">
        <v>654</v>
      </c>
      <c r="S63" s="9" t="s">
        <v>82</v>
      </c>
      <c r="T63" s="9" t="s">
        <v>83</v>
      </c>
      <c r="U63" s="9" t="s">
        <v>655</v>
      </c>
      <c r="V63" s="9" t="s">
        <v>85</v>
      </c>
      <c r="W63" s="9" t="s">
        <v>656</v>
      </c>
      <c r="X63" s="9" t="s">
        <v>1209</v>
      </c>
      <c r="Y63" s="9" t="s">
        <v>1448</v>
      </c>
      <c r="Z63" s="9" t="s">
        <v>1212</v>
      </c>
      <c r="AA63" s="9" t="s">
        <v>133</v>
      </c>
      <c r="AB63" s="9" t="s">
        <v>657</v>
      </c>
      <c r="AC63" s="9" t="s">
        <v>88</v>
      </c>
      <c r="AD63" s="9" t="s">
        <v>1213</v>
      </c>
      <c r="AE63" s="9" t="s">
        <v>89</v>
      </c>
      <c r="AF63" s="9" t="s">
        <v>1449</v>
      </c>
      <c r="AG63" s="9" t="s">
        <v>658</v>
      </c>
      <c r="AH63" s="9" t="s">
        <v>659</v>
      </c>
      <c r="AI63" s="9" t="s">
        <v>92</v>
      </c>
      <c r="AJ63" s="9" t="s">
        <v>92</v>
      </c>
      <c r="AK63" s="9" t="s">
        <v>92</v>
      </c>
      <c r="AL63" s="9" t="s">
        <v>92</v>
      </c>
      <c r="AM63" s="9" t="s">
        <v>92</v>
      </c>
      <c r="AN63" s="9" t="s">
        <v>660</v>
      </c>
      <c r="AO63" s="9" t="s">
        <v>661</v>
      </c>
      <c r="AP63" s="9" t="s">
        <v>105</v>
      </c>
      <c r="AQ63" s="9" t="s">
        <v>105</v>
      </c>
      <c r="AR63" s="9" t="s">
        <v>662</v>
      </c>
      <c r="AS63" s="9" t="s">
        <v>192</v>
      </c>
      <c r="AT63" s="9" t="s">
        <v>192</v>
      </c>
      <c r="AU63" s="9" t="s">
        <v>100</v>
      </c>
      <c r="AV63" s="9" t="s">
        <v>663</v>
      </c>
      <c r="AW63" s="9" t="s">
        <v>664</v>
      </c>
      <c r="AX63" s="9" t="s">
        <v>665</v>
      </c>
      <c r="AY63" s="9" t="s">
        <v>126</v>
      </c>
      <c r="AZ63" s="9" t="s">
        <v>126</v>
      </c>
      <c r="BA63" s="9" t="s">
        <v>126</v>
      </c>
      <c r="BB63" s="9" t="s">
        <v>105</v>
      </c>
      <c r="BC63" s="9" t="s">
        <v>105</v>
      </c>
      <c r="BD63" s="9" t="s">
        <v>105</v>
      </c>
      <c r="BE63" s="9" t="s">
        <v>105</v>
      </c>
      <c r="BF63" s="9" t="s">
        <v>105</v>
      </c>
      <c r="BG63" s="9" t="s">
        <v>105</v>
      </c>
      <c r="BH63" s="9" t="s">
        <v>105</v>
      </c>
      <c r="BI63" s="9" t="s">
        <v>105</v>
      </c>
      <c r="BJ63" s="9" t="s">
        <v>666</v>
      </c>
      <c r="BK63" s="9" t="s">
        <v>667</v>
      </c>
      <c r="BL63" s="9" t="s">
        <v>105</v>
      </c>
      <c r="BM63" s="9" t="s">
        <v>192</v>
      </c>
      <c r="BN63" s="9" t="s">
        <v>192</v>
      </c>
      <c r="BO63" s="9" t="s">
        <v>100</v>
      </c>
      <c r="BP63" s="9" t="s">
        <v>105</v>
      </c>
      <c r="BQ63" s="9" t="s">
        <v>105</v>
      </c>
      <c r="BR63" s="9" t="s">
        <v>662</v>
      </c>
      <c r="BS63" s="9"/>
    </row>
    <row r="64" spans="1:71" x14ac:dyDescent="0.25">
      <c r="A64" s="9" t="s">
        <v>1216</v>
      </c>
      <c r="B64" s="9" t="s">
        <v>1217</v>
      </c>
      <c r="C64" s="9" t="s">
        <v>1450</v>
      </c>
      <c r="D64" s="9" t="s">
        <v>1219</v>
      </c>
      <c r="E64" s="9" t="s">
        <v>1451</v>
      </c>
      <c r="F64" s="9" t="s">
        <v>1452</v>
      </c>
      <c r="G64" s="9" t="s">
        <v>1451</v>
      </c>
      <c r="H64" s="9" t="s">
        <v>1453</v>
      </c>
      <c r="I64" s="9" t="s">
        <v>6</v>
      </c>
      <c r="J64" s="9" t="s">
        <v>1209</v>
      </c>
      <c r="K64" s="9" t="s">
        <v>1209</v>
      </c>
      <c r="L64" s="9" t="s">
        <v>1451</v>
      </c>
      <c r="M64" s="9" t="s">
        <v>668</v>
      </c>
      <c r="N64" s="9" t="s">
        <v>1451</v>
      </c>
      <c r="O64" s="9" t="s">
        <v>1453</v>
      </c>
      <c r="P64" s="9" t="s">
        <v>669</v>
      </c>
      <c r="Q64" s="9" t="s">
        <v>1209</v>
      </c>
      <c r="R64" s="9" t="s">
        <v>669</v>
      </c>
      <c r="S64" s="9" t="s">
        <v>82</v>
      </c>
      <c r="T64" s="9" t="s">
        <v>83</v>
      </c>
      <c r="U64" s="9" t="s">
        <v>670</v>
      </c>
      <c r="V64" s="9" t="s">
        <v>85</v>
      </c>
      <c r="W64" s="9" t="s">
        <v>671</v>
      </c>
      <c r="X64" s="9" t="s">
        <v>1209</v>
      </c>
      <c r="Y64" s="9" t="s">
        <v>1454</v>
      </c>
      <c r="Z64" s="9" t="s">
        <v>1212</v>
      </c>
      <c r="AA64" s="9"/>
      <c r="AB64" s="9" t="s">
        <v>353</v>
      </c>
      <c r="AC64" s="9" t="s">
        <v>88</v>
      </c>
      <c r="AD64" s="9" t="s">
        <v>1213</v>
      </c>
      <c r="AE64" s="9" t="s">
        <v>89</v>
      </c>
      <c r="AF64" s="9" t="s">
        <v>1324</v>
      </c>
      <c r="AG64" s="9" t="s">
        <v>672</v>
      </c>
      <c r="AH64" s="9" t="s">
        <v>673</v>
      </c>
      <c r="AI64" s="9" t="s">
        <v>92</v>
      </c>
      <c r="AJ64" s="9" t="s">
        <v>674</v>
      </c>
      <c r="AK64" s="9" t="s">
        <v>92</v>
      </c>
      <c r="AL64" s="9" t="s">
        <v>92</v>
      </c>
      <c r="AM64" s="9" t="s">
        <v>92</v>
      </c>
      <c r="AN64" s="9" t="s">
        <v>675</v>
      </c>
      <c r="AO64" s="9" t="s">
        <v>676</v>
      </c>
      <c r="AP64" s="9" t="s">
        <v>105</v>
      </c>
      <c r="AQ64" s="9" t="s">
        <v>105</v>
      </c>
      <c r="AR64" s="9" t="s">
        <v>677</v>
      </c>
      <c r="AS64" s="9" t="s">
        <v>99</v>
      </c>
      <c r="AT64" s="9" t="s">
        <v>99</v>
      </c>
      <c r="AU64" s="9" t="s">
        <v>100</v>
      </c>
      <c r="AV64" s="9" t="s">
        <v>678</v>
      </c>
      <c r="AW64" s="9" t="s">
        <v>679</v>
      </c>
      <c r="AX64" s="9" t="s">
        <v>680</v>
      </c>
      <c r="AY64" s="9" t="s">
        <v>126</v>
      </c>
      <c r="AZ64" s="9" t="s">
        <v>126</v>
      </c>
      <c r="BA64" s="9" t="s">
        <v>126</v>
      </c>
      <c r="BB64" s="9" t="s">
        <v>105</v>
      </c>
      <c r="BC64" s="9" t="s">
        <v>105</v>
      </c>
      <c r="BD64" s="9" t="s">
        <v>105</v>
      </c>
      <c r="BE64" s="9" t="s">
        <v>105</v>
      </c>
      <c r="BF64" s="9" t="s">
        <v>105</v>
      </c>
      <c r="BG64" s="9" t="s">
        <v>105</v>
      </c>
      <c r="BH64" s="9" t="s">
        <v>105</v>
      </c>
      <c r="BI64" s="9" t="s">
        <v>105</v>
      </c>
      <c r="BJ64" s="9" t="s">
        <v>681</v>
      </c>
      <c r="BK64" s="9" t="s">
        <v>682</v>
      </c>
      <c r="BL64" s="9" t="s">
        <v>105</v>
      </c>
      <c r="BM64" s="9" t="s">
        <v>99</v>
      </c>
      <c r="BN64" s="9" t="s">
        <v>99</v>
      </c>
      <c r="BO64" s="9" t="s">
        <v>100</v>
      </c>
      <c r="BP64" s="9" t="s">
        <v>105</v>
      </c>
      <c r="BQ64" s="9" t="s">
        <v>105</v>
      </c>
      <c r="BR64" s="9" t="s">
        <v>677</v>
      </c>
      <c r="BS64" s="9"/>
    </row>
    <row r="65" spans="1:71" x14ac:dyDescent="0.25">
      <c r="A65" s="9" t="s">
        <v>1216</v>
      </c>
      <c r="B65" s="9" t="s">
        <v>1217</v>
      </c>
      <c r="C65" s="9" t="s">
        <v>1455</v>
      </c>
      <c r="D65" s="9" t="s">
        <v>1219</v>
      </c>
      <c r="E65" s="9" t="s">
        <v>1456</v>
      </c>
      <c r="F65" s="9" t="s">
        <v>1457</v>
      </c>
      <c r="G65" s="9" t="s">
        <v>1456</v>
      </c>
      <c r="H65" s="9" t="s">
        <v>1458</v>
      </c>
      <c r="I65" s="9" t="s">
        <v>6</v>
      </c>
      <c r="J65" s="9" t="s">
        <v>1209</v>
      </c>
      <c r="K65" s="9" t="s">
        <v>1209</v>
      </c>
      <c r="L65" s="9" t="s">
        <v>1456</v>
      </c>
      <c r="M65" s="9" t="s">
        <v>683</v>
      </c>
      <c r="N65" s="9" t="s">
        <v>1456</v>
      </c>
      <c r="O65" s="9" t="s">
        <v>1458</v>
      </c>
      <c r="P65" s="9" t="s">
        <v>684</v>
      </c>
      <c r="Q65" s="9" t="s">
        <v>1209</v>
      </c>
      <c r="R65" s="9" t="s">
        <v>684</v>
      </c>
      <c r="S65" s="9" t="s">
        <v>82</v>
      </c>
      <c r="T65" s="9" t="s">
        <v>83</v>
      </c>
      <c r="U65" s="9" t="s">
        <v>685</v>
      </c>
      <c r="V65" s="9" t="s">
        <v>85</v>
      </c>
      <c r="W65" s="9" t="s">
        <v>686</v>
      </c>
      <c r="X65" s="9" t="s">
        <v>1209</v>
      </c>
      <c r="Y65" s="9" t="s">
        <v>1459</v>
      </c>
      <c r="Z65" s="9" t="s">
        <v>1212</v>
      </c>
      <c r="AA65" s="9" t="s">
        <v>133</v>
      </c>
      <c r="AB65" s="9" t="s">
        <v>406</v>
      </c>
      <c r="AC65" s="9" t="s">
        <v>88</v>
      </c>
      <c r="AD65" s="9" t="s">
        <v>1213</v>
      </c>
      <c r="AE65" s="9" t="s">
        <v>89</v>
      </c>
      <c r="AF65" s="9" t="s">
        <v>1346</v>
      </c>
      <c r="AG65" s="9" t="s">
        <v>687</v>
      </c>
      <c r="AH65" s="9" t="s">
        <v>688</v>
      </c>
      <c r="AI65" s="9" t="s">
        <v>92</v>
      </c>
      <c r="AJ65" s="9" t="s">
        <v>92</v>
      </c>
      <c r="AK65" s="9" t="s">
        <v>689</v>
      </c>
      <c r="AL65" s="9" t="s">
        <v>92</v>
      </c>
      <c r="AM65" s="9" t="s">
        <v>92</v>
      </c>
      <c r="AN65" s="9" t="s">
        <v>690</v>
      </c>
      <c r="AO65" s="9" t="s">
        <v>691</v>
      </c>
      <c r="AP65" s="9" t="s">
        <v>105</v>
      </c>
      <c r="AQ65" s="9" t="s">
        <v>105</v>
      </c>
      <c r="AR65" s="9" t="s">
        <v>692</v>
      </c>
      <c r="AS65" s="9" t="s">
        <v>192</v>
      </c>
      <c r="AT65" s="9" t="s">
        <v>192</v>
      </c>
      <c r="AU65" s="9" t="s">
        <v>100</v>
      </c>
      <c r="AV65" s="9" t="s">
        <v>693</v>
      </c>
      <c r="AW65" s="9" t="s">
        <v>694</v>
      </c>
      <c r="AX65" s="9" t="s">
        <v>695</v>
      </c>
      <c r="AY65" s="9" t="s">
        <v>126</v>
      </c>
      <c r="AZ65" s="9" t="s">
        <v>126</v>
      </c>
      <c r="BA65" s="9" t="s">
        <v>126</v>
      </c>
      <c r="BB65" s="9" t="s">
        <v>105</v>
      </c>
      <c r="BC65" s="9" t="s">
        <v>105</v>
      </c>
      <c r="BD65" s="9" t="s">
        <v>105</v>
      </c>
      <c r="BE65" s="9" t="s">
        <v>105</v>
      </c>
      <c r="BF65" s="9" t="s">
        <v>105</v>
      </c>
      <c r="BG65" s="9" t="s">
        <v>105</v>
      </c>
      <c r="BH65" s="9" t="s">
        <v>105</v>
      </c>
      <c r="BI65" s="9" t="s">
        <v>105</v>
      </c>
      <c r="BJ65" s="9" t="s">
        <v>696</v>
      </c>
      <c r="BK65" s="9" t="s">
        <v>697</v>
      </c>
      <c r="BL65" s="9" t="s">
        <v>105</v>
      </c>
      <c r="BM65" s="9" t="s">
        <v>192</v>
      </c>
      <c r="BN65" s="9" t="s">
        <v>192</v>
      </c>
      <c r="BO65" s="9" t="s">
        <v>100</v>
      </c>
      <c r="BP65" s="9" t="s">
        <v>105</v>
      </c>
      <c r="BQ65" s="9" t="s">
        <v>105</v>
      </c>
      <c r="BR65" s="9" t="s">
        <v>692</v>
      </c>
      <c r="BS65" s="9"/>
    </row>
    <row r="66" spans="1:71" x14ac:dyDescent="0.25">
      <c r="A66" s="9" t="s">
        <v>1202</v>
      </c>
      <c r="B66" s="9" t="s">
        <v>1203</v>
      </c>
      <c r="C66" s="9" t="s">
        <v>1460</v>
      </c>
      <c r="D66" s="9" t="s">
        <v>1461</v>
      </c>
      <c r="E66" s="9" t="s">
        <v>1462</v>
      </c>
      <c r="F66" s="9" t="s">
        <v>1463</v>
      </c>
      <c r="G66" s="9" t="s">
        <v>1462</v>
      </c>
      <c r="H66" s="9" t="s">
        <v>1464</v>
      </c>
      <c r="I66" s="9" t="s">
        <v>6</v>
      </c>
      <c r="J66" s="9" t="s">
        <v>1209</v>
      </c>
      <c r="K66" s="9" t="s">
        <v>1209</v>
      </c>
      <c r="L66" s="9" t="s">
        <v>1462</v>
      </c>
      <c r="M66" s="9" t="s">
        <v>698</v>
      </c>
      <c r="N66" s="9" t="s">
        <v>1462</v>
      </c>
      <c r="O66" s="9" t="s">
        <v>1464</v>
      </c>
      <c r="P66" s="9" t="s">
        <v>699</v>
      </c>
      <c r="Q66" s="9" t="s">
        <v>1322</v>
      </c>
      <c r="R66" s="9" t="s">
        <v>699</v>
      </c>
      <c r="S66" s="9" t="s">
        <v>82</v>
      </c>
      <c r="T66" s="9" t="s">
        <v>83</v>
      </c>
      <c r="U66" s="9" t="s">
        <v>700</v>
      </c>
      <c r="V66" s="9" t="s">
        <v>85</v>
      </c>
      <c r="W66" s="9" t="s">
        <v>701</v>
      </c>
      <c r="X66" s="9" t="s">
        <v>1209</v>
      </c>
      <c r="Y66" s="9" t="s">
        <v>1465</v>
      </c>
      <c r="Z66" s="9" t="s">
        <v>1212</v>
      </c>
      <c r="AA66" s="9" t="s">
        <v>702</v>
      </c>
      <c r="AB66" s="9" t="s">
        <v>703</v>
      </c>
      <c r="AC66" s="9" t="s">
        <v>88</v>
      </c>
      <c r="AD66" s="9" t="s">
        <v>1213</v>
      </c>
      <c r="AE66" s="9" t="s">
        <v>89</v>
      </c>
      <c r="AF66" s="9" t="s">
        <v>1466</v>
      </c>
      <c r="AG66" s="9" t="s">
        <v>704</v>
      </c>
      <c r="AH66" s="9" t="s">
        <v>705</v>
      </c>
      <c r="AI66" s="9" t="s">
        <v>92</v>
      </c>
      <c r="AJ66" s="9" t="s">
        <v>92</v>
      </c>
      <c r="AK66" s="9" t="s">
        <v>706</v>
      </c>
      <c r="AL66" s="9" t="s">
        <v>92</v>
      </c>
      <c r="AM66" s="9" t="s">
        <v>92</v>
      </c>
      <c r="AN66" s="9" t="s">
        <v>707</v>
      </c>
      <c r="AO66" s="9" t="s">
        <v>708</v>
      </c>
      <c r="AP66" s="9" t="s">
        <v>709</v>
      </c>
      <c r="AQ66" s="9" t="s">
        <v>710</v>
      </c>
      <c r="AR66" s="9" t="s">
        <v>711</v>
      </c>
      <c r="AS66" s="9" t="s">
        <v>99</v>
      </c>
      <c r="AT66" s="9" t="s">
        <v>99</v>
      </c>
      <c r="AU66" s="9" t="s">
        <v>100</v>
      </c>
      <c r="AV66" s="9" t="s">
        <v>712</v>
      </c>
      <c r="AW66" s="9" t="s">
        <v>713</v>
      </c>
      <c r="AX66" s="9" t="s">
        <v>714</v>
      </c>
      <c r="AY66" s="9" t="s">
        <v>104</v>
      </c>
      <c r="AZ66" s="9" t="s">
        <v>104</v>
      </c>
      <c r="BA66" s="9" t="s">
        <v>104</v>
      </c>
      <c r="BB66" s="9" t="s">
        <v>105</v>
      </c>
      <c r="BC66" s="9" t="s">
        <v>105</v>
      </c>
      <c r="BD66" s="9" t="s">
        <v>105</v>
      </c>
      <c r="BE66" s="9" t="s">
        <v>105</v>
      </c>
      <c r="BF66" s="9" t="s">
        <v>105</v>
      </c>
      <c r="BG66" s="9" t="s">
        <v>105</v>
      </c>
      <c r="BH66" s="9" t="s">
        <v>105</v>
      </c>
      <c r="BI66" s="9" t="s">
        <v>105</v>
      </c>
      <c r="BJ66" s="9" t="s">
        <v>365</v>
      </c>
      <c r="BK66" s="9" t="s">
        <v>366</v>
      </c>
      <c r="BL66" s="9" t="s">
        <v>105</v>
      </c>
      <c r="BM66" s="9" t="s">
        <v>99</v>
      </c>
      <c r="BN66" s="9" t="s">
        <v>99</v>
      </c>
      <c r="BO66" s="9" t="s">
        <v>100</v>
      </c>
      <c r="BP66" s="9" t="s">
        <v>709</v>
      </c>
      <c r="BQ66" s="9" t="s">
        <v>710</v>
      </c>
      <c r="BR66" s="9" t="s">
        <v>711</v>
      </c>
      <c r="BS66" s="9"/>
    </row>
    <row r="67" spans="1:71" x14ac:dyDescent="0.25">
      <c r="A67" s="9" t="s">
        <v>1202</v>
      </c>
      <c r="B67" s="9" t="s">
        <v>1203</v>
      </c>
      <c r="C67" s="9" t="s">
        <v>1460</v>
      </c>
      <c r="D67" s="9" t="s">
        <v>1461</v>
      </c>
      <c r="E67" s="9" t="s">
        <v>1462</v>
      </c>
      <c r="F67" s="9" t="s">
        <v>1463</v>
      </c>
      <c r="G67" s="9" t="s">
        <v>1462</v>
      </c>
      <c r="H67" s="9" t="s">
        <v>1467</v>
      </c>
      <c r="I67" s="9" t="s">
        <v>6</v>
      </c>
      <c r="J67" s="9" t="s">
        <v>1209</v>
      </c>
      <c r="K67" s="9" t="s">
        <v>1209</v>
      </c>
      <c r="L67" s="9" t="s">
        <v>1462</v>
      </c>
      <c r="M67" s="9" t="s">
        <v>698</v>
      </c>
      <c r="N67" s="9" t="s">
        <v>1462</v>
      </c>
      <c r="O67" s="9" t="s">
        <v>1467</v>
      </c>
      <c r="P67" s="9" t="s">
        <v>92</v>
      </c>
      <c r="Q67" s="9" t="s">
        <v>1322</v>
      </c>
      <c r="R67" s="9" t="s">
        <v>699</v>
      </c>
      <c r="S67" s="9" t="s">
        <v>82</v>
      </c>
      <c r="T67" s="9" t="s">
        <v>108</v>
      </c>
      <c r="U67" s="9" t="s">
        <v>108</v>
      </c>
      <c r="V67" s="9" t="s">
        <v>85</v>
      </c>
      <c r="W67" s="9" t="s">
        <v>109</v>
      </c>
      <c r="X67" s="9" t="s">
        <v>1209</v>
      </c>
      <c r="Y67" s="9" t="s">
        <v>1465</v>
      </c>
      <c r="Z67" s="9" t="s">
        <v>1212</v>
      </c>
      <c r="AA67" s="9" t="s">
        <v>702</v>
      </c>
      <c r="AB67" s="9" t="s">
        <v>703</v>
      </c>
      <c r="AC67" s="9" t="s">
        <v>88</v>
      </c>
      <c r="AD67" s="9" t="s">
        <v>1213</v>
      </c>
      <c r="AE67" s="9" t="s">
        <v>89</v>
      </c>
      <c r="AF67" s="9" t="s">
        <v>1466</v>
      </c>
      <c r="AG67" s="9" t="s">
        <v>704</v>
      </c>
      <c r="AH67" s="9" t="s">
        <v>705</v>
      </c>
      <c r="AI67" s="9" t="s">
        <v>92</v>
      </c>
      <c r="AJ67" s="9" t="s">
        <v>92</v>
      </c>
      <c r="AK67" s="9" t="s">
        <v>706</v>
      </c>
      <c r="AL67" s="9" t="s">
        <v>92</v>
      </c>
      <c r="AM67" s="9" t="s">
        <v>92</v>
      </c>
      <c r="AN67" s="9" t="s">
        <v>707</v>
      </c>
      <c r="AO67" s="9" t="s">
        <v>708</v>
      </c>
      <c r="AP67" s="9" t="s">
        <v>110</v>
      </c>
      <c r="AQ67" s="9" t="s">
        <v>110</v>
      </c>
      <c r="AR67" s="9" t="s">
        <v>110</v>
      </c>
      <c r="AS67" s="9" t="s">
        <v>99</v>
      </c>
      <c r="AT67" s="9" t="s">
        <v>99</v>
      </c>
      <c r="AU67" s="9" t="s">
        <v>100</v>
      </c>
      <c r="AV67" s="9" t="s">
        <v>712</v>
      </c>
      <c r="AW67" s="9" t="s">
        <v>713</v>
      </c>
      <c r="AX67" s="9" t="s">
        <v>714</v>
      </c>
      <c r="AY67" s="9" t="s">
        <v>104</v>
      </c>
      <c r="AZ67" s="9" t="s">
        <v>104</v>
      </c>
      <c r="BA67" s="9" t="s">
        <v>104</v>
      </c>
      <c r="BB67" s="9" t="s">
        <v>105</v>
      </c>
      <c r="BC67" s="9" t="s">
        <v>105</v>
      </c>
      <c r="BD67" s="9" t="s">
        <v>105</v>
      </c>
      <c r="BE67" s="9" t="s">
        <v>105</v>
      </c>
      <c r="BF67" s="9" t="s">
        <v>105</v>
      </c>
      <c r="BG67" s="9" t="s">
        <v>105</v>
      </c>
      <c r="BH67" s="9" t="s">
        <v>105</v>
      </c>
      <c r="BI67" s="9" t="s">
        <v>105</v>
      </c>
      <c r="BJ67" s="9" t="s">
        <v>365</v>
      </c>
      <c r="BK67" s="9" t="s">
        <v>366</v>
      </c>
      <c r="BL67" s="9" t="s">
        <v>105</v>
      </c>
      <c r="BM67" s="9" t="s">
        <v>99</v>
      </c>
      <c r="BN67" s="9" t="s">
        <v>99</v>
      </c>
      <c r="BO67" s="9" t="s">
        <v>100</v>
      </c>
      <c r="BP67" s="9" t="s">
        <v>110</v>
      </c>
      <c r="BQ67" s="9" t="s">
        <v>110</v>
      </c>
      <c r="BR67" s="9" t="s">
        <v>110</v>
      </c>
      <c r="BS67" s="9"/>
    </row>
    <row r="68" spans="1:71" x14ac:dyDescent="0.25">
      <c r="A68" s="9" t="s">
        <v>1202</v>
      </c>
      <c r="B68" s="9" t="s">
        <v>1203</v>
      </c>
      <c r="C68" s="9" t="s">
        <v>1460</v>
      </c>
      <c r="D68" s="9" t="s">
        <v>1461</v>
      </c>
      <c r="E68" s="9" t="s">
        <v>1462</v>
      </c>
      <c r="F68" s="9" t="s">
        <v>1463</v>
      </c>
      <c r="G68" s="9" t="s">
        <v>1462</v>
      </c>
      <c r="H68" s="9" t="s">
        <v>1468</v>
      </c>
      <c r="I68" s="9" t="s">
        <v>6</v>
      </c>
      <c r="J68" s="9" t="s">
        <v>1209</v>
      </c>
      <c r="K68" s="9" t="s">
        <v>1209</v>
      </c>
      <c r="L68" s="9" t="s">
        <v>1462</v>
      </c>
      <c r="M68" s="9" t="s">
        <v>698</v>
      </c>
      <c r="N68" s="9" t="s">
        <v>1462</v>
      </c>
      <c r="O68" s="9" t="s">
        <v>1468</v>
      </c>
      <c r="P68" s="9" t="s">
        <v>92</v>
      </c>
      <c r="Q68" s="9" t="s">
        <v>1322</v>
      </c>
      <c r="R68" s="9" t="s">
        <v>699</v>
      </c>
      <c r="S68" s="9" t="s">
        <v>82</v>
      </c>
      <c r="T68" s="9" t="s">
        <v>108</v>
      </c>
      <c r="U68" s="9" t="s">
        <v>108</v>
      </c>
      <c r="V68" s="9" t="s">
        <v>85</v>
      </c>
      <c r="W68" s="9" t="s">
        <v>109</v>
      </c>
      <c r="X68" s="9" t="s">
        <v>1209</v>
      </c>
      <c r="Y68" s="9" t="s">
        <v>1465</v>
      </c>
      <c r="Z68" s="9" t="s">
        <v>1212</v>
      </c>
      <c r="AA68" s="9" t="s">
        <v>702</v>
      </c>
      <c r="AB68" s="9" t="s">
        <v>703</v>
      </c>
      <c r="AC68" s="9" t="s">
        <v>88</v>
      </c>
      <c r="AD68" s="9" t="s">
        <v>1213</v>
      </c>
      <c r="AE68" s="9" t="s">
        <v>89</v>
      </c>
      <c r="AF68" s="9" t="s">
        <v>1466</v>
      </c>
      <c r="AG68" s="9" t="s">
        <v>704</v>
      </c>
      <c r="AH68" s="9" t="s">
        <v>705</v>
      </c>
      <c r="AI68" s="9" t="s">
        <v>92</v>
      </c>
      <c r="AJ68" s="9" t="s">
        <v>92</v>
      </c>
      <c r="AK68" s="9" t="s">
        <v>706</v>
      </c>
      <c r="AL68" s="9" t="s">
        <v>92</v>
      </c>
      <c r="AM68" s="9" t="s">
        <v>92</v>
      </c>
      <c r="AN68" s="9" t="s">
        <v>707</v>
      </c>
      <c r="AO68" s="9" t="s">
        <v>708</v>
      </c>
      <c r="AP68" s="9" t="s">
        <v>110</v>
      </c>
      <c r="AQ68" s="9" t="s">
        <v>110</v>
      </c>
      <c r="AR68" s="9" t="s">
        <v>110</v>
      </c>
      <c r="AS68" s="9" t="s">
        <v>99</v>
      </c>
      <c r="AT68" s="9" t="s">
        <v>99</v>
      </c>
      <c r="AU68" s="9" t="s">
        <v>100</v>
      </c>
      <c r="AV68" s="9" t="s">
        <v>712</v>
      </c>
      <c r="AW68" s="9" t="s">
        <v>713</v>
      </c>
      <c r="AX68" s="9" t="s">
        <v>714</v>
      </c>
      <c r="AY68" s="9" t="s">
        <v>104</v>
      </c>
      <c r="AZ68" s="9" t="s">
        <v>104</v>
      </c>
      <c r="BA68" s="9" t="s">
        <v>104</v>
      </c>
      <c r="BB68" s="9" t="s">
        <v>105</v>
      </c>
      <c r="BC68" s="9" t="s">
        <v>105</v>
      </c>
      <c r="BD68" s="9" t="s">
        <v>105</v>
      </c>
      <c r="BE68" s="9" t="s">
        <v>105</v>
      </c>
      <c r="BF68" s="9" t="s">
        <v>105</v>
      </c>
      <c r="BG68" s="9" t="s">
        <v>105</v>
      </c>
      <c r="BH68" s="9" t="s">
        <v>105</v>
      </c>
      <c r="BI68" s="9" t="s">
        <v>105</v>
      </c>
      <c r="BJ68" s="9" t="s">
        <v>365</v>
      </c>
      <c r="BK68" s="9" t="s">
        <v>366</v>
      </c>
      <c r="BL68" s="9" t="s">
        <v>105</v>
      </c>
      <c r="BM68" s="9" t="s">
        <v>99</v>
      </c>
      <c r="BN68" s="9" t="s">
        <v>99</v>
      </c>
      <c r="BO68" s="9" t="s">
        <v>100</v>
      </c>
      <c r="BP68" s="9" t="s">
        <v>110</v>
      </c>
      <c r="BQ68" s="9" t="s">
        <v>110</v>
      </c>
      <c r="BR68" s="9" t="s">
        <v>110</v>
      </c>
      <c r="BS68" s="9"/>
    </row>
    <row r="69" spans="1:71" x14ac:dyDescent="0.25">
      <c r="A69" s="9" t="s">
        <v>1202</v>
      </c>
      <c r="B69" s="9" t="s">
        <v>1203</v>
      </c>
      <c r="C69" s="9" t="s">
        <v>1469</v>
      </c>
      <c r="D69" s="9" t="s">
        <v>1470</v>
      </c>
      <c r="E69" s="9" t="s">
        <v>1471</v>
      </c>
      <c r="F69" s="9" t="s">
        <v>1472</v>
      </c>
      <c r="G69" s="9" t="s">
        <v>1471</v>
      </c>
      <c r="H69" s="9" t="s">
        <v>1473</v>
      </c>
      <c r="I69" s="9" t="s">
        <v>6</v>
      </c>
      <c r="J69" s="9" t="s">
        <v>1209</v>
      </c>
      <c r="K69" s="9" t="s">
        <v>1209</v>
      </c>
      <c r="L69" s="9" t="s">
        <v>1471</v>
      </c>
      <c r="M69" s="9" t="s">
        <v>715</v>
      </c>
      <c r="N69" s="9" t="s">
        <v>1471</v>
      </c>
      <c r="O69" s="9" t="s">
        <v>1473</v>
      </c>
      <c r="P69" s="9" t="s">
        <v>716</v>
      </c>
      <c r="Q69" s="9" t="s">
        <v>1474</v>
      </c>
      <c r="R69" s="9" t="s">
        <v>717</v>
      </c>
      <c r="S69" s="9" t="s">
        <v>82</v>
      </c>
      <c r="T69" s="9" t="s">
        <v>718</v>
      </c>
      <c r="U69" s="9" t="s">
        <v>719</v>
      </c>
      <c r="V69" s="9" t="s">
        <v>85</v>
      </c>
      <c r="W69" s="9" t="s">
        <v>720</v>
      </c>
      <c r="X69" s="9" t="s">
        <v>1209</v>
      </c>
      <c r="Y69" s="9" t="s">
        <v>1475</v>
      </c>
      <c r="Z69" s="9" t="s">
        <v>1212</v>
      </c>
      <c r="AA69" s="9"/>
      <c r="AB69" s="9" t="s">
        <v>202</v>
      </c>
      <c r="AC69" s="9" t="s">
        <v>88</v>
      </c>
      <c r="AD69" s="9" t="s">
        <v>1213</v>
      </c>
      <c r="AE69" s="9" t="s">
        <v>89</v>
      </c>
      <c r="AF69" s="9" t="s">
        <v>1262</v>
      </c>
      <c r="AG69" s="9" t="s">
        <v>721</v>
      </c>
      <c r="AH69" s="9" t="s">
        <v>722</v>
      </c>
      <c r="AI69" s="9" t="s">
        <v>92</v>
      </c>
      <c r="AJ69" s="9" t="s">
        <v>92</v>
      </c>
      <c r="AK69" s="9" t="s">
        <v>723</v>
      </c>
      <c r="AL69" s="9" t="s">
        <v>92</v>
      </c>
      <c r="AM69" s="9" t="s">
        <v>92</v>
      </c>
      <c r="AN69" s="9" t="s">
        <v>724</v>
      </c>
      <c r="AO69" s="9" t="s">
        <v>725</v>
      </c>
      <c r="AP69" s="9" t="s">
        <v>726</v>
      </c>
      <c r="AQ69" s="9" t="s">
        <v>727</v>
      </c>
      <c r="AR69" s="9" t="s">
        <v>728</v>
      </c>
      <c r="AS69" s="9" t="s">
        <v>99</v>
      </c>
      <c r="AT69" s="9" t="s">
        <v>99</v>
      </c>
      <c r="AU69" s="9" t="s">
        <v>100</v>
      </c>
      <c r="AV69" s="9" t="s">
        <v>729</v>
      </c>
      <c r="AW69" s="9" t="s">
        <v>730</v>
      </c>
      <c r="AX69" s="9" t="s">
        <v>731</v>
      </c>
      <c r="AY69" s="9" t="s">
        <v>104</v>
      </c>
      <c r="AZ69" s="9" t="s">
        <v>104</v>
      </c>
      <c r="BA69" s="9" t="s">
        <v>104</v>
      </c>
      <c r="BB69" s="9" t="s">
        <v>105</v>
      </c>
      <c r="BC69" s="9" t="s">
        <v>105</v>
      </c>
      <c r="BD69" s="9" t="s">
        <v>105</v>
      </c>
      <c r="BE69" s="9" t="s">
        <v>105</v>
      </c>
      <c r="BF69" s="9" t="s">
        <v>105</v>
      </c>
      <c r="BG69" s="9" t="s">
        <v>105</v>
      </c>
      <c r="BH69" s="9" t="s">
        <v>105</v>
      </c>
      <c r="BI69" s="9" t="s">
        <v>105</v>
      </c>
      <c r="BJ69" s="9" t="s">
        <v>732</v>
      </c>
      <c r="BK69" s="9" t="s">
        <v>733</v>
      </c>
      <c r="BL69" s="9" t="s">
        <v>105</v>
      </c>
      <c r="BM69" s="9" t="s">
        <v>99</v>
      </c>
      <c r="BN69" s="9" t="s">
        <v>99</v>
      </c>
      <c r="BO69" s="9" t="s">
        <v>100</v>
      </c>
      <c r="BP69" s="9" t="s">
        <v>726</v>
      </c>
      <c r="BQ69" s="9" t="s">
        <v>727</v>
      </c>
      <c r="BR69" s="9" t="s">
        <v>728</v>
      </c>
      <c r="BS69" s="9"/>
    </row>
    <row r="70" spans="1:71" x14ac:dyDescent="0.25">
      <c r="A70" s="9" t="s">
        <v>1202</v>
      </c>
      <c r="B70" s="9" t="s">
        <v>1203</v>
      </c>
      <c r="C70" s="9" t="s">
        <v>1469</v>
      </c>
      <c r="D70" s="9" t="s">
        <v>1470</v>
      </c>
      <c r="E70" s="9" t="s">
        <v>1471</v>
      </c>
      <c r="F70" s="9" t="s">
        <v>1472</v>
      </c>
      <c r="G70" s="9" t="s">
        <v>1471</v>
      </c>
      <c r="H70" s="9" t="s">
        <v>1476</v>
      </c>
      <c r="I70" s="9" t="s">
        <v>6</v>
      </c>
      <c r="J70" s="9" t="s">
        <v>1209</v>
      </c>
      <c r="K70" s="9" t="s">
        <v>1209</v>
      </c>
      <c r="L70" s="9" t="s">
        <v>1471</v>
      </c>
      <c r="M70" s="9" t="s">
        <v>715</v>
      </c>
      <c r="N70" s="9" t="s">
        <v>1471</v>
      </c>
      <c r="O70" s="9" t="s">
        <v>1476</v>
      </c>
      <c r="P70" s="9" t="s">
        <v>734</v>
      </c>
      <c r="Q70" s="9" t="s">
        <v>1474</v>
      </c>
      <c r="R70" s="9" t="s">
        <v>717</v>
      </c>
      <c r="S70" s="9" t="s">
        <v>82</v>
      </c>
      <c r="T70" s="9" t="s">
        <v>735</v>
      </c>
      <c r="U70" s="9" t="s">
        <v>736</v>
      </c>
      <c r="V70" s="9" t="s">
        <v>85</v>
      </c>
      <c r="W70" s="9" t="s">
        <v>737</v>
      </c>
      <c r="X70" s="9" t="s">
        <v>1209</v>
      </c>
      <c r="Y70" s="9" t="s">
        <v>1475</v>
      </c>
      <c r="Z70" s="9" t="s">
        <v>1212</v>
      </c>
      <c r="AA70" s="9"/>
      <c r="AB70" s="9" t="s">
        <v>202</v>
      </c>
      <c r="AC70" s="9" t="s">
        <v>88</v>
      </c>
      <c r="AD70" s="9" t="s">
        <v>1213</v>
      </c>
      <c r="AE70" s="9" t="s">
        <v>89</v>
      </c>
      <c r="AF70" s="9" t="s">
        <v>1262</v>
      </c>
      <c r="AG70" s="9" t="s">
        <v>721</v>
      </c>
      <c r="AH70" s="9" t="s">
        <v>722</v>
      </c>
      <c r="AI70" s="9" t="s">
        <v>92</v>
      </c>
      <c r="AJ70" s="9" t="s">
        <v>92</v>
      </c>
      <c r="AK70" s="9" t="s">
        <v>723</v>
      </c>
      <c r="AL70" s="9" t="s">
        <v>92</v>
      </c>
      <c r="AM70" s="9" t="s">
        <v>92</v>
      </c>
      <c r="AN70" s="9" t="s">
        <v>724</v>
      </c>
      <c r="AO70" s="9" t="s">
        <v>725</v>
      </c>
      <c r="AP70" s="9" t="s">
        <v>738</v>
      </c>
      <c r="AQ70" s="9" t="s">
        <v>739</v>
      </c>
      <c r="AR70" s="9" t="s">
        <v>740</v>
      </c>
      <c r="AS70" s="9" t="s">
        <v>100</v>
      </c>
      <c r="AT70" s="9" t="s">
        <v>100</v>
      </c>
      <c r="AU70" s="9" t="s">
        <v>100</v>
      </c>
      <c r="AV70" s="9" t="s">
        <v>729</v>
      </c>
      <c r="AW70" s="9" t="s">
        <v>730</v>
      </c>
      <c r="AX70" s="9" t="s">
        <v>731</v>
      </c>
      <c r="AY70" s="9" t="s">
        <v>104</v>
      </c>
      <c r="AZ70" s="9" t="s">
        <v>104</v>
      </c>
      <c r="BA70" s="9" t="s">
        <v>104</v>
      </c>
      <c r="BB70" s="9" t="s">
        <v>105</v>
      </c>
      <c r="BC70" s="9" t="s">
        <v>105</v>
      </c>
      <c r="BD70" s="9" t="s">
        <v>105</v>
      </c>
      <c r="BE70" s="9" t="s">
        <v>105</v>
      </c>
      <c r="BF70" s="9" t="s">
        <v>105</v>
      </c>
      <c r="BG70" s="9" t="s">
        <v>105</v>
      </c>
      <c r="BH70" s="9" t="s">
        <v>105</v>
      </c>
      <c r="BI70" s="9" t="s">
        <v>105</v>
      </c>
      <c r="BJ70" s="9" t="s">
        <v>105</v>
      </c>
      <c r="BK70" s="9" t="s">
        <v>105</v>
      </c>
      <c r="BL70" s="9" t="s">
        <v>105</v>
      </c>
      <c r="BM70" s="9" t="s">
        <v>100</v>
      </c>
      <c r="BN70" s="9" t="s">
        <v>100</v>
      </c>
      <c r="BO70" s="9" t="s">
        <v>100</v>
      </c>
      <c r="BP70" s="9" t="s">
        <v>738</v>
      </c>
      <c r="BQ70" s="9" t="s">
        <v>739</v>
      </c>
      <c r="BR70" s="9" t="s">
        <v>740</v>
      </c>
      <c r="BS70" s="9"/>
    </row>
    <row r="71" spans="1:71" x14ac:dyDescent="0.25">
      <c r="A71" s="9" t="s">
        <v>1202</v>
      </c>
      <c r="B71" s="9" t="s">
        <v>1203</v>
      </c>
      <c r="C71" s="9" t="s">
        <v>1469</v>
      </c>
      <c r="D71" s="9" t="s">
        <v>1470</v>
      </c>
      <c r="E71" s="9" t="s">
        <v>1471</v>
      </c>
      <c r="F71" s="9" t="s">
        <v>1472</v>
      </c>
      <c r="G71" s="9" t="s">
        <v>1471</v>
      </c>
      <c r="H71" s="9" t="s">
        <v>1477</v>
      </c>
      <c r="I71" s="9" t="s">
        <v>6</v>
      </c>
      <c r="J71" s="9" t="s">
        <v>1209</v>
      </c>
      <c r="K71" s="9" t="s">
        <v>1209</v>
      </c>
      <c r="L71" s="9" t="s">
        <v>1471</v>
      </c>
      <c r="M71" s="9" t="s">
        <v>715</v>
      </c>
      <c r="N71" s="9" t="s">
        <v>1471</v>
      </c>
      <c r="O71" s="9" t="s">
        <v>1477</v>
      </c>
      <c r="P71" s="9" t="s">
        <v>741</v>
      </c>
      <c r="Q71" s="9" t="s">
        <v>1474</v>
      </c>
      <c r="R71" s="9" t="s">
        <v>717</v>
      </c>
      <c r="S71" s="9" t="s">
        <v>82</v>
      </c>
      <c r="T71" s="9" t="s">
        <v>742</v>
      </c>
      <c r="U71" s="9" t="s">
        <v>743</v>
      </c>
      <c r="V71" s="9" t="s">
        <v>85</v>
      </c>
      <c r="W71" s="9" t="s">
        <v>744</v>
      </c>
      <c r="X71" s="9" t="s">
        <v>1209</v>
      </c>
      <c r="Y71" s="9" t="s">
        <v>1475</v>
      </c>
      <c r="Z71" s="9" t="s">
        <v>1212</v>
      </c>
      <c r="AA71" s="9"/>
      <c r="AB71" s="9" t="s">
        <v>202</v>
      </c>
      <c r="AC71" s="9" t="s">
        <v>88</v>
      </c>
      <c r="AD71" s="9" t="s">
        <v>1213</v>
      </c>
      <c r="AE71" s="9" t="s">
        <v>89</v>
      </c>
      <c r="AF71" s="9" t="s">
        <v>1262</v>
      </c>
      <c r="AG71" s="9" t="s">
        <v>721</v>
      </c>
      <c r="AH71" s="9" t="s">
        <v>722</v>
      </c>
      <c r="AI71" s="9" t="s">
        <v>92</v>
      </c>
      <c r="AJ71" s="9" t="s">
        <v>92</v>
      </c>
      <c r="AK71" s="9" t="s">
        <v>723</v>
      </c>
      <c r="AL71" s="9" t="s">
        <v>92</v>
      </c>
      <c r="AM71" s="9" t="s">
        <v>92</v>
      </c>
      <c r="AN71" s="9" t="s">
        <v>724</v>
      </c>
      <c r="AO71" s="9" t="s">
        <v>725</v>
      </c>
      <c r="AP71" s="9" t="s">
        <v>745</v>
      </c>
      <c r="AQ71" s="9" t="s">
        <v>746</v>
      </c>
      <c r="AR71" s="9" t="s">
        <v>747</v>
      </c>
      <c r="AS71" s="9" t="s">
        <v>100</v>
      </c>
      <c r="AT71" s="9" t="s">
        <v>100</v>
      </c>
      <c r="AU71" s="9" t="s">
        <v>100</v>
      </c>
      <c r="AV71" s="9" t="s">
        <v>729</v>
      </c>
      <c r="AW71" s="9" t="s">
        <v>730</v>
      </c>
      <c r="AX71" s="9" t="s">
        <v>731</v>
      </c>
      <c r="AY71" s="9" t="s">
        <v>104</v>
      </c>
      <c r="AZ71" s="9" t="s">
        <v>104</v>
      </c>
      <c r="BA71" s="9" t="s">
        <v>104</v>
      </c>
      <c r="BB71" s="9" t="s">
        <v>105</v>
      </c>
      <c r="BC71" s="9" t="s">
        <v>105</v>
      </c>
      <c r="BD71" s="9" t="s">
        <v>105</v>
      </c>
      <c r="BE71" s="9" t="s">
        <v>105</v>
      </c>
      <c r="BF71" s="9" t="s">
        <v>105</v>
      </c>
      <c r="BG71" s="9" t="s">
        <v>105</v>
      </c>
      <c r="BH71" s="9" t="s">
        <v>105</v>
      </c>
      <c r="BI71" s="9" t="s">
        <v>105</v>
      </c>
      <c r="BJ71" s="9" t="s">
        <v>105</v>
      </c>
      <c r="BK71" s="9" t="s">
        <v>105</v>
      </c>
      <c r="BL71" s="9" t="s">
        <v>105</v>
      </c>
      <c r="BM71" s="9" t="s">
        <v>100</v>
      </c>
      <c r="BN71" s="9" t="s">
        <v>100</v>
      </c>
      <c r="BO71" s="9" t="s">
        <v>100</v>
      </c>
      <c r="BP71" s="9" t="s">
        <v>745</v>
      </c>
      <c r="BQ71" s="9" t="s">
        <v>746</v>
      </c>
      <c r="BR71" s="9" t="s">
        <v>747</v>
      </c>
      <c r="BS71" s="9"/>
    </row>
    <row r="72" spans="1:71" x14ac:dyDescent="0.25">
      <c r="A72" s="9" t="s">
        <v>1202</v>
      </c>
      <c r="B72" s="9" t="s">
        <v>1203</v>
      </c>
      <c r="C72" s="9" t="s">
        <v>1469</v>
      </c>
      <c r="D72" s="9" t="s">
        <v>1470</v>
      </c>
      <c r="E72" s="9" t="s">
        <v>1471</v>
      </c>
      <c r="F72" s="9" t="s">
        <v>1472</v>
      </c>
      <c r="G72" s="9" t="s">
        <v>1471</v>
      </c>
      <c r="H72" s="9" t="s">
        <v>1478</v>
      </c>
      <c r="I72" s="9" t="s">
        <v>6</v>
      </c>
      <c r="J72" s="9" t="s">
        <v>1209</v>
      </c>
      <c r="K72" s="9" t="s">
        <v>1209</v>
      </c>
      <c r="L72" s="9" t="s">
        <v>1471</v>
      </c>
      <c r="M72" s="9" t="s">
        <v>715</v>
      </c>
      <c r="N72" s="9" t="s">
        <v>1471</v>
      </c>
      <c r="O72" s="9" t="s">
        <v>1478</v>
      </c>
      <c r="P72" s="9" t="s">
        <v>734</v>
      </c>
      <c r="Q72" s="9" t="s">
        <v>1474</v>
      </c>
      <c r="R72" s="9" t="s">
        <v>717</v>
      </c>
      <c r="S72" s="9" t="s">
        <v>82</v>
      </c>
      <c r="T72" s="9" t="s">
        <v>735</v>
      </c>
      <c r="U72" s="9" t="s">
        <v>736</v>
      </c>
      <c r="V72" s="9" t="s">
        <v>85</v>
      </c>
      <c r="W72" s="9" t="s">
        <v>737</v>
      </c>
      <c r="X72" s="9" t="s">
        <v>1209</v>
      </c>
      <c r="Y72" s="9" t="s">
        <v>1475</v>
      </c>
      <c r="Z72" s="9" t="s">
        <v>1212</v>
      </c>
      <c r="AA72" s="9"/>
      <c r="AB72" s="9" t="s">
        <v>202</v>
      </c>
      <c r="AC72" s="9" t="s">
        <v>88</v>
      </c>
      <c r="AD72" s="9" t="s">
        <v>1213</v>
      </c>
      <c r="AE72" s="9" t="s">
        <v>89</v>
      </c>
      <c r="AF72" s="9" t="s">
        <v>1262</v>
      </c>
      <c r="AG72" s="9" t="s">
        <v>721</v>
      </c>
      <c r="AH72" s="9" t="s">
        <v>722</v>
      </c>
      <c r="AI72" s="9" t="s">
        <v>92</v>
      </c>
      <c r="AJ72" s="9" t="s">
        <v>92</v>
      </c>
      <c r="AK72" s="9" t="s">
        <v>723</v>
      </c>
      <c r="AL72" s="9" t="s">
        <v>92</v>
      </c>
      <c r="AM72" s="9" t="s">
        <v>92</v>
      </c>
      <c r="AN72" s="9" t="s">
        <v>724</v>
      </c>
      <c r="AO72" s="9" t="s">
        <v>725</v>
      </c>
      <c r="AP72" s="9" t="s">
        <v>738</v>
      </c>
      <c r="AQ72" s="9" t="s">
        <v>739</v>
      </c>
      <c r="AR72" s="9" t="s">
        <v>740</v>
      </c>
      <c r="AS72" s="9" t="s">
        <v>100</v>
      </c>
      <c r="AT72" s="9" t="s">
        <v>100</v>
      </c>
      <c r="AU72" s="9" t="s">
        <v>100</v>
      </c>
      <c r="AV72" s="9" t="s">
        <v>729</v>
      </c>
      <c r="AW72" s="9" t="s">
        <v>730</v>
      </c>
      <c r="AX72" s="9" t="s">
        <v>731</v>
      </c>
      <c r="AY72" s="9" t="s">
        <v>104</v>
      </c>
      <c r="AZ72" s="9" t="s">
        <v>104</v>
      </c>
      <c r="BA72" s="9" t="s">
        <v>104</v>
      </c>
      <c r="BB72" s="9" t="s">
        <v>105</v>
      </c>
      <c r="BC72" s="9" t="s">
        <v>105</v>
      </c>
      <c r="BD72" s="9" t="s">
        <v>105</v>
      </c>
      <c r="BE72" s="9" t="s">
        <v>105</v>
      </c>
      <c r="BF72" s="9" t="s">
        <v>105</v>
      </c>
      <c r="BG72" s="9" t="s">
        <v>105</v>
      </c>
      <c r="BH72" s="9" t="s">
        <v>105</v>
      </c>
      <c r="BI72" s="9" t="s">
        <v>105</v>
      </c>
      <c r="BJ72" s="9" t="s">
        <v>105</v>
      </c>
      <c r="BK72" s="9" t="s">
        <v>105</v>
      </c>
      <c r="BL72" s="9" t="s">
        <v>105</v>
      </c>
      <c r="BM72" s="9" t="s">
        <v>100</v>
      </c>
      <c r="BN72" s="9" t="s">
        <v>100</v>
      </c>
      <c r="BO72" s="9" t="s">
        <v>100</v>
      </c>
      <c r="BP72" s="9" t="s">
        <v>738</v>
      </c>
      <c r="BQ72" s="9" t="s">
        <v>739</v>
      </c>
      <c r="BR72" s="9" t="s">
        <v>740</v>
      </c>
      <c r="BS72" s="9"/>
    </row>
    <row r="73" spans="1:71" x14ac:dyDescent="0.25">
      <c r="A73" s="9" t="s">
        <v>1202</v>
      </c>
      <c r="B73" s="9" t="s">
        <v>1203</v>
      </c>
      <c r="C73" s="9" t="s">
        <v>1469</v>
      </c>
      <c r="D73" s="9" t="s">
        <v>1470</v>
      </c>
      <c r="E73" s="9" t="s">
        <v>1471</v>
      </c>
      <c r="F73" s="9" t="s">
        <v>1472</v>
      </c>
      <c r="G73" s="9" t="s">
        <v>1471</v>
      </c>
      <c r="H73" s="9" t="s">
        <v>1479</v>
      </c>
      <c r="I73" s="9" t="s">
        <v>6</v>
      </c>
      <c r="J73" s="9" t="s">
        <v>1209</v>
      </c>
      <c r="K73" s="9" t="s">
        <v>1209</v>
      </c>
      <c r="L73" s="9" t="s">
        <v>1471</v>
      </c>
      <c r="M73" s="9" t="s">
        <v>715</v>
      </c>
      <c r="N73" s="9" t="s">
        <v>1471</v>
      </c>
      <c r="O73" s="9" t="s">
        <v>1479</v>
      </c>
      <c r="P73" s="9" t="s">
        <v>734</v>
      </c>
      <c r="Q73" s="9" t="s">
        <v>1474</v>
      </c>
      <c r="R73" s="9" t="s">
        <v>717</v>
      </c>
      <c r="S73" s="9" t="s">
        <v>82</v>
      </c>
      <c r="T73" s="9" t="s">
        <v>735</v>
      </c>
      <c r="U73" s="9" t="s">
        <v>736</v>
      </c>
      <c r="V73" s="9" t="s">
        <v>85</v>
      </c>
      <c r="W73" s="9" t="s">
        <v>737</v>
      </c>
      <c r="X73" s="9" t="s">
        <v>1209</v>
      </c>
      <c r="Y73" s="9" t="s">
        <v>1475</v>
      </c>
      <c r="Z73" s="9" t="s">
        <v>1212</v>
      </c>
      <c r="AA73" s="9"/>
      <c r="AB73" s="9" t="s">
        <v>202</v>
      </c>
      <c r="AC73" s="9" t="s">
        <v>88</v>
      </c>
      <c r="AD73" s="9" t="s">
        <v>1213</v>
      </c>
      <c r="AE73" s="9" t="s">
        <v>89</v>
      </c>
      <c r="AF73" s="9" t="s">
        <v>1262</v>
      </c>
      <c r="AG73" s="9" t="s">
        <v>721</v>
      </c>
      <c r="AH73" s="9" t="s">
        <v>722</v>
      </c>
      <c r="AI73" s="9" t="s">
        <v>92</v>
      </c>
      <c r="AJ73" s="9" t="s">
        <v>92</v>
      </c>
      <c r="AK73" s="9" t="s">
        <v>723</v>
      </c>
      <c r="AL73" s="9" t="s">
        <v>92</v>
      </c>
      <c r="AM73" s="9" t="s">
        <v>92</v>
      </c>
      <c r="AN73" s="9" t="s">
        <v>724</v>
      </c>
      <c r="AO73" s="9" t="s">
        <v>725</v>
      </c>
      <c r="AP73" s="9" t="s">
        <v>738</v>
      </c>
      <c r="AQ73" s="9" t="s">
        <v>739</v>
      </c>
      <c r="AR73" s="9" t="s">
        <v>740</v>
      </c>
      <c r="AS73" s="9" t="s">
        <v>100</v>
      </c>
      <c r="AT73" s="9" t="s">
        <v>100</v>
      </c>
      <c r="AU73" s="9" t="s">
        <v>100</v>
      </c>
      <c r="AV73" s="9" t="s">
        <v>729</v>
      </c>
      <c r="AW73" s="9" t="s">
        <v>730</v>
      </c>
      <c r="AX73" s="9" t="s">
        <v>731</v>
      </c>
      <c r="AY73" s="9" t="s">
        <v>104</v>
      </c>
      <c r="AZ73" s="9" t="s">
        <v>104</v>
      </c>
      <c r="BA73" s="9" t="s">
        <v>104</v>
      </c>
      <c r="BB73" s="9" t="s">
        <v>105</v>
      </c>
      <c r="BC73" s="9" t="s">
        <v>105</v>
      </c>
      <c r="BD73" s="9" t="s">
        <v>105</v>
      </c>
      <c r="BE73" s="9" t="s">
        <v>105</v>
      </c>
      <c r="BF73" s="9" t="s">
        <v>105</v>
      </c>
      <c r="BG73" s="9" t="s">
        <v>105</v>
      </c>
      <c r="BH73" s="9" t="s">
        <v>105</v>
      </c>
      <c r="BI73" s="9" t="s">
        <v>105</v>
      </c>
      <c r="BJ73" s="9" t="s">
        <v>105</v>
      </c>
      <c r="BK73" s="9" t="s">
        <v>105</v>
      </c>
      <c r="BL73" s="9" t="s">
        <v>105</v>
      </c>
      <c r="BM73" s="9" t="s">
        <v>100</v>
      </c>
      <c r="BN73" s="9" t="s">
        <v>100</v>
      </c>
      <c r="BO73" s="9" t="s">
        <v>100</v>
      </c>
      <c r="BP73" s="9" t="s">
        <v>738</v>
      </c>
      <c r="BQ73" s="9" t="s">
        <v>739</v>
      </c>
      <c r="BR73" s="9" t="s">
        <v>740</v>
      </c>
      <c r="BS73" s="9"/>
    </row>
    <row r="74" spans="1:71" x14ac:dyDescent="0.25">
      <c r="A74" s="9" t="s">
        <v>1202</v>
      </c>
      <c r="B74" s="9" t="s">
        <v>1203</v>
      </c>
      <c r="C74" s="9" t="s">
        <v>1469</v>
      </c>
      <c r="D74" s="9" t="s">
        <v>1470</v>
      </c>
      <c r="E74" s="9" t="s">
        <v>1471</v>
      </c>
      <c r="F74" s="9" t="s">
        <v>1472</v>
      </c>
      <c r="G74" s="9" t="s">
        <v>1471</v>
      </c>
      <c r="H74" s="9" t="s">
        <v>1480</v>
      </c>
      <c r="I74" s="9" t="s">
        <v>6</v>
      </c>
      <c r="J74" s="9" t="s">
        <v>1209</v>
      </c>
      <c r="K74" s="9" t="s">
        <v>1209</v>
      </c>
      <c r="L74" s="9" t="s">
        <v>1471</v>
      </c>
      <c r="M74" s="9" t="s">
        <v>715</v>
      </c>
      <c r="N74" s="9" t="s">
        <v>1471</v>
      </c>
      <c r="O74" s="9" t="s">
        <v>1480</v>
      </c>
      <c r="P74" s="9" t="s">
        <v>734</v>
      </c>
      <c r="Q74" s="9" t="s">
        <v>1474</v>
      </c>
      <c r="R74" s="9" t="s">
        <v>717</v>
      </c>
      <c r="S74" s="9" t="s">
        <v>82</v>
      </c>
      <c r="T74" s="9" t="s">
        <v>735</v>
      </c>
      <c r="U74" s="9" t="s">
        <v>736</v>
      </c>
      <c r="V74" s="9" t="s">
        <v>85</v>
      </c>
      <c r="W74" s="9" t="s">
        <v>737</v>
      </c>
      <c r="X74" s="9" t="s">
        <v>1209</v>
      </c>
      <c r="Y74" s="9" t="s">
        <v>1475</v>
      </c>
      <c r="Z74" s="9" t="s">
        <v>1212</v>
      </c>
      <c r="AA74" s="9"/>
      <c r="AB74" s="9" t="s">
        <v>202</v>
      </c>
      <c r="AC74" s="9" t="s">
        <v>88</v>
      </c>
      <c r="AD74" s="9" t="s">
        <v>1213</v>
      </c>
      <c r="AE74" s="9" t="s">
        <v>89</v>
      </c>
      <c r="AF74" s="9" t="s">
        <v>1262</v>
      </c>
      <c r="AG74" s="9" t="s">
        <v>721</v>
      </c>
      <c r="AH74" s="9" t="s">
        <v>722</v>
      </c>
      <c r="AI74" s="9" t="s">
        <v>92</v>
      </c>
      <c r="AJ74" s="9" t="s">
        <v>92</v>
      </c>
      <c r="AK74" s="9" t="s">
        <v>723</v>
      </c>
      <c r="AL74" s="9" t="s">
        <v>92</v>
      </c>
      <c r="AM74" s="9" t="s">
        <v>92</v>
      </c>
      <c r="AN74" s="9" t="s">
        <v>724</v>
      </c>
      <c r="AO74" s="9" t="s">
        <v>725</v>
      </c>
      <c r="AP74" s="9" t="s">
        <v>738</v>
      </c>
      <c r="AQ74" s="9" t="s">
        <v>739</v>
      </c>
      <c r="AR74" s="9" t="s">
        <v>740</v>
      </c>
      <c r="AS74" s="9" t="s">
        <v>100</v>
      </c>
      <c r="AT74" s="9" t="s">
        <v>100</v>
      </c>
      <c r="AU74" s="9" t="s">
        <v>100</v>
      </c>
      <c r="AV74" s="9" t="s">
        <v>729</v>
      </c>
      <c r="AW74" s="9" t="s">
        <v>730</v>
      </c>
      <c r="AX74" s="9" t="s">
        <v>731</v>
      </c>
      <c r="AY74" s="9" t="s">
        <v>104</v>
      </c>
      <c r="AZ74" s="9" t="s">
        <v>104</v>
      </c>
      <c r="BA74" s="9" t="s">
        <v>104</v>
      </c>
      <c r="BB74" s="9" t="s">
        <v>105</v>
      </c>
      <c r="BC74" s="9" t="s">
        <v>105</v>
      </c>
      <c r="BD74" s="9" t="s">
        <v>105</v>
      </c>
      <c r="BE74" s="9" t="s">
        <v>105</v>
      </c>
      <c r="BF74" s="9" t="s">
        <v>105</v>
      </c>
      <c r="BG74" s="9" t="s">
        <v>105</v>
      </c>
      <c r="BH74" s="9" t="s">
        <v>105</v>
      </c>
      <c r="BI74" s="9" t="s">
        <v>105</v>
      </c>
      <c r="BJ74" s="9" t="s">
        <v>105</v>
      </c>
      <c r="BK74" s="9" t="s">
        <v>105</v>
      </c>
      <c r="BL74" s="9" t="s">
        <v>105</v>
      </c>
      <c r="BM74" s="9" t="s">
        <v>100</v>
      </c>
      <c r="BN74" s="9" t="s">
        <v>100</v>
      </c>
      <c r="BO74" s="9" t="s">
        <v>100</v>
      </c>
      <c r="BP74" s="9" t="s">
        <v>738</v>
      </c>
      <c r="BQ74" s="9" t="s">
        <v>739</v>
      </c>
      <c r="BR74" s="9" t="s">
        <v>740</v>
      </c>
      <c r="BS74" s="9"/>
    </row>
    <row r="75" spans="1:71" x14ac:dyDescent="0.25">
      <c r="A75" s="9" t="s">
        <v>1202</v>
      </c>
      <c r="B75" s="9" t="s">
        <v>1203</v>
      </c>
      <c r="C75" s="9" t="s">
        <v>1469</v>
      </c>
      <c r="D75" s="9" t="s">
        <v>1470</v>
      </c>
      <c r="E75" s="9" t="s">
        <v>1471</v>
      </c>
      <c r="F75" s="9" t="s">
        <v>1472</v>
      </c>
      <c r="G75" s="9" t="s">
        <v>1471</v>
      </c>
      <c r="H75" s="9" t="s">
        <v>1481</v>
      </c>
      <c r="I75" s="9" t="s">
        <v>6</v>
      </c>
      <c r="J75" s="9" t="s">
        <v>1209</v>
      </c>
      <c r="K75" s="9" t="s">
        <v>1209</v>
      </c>
      <c r="L75" s="9" t="s">
        <v>1471</v>
      </c>
      <c r="M75" s="9" t="s">
        <v>715</v>
      </c>
      <c r="N75" s="9" t="s">
        <v>1471</v>
      </c>
      <c r="O75" s="9" t="s">
        <v>1481</v>
      </c>
      <c r="P75" s="9" t="s">
        <v>92</v>
      </c>
      <c r="Q75" s="9" t="s">
        <v>1474</v>
      </c>
      <c r="R75" s="9" t="s">
        <v>717</v>
      </c>
      <c r="S75" s="9" t="s">
        <v>82</v>
      </c>
      <c r="T75" s="9" t="s">
        <v>108</v>
      </c>
      <c r="U75" s="9" t="s">
        <v>108</v>
      </c>
      <c r="V75" s="9" t="s">
        <v>85</v>
      </c>
      <c r="W75" s="9" t="s">
        <v>109</v>
      </c>
      <c r="X75" s="9" t="s">
        <v>1209</v>
      </c>
      <c r="Y75" s="9" t="s">
        <v>1475</v>
      </c>
      <c r="Z75" s="9" t="s">
        <v>1212</v>
      </c>
      <c r="AA75" s="9"/>
      <c r="AB75" s="9" t="s">
        <v>202</v>
      </c>
      <c r="AC75" s="9" t="s">
        <v>88</v>
      </c>
      <c r="AD75" s="9" t="s">
        <v>1213</v>
      </c>
      <c r="AE75" s="9" t="s">
        <v>89</v>
      </c>
      <c r="AF75" s="9" t="s">
        <v>1262</v>
      </c>
      <c r="AG75" s="9" t="s">
        <v>721</v>
      </c>
      <c r="AH75" s="9" t="s">
        <v>722</v>
      </c>
      <c r="AI75" s="9" t="s">
        <v>92</v>
      </c>
      <c r="AJ75" s="9" t="s">
        <v>92</v>
      </c>
      <c r="AK75" s="9" t="s">
        <v>723</v>
      </c>
      <c r="AL75" s="9" t="s">
        <v>92</v>
      </c>
      <c r="AM75" s="9" t="s">
        <v>92</v>
      </c>
      <c r="AN75" s="9" t="s">
        <v>724</v>
      </c>
      <c r="AO75" s="9" t="s">
        <v>725</v>
      </c>
      <c r="AP75" s="9" t="s">
        <v>110</v>
      </c>
      <c r="AQ75" s="9" t="s">
        <v>110</v>
      </c>
      <c r="AR75" s="9" t="s">
        <v>110</v>
      </c>
      <c r="AS75" s="9" t="s">
        <v>99</v>
      </c>
      <c r="AT75" s="9" t="s">
        <v>99</v>
      </c>
      <c r="AU75" s="9" t="s">
        <v>100</v>
      </c>
      <c r="AV75" s="9" t="s">
        <v>729</v>
      </c>
      <c r="AW75" s="9" t="s">
        <v>730</v>
      </c>
      <c r="AX75" s="9" t="s">
        <v>731</v>
      </c>
      <c r="AY75" s="9" t="s">
        <v>104</v>
      </c>
      <c r="AZ75" s="9" t="s">
        <v>104</v>
      </c>
      <c r="BA75" s="9" t="s">
        <v>104</v>
      </c>
      <c r="BB75" s="9" t="s">
        <v>105</v>
      </c>
      <c r="BC75" s="9" t="s">
        <v>105</v>
      </c>
      <c r="BD75" s="9" t="s">
        <v>105</v>
      </c>
      <c r="BE75" s="9" t="s">
        <v>105</v>
      </c>
      <c r="BF75" s="9" t="s">
        <v>105</v>
      </c>
      <c r="BG75" s="9" t="s">
        <v>105</v>
      </c>
      <c r="BH75" s="9" t="s">
        <v>105</v>
      </c>
      <c r="BI75" s="9" t="s">
        <v>105</v>
      </c>
      <c r="BJ75" s="9" t="s">
        <v>732</v>
      </c>
      <c r="BK75" s="9" t="s">
        <v>733</v>
      </c>
      <c r="BL75" s="9" t="s">
        <v>105</v>
      </c>
      <c r="BM75" s="9" t="s">
        <v>99</v>
      </c>
      <c r="BN75" s="9" t="s">
        <v>99</v>
      </c>
      <c r="BO75" s="9" t="s">
        <v>100</v>
      </c>
      <c r="BP75" s="9" t="s">
        <v>110</v>
      </c>
      <c r="BQ75" s="9" t="s">
        <v>110</v>
      </c>
      <c r="BR75" s="9" t="s">
        <v>110</v>
      </c>
      <c r="BS75" s="9"/>
    </row>
    <row r="76" spans="1:71" x14ac:dyDescent="0.25">
      <c r="A76" s="9" t="s">
        <v>1202</v>
      </c>
      <c r="B76" s="9" t="s">
        <v>1203</v>
      </c>
      <c r="C76" s="9" t="s">
        <v>1469</v>
      </c>
      <c r="D76" s="9" t="s">
        <v>1470</v>
      </c>
      <c r="E76" s="9" t="s">
        <v>1471</v>
      </c>
      <c r="F76" s="9" t="s">
        <v>1472</v>
      </c>
      <c r="G76" s="9" t="s">
        <v>1471</v>
      </c>
      <c r="H76" s="9" t="s">
        <v>1482</v>
      </c>
      <c r="I76" s="9" t="s">
        <v>6</v>
      </c>
      <c r="J76" s="9" t="s">
        <v>1209</v>
      </c>
      <c r="K76" s="9" t="s">
        <v>1209</v>
      </c>
      <c r="L76" s="9" t="s">
        <v>1471</v>
      </c>
      <c r="M76" s="9" t="s">
        <v>715</v>
      </c>
      <c r="N76" s="9" t="s">
        <v>1471</v>
      </c>
      <c r="O76" s="9" t="s">
        <v>1482</v>
      </c>
      <c r="P76" s="9" t="s">
        <v>734</v>
      </c>
      <c r="Q76" s="9" t="s">
        <v>1474</v>
      </c>
      <c r="R76" s="9" t="s">
        <v>717</v>
      </c>
      <c r="S76" s="9" t="s">
        <v>82</v>
      </c>
      <c r="T76" s="9" t="s">
        <v>735</v>
      </c>
      <c r="U76" s="9" t="s">
        <v>736</v>
      </c>
      <c r="V76" s="9" t="s">
        <v>85</v>
      </c>
      <c r="W76" s="9" t="s">
        <v>737</v>
      </c>
      <c r="X76" s="9" t="s">
        <v>1209</v>
      </c>
      <c r="Y76" s="9" t="s">
        <v>1475</v>
      </c>
      <c r="Z76" s="9" t="s">
        <v>1212</v>
      </c>
      <c r="AA76" s="9"/>
      <c r="AB76" s="9" t="s">
        <v>202</v>
      </c>
      <c r="AC76" s="9" t="s">
        <v>88</v>
      </c>
      <c r="AD76" s="9" t="s">
        <v>1213</v>
      </c>
      <c r="AE76" s="9" t="s">
        <v>89</v>
      </c>
      <c r="AF76" s="9" t="s">
        <v>1262</v>
      </c>
      <c r="AG76" s="9" t="s">
        <v>721</v>
      </c>
      <c r="AH76" s="9" t="s">
        <v>722</v>
      </c>
      <c r="AI76" s="9" t="s">
        <v>92</v>
      </c>
      <c r="AJ76" s="9" t="s">
        <v>92</v>
      </c>
      <c r="AK76" s="9" t="s">
        <v>723</v>
      </c>
      <c r="AL76" s="9" t="s">
        <v>92</v>
      </c>
      <c r="AM76" s="9" t="s">
        <v>92</v>
      </c>
      <c r="AN76" s="9" t="s">
        <v>724</v>
      </c>
      <c r="AO76" s="9" t="s">
        <v>725</v>
      </c>
      <c r="AP76" s="9" t="s">
        <v>738</v>
      </c>
      <c r="AQ76" s="9" t="s">
        <v>739</v>
      </c>
      <c r="AR76" s="9" t="s">
        <v>740</v>
      </c>
      <c r="AS76" s="9" t="s">
        <v>100</v>
      </c>
      <c r="AT76" s="9" t="s">
        <v>100</v>
      </c>
      <c r="AU76" s="9" t="s">
        <v>100</v>
      </c>
      <c r="AV76" s="9" t="s">
        <v>729</v>
      </c>
      <c r="AW76" s="9" t="s">
        <v>730</v>
      </c>
      <c r="AX76" s="9" t="s">
        <v>731</v>
      </c>
      <c r="AY76" s="9" t="s">
        <v>104</v>
      </c>
      <c r="AZ76" s="9" t="s">
        <v>104</v>
      </c>
      <c r="BA76" s="9" t="s">
        <v>104</v>
      </c>
      <c r="BB76" s="9" t="s">
        <v>105</v>
      </c>
      <c r="BC76" s="9" t="s">
        <v>105</v>
      </c>
      <c r="BD76" s="9" t="s">
        <v>105</v>
      </c>
      <c r="BE76" s="9" t="s">
        <v>105</v>
      </c>
      <c r="BF76" s="9" t="s">
        <v>105</v>
      </c>
      <c r="BG76" s="9" t="s">
        <v>105</v>
      </c>
      <c r="BH76" s="9" t="s">
        <v>105</v>
      </c>
      <c r="BI76" s="9" t="s">
        <v>105</v>
      </c>
      <c r="BJ76" s="9" t="s">
        <v>105</v>
      </c>
      <c r="BK76" s="9" t="s">
        <v>105</v>
      </c>
      <c r="BL76" s="9" t="s">
        <v>105</v>
      </c>
      <c r="BM76" s="9" t="s">
        <v>100</v>
      </c>
      <c r="BN76" s="9" t="s">
        <v>100</v>
      </c>
      <c r="BO76" s="9" t="s">
        <v>100</v>
      </c>
      <c r="BP76" s="9" t="s">
        <v>738</v>
      </c>
      <c r="BQ76" s="9" t="s">
        <v>739</v>
      </c>
      <c r="BR76" s="9" t="s">
        <v>740</v>
      </c>
      <c r="BS76" s="9"/>
    </row>
    <row r="77" spans="1:71" x14ac:dyDescent="0.25">
      <c r="A77" s="9" t="s">
        <v>1202</v>
      </c>
      <c r="B77" s="9" t="s">
        <v>1203</v>
      </c>
      <c r="C77" s="9" t="s">
        <v>1469</v>
      </c>
      <c r="D77" s="9" t="s">
        <v>1470</v>
      </c>
      <c r="E77" s="9" t="s">
        <v>1471</v>
      </c>
      <c r="F77" s="9" t="s">
        <v>1472</v>
      </c>
      <c r="G77" s="9" t="s">
        <v>1471</v>
      </c>
      <c r="H77" s="9" t="s">
        <v>1483</v>
      </c>
      <c r="I77" s="9" t="s">
        <v>6</v>
      </c>
      <c r="J77" s="9" t="s">
        <v>1209</v>
      </c>
      <c r="K77" s="9" t="s">
        <v>1209</v>
      </c>
      <c r="L77" s="9" t="s">
        <v>1471</v>
      </c>
      <c r="M77" s="9" t="s">
        <v>715</v>
      </c>
      <c r="N77" s="9" t="s">
        <v>1471</v>
      </c>
      <c r="O77" s="9" t="s">
        <v>1483</v>
      </c>
      <c r="P77" s="9" t="s">
        <v>734</v>
      </c>
      <c r="Q77" s="9" t="s">
        <v>1474</v>
      </c>
      <c r="R77" s="9" t="s">
        <v>717</v>
      </c>
      <c r="S77" s="9" t="s">
        <v>82</v>
      </c>
      <c r="T77" s="9" t="s">
        <v>735</v>
      </c>
      <c r="U77" s="9" t="s">
        <v>736</v>
      </c>
      <c r="V77" s="9" t="s">
        <v>85</v>
      </c>
      <c r="W77" s="9" t="s">
        <v>737</v>
      </c>
      <c r="X77" s="9" t="s">
        <v>1209</v>
      </c>
      <c r="Y77" s="9" t="s">
        <v>1475</v>
      </c>
      <c r="Z77" s="9" t="s">
        <v>1212</v>
      </c>
      <c r="AA77" s="9"/>
      <c r="AB77" s="9" t="s">
        <v>202</v>
      </c>
      <c r="AC77" s="9" t="s">
        <v>88</v>
      </c>
      <c r="AD77" s="9" t="s">
        <v>1213</v>
      </c>
      <c r="AE77" s="9" t="s">
        <v>89</v>
      </c>
      <c r="AF77" s="9" t="s">
        <v>1262</v>
      </c>
      <c r="AG77" s="9" t="s">
        <v>721</v>
      </c>
      <c r="AH77" s="9" t="s">
        <v>722</v>
      </c>
      <c r="AI77" s="9" t="s">
        <v>92</v>
      </c>
      <c r="AJ77" s="9" t="s">
        <v>92</v>
      </c>
      <c r="AK77" s="9" t="s">
        <v>723</v>
      </c>
      <c r="AL77" s="9" t="s">
        <v>92</v>
      </c>
      <c r="AM77" s="9" t="s">
        <v>92</v>
      </c>
      <c r="AN77" s="9" t="s">
        <v>724</v>
      </c>
      <c r="AO77" s="9" t="s">
        <v>725</v>
      </c>
      <c r="AP77" s="9" t="s">
        <v>738</v>
      </c>
      <c r="AQ77" s="9" t="s">
        <v>739</v>
      </c>
      <c r="AR77" s="9" t="s">
        <v>740</v>
      </c>
      <c r="AS77" s="9" t="s">
        <v>100</v>
      </c>
      <c r="AT77" s="9" t="s">
        <v>100</v>
      </c>
      <c r="AU77" s="9" t="s">
        <v>100</v>
      </c>
      <c r="AV77" s="9" t="s">
        <v>729</v>
      </c>
      <c r="AW77" s="9" t="s">
        <v>730</v>
      </c>
      <c r="AX77" s="9" t="s">
        <v>731</v>
      </c>
      <c r="AY77" s="9" t="s">
        <v>104</v>
      </c>
      <c r="AZ77" s="9" t="s">
        <v>104</v>
      </c>
      <c r="BA77" s="9" t="s">
        <v>104</v>
      </c>
      <c r="BB77" s="9" t="s">
        <v>105</v>
      </c>
      <c r="BC77" s="9" t="s">
        <v>105</v>
      </c>
      <c r="BD77" s="9" t="s">
        <v>105</v>
      </c>
      <c r="BE77" s="9" t="s">
        <v>105</v>
      </c>
      <c r="BF77" s="9" t="s">
        <v>105</v>
      </c>
      <c r="BG77" s="9" t="s">
        <v>105</v>
      </c>
      <c r="BH77" s="9" t="s">
        <v>105</v>
      </c>
      <c r="BI77" s="9" t="s">
        <v>105</v>
      </c>
      <c r="BJ77" s="9" t="s">
        <v>105</v>
      </c>
      <c r="BK77" s="9" t="s">
        <v>105</v>
      </c>
      <c r="BL77" s="9" t="s">
        <v>105</v>
      </c>
      <c r="BM77" s="9" t="s">
        <v>100</v>
      </c>
      <c r="BN77" s="9" t="s">
        <v>100</v>
      </c>
      <c r="BO77" s="9" t="s">
        <v>100</v>
      </c>
      <c r="BP77" s="9" t="s">
        <v>738</v>
      </c>
      <c r="BQ77" s="9" t="s">
        <v>739</v>
      </c>
      <c r="BR77" s="9" t="s">
        <v>740</v>
      </c>
      <c r="BS77" s="9"/>
    </row>
    <row r="78" spans="1:71" x14ac:dyDescent="0.25">
      <c r="A78" s="9" t="s">
        <v>1202</v>
      </c>
      <c r="B78" s="9" t="s">
        <v>1203</v>
      </c>
      <c r="C78" s="9" t="s">
        <v>1469</v>
      </c>
      <c r="D78" s="9" t="s">
        <v>1470</v>
      </c>
      <c r="E78" s="9" t="s">
        <v>1471</v>
      </c>
      <c r="F78" s="9" t="s">
        <v>1472</v>
      </c>
      <c r="G78" s="9" t="s">
        <v>1471</v>
      </c>
      <c r="H78" s="9" t="s">
        <v>1484</v>
      </c>
      <c r="I78" s="9" t="s">
        <v>6</v>
      </c>
      <c r="J78" s="9" t="s">
        <v>1209</v>
      </c>
      <c r="K78" s="9" t="s">
        <v>1209</v>
      </c>
      <c r="L78" s="9" t="s">
        <v>1471</v>
      </c>
      <c r="M78" s="9" t="s">
        <v>715</v>
      </c>
      <c r="N78" s="9" t="s">
        <v>1471</v>
      </c>
      <c r="O78" s="9" t="s">
        <v>1484</v>
      </c>
      <c r="P78" s="9" t="s">
        <v>734</v>
      </c>
      <c r="Q78" s="9" t="s">
        <v>1474</v>
      </c>
      <c r="R78" s="9" t="s">
        <v>717</v>
      </c>
      <c r="S78" s="9" t="s">
        <v>82</v>
      </c>
      <c r="T78" s="9" t="s">
        <v>735</v>
      </c>
      <c r="U78" s="9" t="s">
        <v>736</v>
      </c>
      <c r="V78" s="9" t="s">
        <v>85</v>
      </c>
      <c r="W78" s="9" t="s">
        <v>737</v>
      </c>
      <c r="X78" s="9" t="s">
        <v>1209</v>
      </c>
      <c r="Y78" s="9" t="s">
        <v>1475</v>
      </c>
      <c r="Z78" s="9" t="s">
        <v>1212</v>
      </c>
      <c r="AA78" s="9"/>
      <c r="AB78" s="9" t="s">
        <v>202</v>
      </c>
      <c r="AC78" s="9" t="s">
        <v>88</v>
      </c>
      <c r="AD78" s="9" t="s">
        <v>1213</v>
      </c>
      <c r="AE78" s="9" t="s">
        <v>89</v>
      </c>
      <c r="AF78" s="9" t="s">
        <v>1262</v>
      </c>
      <c r="AG78" s="9" t="s">
        <v>721</v>
      </c>
      <c r="AH78" s="9" t="s">
        <v>722</v>
      </c>
      <c r="AI78" s="9" t="s">
        <v>92</v>
      </c>
      <c r="AJ78" s="9" t="s">
        <v>92</v>
      </c>
      <c r="AK78" s="9" t="s">
        <v>723</v>
      </c>
      <c r="AL78" s="9" t="s">
        <v>92</v>
      </c>
      <c r="AM78" s="9" t="s">
        <v>92</v>
      </c>
      <c r="AN78" s="9" t="s">
        <v>724</v>
      </c>
      <c r="AO78" s="9" t="s">
        <v>725</v>
      </c>
      <c r="AP78" s="9" t="s">
        <v>738</v>
      </c>
      <c r="AQ78" s="9" t="s">
        <v>739</v>
      </c>
      <c r="AR78" s="9" t="s">
        <v>740</v>
      </c>
      <c r="AS78" s="9" t="s">
        <v>100</v>
      </c>
      <c r="AT78" s="9" t="s">
        <v>100</v>
      </c>
      <c r="AU78" s="9" t="s">
        <v>100</v>
      </c>
      <c r="AV78" s="9" t="s">
        <v>729</v>
      </c>
      <c r="AW78" s="9" t="s">
        <v>730</v>
      </c>
      <c r="AX78" s="9" t="s">
        <v>731</v>
      </c>
      <c r="AY78" s="9" t="s">
        <v>104</v>
      </c>
      <c r="AZ78" s="9" t="s">
        <v>104</v>
      </c>
      <c r="BA78" s="9" t="s">
        <v>104</v>
      </c>
      <c r="BB78" s="9" t="s">
        <v>105</v>
      </c>
      <c r="BC78" s="9" t="s">
        <v>105</v>
      </c>
      <c r="BD78" s="9" t="s">
        <v>105</v>
      </c>
      <c r="BE78" s="9" t="s">
        <v>105</v>
      </c>
      <c r="BF78" s="9" t="s">
        <v>105</v>
      </c>
      <c r="BG78" s="9" t="s">
        <v>105</v>
      </c>
      <c r="BH78" s="9" t="s">
        <v>105</v>
      </c>
      <c r="BI78" s="9" t="s">
        <v>105</v>
      </c>
      <c r="BJ78" s="9" t="s">
        <v>105</v>
      </c>
      <c r="BK78" s="9" t="s">
        <v>105</v>
      </c>
      <c r="BL78" s="9" t="s">
        <v>105</v>
      </c>
      <c r="BM78" s="9" t="s">
        <v>100</v>
      </c>
      <c r="BN78" s="9" t="s">
        <v>100</v>
      </c>
      <c r="BO78" s="9" t="s">
        <v>100</v>
      </c>
      <c r="BP78" s="9" t="s">
        <v>738</v>
      </c>
      <c r="BQ78" s="9" t="s">
        <v>739</v>
      </c>
      <c r="BR78" s="9" t="s">
        <v>740</v>
      </c>
      <c r="BS78" s="9"/>
    </row>
    <row r="79" spans="1:71" x14ac:dyDescent="0.25">
      <c r="A79" s="9" t="s">
        <v>1202</v>
      </c>
      <c r="B79" s="9" t="s">
        <v>1203</v>
      </c>
      <c r="C79" s="9" t="s">
        <v>1469</v>
      </c>
      <c r="D79" s="9" t="s">
        <v>1470</v>
      </c>
      <c r="E79" s="9" t="s">
        <v>1471</v>
      </c>
      <c r="F79" s="9" t="s">
        <v>1472</v>
      </c>
      <c r="G79" s="9" t="s">
        <v>1471</v>
      </c>
      <c r="H79" s="9" t="s">
        <v>1485</v>
      </c>
      <c r="I79" s="9" t="s">
        <v>6</v>
      </c>
      <c r="J79" s="9" t="s">
        <v>1209</v>
      </c>
      <c r="K79" s="9" t="s">
        <v>1209</v>
      </c>
      <c r="L79" s="9" t="s">
        <v>1471</v>
      </c>
      <c r="M79" s="9" t="s">
        <v>715</v>
      </c>
      <c r="N79" s="9" t="s">
        <v>1471</v>
      </c>
      <c r="O79" s="9" t="s">
        <v>1485</v>
      </c>
      <c r="P79" s="9" t="s">
        <v>734</v>
      </c>
      <c r="Q79" s="9" t="s">
        <v>1474</v>
      </c>
      <c r="R79" s="9" t="s">
        <v>717</v>
      </c>
      <c r="S79" s="9" t="s">
        <v>82</v>
      </c>
      <c r="T79" s="9" t="s">
        <v>735</v>
      </c>
      <c r="U79" s="9" t="s">
        <v>736</v>
      </c>
      <c r="V79" s="9" t="s">
        <v>85</v>
      </c>
      <c r="W79" s="9" t="s">
        <v>737</v>
      </c>
      <c r="X79" s="9" t="s">
        <v>1209</v>
      </c>
      <c r="Y79" s="9" t="s">
        <v>1475</v>
      </c>
      <c r="Z79" s="9" t="s">
        <v>1212</v>
      </c>
      <c r="AA79" s="9"/>
      <c r="AB79" s="9" t="s">
        <v>202</v>
      </c>
      <c r="AC79" s="9" t="s">
        <v>88</v>
      </c>
      <c r="AD79" s="9" t="s">
        <v>1213</v>
      </c>
      <c r="AE79" s="9" t="s">
        <v>89</v>
      </c>
      <c r="AF79" s="9" t="s">
        <v>1262</v>
      </c>
      <c r="AG79" s="9" t="s">
        <v>721</v>
      </c>
      <c r="AH79" s="9" t="s">
        <v>722</v>
      </c>
      <c r="AI79" s="9" t="s">
        <v>92</v>
      </c>
      <c r="AJ79" s="9" t="s">
        <v>92</v>
      </c>
      <c r="AK79" s="9" t="s">
        <v>723</v>
      </c>
      <c r="AL79" s="9" t="s">
        <v>92</v>
      </c>
      <c r="AM79" s="9" t="s">
        <v>92</v>
      </c>
      <c r="AN79" s="9" t="s">
        <v>724</v>
      </c>
      <c r="AO79" s="9" t="s">
        <v>725</v>
      </c>
      <c r="AP79" s="9" t="s">
        <v>738</v>
      </c>
      <c r="AQ79" s="9" t="s">
        <v>739</v>
      </c>
      <c r="AR79" s="9" t="s">
        <v>740</v>
      </c>
      <c r="AS79" s="9" t="s">
        <v>100</v>
      </c>
      <c r="AT79" s="9" t="s">
        <v>100</v>
      </c>
      <c r="AU79" s="9" t="s">
        <v>100</v>
      </c>
      <c r="AV79" s="9" t="s">
        <v>729</v>
      </c>
      <c r="AW79" s="9" t="s">
        <v>730</v>
      </c>
      <c r="AX79" s="9" t="s">
        <v>731</v>
      </c>
      <c r="AY79" s="9" t="s">
        <v>104</v>
      </c>
      <c r="AZ79" s="9" t="s">
        <v>104</v>
      </c>
      <c r="BA79" s="9" t="s">
        <v>104</v>
      </c>
      <c r="BB79" s="9" t="s">
        <v>105</v>
      </c>
      <c r="BC79" s="9" t="s">
        <v>105</v>
      </c>
      <c r="BD79" s="9" t="s">
        <v>105</v>
      </c>
      <c r="BE79" s="9" t="s">
        <v>105</v>
      </c>
      <c r="BF79" s="9" t="s">
        <v>105</v>
      </c>
      <c r="BG79" s="9" t="s">
        <v>105</v>
      </c>
      <c r="BH79" s="9" t="s">
        <v>105</v>
      </c>
      <c r="BI79" s="9" t="s">
        <v>105</v>
      </c>
      <c r="BJ79" s="9" t="s">
        <v>105</v>
      </c>
      <c r="BK79" s="9" t="s">
        <v>105</v>
      </c>
      <c r="BL79" s="9" t="s">
        <v>105</v>
      </c>
      <c r="BM79" s="9" t="s">
        <v>100</v>
      </c>
      <c r="BN79" s="9" t="s">
        <v>100</v>
      </c>
      <c r="BO79" s="9" t="s">
        <v>100</v>
      </c>
      <c r="BP79" s="9" t="s">
        <v>738</v>
      </c>
      <c r="BQ79" s="9" t="s">
        <v>739</v>
      </c>
      <c r="BR79" s="9" t="s">
        <v>740</v>
      </c>
      <c r="BS79" s="9"/>
    </row>
    <row r="80" spans="1:71" x14ac:dyDescent="0.25">
      <c r="A80" s="9" t="s">
        <v>1202</v>
      </c>
      <c r="B80" s="9" t="s">
        <v>1203</v>
      </c>
      <c r="C80" s="9" t="s">
        <v>1469</v>
      </c>
      <c r="D80" s="9" t="s">
        <v>1470</v>
      </c>
      <c r="E80" s="9" t="s">
        <v>1471</v>
      </c>
      <c r="F80" s="9" t="s">
        <v>1472</v>
      </c>
      <c r="G80" s="9" t="s">
        <v>1471</v>
      </c>
      <c r="H80" s="9" t="s">
        <v>1486</v>
      </c>
      <c r="I80" s="9" t="s">
        <v>6</v>
      </c>
      <c r="J80" s="9" t="s">
        <v>1209</v>
      </c>
      <c r="K80" s="9" t="s">
        <v>1209</v>
      </c>
      <c r="L80" s="9" t="s">
        <v>1471</v>
      </c>
      <c r="M80" s="9" t="s">
        <v>715</v>
      </c>
      <c r="N80" s="9" t="s">
        <v>1471</v>
      </c>
      <c r="O80" s="9" t="s">
        <v>1486</v>
      </c>
      <c r="P80" s="9" t="s">
        <v>734</v>
      </c>
      <c r="Q80" s="9" t="s">
        <v>1474</v>
      </c>
      <c r="R80" s="9" t="s">
        <v>717</v>
      </c>
      <c r="S80" s="9" t="s">
        <v>82</v>
      </c>
      <c r="T80" s="9" t="s">
        <v>735</v>
      </c>
      <c r="U80" s="9" t="s">
        <v>736</v>
      </c>
      <c r="V80" s="9" t="s">
        <v>85</v>
      </c>
      <c r="W80" s="9" t="s">
        <v>737</v>
      </c>
      <c r="X80" s="9" t="s">
        <v>1209</v>
      </c>
      <c r="Y80" s="9" t="s">
        <v>1475</v>
      </c>
      <c r="Z80" s="9" t="s">
        <v>1212</v>
      </c>
      <c r="AA80" s="9"/>
      <c r="AB80" s="9" t="s">
        <v>202</v>
      </c>
      <c r="AC80" s="9" t="s">
        <v>88</v>
      </c>
      <c r="AD80" s="9" t="s">
        <v>1213</v>
      </c>
      <c r="AE80" s="9" t="s">
        <v>89</v>
      </c>
      <c r="AF80" s="9" t="s">
        <v>1262</v>
      </c>
      <c r="AG80" s="9" t="s">
        <v>721</v>
      </c>
      <c r="AH80" s="9" t="s">
        <v>722</v>
      </c>
      <c r="AI80" s="9" t="s">
        <v>92</v>
      </c>
      <c r="AJ80" s="9" t="s">
        <v>92</v>
      </c>
      <c r="AK80" s="9" t="s">
        <v>723</v>
      </c>
      <c r="AL80" s="9" t="s">
        <v>92</v>
      </c>
      <c r="AM80" s="9" t="s">
        <v>92</v>
      </c>
      <c r="AN80" s="9" t="s">
        <v>724</v>
      </c>
      <c r="AO80" s="9" t="s">
        <v>725</v>
      </c>
      <c r="AP80" s="9" t="s">
        <v>738</v>
      </c>
      <c r="AQ80" s="9" t="s">
        <v>739</v>
      </c>
      <c r="AR80" s="9" t="s">
        <v>740</v>
      </c>
      <c r="AS80" s="9" t="s">
        <v>100</v>
      </c>
      <c r="AT80" s="9" t="s">
        <v>100</v>
      </c>
      <c r="AU80" s="9" t="s">
        <v>100</v>
      </c>
      <c r="AV80" s="9" t="s">
        <v>729</v>
      </c>
      <c r="AW80" s="9" t="s">
        <v>730</v>
      </c>
      <c r="AX80" s="9" t="s">
        <v>731</v>
      </c>
      <c r="AY80" s="9" t="s">
        <v>104</v>
      </c>
      <c r="AZ80" s="9" t="s">
        <v>104</v>
      </c>
      <c r="BA80" s="9" t="s">
        <v>104</v>
      </c>
      <c r="BB80" s="9" t="s">
        <v>105</v>
      </c>
      <c r="BC80" s="9" t="s">
        <v>105</v>
      </c>
      <c r="BD80" s="9" t="s">
        <v>105</v>
      </c>
      <c r="BE80" s="9" t="s">
        <v>105</v>
      </c>
      <c r="BF80" s="9" t="s">
        <v>105</v>
      </c>
      <c r="BG80" s="9" t="s">
        <v>105</v>
      </c>
      <c r="BH80" s="9" t="s">
        <v>105</v>
      </c>
      <c r="BI80" s="9" t="s">
        <v>105</v>
      </c>
      <c r="BJ80" s="9" t="s">
        <v>105</v>
      </c>
      <c r="BK80" s="9" t="s">
        <v>105</v>
      </c>
      <c r="BL80" s="9" t="s">
        <v>105</v>
      </c>
      <c r="BM80" s="9" t="s">
        <v>100</v>
      </c>
      <c r="BN80" s="9" t="s">
        <v>100</v>
      </c>
      <c r="BO80" s="9" t="s">
        <v>100</v>
      </c>
      <c r="BP80" s="9" t="s">
        <v>738</v>
      </c>
      <c r="BQ80" s="9" t="s">
        <v>739</v>
      </c>
      <c r="BR80" s="9" t="s">
        <v>740</v>
      </c>
      <c r="BS80" s="9"/>
    </row>
    <row r="81" spans="1:71" x14ac:dyDescent="0.25">
      <c r="A81" s="9" t="s">
        <v>1202</v>
      </c>
      <c r="B81" s="9" t="s">
        <v>1203</v>
      </c>
      <c r="C81" s="9" t="s">
        <v>1487</v>
      </c>
      <c r="D81" s="9" t="s">
        <v>1488</v>
      </c>
      <c r="E81" s="9" t="s">
        <v>1489</v>
      </c>
      <c r="F81" s="9" t="s">
        <v>1490</v>
      </c>
      <c r="G81" s="9" t="s">
        <v>1489</v>
      </c>
      <c r="H81" s="9" t="s">
        <v>1491</v>
      </c>
      <c r="I81" s="9" t="s">
        <v>6</v>
      </c>
      <c r="J81" s="9" t="s">
        <v>1209</v>
      </c>
      <c r="K81" s="9" t="s">
        <v>1209</v>
      </c>
      <c r="L81" s="9" t="s">
        <v>1489</v>
      </c>
      <c r="M81" s="9" t="s">
        <v>748</v>
      </c>
      <c r="N81" s="9" t="s">
        <v>1489</v>
      </c>
      <c r="O81" s="9" t="s">
        <v>1491</v>
      </c>
      <c r="P81" s="9" t="s">
        <v>749</v>
      </c>
      <c r="Q81" s="9" t="s">
        <v>1210</v>
      </c>
      <c r="R81" s="9" t="s">
        <v>749</v>
      </c>
      <c r="S81" s="9" t="s">
        <v>82</v>
      </c>
      <c r="T81" s="9" t="s">
        <v>83</v>
      </c>
      <c r="U81" s="9" t="s">
        <v>750</v>
      </c>
      <c r="V81" s="9" t="s">
        <v>85</v>
      </c>
      <c r="W81" s="9" t="s">
        <v>751</v>
      </c>
      <c r="X81" s="9" t="s">
        <v>1209</v>
      </c>
      <c r="Y81" s="9" t="s">
        <v>1492</v>
      </c>
      <c r="Z81" s="9" t="s">
        <v>1212</v>
      </c>
      <c r="AA81" s="9"/>
      <c r="AB81" s="9" t="s">
        <v>202</v>
      </c>
      <c r="AC81" s="9" t="s">
        <v>88</v>
      </c>
      <c r="AD81" s="9" t="s">
        <v>1213</v>
      </c>
      <c r="AE81" s="9" t="s">
        <v>89</v>
      </c>
      <c r="AF81" s="9" t="s">
        <v>1262</v>
      </c>
      <c r="AG81" s="9" t="s">
        <v>752</v>
      </c>
      <c r="AH81" s="9" t="s">
        <v>753</v>
      </c>
      <c r="AI81" s="9" t="s">
        <v>92</v>
      </c>
      <c r="AJ81" s="9" t="s">
        <v>92</v>
      </c>
      <c r="AK81" s="9" t="s">
        <v>754</v>
      </c>
      <c r="AL81" s="9" t="s">
        <v>92</v>
      </c>
      <c r="AM81" s="9" t="s">
        <v>92</v>
      </c>
      <c r="AN81" s="9" t="s">
        <v>755</v>
      </c>
      <c r="AO81" s="9" t="s">
        <v>756</v>
      </c>
      <c r="AP81" s="9" t="s">
        <v>757</v>
      </c>
      <c r="AQ81" s="9" t="s">
        <v>758</v>
      </c>
      <c r="AR81" s="9" t="s">
        <v>759</v>
      </c>
      <c r="AS81" s="9" t="s">
        <v>99</v>
      </c>
      <c r="AT81" s="9" t="s">
        <v>99</v>
      </c>
      <c r="AU81" s="9" t="s">
        <v>100</v>
      </c>
      <c r="AV81" s="9" t="s">
        <v>760</v>
      </c>
      <c r="AW81" s="9" t="s">
        <v>761</v>
      </c>
      <c r="AX81" s="9" t="s">
        <v>762</v>
      </c>
      <c r="AY81" s="9" t="s">
        <v>104</v>
      </c>
      <c r="AZ81" s="9" t="s">
        <v>104</v>
      </c>
      <c r="BA81" s="9" t="s">
        <v>104</v>
      </c>
      <c r="BB81" s="9" t="s">
        <v>105</v>
      </c>
      <c r="BC81" s="9" t="s">
        <v>105</v>
      </c>
      <c r="BD81" s="9" t="s">
        <v>105</v>
      </c>
      <c r="BE81" s="9" t="s">
        <v>105</v>
      </c>
      <c r="BF81" s="9" t="s">
        <v>105</v>
      </c>
      <c r="BG81" s="9" t="s">
        <v>105</v>
      </c>
      <c r="BH81" s="9" t="s">
        <v>105</v>
      </c>
      <c r="BI81" s="9" t="s">
        <v>105</v>
      </c>
      <c r="BJ81" s="9" t="s">
        <v>106</v>
      </c>
      <c r="BK81" s="9" t="s">
        <v>107</v>
      </c>
      <c r="BL81" s="9" t="s">
        <v>105</v>
      </c>
      <c r="BM81" s="9" t="s">
        <v>99</v>
      </c>
      <c r="BN81" s="9" t="s">
        <v>99</v>
      </c>
      <c r="BO81" s="9" t="s">
        <v>100</v>
      </c>
      <c r="BP81" s="9" t="s">
        <v>757</v>
      </c>
      <c r="BQ81" s="9" t="s">
        <v>758</v>
      </c>
      <c r="BR81" s="9" t="s">
        <v>759</v>
      </c>
      <c r="BS81" s="9"/>
    </row>
    <row r="82" spans="1:71" x14ac:dyDescent="0.25">
      <c r="A82" s="9" t="s">
        <v>1202</v>
      </c>
      <c r="B82" s="9" t="s">
        <v>1203</v>
      </c>
      <c r="C82" s="9" t="s">
        <v>1487</v>
      </c>
      <c r="D82" s="9" t="s">
        <v>1488</v>
      </c>
      <c r="E82" s="9" t="s">
        <v>1489</v>
      </c>
      <c r="F82" s="9" t="s">
        <v>1490</v>
      </c>
      <c r="G82" s="9" t="s">
        <v>1489</v>
      </c>
      <c r="H82" s="9" t="s">
        <v>1493</v>
      </c>
      <c r="I82" s="9" t="s">
        <v>6</v>
      </c>
      <c r="J82" s="9" t="s">
        <v>1209</v>
      </c>
      <c r="K82" s="9" t="s">
        <v>1209</v>
      </c>
      <c r="L82" s="9" t="s">
        <v>1489</v>
      </c>
      <c r="M82" s="9" t="s">
        <v>748</v>
      </c>
      <c r="N82" s="9" t="s">
        <v>1489</v>
      </c>
      <c r="O82" s="9" t="s">
        <v>1493</v>
      </c>
      <c r="P82" s="9" t="s">
        <v>92</v>
      </c>
      <c r="Q82" s="9" t="s">
        <v>1210</v>
      </c>
      <c r="R82" s="9" t="s">
        <v>749</v>
      </c>
      <c r="S82" s="9" t="s">
        <v>82</v>
      </c>
      <c r="T82" s="9" t="s">
        <v>108</v>
      </c>
      <c r="U82" s="9" t="s">
        <v>108</v>
      </c>
      <c r="V82" s="9" t="s">
        <v>85</v>
      </c>
      <c r="W82" s="9" t="s">
        <v>109</v>
      </c>
      <c r="X82" s="9" t="s">
        <v>1209</v>
      </c>
      <c r="Y82" s="9" t="s">
        <v>1492</v>
      </c>
      <c r="Z82" s="9" t="s">
        <v>1212</v>
      </c>
      <c r="AA82" s="9"/>
      <c r="AB82" s="9" t="s">
        <v>202</v>
      </c>
      <c r="AC82" s="9" t="s">
        <v>88</v>
      </c>
      <c r="AD82" s="9" t="s">
        <v>1213</v>
      </c>
      <c r="AE82" s="9" t="s">
        <v>89</v>
      </c>
      <c r="AF82" s="9" t="s">
        <v>1262</v>
      </c>
      <c r="AG82" s="9" t="s">
        <v>752</v>
      </c>
      <c r="AH82" s="9" t="s">
        <v>753</v>
      </c>
      <c r="AI82" s="9" t="s">
        <v>92</v>
      </c>
      <c r="AJ82" s="9" t="s">
        <v>92</v>
      </c>
      <c r="AK82" s="9" t="s">
        <v>754</v>
      </c>
      <c r="AL82" s="9" t="s">
        <v>92</v>
      </c>
      <c r="AM82" s="9" t="s">
        <v>92</v>
      </c>
      <c r="AN82" s="9" t="s">
        <v>755</v>
      </c>
      <c r="AO82" s="9" t="s">
        <v>756</v>
      </c>
      <c r="AP82" s="9" t="s">
        <v>110</v>
      </c>
      <c r="AQ82" s="9" t="s">
        <v>110</v>
      </c>
      <c r="AR82" s="9" t="s">
        <v>110</v>
      </c>
      <c r="AS82" s="9" t="s">
        <v>99</v>
      </c>
      <c r="AT82" s="9" t="s">
        <v>99</v>
      </c>
      <c r="AU82" s="9" t="s">
        <v>100</v>
      </c>
      <c r="AV82" s="9" t="s">
        <v>760</v>
      </c>
      <c r="AW82" s="9" t="s">
        <v>761</v>
      </c>
      <c r="AX82" s="9" t="s">
        <v>762</v>
      </c>
      <c r="AY82" s="9" t="s">
        <v>104</v>
      </c>
      <c r="AZ82" s="9" t="s">
        <v>104</v>
      </c>
      <c r="BA82" s="9" t="s">
        <v>104</v>
      </c>
      <c r="BB82" s="9" t="s">
        <v>105</v>
      </c>
      <c r="BC82" s="9" t="s">
        <v>105</v>
      </c>
      <c r="BD82" s="9" t="s">
        <v>105</v>
      </c>
      <c r="BE82" s="9" t="s">
        <v>105</v>
      </c>
      <c r="BF82" s="9" t="s">
        <v>105</v>
      </c>
      <c r="BG82" s="9" t="s">
        <v>105</v>
      </c>
      <c r="BH82" s="9" t="s">
        <v>105</v>
      </c>
      <c r="BI82" s="9" t="s">
        <v>105</v>
      </c>
      <c r="BJ82" s="9" t="s">
        <v>106</v>
      </c>
      <c r="BK82" s="9" t="s">
        <v>107</v>
      </c>
      <c r="BL82" s="9" t="s">
        <v>105</v>
      </c>
      <c r="BM82" s="9" t="s">
        <v>99</v>
      </c>
      <c r="BN82" s="9" t="s">
        <v>99</v>
      </c>
      <c r="BO82" s="9" t="s">
        <v>100</v>
      </c>
      <c r="BP82" s="9" t="s">
        <v>110</v>
      </c>
      <c r="BQ82" s="9" t="s">
        <v>110</v>
      </c>
      <c r="BR82" s="9" t="s">
        <v>110</v>
      </c>
      <c r="BS82" s="9"/>
    </row>
    <row r="83" spans="1:71" x14ac:dyDescent="0.25">
      <c r="A83" s="9" t="s">
        <v>1202</v>
      </c>
      <c r="B83" s="9" t="s">
        <v>1203</v>
      </c>
      <c r="C83" s="9" t="s">
        <v>1494</v>
      </c>
      <c r="D83" s="9" t="s">
        <v>1495</v>
      </c>
      <c r="E83" s="9" t="s">
        <v>1496</v>
      </c>
      <c r="F83" s="9" t="s">
        <v>1497</v>
      </c>
      <c r="G83" s="9" t="s">
        <v>1496</v>
      </c>
      <c r="H83" s="9" t="s">
        <v>1498</v>
      </c>
      <c r="I83" s="9" t="s">
        <v>6</v>
      </c>
      <c r="J83" s="9" t="s">
        <v>1209</v>
      </c>
      <c r="K83" s="9" t="s">
        <v>1209</v>
      </c>
      <c r="L83" s="9" t="s">
        <v>1496</v>
      </c>
      <c r="M83" s="9" t="s">
        <v>763</v>
      </c>
      <c r="N83" s="9" t="s">
        <v>1496</v>
      </c>
      <c r="O83" s="9" t="s">
        <v>1498</v>
      </c>
      <c r="P83" s="9" t="s">
        <v>764</v>
      </c>
      <c r="Q83" s="9" t="s">
        <v>1245</v>
      </c>
      <c r="R83" s="9" t="s">
        <v>765</v>
      </c>
      <c r="S83" s="9" t="s">
        <v>82</v>
      </c>
      <c r="T83" s="9" t="s">
        <v>766</v>
      </c>
      <c r="U83" s="9" t="s">
        <v>767</v>
      </c>
      <c r="V83" s="9" t="s">
        <v>85</v>
      </c>
      <c r="W83" s="9" t="s">
        <v>768</v>
      </c>
      <c r="X83" s="9" t="s">
        <v>1209</v>
      </c>
      <c r="Y83" s="9" t="s">
        <v>1499</v>
      </c>
      <c r="Z83" s="9" t="s">
        <v>1298</v>
      </c>
      <c r="AA83" s="9"/>
      <c r="AB83" s="9" t="s">
        <v>420</v>
      </c>
      <c r="AC83" s="9" t="s">
        <v>88</v>
      </c>
      <c r="AD83" s="9" t="s">
        <v>1213</v>
      </c>
      <c r="AE83" s="9" t="s">
        <v>89</v>
      </c>
      <c r="AF83" s="9" t="s">
        <v>1353</v>
      </c>
      <c r="AG83" s="9" t="s">
        <v>769</v>
      </c>
      <c r="AH83" s="9" t="s">
        <v>92</v>
      </c>
      <c r="AI83" s="9" t="s">
        <v>92</v>
      </c>
      <c r="AJ83" s="9" t="s">
        <v>92</v>
      </c>
      <c r="AK83" s="9" t="s">
        <v>770</v>
      </c>
      <c r="AL83" s="9" t="s">
        <v>92</v>
      </c>
      <c r="AM83" s="9" t="s">
        <v>92</v>
      </c>
      <c r="AN83" s="9" t="s">
        <v>771</v>
      </c>
      <c r="AO83" s="9" t="s">
        <v>772</v>
      </c>
      <c r="AP83" s="9" t="s">
        <v>773</v>
      </c>
      <c r="AQ83" s="9" t="s">
        <v>774</v>
      </c>
      <c r="AR83" s="9" t="s">
        <v>775</v>
      </c>
      <c r="AS83" s="9" t="s">
        <v>99</v>
      </c>
      <c r="AT83" s="9" t="s">
        <v>99</v>
      </c>
      <c r="AU83" s="9" t="s">
        <v>100</v>
      </c>
      <c r="AV83" s="9" t="s">
        <v>776</v>
      </c>
      <c r="AW83" s="9" t="s">
        <v>777</v>
      </c>
      <c r="AX83" s="9" t="s">
        <v>778</v>
      </c>
      <c r="AY83" s="9" t="s">
        <v>104</v>
      </c>
      <c r="AZ83" s="9" t="s">
        <v>104</v>
      </c>
      <c r="BA83" s="9" t="s">
        <v>104</v>
      </c>
      <c r="BB83" s="9" t="s">
        <v>105</v>
      </c>
      <c r="BC83" s="9" t="s">
        <v>105</v>
      </c>
      <c r="BD83" s="9" t="s">
        <v>105</v>
      </c>
      <c r="BE83" s="9" t="s">
        <v>105</v>
      </c>
      <c r="BF83" s="9" t="s">
        <v>105</v>
      </c>
      <c r="BG83" s="9" t="s">
        <v>105</v>
      </c>
      <c r="BH83" s="9" t="s">
        <v>105</v>
      </c>
      <c r="BI83" s="9" t="s">
        <v>105</v>
      </c>
      <c r="BJ83" s="9" t="s">
        <v>178</v>
      </c>
      <c r="BK83" s="9" t="s">
        <v>179</v>
      </c>
      <c r="BL83" s="9" t="s">
        <v>105</v>
      </c>
      <c r="BM83" s="9" t="s">
        <v>99</v>
      </c>
      <c r="BN83" s="9" t="s">
        <v>99</v>
      </c>
      <c r="BO83" s="9" t="s">
        <v>100</v>
      </c>
      <c r="BP83" s="9" t="s">
        <v>773</v>
      </c>
      <c r="BQ83" s="9" t="s">
        <v>774</v>
      </c>
      <c r="BR83" s="9" t="s">
        <v>775</v>
      </c>
      <c r="BS83" s="9"/>
    </row>
    <row r="84" spans="1:71" x14ac:dyDescent="0.25">
      <c r="A84" s="9" t="s">
        <v>1202</v>
      </c>
      <c r="B84" s="9" t="s">
        <v>1203</v>
      </c>
      <c r="C84" s="9" t="s">
        <v>1494</v>
      </c>
      <c r="D84" s="9" t="s">
        <v>1495</v>
      </c>
      <c r="E84" s="9" t="s">
        <v>1496</v>
      </c>
      <c r="F84" s="9" t="s">
        <v>1497</v>
      </c>
      <c r="G84" s="9" t="s">
        <v>1496</v>
      </c>
      <c r="H84" s="9" t="s">
        <v>1500</v>
      </c>
      <c r="I84" s="9" t="s">
        <v>6</v>
      </c>
      <c r="J84" s="9" t="s">
        <v>1209</v>
      </c>
      <c r="K84" s="9" t="s">
        <v>1209</v>
      </c>
      <c r="L84" s="9" t="s">
        <v>1496</v>
      </c>
      <c r="M84" s="9" t="s">
        <v>763</v>
      </c>
      <c r="N84" s="9" t="s">
        <v>1496</v>
      </c>
      <c r="O84" s="9" t="s">
        <v>1500</v>
      </c>
      <c r="P84" s="9" t="s">
        <v>779</v>
      </c>
      <c r="Q84" s="9" t="s">
        <v>1245</v>
      </c>
      <c r="R84" s="9" t="s">
        <v>765</v>
      </c>
      <c r="S84" s="9" t="s">
        <v>82</v>
      </c>
      <c r="T84" s="9" t="s">
        <v>780</v>
      </c>
      <c r="U84" s="9" t="s">
        <v>781</v>
      </c>
      <c r="V84" s="9" t="s">
        <v>85</v>
      </c>
      <c r="W84" s="9" t="s">
        <v>782</v>
      </c>
      <c r="X84" s="9" t="s">
        <v>1209</v>
      </c>
      <c r="Y84" s="9" t="s">
        <v>1499</v>
      </c>
      <c r="Z84" s="9" t="s">
        <v>1298</v>
      </c>
      <c r="AA84" s="9"/>
      <c r="AB84" s="9" t="s">
        <v>420</v>
      </c>
      <c r="AC84" s="9" t="s">
        <v>88</v>
      </c>
      <c r="AD84" s="9" t="s">
        <v>1213</v>
      </c>
      <c r="AE84" s="9" t="s">
        <v>89</v>
      </c>
      <c r="AF84" s="9" t="s">
        <v>1353</v>
      </c>
      <c r="AG84" s="9" t="s">
        <v>769</v>
      </c>
      <c r="AH84" s="9" t="s">
        <v>92</v>
      </c>
      <c r="AI84" s="9" t="s">
        <v>92</v>
      </c>
      <c r="AJ84" s="9" t="s">
        <v>92</v>
      </c>
      <c r="AK84" s="9" t="s">
        <v>770</v>
      </c>
      <c r="AL84" s="9" t="s">
        <v>92</v>
      </c>
      <c r="AM84" s="9" t="s">
        <v>92</v>
      </c>
      <c r="AN84" s="9" t="s">
        <v>771</v>
      </c>
      <c r="AO84" s="9" t="s">
        <v>772</v>
      </c>
      <c r="AP84" s="9" t="s">
        <v>783</v>
      </c>
      <c r="AQ84" s="9" t="s">
        <v>784</v>
      </c>
      <c r="AR84" s="9" t="s">
        <v>775</v>
      </c>
      <c r="AS84" s="9" t="s">
        <v>99</v>
      </c>
      <c r="AT84" s="9" t="s">
        <v>99</v>
      </c>
      <c r="AU84" s="9" t="s">
        <v>100</v>
      </c>
      <c r="AV84" s="9" t="s">
        <v>776</v>
      </c>
      <c r="AW84" s="9" t="s">
        <v>777</v>
      </c>
      <c r="AX84" s="9" t="s">
        <v>778</v>
      </c>
      <c r="AY84" s="9" t="s">
        <v>104</v>
      </c>
      <c r="AZ84" s="9" t="s">
        <v>104</v>
      </c>
      <c r="BA84" s="9" t="s">
        <v>104</v>
      </c>
      <c r="BB84" s="9" t="s">
        <v>105</v>
      </c>
      <c r="BC84" s="9" t="s">
        <v>105</v>
      </c>
      <c r="BD84" s="9" t="s">
        <v>105</v>
      </c>
      <c r="BE84" s="9" t="s">
        <v>105</v>
      </c>
      <c r="BF84" s="9" t="s">
        <v>105</v>
      </c>
      <c r="BG84" s="9" t="s">
        <v>105</v>
      </c>
      <c r="BH84" s="9" t="s">
        <v>105</v>
      </c>
      <c r="BI84" s="9" t="s">
        <v>105</v>
      </c>
      <c r="BJ84" s="9" t="s">
        <v>178</v>
      </c>
      <c r="BK84" s="9" t="s">
        <v>179</v>
      </c>
      <c r="BL84" s="9" t="s">
        <v>105</v>
      </c>
      <c r="BM84" s="9" t="s">
        <v>99</v>
      </c>
      <c r="BN84" s="9" t="s">
        <v>99</v>
      </c>
      <c r="BO84" s="9" t="s">
        <v>100</v>
      </c>
      <c r="BP84" s="9" t="s">
        <v>783</v>
      </c>
      <c r="BQ84" s="9" t="s">
        <v>784</v>
      </c>
      <c r="BR84" s="9" t="s">
        <v>775</v>
      </c>
      <c r="BS84" s="9"/>
    </row>
    <row r="85" spans="1:71" x14ac:dyDescent="0.25">
      <c r="A85" s="9" t="s">
        <v>1202</v>
      </c>
      <c r="B85" s="9" t="s">
        <v>1203</v>
      </c>
      <c r="C85" s="9" t="s">
        <v>1494</v>
      </c>
      <c r="D85" s="9" t="s">
        <v>1495</v>
      </c>
      <c r="E85" s="9" t="s">
        <v>1496</v>
      </c>
      <c r="F85" s="9" t="s">
        <v>1497</v>
      </c>
      <c r="G85" s="9" t="s">
        <v>1496</v>
      </c>
      <c r="H85" s="9" t="s">
        <v>1501</v>
      </c>
      <c r="I85" s="9" t="s">
        <v>6</v>
      </c>
      <c r="J85" s="9" t="s">
        <v>1209</v>
      </c>
      <c r="K85" s="9" t="s">
        <v>1209</v>
      </c>
      <c r="L85" s="9" t="s">
        <v>1496</v>
      </c>
      <c r="M85" s="9" t="s">
        <v>763</v>
      </c>
      <c r="N85" s="9" t="s">
        <v>1496</v>
      </c>
      <c r="O85" s="9" t="s">
        <v>1501</v>
      </c>
      <c r="P85" s="9" t="s">
        <v>92</v>
      </c>
      <c r="Q85" s="9" t="s">
        <v>1245</v>
      </c>
      <c r="R85" s="9" t="s">
        <v>765</v>
      </c>
      <c r="S85" s="9" t="s">
        <v>82</v>
      </c>
      <c r="T85" s="9" t="s">
        <v>108</v>
      </c>
      <c r="U85" s="9" t="s">
        <v>108</v>
      </c>
      <c r="V85" s="9" t="s">
        <v>85</v>
      </c>
      <c r="W85" s="9" t="s">
        <v>109</v>
      </c>
      <c r="X85" s="9" t="s">
        <v>1209</v>
      </c>
      <c r="Y85" s="9" t="s">
        <v>1499</v>
      </c>
      <c r="Z85" s="9" t="s">
        <v>1298</v>
      </c>
      <c r="AA85" s="9"/>
      <c r="AB85" s="9" t="s">
        <v>420</v>
      </c>
      <c r="AC85" s="9" t="s">
        <v>88</v>
      </c>
      <c r="AD85" s="9" t="s">
        <v>1213</v>
      </c>
      <c r="AE85" s="9" t="s">
        <v>89</v>
      </c>
      <c r="AF85" s="9" t="s">
        <v>1353</v>
      </c>
      <c r="AG85" s="9" t="s">
        <v>769</v>
      </c>
      <c r="AH85" s="9" t="s">
        <v>92</v>
      </c>
      <c r="AI85" s="9" t="s">
        <v>92</v>
      </c>
      <c r="AJ85" s="9" t="s">
        <v>92</v>
      </c>
      <c r="AK85" s="9" t="s">
        <v>770</v>
      </c>
      <c r="AL85" s="9" t="s">
        <v>92</v>
      </c>
      <c r="AM85" s="9" t="s">
        <v>92</v>
      </c>
      <c r="AN85" s="9" t="s">
        <v>771</v>
      </c>
      <c r="AO85" s="9" t="s">
        <v>772</v>
      </c>
      <c r="AP85" s="9" t="s">
        <v>110</v>
      </c>
      <c r="AQ85" s="9" t="s">
        <v>110</v>
      </c>
      <c r="AR85" s="9" t="s">
        <v>110</v>
      </c>
      <c r="AS85" s="9" t="s">
        <v>99</v>
      </c>
      <c r="AT85" s="9" t="s">
        <v>99</v>
      </c>
      <c r="AU85" s="9" t="s">
        <v>100</v>
      </c>
      <c r="AV85" s="9" t="s">
        <v>776</v>
      </c>
      <c r="AW85" s="9" t="s">
        <v>777</v>
      </c>
      <c r="AX85" s="9" t="s">
        <v>778</v>
      </c>
      <c r="AY85" s="9" t="s">
        <v>104</v>
      </c>
      <c r="AZ85" s="9" t="s">
        <v>104</v>
      </c>
      <c r="BA85" s="9" t="s">
        <v>104</v>
      </c>
      <c r="BB85" s="9" t="s">
        <v>105</v>
      </c>
      <c r="BC85" s="9" t="s">
        <v>105</v>
      </c>
      <c r="BD85" s="9" t="s">
        <v>105</v>
      </c>
      <c r="BE85" s="9" t="s">
        <v>105</v>
      </c>
      <c r="BF85" s="9" t="s">
        <v>105</v>
      </c>
      <c r="BG85" s="9" t="s">
        <v>105</v>
      </c>
      <c r="BH85" s="9" t="s">
        <v>105</v>
      </c>
      <c r="BI85" s="9" t="s">
        <v>105</v>
      </c>
      <c r="BJ85" s="9" t="s">
        <v>178</v>
      </c>
      <c r="BK85" s="9" t="s">
        <v>179</v>
      </c>
      <c r="BL85" s="9" t="s">
        <v>105</v>
      </c>
      <c r="BM85" s="9" t="s">
        <v>99</v>
      </c>
      <c r="BN85" s="9" t="s">
        <v>99</v>
      </c>
      <c r="BO85" s="9" t="s">
        <v>100</v>
      </c>
      <c r="BP85" s="9" t="s">
        <v>110</v>
      </c>
      <c r="BQ85" s="9" t="s">
        <v>110</v>
      </c>
      <c r="BR85" s="9" t="s">
        <v>110</v>
      </c>
      <c r="BS85" s="9"/>
    </row>
    <row r="86" spans="1:71" x14ac:dyDescent="0.25">
      <c r="A86" s="9" t="s">
        <v>1202</v>
      </c>
      <c r="B86" s="9" t="s">
        <v>1203</v>
      </c>
      <c r="C86" s="9" t="s">
        <v>1494</v>
      </c>
      <c r="D86" s="9" t="s">
        <v>1495</v>
      </c>
      <c r="E86" s="9" t="s">
        <v>1496</v>
      </c>
      <c r="F86" s="9" t="s">
        <v>1497</v>
      </c>
      <c r="G86" s="9" t="s">
        <v>1496</v>
      </c>
      <c r="H86" s="9" t="s">
        <v>1502</v>
      </c>
      <c r="I86" s="9" t="s">
        <v>6</v>
      </c>
      <c r="J86" s="9" t="s">
        <v>1209</v>
      </c>
      <c r="K86" s="9" t="s">
        <v>1209</v>
      </c>
      <c r="L86" s="9" t="s">
        <v>1496</v>
      </c>
      <c r="M86" s="9" t="s">
        <v>763</v>
      </c>
      <c r="N86" s="9" t="s">
        <v>1496</v>
      </c>
      <c r="O86" s="9" t="s">
        <v>1502</v>
      </c>
      <c r="P86" s="9" t="s">
        <v>785</v>
      </c>
      <c r="Q86" s="9" t="s">
        <v>1245</v>
      </c>
      <c r="R86" s="9" t="s">
        <v>765</v>
      </c>
      <c r="S86" s="9" t="s">
        <v>82</v>
      </c>
      <c r="T86" s="9" t="s">
        <v>786</v>
      </c>
      <c r="U86" s="9" t="s">
        <v>787</v>
      </c>
      <c r="V86" s="9" t="s">
        <v>85</v>
      </c>
      <c r="W86" s="9" t="s">
        <v>788</v>
      </c>
      <c r="X86" s="9" t="s">
        <v>1209</v>
      </c>
      <c r="Y86" s="9" t="s">
        <v>1499</v>
      </c>
      <c r="Z86" s="9" t="s">
        <v>1298</v>
      </c>
      <c r="AA86" s="9"/>
      <c r="AB86" s="9" t="s">
        <v>420</v>
      </c>
      <c r="AC86" s="9" t="s">
        <v>88</v>
      </c>
      <c r="AD86" s="9" t="s">
        <v>1213</v>
      </c>
      <c r="AE86" s="9" t="s">
        <v>89</v>
      </c>
      <c r="AF86" s="9" t="s">
        <v>1353</v>
      </c>
      <c r="AG86" s="9" t="s">
        <v>769</v>
      </c>
      <c r="AH86" s="9" t="s">
        <v>92</v>
      </c>
      <c r="AI86" s="9" t="s">
        <v>92</v>
      </c>
      <c r="AJ86" s="9" t="s">
        <v>92</v>
      </c>
      <c r="AK86" s="9" t="s">
        <v>770</v>
      </c>
      <c r="AL86" s="9" t="s">
        <v>92</v>
      </c>
      <c r="AM86" s="9" t="s">
        <v>92</v>
      </c>
      <c r="AN86" s="9" t="s">
        <v>771</v>
      </c>
      <c r="AO86" s="9" t="s">
        <v>772</v>
      </c>
      <c r="AP86" s="9" t="s">
        <v>789</v>
      </c>
      <c r="AQ86" s="9" t="s">
        <v>790</v>
      </c>
      <c r="AR86" s="9" t="s">
        <v>791</v>
      </c>
      <c r="AS86" s="9" t="s">
        <v>99</v>
      </c>
      <c r="AT86" s="9" t="s">
        <v>99</v>
      </c>
      <c r="AU86" s="9" t="s">
        <v>100</v>
      </c>
      <c r="AV86" s="9" t="s">
        <v>776</v>
      </c>
      <c r="AW86" s="9" t="s">
        <v>777</v>
      </c>
      <c r="AX86" s="9" t="s">
        <v>778</v>
      </c>
      <c r="AY86" s="9" t="s">
        <v>104</v>
      </c>
      <c r="AZ86" s="9" t="s">
        <v>104</v>
      </c>
      <c r="BA86" s="9" t="s">
        <v>104</v>
      </c>
      <c r="BB86" s="9" t="s">
        <v>105</v>
      </c>
      <c r="BC86" s="9" t="s">
        <v>105</v>
      </c>
      <c r="BD86" s="9" t="s">
        <v>105</v>
      </c>
      <c r="BE86" s="9" t="s">
        <v>105</v>
      </c>
      <c r="BF86" s="9" t="s">
        <v>105</v>
      </c>
      <c r="BG86" s="9" t="s">
        <v>105</v>
      </c>
      <c r="BH86" s="9" t="s">
        <v>105</v>
      </c>
      <c r="BI86" s="9" t="s">
        <v>105</v>
      </c>
      <c r="BJ86" s="9" t="s">
        <v>178</v>
      </c>
      <c r="BK86" s="9" t="s">
        <v>179</v>
      </c>
      <c r="BL86" s="9" t="s">
        <v>105</v>
      </c>
      <c r="BM86" s="9" t="s">
        <v>99</v>
      </c>
      <c r="BN86" s="9" t="s">
        <v>99</v>
      </c>
      <c r="BO86" s="9" t="s">
        <v>100</v>
      </c>
      <c r="BP86" s="9" t="s">
        <v>789</v>
      </c>
      <c r="BQ86" s="9" t="s">
        <v>790</v>
      </c>
      <c r="BR86" s="9" t="s">
        <v>791</v>
      </c>
      <c r="BS86" s="9"/>
    </row>
    <row r="87" spans="1:71" x14ac:dyDescent="0.25">
      <c r="A87" s="9" t="s">
        <v>1216</v>
      </c>
      <c r="B87" s="9" t="s">
        <v>1217</v>
      </c>
      <c r="C87" s="9" t="s">
        <v>1503</v>
      </c>
      <c r="D87" s="9" t="s">
        <v>1219</v>
      </c>
      <c r="E87" s="9" t="s">
        <v>1504</v>
      </c>
      <c r="F87" s="9" t="s">
        <v>1505</v>
      </c>
      <c r="G87" s="9" t="s">
        <v>1504</v>
      </c>
      <c r="H87" s="9" t="s">
        <v>1506</v>
      </c>
      <c r="I87" s="9" t="s">
        <v>6</v>
      </c>
      <c r="J87" s="9" t="s">
        <v>1209</v>
      </c>
      <c r="K87" s="9" t="s">
        <v>1209</v>
      </c>
      <c r="L87" s="9" t="s">
        <v>1504</v>
      </c>
      <c r="M87" s="9" t="s">
        <v>792</v>
      </c>
      <c r="N87" s="9" t="s">
        <v>1504</v>
      </c>
      <c r="O87" s="9" t="s">
        <v>1506</v>
      </c>
      <c r="P87" s="9" t="s">
        <v>793</v>
      </c>
      <c r="Q87" s="9" t="s">
        <v>1209</v>
      </c>
      <c r="R87" s="9" t="s">
        <v>793</v>
      </c>
      <c r="S87" s="9" t="s">
        <v>82</v>
      </c>
      <c r="T87" s="9" t="s">
        <v>83</v>
      </c>
      <c r="U87" s="9" t="s">
        <v>794</v>
      </c>
      <c r="V87" s="9" t="s">
        <v>85</v>
      </c>
      <c r="W87" s="9" t="s">
        <v>795</v>
      </c>
      <c r="X87" s="9" t="s">
        <v>1209</v>
      </c>
      <c r="Y87" s="9" t="s">
        <v>1507</v>
      </c>
      <c r="Z87" s="9" t="s">
        <v>1212</v>
      </c>
      <c r="AA87" s="9" t="s">
        <v>133</v>
      </c>
      <c r="AB87" s="9" t="s">
        <v>796</v>
      </c>
      <c r="AC87" s="9" t="s">
        <v>88</v>
      </c>
      <c r="AD87" s="9" t="s">
        <v>1213</v>
      </c>
      <c r="AE87" s="9" t="s">
        <v>89</v>
      </c>
      <c r="AF87" s="9" t="s">
        <v>1508</v>
      </c>
      <c r="AG87" s="9" t="s">
        <v>797</v>
      </c>
      <c r="AH87" s="9" t="s">
        <v>798</v>
      </c>
      <c r="AI87" s="9" t="s">
        <v>92</v>
      </c>
      <c r="AJ87" s="9" t="s">
        <v>92</v>
      </c>
      <c r="AK87" s="9" t="s">
        <v>799</v>
      </c>
      <c r="AL87" s="9" t="s">
        <v>92</v>
      </c>
      <c r="AM87" s="9" t="s">
        <v>92</v>
      </c>
      <c r="AN87" s="9" t="s">
        <v>800</v>
      </c>
      <c r="AO87" s="9" t="s">
        <v>801</v>
      </c>
      <c r="AP87" s="9" t="s">
        <v>105</v>
      </c>
      <c r="AQ87" s="9" t="s">
        <v>105</v>
      </c>
      <c r="AR87" s="9" t="s">
        <v>802</v>
      </c>
      <c r="AS87" s="9" t="s">
        <v>122</v>
      </c>
      <c r="AT87" s="9" t="s">
        <v>122</v>
      </c>
      <c r="AU87" s="9" t="s">
        <v>100</v>
      </c>
      <c r="AV87" s="9" t="s">
        <v>803</v>
      </c>
      <c r="AW87" s="9" t="s">
        <v>804</v>
      </c>
      <c r="AX87" s="9" t="s">
        <v>805</v>
      </c>
      <c r="AY87" s="9" t="s">
        <v>126</v>
      </c>
      <c r="AZ87" s="9" t="s">
        <v>126</v>
      </c>
      <c r="BA87" s="9" t="s">
        <v>126</v>
      </c>
      <c r="BB87" s="9" t="s">
        <v>105</v>
      </c>
      <c r="BC87" s="9" t="s">
        <v>105</v>
      </c>
      <c r="BD87" s="9" t="s">
        <v>105</v>
      </c>
      <c r="BE87" s="9" t="s">
        <v>105</v>
      </c>
      <c r="BF87" s="9" t="s">
        <v>105</v>
      </c>
      <c r="BG87" s="9" t="s">
        <v>105</v>
      </c>
      <c r="BH87" s="9" t="s">
        <v>105</v>
      </c>
      <c r="BI87" s="9" t="s">
        <v>105</v>
      </c>
      <c r="BJ87" s="9" t="s">
        <v>806</v>
      </c>
      <c r="BK87" s="9" t="s">
        <v>807</v>
      </c>
      <c r="BL87" s="9" t="s">
        <v>105</v>
      </c>
      <c r="BM87" s="9" t="s">
        <v>122</v>
      </c>
      <c r="BN87" s="9" t="s">
        <v>122</v>
      </c>
      <c r="BO87" s="9" t="s">
        <v>100</v>
      </c>
      <c r="BP87" s="9" t="s">
        <v>105</v>
      </c>
      <c r="BQ87" s="9" t="s">
        <v>105</v>
      </c>
      <c r="BR87" s="9" t="s">
        <v>802</v>
      </c>
      <c r="BS87" s="9"/>
    </row>
    <row r="88" spans="1:71" x14ac:dyDescent="0.25">
      <c r="A88" s="9" t="s">
        <v>1216</v>
      </c>
      <c r="B88" s="9" t="s">
        <v>1217</v>
      </c>
      <c r="C88" s="9" t="s">
        <v>1509</v>
      </c>
      <c r="D88" s="9" t="s">
        <v>1219</v>
      </c>
      <c r="E88" s="9" t="s">
        <v>1510</v>
      </c>
      <c r="F88" s="9" t="s">
        <v>1511</v>
      </c>
      <c r="G88" s="9" t="s">
        <v>1510</v>
      </c>
      <c r="H88" s="9" t="s">
        <v>1512</v>
      </c>
      <c r="I88" s="9" t="s">
        <v>6</v>
      </c>
      <c r="J88" s="9" t="s">
        <v>1209</v>
      </c>
      <c r="K88" s="9" t="s">
        <v>1209</v>
      </c>
      <c r="L88" s="9" t="s">
        <v>1510</v>
      </c>
      <c r="M88" s="9" t="s">
        <v>808</v>
      </c>
      <c r="N88" s="9" t="s">
        <v>1510</v>
      </c>
      <c r="O88" s="9" t="s">
        <v>1512</v>
      </c>
      <c r="P88" s="9" t="s">
        <v>809</v>
      </c>
      <c r="Q88" s="9" t="s">
        <v>1209</v>
      </c>
      <c r="R88" s="9" t="s">
        <v>809</v>
      </c>
      <c r="S88" s="9" t="s">
        <v>82</v>
      </c>
      <c r="T88" s="9" t="s">
        <v>83</v>
      </c>
      <c r="U88" s="9" t="s">
        <v>810</v>
      </c>
      <c r="V88" s="9" t="s">
        <v>85</v>
      </c>
      <c r="W88" s="9" t="s">
        <v>811</v>
      </c>
      <c r="X88" s="9" t="s">
        <v>1209</v>
      </c>
      <c r="Y88" s="9" t="s">
        <v>1513</v>
      </c>
      <c r="Z88" s="9" t="s">
        <v>1212</v>
      </c>
      <c r="AA88" s="9" t="s">
        <v>133</v>
      </c>
      <c r="AB88" s="9" t="s">
        <v>87</v>
      </c>
      <c r="AC88" s="9" t="s">
        <v>88</v>
      </c>
      <c r="AD88" s="9" t="s">
        <v>1213</v>
      </c>
      <c r="AE88" s="9" t="s">
        <v>89</v>
      </c>
      <c r="AF88" s="9" t="s">
        <v>1214</v>
      </c>
      <c r="AG88" s="9" t="s">
        <v>812</v>
      </c>
      <c r="AH88" s="9" t="s">
        <v>813</v>
      </c>
      <c r="AI88" s="9" t="s">
        <v>92</v>
      </c>
      <c r="AJ88" s="9" t="s">
        <v>92</v>
      </c>
      <c r="AK88" s="9" t="s">
        <v>92</v>
      </c>
      <c r="AL88" s="9" t="s">
        <v>92</v>
      </c>
      <c r="AM88" s="9" t="s">
        <v>92</v>
      </c>
      <c r="AN88" s="9" t="s">
        <v>814</v>
      </c>
      <c r="AO88" s="9" t="s">
        <v>815</v>
      </c>
      <c r="AP88" s="9" t="s">
        <v>105</v>
      </c>
      <c r="AQ88" s="9" t="s">
        <v>105</v>
      </c>
      <c r="AR88" s="9" t="s">
        <v>816</v>
      </c>
      <c r="AS88" s="9" t="s">
        <v>122</v>
      </c>
      <c r="AT88" s="9" t="s">
        <v>122</v>
      </c>
      <c r="AU88" s="9" t="s">
        <v>100</v>
      </c>
      <c r="AV88" s="9" t="s">
        <v>817</v>
      </c>
      <c r="AW88" s="9" t="s">
        <v>818</v>
      </c>
      <c r="AX88" s="9" t="s">
        <v>819</v>
      </c>
      <c r="AY88" s="9" t="s">
        <v>126</v>
      </c>
      <c r="AZ88" s="9" t="s">
        <v>126</v>
      </c>
      <c r="BA88" s="9" t="s">
        <v>126</v>
      </c>
      <c r="BB88" s="9" t="s">
        <v>105</v>
      </c>
      <c r="BC88" s="9" t="s">
        <v>105</v>
      </c>
      <c r="BD88" s="9" t="s">
        <v>105</v>
      </c>
      <c r="BE88" s="9" t="s">
        <v>105</v>
      </c>
      <c r="BF88" s="9" t="s">
        <v>105</v>
      </c>
      <c r="BG88" s="9" t="s">
        <v>105</v>
      </c>
      <c r="BH88" s="9" t="s">
        <v>105</v>
      </c>
      <c r="BI88" s="9" t="s">
        <v>105</v>
      </c>
      <c r="BJ88" s="9" t="s">
        <v>820</v>
      </c>
      <c r="BK88" s="9" t="s">
        <v>821</v>
      </c>
      <c r="BL88" s="9" t="s">
        <v>105</v>
      </c>
      <c r="BM88" s="9" t="s">
        <v>122</v>
      </c>
      <c r="BN88" s="9" t="s">
        <v>122</v>
      </c>
      <c r="BO88" s="9" t="s">
        <v>100</v>
      </c>
      <c r="BP88" s="9" t="s">
        <v>105</v>
      </c>
      <c r="BQ88" s="9" t="s">
        <v>105</v>
      </c>
      <c r="BR88" s="9" t="s">
        <v>816</v>
      </c>
      <c r="BS88" s="9"/>
    </row>
    <row r="89" spans="1:71" x14ac:dyDescent="0.25">
      <c r="A89" s="9" t="s">
        <v>1216</v>
      </c>
      <c r="B89" s="9" t="s">
        <v>1217</v>
      </c>
      <c r="C89" s="9" t="s">
        <v>1514</v>
      </c>
      <c r="D89" s="9" t="s">
        <v>1219</v>
      </c>
      <c r="E89" s="9" t="s">
        <v>1515</v>
      </c>
      <c r="F89" s="9" t="s">
        <v>1511</v>
      </c>
      <c r="G89" s="9" t="s">
        <v>1515</v>
      </c>
      <c r="H89" s="9" t="s">
        <v>1516</v>
      </c>
      <c r="I89" s="9" t="s">
        <v>6</v>
      </c>
      <c r="J89" s="9" t="s">
        <v>1209</v>
      </c>
      <c r="K89" s="9" t="s">
        <v>1209</v>
      </c>
      <c r="L89" s="9" t="s">
        <v>1515</v>
      </c>
      <c r="M89" s="9" t="s">
        <v>822</v>
      </c>
      <c r="N89" s="9" t="s">
        <v>1515</v>
      </c>
      <c r="O89" s="9" t="s">
        <v>1516</v>
      </c>
      <c r="P89" s="9" t="s">
        <v>823</v>
      </c>
      <c r="Q89" s="9" t="s">
        <v>1209</v>
      </c>
      <c r="R89" s="9" t="s">
        <v>823</v>
      </c>
      <c r="S89" s="9" t="s">
        <v>82</v>
      </c>
      <c r="T89" s="9" t="s">
        <v>83</v>
      </c>
      <c r="U89" s="9" t="s">
        <v>824</v>
      </c>
      <c r="V89" s="9" t="s">
        <v>85</v>
      </c>
      <c r="W89" s="9" t="s">
        <v>825</v>
      </c>
      <c r="X89" s="9" t="s">
        <v>1209</v>
      </c>
      <c r="Y89" s="9" t="s">
        <v>1513</v>
      </c>
      <c r="Z89" s="9" t="s">
        <v>1212</v>
      </c>
      <c r="AA89" s="9" t="s">
        <v>133</v>
      </c>
      <c r="AB89" s="9" t="s">
        <v>87</v>
      </c>
      <c r="AC89" s="9" t="s">
        <v>88</v>
      </c>
      <c r="AD89" s="9" t="s">
        <v>1213</v>
      </c>
      <c r="AE89" s="9" t="s">
        <v>89</v>
      </c>
      <c r="AF89" s="9" t="s">
        <v>1214</v>
      </c>
      <c r="AG89" s="9" t="s">
        <v>812</v>
      </c>
      <c r="AH89" s="9" t="s">
        <v>813</v>
      </c>
      <c r="AI89" s="9" t="s">
        <v>92</v>
      </c>
      <c r="AJ89" s="9" t="s">
        <v>92</v>
      </c>
      <c r="AK89" s="9" t="s">
        <v>92</v>
      </c>
      <c r="AL89" s="9" t="s">
        <v>92</v>
      </c>
      <c r="AM89" s="9" t="s">
        <v>92</v>
      </c>
      <c r="AN89" s="9" t="s">
        <v>814</v>
      </c>
      <c r="AO89" s="9" t="s">
        <v>815</v>
      </c>
      <c r="AP89" s="9" t="s">
        <v>105</v>
      </c>
      <c r="AQ89" s="9" t="s">
        <v>105</v>
      </c>
      <c r="AR89" s="9" t="s">
        <v>816</v>
      </c>
      <c r="AS89" s="9" t="s">
        <v>122</v>
      </c>
      <c r="AT89" s="9" t="s">
        <v>122</v>
      </c>
      <c r="AU89" s="9" t="s">
        <v>100</v>
      </c>
      <c r="AV89" s="9" t="s">
        <v>817</v>
      </c>
      <c r="AW89" s="9" t="s">
        <v>818</v>
      </c>
      <c r="AX89" s="9" t="s">
        <v>819</v>
      </c>
      <c r="AY89" s="9" t="s">
        <v>126</v>
      </c>
      <c r="AZ89" s="9" t="s">
        <v>126</v>
      </c>
      <c r="BA89" s="9" t="s">
        <v>126</v>
      </c>
      <c r="BB89" s="9" t="s">
        <v>105</v>
      </c>
      <c r="BC89" s="9" t="s">
        <v>105</v>
      </c>
      <c r="BD89" s="9" t="s">
        <v>105</v>
      </c>
      <c r="BE89" s="9" t="s">
        <v>105</v>
      </c>
      <c r="BF89" s="9" t="s">
        <v>105</v>
      </c>
      <c r="BG89" s="9" t="s">
        <v>105</v>
      </c>
      <c r="BH89" s="9" t="s">
        <v>105</v>
      </c>
      <c r="BI89" s="9" t="s">
        <v>105</v>
      </c>
      <c r="BJ89" s="9" t="s">
        <v>826</v>
      </c>
      <c r="BK89" s="9" t="s">
        <v>827</v>
      </c>
      <c r="BL89" s="9" t="s">
        <v>105</v>
      </c>
      <c r="BM89" s="9" t="s">
        <v>122</v>
      </c>
      <c r="BN89" s="9" t="s">
        <v>122</v>
      </c>
      <c r="BO89" s="9" t="s">
        <v>100</v>
      </c>
      <c r="BP89" s="9" t="s">
        <v>105</v>
      </c>
      <c r="BQ89" s="9" t="s">
        <v>105</v>
      </c>
      <c r="BR89" s="9" t="s">
        <v>816</v>
      </c>
      <c r="BS89" s="9"/>
    </row>
    <row r="90" spans="1:71" x14ac:dyDescent="0.25">
      <c r="A90" s="9" t="s">
        <v>1216</v>
      </c>
      <c r="B90" s="9" t="s">
        <v>1217</v>
      </c>
      <c r="C90" s="9" t="s">
        <v>1517</v>
      </c>
      <c r="D90" s="9" t="s">
        <v>1219</v>
      </c>
      <c r="E90" s="9" t="s">
        <v>1518</v>
      </c>
      <c r="F90" s="9" t="s">
        <v>1519</v>
      </c>
      <c r="G90" s="9" t="s">
        <v>1518</v>
      </c>
      <c r="H90" s="9" t="s">
        <v>1520</v>
      </c>
      <c r="I90" s="9" t="s">
        <v>6</v>
      </c>
      <c r="J90" s="9" t="s">
        <v>1209</v>
      </c>
      <c r="K90" s="9" t="s">
        <v>1209</v>
      </c>
      <c r="L90" s="9" t="s">
        <v>1518</v>
      </c>
      <c r="M90" s="9" t="s">
        <v>828</v>
      </c>
      <c r="N90" s="9" t="s">
        <v>1518</v>
      </c>
      <c r="O90" s="9" t="s">
        <v>1520</v>
      </c>
      <c r="P90" s="9" t="s">
        <v>829</v>
      </c>
      <c r="Q90" s="9" t="s">
        <v>1209</v>
      </c>
      <c r="R90" s="9" t="s">
        <v>829</v>
      </c>
      <c r="S90" s="9" t="s">
        <v>82</v>
      </c>
      <c r="T90" s="9" t="s">
        <v>83</v>
      </c>
      <c r="U90" s="9" t="s">
        <v>830</v>
      </c>
      <c r="V90" s="9" t="s">
        <v>85</v>
      </c>
      <c r="W90" s="9" t="s">
        <v>831</v>
      </c>
      <c r="X90" s="9" t="s">
        <v>1209</v>
      </c>
      <c r="Y90" s="9" t="s">
        <v>1521</v>
      </c>
      <c r="Z90" s="9" t="s">
        <v>1212</v>
      </c>
      <c r="AA90" s="9" t="s">
        <v>133</v>
      </c>
      <c r="AB90" s="9" t="s">
        <v>406</v>
      </c>
      <c r="AC90" s="9" t="s">
        <v>88</v>
      </c>
      <c r="AD90" s="9" t="s">
        <v>1213</v>
      </c>
      <c r="AE90" s="9" t="s">
        <v>89</v>
      </c>
      <c r="AF90" s="9" t="s">
        <v>1346</v>
      </c>
      <c r="AG90" s="9" t="s">
        <v>832</v>
      </c>
      <c r="AH90" s="9" t="s">
        <v>833</v>
      </c>
      <c r="AI90" s="9" t="s">
        <v>92</v>
      </c>
      <c r="AJ90" s="9" t="s">
        <v>92</v>
      </c>
      <c r="AK90" s="9" t="s">
        <v>834</v>
      </c>
      <c r="AL90" s="9" t="s">
        <v>92</v>
      </c>
      <c r="AM90" s="9" t="s">
        <v>92</v>
      </c>
      <c r="AN90" s="9" t="s">
        <v>835</v>
      </c>
      <c r="AO90" s="9" t="s">
        <v>836</v>
      </c>
      <c r="AP90" s="9" t="s">
        <v>105</v>
      </c>
      <c r="AQ90" s="9" t="s">
        <v>105</v>
      </c>
      <c r="AR90" s="9" t="s">
        <v>837</v>
      </c>
      <c r="AS90" s="9" t="s">
        <v>122</v>
      </c>
      <c r="AT90" s="9" t="s">
        <v>122</v>
      </c>
      <c r="AU90" s="9" t="s">
        <v>100</v>
      </c>
      <c r="AV90" s="9" t="s">
        <v>838</v>
      </c>
      <c r="AW90" s="9" t="s">
        <v>839</v>
      </c>
      <c r="AX90" s="9" t="s">
        <v>840</v>
      </c>
      <c r="AY90" s="9" t="s">
        <v>126</v>
      </c>
      <c r="AZ90" s="9" t="s">
        <v>126</v>
      </c>
      <c r="BA90" s="9" t="s">
        <v>126</v>
      </c>
      <c r="BB90" s="9" t="s">
        <v>105</v>
      </c>
      <c r="BC90" s="9" t="s">
        <v>105</v>
      </c>
      <c r="BD90" s="9" t="s">
        <v>105</v>
      </c>
      <c r="BE90" s="9" t="s">
        <v>105</v>
      </c>
      <c r="BF90" s="9" t="s">
        <v>105</v>
      </c>
      <c r="BG90" s="9" t="s">
        <v>105</v>
      </c>
      <c r="BH90" s="9" t="s">
        <v>105</v>
      </c>
      <c r="BI90" s="9" t="s">
        <v>105</v>
      </c>
      <c r="BJ90" s="9" t="s">
        <v>841</v>
      </c>
      <c r="BK90" s="9" t="s">
        <v>842</v>
      </c>
      <c r="BL90" s="9" t="s">
        <v>105</v>
      </c>
      <c r="BM90" s="9" t="s">
        <v>122</v>
      </c>
      <c r="BN90" s="9" t="s">
        <v>122</v>
      </c>
      <c r="BO90" s="9" t="s">
        <v>100</v>
      </c>
      <c r="BP90" s="9" t="s">
        <v>105</v>
      </c>
      <c r="BQ90" s="9" t="s">
        <v>105</v>
      </c>
      <c r="BR90" s="9" t="s">
        <v>837</v>
      </c>
      <c r="BS90" s="9"/>
    </row>
    <row r="91" spans="1:71" x14ac:dyDescent="0.25">
      <c r="A91" s="9" t="s">
        <v>1202</v>
      </c>
      <c r="B91" s="9" t="s">
        <v>1203</v>
      </c>
      <c r="C91" s="9" t="s">
        <v>1522</v>
      </c>
      <c r="D91" s="9" t="s">
        <v>1523</v>
      </c>
      <c r="E91" s="9" t="s">
        <v>1524</v>
      </c>
      <c r="F91" s="9" t="s">
        <v>1525</v>
      </c>
      <c r="G91" s="9" t="s">
        <v>1524</v>
      </c>
      <c r="H91" s="9" t="s">
        <v>1526</v>
      </c>
      <c r="I91" s="9" t="s">
        <v>6</v>
      </c>
      <c r="J91" s="9" t="s">
        <v>1209</v>
      </c>
      <c r="K91" s="9" t="s">
        <v>1209</v>
      </c>
      <c r="L91" s="9" t="s">
        <v>1524</v>
      </c>
      <c r="M91" s="9" t="s">
        <v>843</v>
      </c>
      <c r="N91" s="9" t="s">
        <v>1524</v>
      </c>
      <c r="O91" s="9" t="s">
        <v>1526</v>
      </c>
      <c r="P91" s="9" t="s">
        <v>844</v>
      </c>
      <c r="Q91" s="9" t="s">
        <v>1210</v>
      </c>
      <c r="R91" s="9" t="s">
        <v>844</v>
      </c>
      <c r="S91" s="9" t="s">
        <v>82</v>
      </c>
      <c r="T91" s="9" t="s">
        <v>83</v>
      </c>
      <c r="U91" s="9" t="s">
        <v>845</v>
      </c>
      <c r="V91" s="9" t="s">
        <v>85</v>
      </c>
      <c r="W91" s="9" t="s">
        <v>846</v>
      </c>
      <c r="X91" s="9" t="s">
        <v>1209</v>
      </c>
      <c r="Y91" s="9" t="s">
        <v>1527</v>
      </c>
      <c r="Z91" s="9" t="s">
        <v>1528</v>
      </c>
      <c r="AA91" s="9"/>
      <c r="AB91" s="9" t="s">
        <v>847</v>
      </c>
      <c r="AC91" s="9" t="s">
        <v>88</v>
      </c>
      <c r="AD91" s="9" t="s">
        <v>1213</v>
      </c>
      <c r="AE91" s="9" t="s">
        <v>89</v>
      </c>
      <c r="AF91" s="9" t="s">
        <v>1529</v>
      </c>
      <c r="AG91" s="9" t="s">
        <v>848</v>
      </c>
      <c r="AH91" s="9" t="s">
        <v>849</v>
      </c>
      <c r="AI91" s="9" t="s">
        <v>92</v>
      </c>
      <c r="AJ91" s="9" t="s">
        <v>92</v>
      </c>
      <c r="AK91" s="9" t="s">
        <v>92</v>
      </c>
      <c r="AL91" s="9" t="s">
        <v>92</v>
      </c>
      <c r="AM91" s="9" t="s">
        <v>92</v>
      </c>
      <c r="AN91" s="9" t="s">
        <v>850</v>
      </c>
      <c r="AO91" s="9" t="s">
        <v>851</v>
      </c>
      <c r="AP91" s="9" t="s">
        <v>852</v>
      </c>
      <c r="AQ91" s="9" t="s">
        <v>853</v>
      </c>
      <c r="AR91" s="9" t="s">
        <v>854</v>
      </c>
      <c r="AS91" s="9" t="s">
        <v>99</v>
      </c>
      <c r="AT91" s="9" t="s">
        <v>99</v>
      </c>
      <c r="AU91" s="9" t="s">
        <v>100</v>
      </c>
      <c r="AV91" s="9" t="s">
        <v>855</v>
      </c>
      <c r="AW91" s="9" t="s">
        <v>856</v>
      </c>
      <c r="AX91" s="9" t="s">
        <v>857</v>
      </c>
      <c r="AY91" s="9" t="s">
        <v>652</v>
      </c>
      <c r="AZ91" s="9" t="s">
        <v>652</v>
      </c>
      <c r="BA91" s="9" t="s">
        <v>652</v>
      </c>
      <c r="BB91" s="9" t="s">
        <v>105</v>
      </c>
      <c r="BC91" s="9" t="s">
        <v>105</v>
      </c>
      <c r="BD91" s="9" t="s">
        <v>105</v>
      </c>
      <c r="BE91" s="9" t="s">
        <v>105</v>
      </c>
      <c r="BF91" s="9" t="s">
        <v>105</v>
      </c>
      <c r="BG91" s="9" t="s">
        <v>105</v>
      </c>
      <c r="BH91" s="9" t="s">
        <v>105</v>
      </c>
      <c r="BI91" s="9" t="s">
        <v>105</v>
      </c>
      <c r="BJ91" s="9" t="s">
        <v>106</v>
      </c>
      <c r="BK91" s="9" t="s">
        <v>107</v>
      </c>
      <c r="BL91" s="9" t="s">
        <v>105</v>
      </c>
      <c r="BM91" s="9" t="s">
        <v>99</v>
      </c>
      <c r="BN91" s="9" t="s">
        <v>99</v>
      </c>
      <c r="BO91" s="9" t="s">
        <v>100</v>
      </c>
      <c r="BP91" s="9" t="s">
        <v>852</v>
      </c>
      <c r="BQ91" s="9" t="s">
        <v>853</v>
      </c>
      <c r="BR91" s="9" t="s">
        <v>854</v>
      </c>
      <c r="BS91" s="9"/>
    </row>
    <row r="92" spans="1:71" x14ac:dyDescent="0.25">
      <c r="A92" s="9" t="s">
        <v>1202</v>
      </c>
      <c r="B92" s="9" t="s">
        <v>1203</v>
      </c>
      <c r="C92" s="9" t="s">
        <v>1522</v>
      </c>
      <c r="D92" s="9" t="s">
        <v>1523</v>
      </c>
      <c r="E92" s="9" t="s">
        <v>1524</v>
      </c>
      <c r="F92" s="9" t="s">
        <v>1525</v>
      </c>
      <c r="G92" s="9" t="s">
        <v>1524</v>
      </c>
      <c r="H92" s="9" t="s">
        <v>1530</v>
      </c>
      <c r="I92" s="9" t="s">
        <v>6</v>
      </c>
      <c r="J92" s="9" t="s">
        <v>1209</v>
      </c>
      <c r="K92" s="9" t="s">
        <v>1209</v>
      </c>
      <c r="L92" s="9" t="s">
        <v>1524</v>
      </c>
      <c r="M92" s="9" t="s">
        <v>843</v>
      </c>
      <c r="N92" s="9" t="s">
        <v>1524</v>
      </c>
      <c r="O92" s="9" t="s">
        <v>1530</v>
      </c>
      <c r="P92" s="9" t="s">
        <v>92</v>
      </c>
      <c r="Q92" s="9" t="s">
        <v>1210</v>
      </c>
      <c r="R92" s="9" t="s">
        <v>844</v>
      </c>
      <c r="S92" s="9" t="s">
        <v>82</v>
      </c>
      <c r="T92" s="9" t="s">
        <v>108</v>
      </c>
      <c r="U92" s="9" t="s">
        <v>108</v>
      </c>
      <c r="V92" s="9" t="s">
        <v>85</v>
      </c>
      <c r="W92" s="9" t="s">
        <v>109</v>
      </c>
      <c r="X92" s="9" t="s">
        <v>1209</v>
      </c>
      <c r="Y92" s="9" t="s">
        <v>1527</v>
      </c>
      <c r="Z92" s="9" t="s">
        <v>1528</v>
      </c>
      <c r="AA92" s="9"/>
      <c r="AB92" s="9" t="s">
        <v>847</v>
      </c>
      <c r="AC92" s="9" t="s">
        <v>88</v>
      </c>
      <c r="AD92" s="9" t="s">
        <v>1213</v>
      </c>
      <c r="AE92" s="9" t="s">
        <v>89</v>
      </c>
      <c r="AF92" s="9" t="s">
        <v>1529</v>
      </c>
      <c r="AG92" s="9" t="s">
        <v>848</v>
      </c>
      <c r="AH92" s="9" t="s">
        <v>849</v>
      </c>
      <c r="AI92" s="9" t="s">
        <v>92</v>
      </c>
      <c r="AJ92" s="9" t="s">
        <v>92</v>
      </c>
      <c r="AK92" s="9" t="s">
        <v>92</v>
      </c>
      <c r="AL92" s="9" t="s">
        <v>92</v>
      </c>
      <c r="AM92" s="9" t="s">
        <v>92</v>
      </c>
      <c r="AN92" s="9" t="s">
        <v>850</v>
      </c>
      <c r="AO92" s="9" t="s">
        <v>851</v>
      </c>
      <c r="AP92" s="9" t="s">
        <v>110</v>
      </c>
      <c r="AQ92" s="9" t="s">
        <v>110</v>
      </c>
      <c r="AR92" s="9" t="s">
        <v>854</v>
      </c>
      <c r="AS92" s="9" t="s">
        <v>99</v>
      </c>
      <c r="AT92" s="9" t="s">
        <v>99</v>
      </c>
      <c r="AU92" s="9" t="s">
        <v>100</v>
      </c>
      <c r="AV92" s="9" t="s">
        <v>855</v>
      </c>
      <c r="AW92" s="9" t="s">
        <v>856</v>
      </c>
      <c r="AX92" s="9" t="s">
        <v>857</v>
      </c>
      <c r="AY92" s="9" t="s">
        <v>652</v>
      </c>
      <c r="AZ92" s="9" t="s">
        <v>652</v>
      </c>
      <c r="BA92" s="9" t="s">
        <v>652</v>
      </c>
      <c r="BB92" s="9" t="s">
        <v>105</v>
      </c>
      <c r="BC92" s="9" t="s">
        <v>105</v>
      </c>
      <c r="BD92" s="9" t="s">
        <v>105</v>
      </c>
      <c r="BE92" s="9" t="s">
        <v>105</v>
      </c>
      <c r="BF92" s="9" t="s">
        <v>105</v>
      </c>
      <c r="BG92" s="9" t="s">
        <v>105</v>
      </c>
      <c r="BH92" s="9" t="s">
        <v>105</v>
      </c>
      <c r="BI92" s="9" t="s">
        <v>105</v>
      </c>
      <c r="BJ92" s="9" t="s">
        <v>106</v>
      </c>
      <c r="BK92" s="9" t="s">
        <v>107</v>
      </c>
      <c r="BL92" s="9" t="s">
        <v>105</v>
      </c>
      <c r="BM92" s="9" t="s">
        <v>99</v>
      </c>
      <c r="BN92" s="9" t="s">
        <v>99</v>
      </c>
      <c r="BO92" s="9" t="s">
        <v>100</v>
      </c>
      <c r="BP92" s="9" t="s">
        <v>110</v>
      </c>
      <c r="BQ92" s="9" t="s">
        <v>110</v>
      </c>
      <c r="BR92" s="9" t="s">
        <v>854</v>
      </c>
      <c r="BS92" s="9"/>
    </row>
    <row r="93" spans="1:71" x14ac:dyDescent="0.25">
      <c r="A93" s="9" t="s">
        <v>1202</v>
      </c>
      <c r="B93" s="9" t="s">
        <v>1203</v>
      </c>
      <c r="C93" s="9" t="s">
        <v>1531</v>
      </c>
      <c r="D93" s="9" t="s">
        <v>1532</v>
      </c>
      <c r="E93" s="9" t="s">
        <v>1533</v>
      </c>
      <c r="F93" s="9" t="s">
        <v>1534</v>
      </c>
      <c r="G93" s="9" t="s">
        <v>1533</v>
      </c>
      <c r="H93" s="9" t="s">
        <v>1535</v>
      </c>
      <c r="I93" s="9" t="s">
        <v>6</v>
      </c>
      <c r="J93" s="9" t="s">
        <v>1209</v>
      </c>
      <c r="K93" s="9" t="s">
        <v>1209</v>
      </c>
      <c r="L93" s="9" t="s">
        <v>1533</v>
      </c>
      <c r="M93" s="9" t="s">
        <v>858</v>
      </c>
      <c r="N93" s="9" t="s">
        <v>1533</v>
      </c>
      <c r="O93" s="9" t="s">
        <v>1535</v>
      </c>
      <c r="P93" s="9" t="s">
        <v>859</v>
      </c>
      <c r="Q93" s="9" t="s">
        <v>1322</v>
      </c>
      <c r="R93" s="9" t="s">
        <v>859</v>
      </c>
      <c r="S93" s="9" t="s">
        <v>82</v>
      </c>
      <c r="T93" s="9" t="s">
        <v>83</v>
      </c>
      <c r="U93" s="9" t="s">
        <v>860</v>
      </c>
      <c r="V93" s="9" t="s">
        <v>85</v>
      </c>
      <c r="W93" s="9" t="s">
        <v>861</v>
      </c>
      <c r="X93" s="9" t="s">
        <v>1209</v>
      </c>
      <c r="Y93" s="9" t="s">
        <v>1536</v>
      </c>
      <c r="Z93" s="9" t="s">
        <v>1212</v>
      </c>
      <c r="AA93" s="9"/>
      <c r="AB93" s="9" t="s">
        <v>504</v>
      </c>
      <c r="AC93" s="9" t="s">
        <v>88</v>
      </c>
      <c r="AD93" s="9" t="s">
        <v>1213</v>
      </c>
      <c r="AE93" s="9" t="s">
        <v>89</v>
      </c>
      <c r="AF93" s="9" t="s">
        <v>1386</v>
      </c>
      <c r="AG93" s="9" t="s">
        <v>862</v>
      </c>
      <c r="AH93" s="9" t="s">
        <v>863</v>
      </c>
      <c r="AI93" s="9" t="s">
        <v>92</v>
      </c>
      <c r="AJ93" s="9" t="s">
        <v>92</v>
      </c>
      <c r="AK93" s="9" t="s">
        <v>864</v>
      </c>
      <c r="AL93" s="9" t="s">
        <v>92</v>
      </c>
      <c r="AM93" s="9" t="s">
        <v>92</v>
      </c>
      <c r="AN93" s="9" t="s">
        <v>865</v>
      </c>
      <c r="AO93" s="9" t="s">
        <v>866</v>
      </c>
      <c r="AP93" s="9" t="s">
        <v>867</v>
      </c>
      <c r="AQ93" s="9" t="s">
        <v>868</v>
      </c>
      <c r="AR93" s="9" t="s">
        <v>869</v>
      </c>
      <c r="AS93" s="9" t="s">
        <v>99</v>
      </c>
      <c r="AT93" s="9" t="s">
        <v>99</v>
      </c>
      <c r="AU93" s="9" t="s">
        <v>100</v>
      </c>
      <c r="AV93" s="9" t="s">
        <v>870</v>
      </c>
      <c r="AW93" s="9" t="s">
        <v>871</v>
      </c>
      <c r="AX93" s="9" t="s">
        <v>872</v>
      </c>
      <c r="AY93" s="9" t="s">
        <v>104</v>
      </c>
      <c r="AZ93" s="9" t="s">
        <v>104</v>
      </c>
      <c r="BA93" s="9" t="s">
        <v>104</v>
      </c>
      <c r="BB93" s="9" t="s">
        <v>105</v>
      </c>
      <c r="BC93" s="9" t="s">
        <v>105</v>
      </c>
      <c r="BD93" s="9" t="s">
        <v>105</v>
      </c>
      <c r="BE93" s="9" t="s">
        <v>105</v>
      </c>
      <c r="BF93" s="9" t="s">
        <v>105</v>
      </c>
      <c r="BG93" s="9" t="s">
        <v>105</v>
      </c>
      <c r="BH93" s="9" t="s">
        <v>105</v>
      </c>
      <c r="BI93" s="9" t="s">
        <v>105</v>
      </c>
      <c r="BJ93" s="9" t="s">
        <v>560</v>
      </c>
      <c r="BK93" s="9" t="s">
        <v>561</v>
      </c>
      <c r="BL93" s="9" t="s">
        <v>105</v>
      </c>
      <c r="BM93" s="9" t="s">
        <v>99</v>
      </c>
      <c r="BN93" s="9" t="s">
        <v>99</v>
      </c>
      <c r="BO93" s="9" t="s">
        <v>100</v>
      </c>
      <c r="BP93" s="9" t="s">
        <v>867</v>
      </c>
      <c r="BQ93" s="9" t="s">
        <v>868</v>
      </c>
      <c r="BR93" s="9" t="s">
        <v>869</v>
      </c>
      <c r="BS93" s="9"/>
    </row>
    <row r="94" spans="1:71" x14ac:dyDescent="0.25">
      <c r="A94" s="9" t="s">
        <v>1202</v>
      </c>
      <c r="B94" s="9" t="s">
        <v>1203</v>
      </c>
      <c r="C94" s="9" t="s">
        <v>1531</v>
      </c>
      <c r="D94" s="9" t="s">
        <v>1532</v>
      </c>
      <c r="E94" s="9" t="s">
        <v>1533</v>
      </c>
      <c r="F94" s="9" t="s">
        <v>1534</v>
      </c>
      <c r="G94" s="9" t="s">
        <v>1533</v>
      </c>
      <c r="H94" s="9" t="s">
        <v>1537</v>
      </c>
      <c r="I94" s="9" t="s">
        <v>6</v>
      </c>
      <c r="J94" s="9" t="s">
        <v>1209</v>
      </c>
      <c r="K94" s="9" t="s">
        <v>1209</v>
      </c>
      <c r="L94" s="9" t="s">
        <v>1533</v>
      </c>
      <c r="M94" s="9" t="s">
        <v>858</v>
      </c>
      <c r="N94" s="9" t="s">
        <v>1533</v>
      </c>
      <c r="O94" s="9" t="s">
        <v>1537</v>
      </c>
      <c r="P94" s="9" t="s">
        <v>92</v>
      </c>
      <c r="Q94" s="9" t="s">
        <v>1322</v>
      </c>
      <c r="R94" s="9" t="s">
        <v>859</v>
      </c>
      <c r="S94" s="9" t="s">
        <v>82</v>
      </c>
      <c r="T94" s="9" t="s">
        <v>108</v>
      </c>
      <c r="U94" s="9" t="s">
        <v>108</v>
      </c>
      <c r="V94" s="9" t="s">
        <v>85</v>
      </c>
      <c r="W94" s="9" t="s">
        <v>109</v>
      </c>
      <c r="X94" s="9" t="s">
        <v>1209</v>
      </c>
      <c r="Y94" s="9" t="s">
        <v>1536</v>
      </c>
      <c r="Z94" s="9" t="s">
        <v>1212</v>
      </c>
      <c r="AA94" s="9"/>
      <c r="AB94" s="9" t="s">
        <v>504</v>
      </c>
      <c r="AC94" s="9" t="s">
        <v>88</v>
      </c>
      <c r="AD94" s="9" t="s">
        <v>1213</v>
      </c>
      <c r="AE94" s="9" t="s">
        <v>89</v>
      </c>
      <c r="AF94" s="9" t="s">
        <v>1386</v>
      </c>
      <c r="AG94" s="9" t="s">
        <v>862</v>
      </c>
      <c r="AH94" s="9" t="s">
        <v>863</v>
      </c>
      <c r="AI94" s="9" t="s">
        <v>92</v>
      </c>
      <c r="AJ94" s="9" t="s">
        <v>92</v>
      </c>
      <c r="AK94" s="9" t="s">
        <v>864</v>
      </c>
      <c r="AL94" s="9" t="s">
        <v>92</v>
      </c>
      <c r="AM94" s="9" t="s">
        <v>92</v>
      </c>
      <c r="AN94" s="9" t="s">
        <v>865</v>
      </c>
      <c r="AO94" s="9" t="s">
        <v>866</v>
      </c>
      <c r="AP94" s="9" t="s">
        <v>110</v>
      </c>
      <c r="AQ94" s="9" t="s">
        <v>110</v>
      </c>
      <c r="AR94" s="9" t="s">
        <v>110</v>
      </c>
      <c r="AS94" s="9" t="s">
        <v>99</v>
      </c>
      <c r="AT94" s="9" t="s">
        <v>99</v>
      </c>
      <c r="AU94" s="9" t="s">
        <v>100</v>
      </c>
      <c r="AV94" s="9" t="s">
        <v>870</v>
      </c>
      <c r="AW94" s="9" t="s">
        <v>871</v>
      </c>
      <c r="AX94" s="9" t="s">
        <v>872</v>
      </c>
      <c r="AY94" s="9" t="s">
        <v>104</v>
      </c>
      <c r="AZ94" s="9" t="s">
        <v>104</v>
      </c>
      <c r="BA94" s="9" t="s">
        <v>104</v>
      </c>
      <c r="BB94" s="9" t="s">
        <v>105</v>
      </c>
      <c r="BC94" s="9" t="s">
        <v>105</v>
      </c>
      <c r="BD94" s="9" t="s">
        <v>105</v>
      </c>
      <c r="BE94" s="9" t="s">
        <v>105</v>
      </c>
      <c r="BF94" s="9" t="s">
        <v>105</v>
      </c>
      <c r="BG94" s="9" t="s">
        <v>105</v>
      </c>
      <c r="BH94" s="9" t="s">
        <v>105</v>
      </c>
      <c r="BI94" s="9" t="s">
        <v>105</v>
      </c>
      <c r="BJ94" s="9" t="s">
        <v>365</v>
      </c>
      <c r="BK94" s="9" t="s">
        <v>366</v>
      </c>
      <c r="BL94" s="9" t="s">
        <v>105</v>
      </c>
      <c r="BM94" s="9" t="s">
        <v>99</v>
      </c>
      <c r="BN94" s="9" t="s">
        <v>99</v>
      </c>
      <c r="BO94" s="9" t="s">
        <v>100</v>
      </c>
      <c r="BP94" s="9" t="s">
        <v>110</v>
      </c>
      <c r="BQ94" s="9" t="s">
        <v>110</v>
      </c>
      <c r="BR94" s="9" t="s">
        <v>110</v>
      </c>
      <c r="BS94" s="9"/>
    </row>
    <row r="95" spans="1:71" x14ac:dyDescent="0.25">
      <c r="A95" s="9" t="s">
        <v>1202</v>
      </c>
      <c r="B95" s="9" t="s">
        <v>1203</v>
      </c>
      <c r="C95" s="9" t="s">
        <v>1531</v>
      </c>
      <c r="D95" s="9" t="s">
        <v>1532</v>
      </c>
      <c r="E95" s="9" t="s">
        <v>1533</v>
      </c>
      <c r="F95" s="9" t="s">
        <v>1534</v>
      </c>
      <c r="G95" s="9" t="s">
        <v>1533</v>
      </c>
      <c r="H95" s="9" t="s">
        <v>1538</v>
      </c>
      <c r="I95" s="9" t="s">
        <v>6</v>
      </c>
      <c r="J95" s="9" t="s">
        <v>1209</v>
      </c>
      <c r="K95" s="9" t="s">
        <v>1209</v>
      </c>
      <c r="L95" s="9" t="s">
        <v>1533</v>
      </c>
      <c r="M95" s="9" t="s">
        <v>858</v>
      </c>
      <c r="N95" s="9" t="s">
        <v>1533</v>
      </c>
      <c r="O95" s="9" t="s">
        <v>1538</v>
      </c>
      <c r="P95" s="9" t="s">
        <v>92</v>
      </c>
      <c r="Q95" s="9" t="s">
        <v>1322</v>
      </c>
      <c r="R95" s="9" t="s">
        <v>859</v>
      </c>
      <c r="S95" s="9" t="s">
        <v>82</v>
      </c>
      <c r="T95" s="9" t="s">
        <v>108</v>
      </c>
      <c r="U95" s="9" t="s">
        <v>108</v>
      </c>
      <c r="V95" s="9" t="s">
        <v>85</v>
      </c>
      <c r="W95" s="9" t="s">
        <v>109</v>
      </c>
      <c r="X95" s="9" t="s">
        <v>1209</v>
      </c>
      <c r="Y95" s="9" t="s">
        <v>1536</v>
      </c>
      <c r="Z95" s="9" t="s">
        <v>1212</v>
      </c>
      <c r="AA95" s="9"/>
      <c r="AB95" s="9" t="s">
        <v>504</v>
      </c>
      <c r="AC95" s="9" t="s">
        <v>88</v>
      </c>
      <c r="AD95" s="9" t="s">
        <v>1213</v>
      </c>
      <c r="AE95" s="9" t="s">
        <v>89</v>
      </c>
      <c r="AF95" s="9" t="s">
        <v>1386</v>
      </c>
      <c r="AG95" s="9" t="s">
        <v>862</v>
      </c>
      <c r="AH95" s="9" t="s">
        <v>863</v>
      </c>
      <c r="AI95" s="9" t="s">
        <v>92</v>
      </c>
      <c r="AJ95" s="9" t="s">
        <v>92</v>
      </c>
      <c r="AK95" s="9" t="s">
        <v>864</v>
      </c>
      <c r="AL95" s="9" t="s">
        <v>92</v>
      </c>
      <c r="AM95" s="9" t="s">
        <v>92</v>
      </c>
      <c r="AN95" s="9" t="s">
        <v>865</v>
      </c>
      <c r="AO95" s="9" t="s">
        <v>866</v>
      </c>
      <c r="AP95" s="9" t="s">
        <v>110</v>
      </c>
      <c r="AQ95" s="9" t="s">
        <v>110</v>
      </c>
      <c r="AR95" s="9" t="s">
        <v>110</v>
      </c>
      <c r="AS95" s="9" t="s">
        <v>99</v>
      </c>
      <c r="AT95" s="9" t="s">
        <v>99</v>
      </c>
      <c r="AU95" s="9" t="s">
        <v>100</v>
      </c>
      <c r="AV95" s="9" t="s">
        <v>870</v>
      </c>
      <c r="AW95" s="9" t="s">
        <v>871</v>
      </c>
      <c r="AX95" s="9" t="s">
        <v>872</v>
      </c>
      <c r="AY95" s="9" t="s">
        <v>104</v>
      </c>
      <c r="AZ95" s="9" t="s">
        <v>104</v>
      </c>
      <c r="BA95" s="9" t="s">
        <v>104</v>
      </c>
      <c r="BB95" s="9" t="s">
        <v>105</v>
      </c>
      <c r="BC95" s="9" t="s">
        <v>105</v>
      </c>
      <c r="BD95" s="9" t="s">
        <v>105</v>
      </c>
      <c r="BE95" s="9" t="s">
        <v>105</v>
      </c>
      <c r="BF95" s="9" t="s">
        <v>105</v>
      </c>
      <c r="BG95" s="9" t="s">
        <v>105</v>
      </c>
      <c r="BH95" s="9" t="s">
        <v>105</v>
      </c>
      <c r="BI95" s="9" t="s">
        <v>105</v>
      </c>
      <c r="BJ95" s="9" t="s">
        <v>365</v>
      </c>
      <c r="BK95" s="9" t="s">
        <v>366</v>
      </c>
      <c r="BL95" s="9" t="s">
        <v>105</v>
      </c>
      <c r="BM95" s="9" t="s">
        <v>99</v>
      </c>
      <c r="BN95" s="9" t="s">
        <v>99</v>
      </c>
      <c r="BO95" s="9" t="s">
        <v>100</v>
      </c>
      <c r="BP95" s="9" t="s">
        <v>110</v>
      </c>
      <c r="BQ95" s="9" t="s">
        <v>110</v>
      </c>
      <c r="BR95" s="9" t="s">
        <v>110</v>
      </c>
      <c r="BS95" s="9"/>
    </row>
    <row r="96" spans="1:71" x14ac:dyDescent="0.25">
      <c r="A96" s="9" t="s">
        <v>1216</v>
      </c>
      <c r="B96" s="9" t="s">
        <v>1217</v>
      </c>
      <c r="C96" s="9" t="s">
        <v>1539</v>
      </c>
      <c r="D96" s="9" t="s">
        <v>1219</v>
      </c>
      <c r="E96" s="9" t="s">
        <v>1540</v>
      </c>
      <c r="F96" s="9" t="s">
        <v>1541</v>
      </c>
      <c r="G96" s="9" t="s">
        <v>1540</v>
      </c>
      <c r="H96" s="9" t="s">
        <v>1542</v>
      </c>
      <c r="I96" s="9" t="s">
        <v>6</v>
      </c>
      <c r="J96" s="9" t="s">
        <v>1209</v>
      </c>
      <c r="K96" s="9" t="s">
        <v>1209</v>
      </c>
      <c r="L96" s="9" t="s">
        <v>1540</v>
      </c>
      <c r="M96" s="9" t="s">
        <v>873</v>
      </c>
      <c r="N96" s="9" t="s">
        <v>1540</v>
      </c>
      <c r="O96" s="9" t="s">
        <v>1542</v>
      </c>
      <c r="P96" s="9" t="s">
        <v>874</v>
      </c>
      <c r="Q96" s="9" t="s">
        <v>1209</v>
      </c>
      <c r="R96" s="9" t="s">
        <v>874</v>
      </c>
      <c r="S96" s="9" t="s">
        <v>82</v>
      </c>
      <c r="T96" s="9" t="s">
        <v>83</v>
      </c>
      <c r="U96" s="9" t="s">
        <v>875</v>
      </c>
      <c r="V96" s="9" t="s">
        <v>85</v>
      </c>
      <c r="W96" s="9" t="s">
        <v>876</v>
      </c>
      <c r="X96" s="9" t="s">
        <v>1209</v>
      </c>
      <c r="Y96" s="9" t="s">
        <v>1543</v>
      </c>
      <c r="Z96" s="9" t="s">
        <v>1298</v>
      </c>
      <c r="AA96" s="9" t="s">
        <v>133</v>
      </c>
      <c r="AB96" s="9" t="s">
        <v>286</v>
      </c>
      <c r="AC96" s="9" t="s">
        <v>88</v>
      </c>
      <c r="AD96" s="9" t="s">
        <v>1213</v>
      </c>
      <c r="AE96" s="9" t="s">
        <v>89</v>
      </c>
      <c r="AF96" s="9" t="s">
        <v>1299</v>
      </c>
      <c r="AG96" s="9" t="s">
        <v>877</v>
      </c>
      <c r="AH96" s="9" t="s">
        <v>92</v>
      </c>
      <c r="AI96" s="9" t="s">
        <v>92</v>
      </c>
      <c r="AJ96" s="9" t="s">
        <v>878</v>
      </c>
      <c r="AK96" s="9" t="s">
        <v>92</v>
      </c>
      <c r="AL96" s="9" t="s">
        <v>879</v>
      </c>
      <c r="AM96" s="9" t="s">
        <v>92</v>
      </c>
      <c r="AN96" s="9" t="s">
        <v>880</v>
      </c>
      <c r="AO96" s="9" t="s">
        <v>881</v>
      </c>
      <c r="AP96" s="9" t="s">
        <v>105</v>
      </c>
      <c r="AQ96" s="9" t="s">
        <v>105</v>
      </c>
      <c r="AR96" s="9" t="s">
        <v>882</v>
      </c>
      <c r="AS96" s="9" t="s">
        <v>122</v>
      </c>
      <c r="AT96" s="9" t="s">
        <v>122</v>
      </c>
      <c r="AU96" s="9" t="s">
        <v>100</v>
      </c>
      <c r="AV96" s="9" t="s">
        <v>883</v>
      </c>
      <c r="AW96" s="9" t="s">
        <v>884</v>
      </c>
      <c r="AX96" s="9" t="s">
        <v>885</v>
      </c>
      <c r="AY96" s="9" t="s">
        <v>126</v>
      </c>
      <c r="AZ96" s="9" t="s">
        <v>126</v>
      </c>
      <c r="BA96" s="9" t="s">
        <v>126</v>
      </c>
      <c r="BB96" s="9" t="s">
        <v>105</v>
      </c>
      <c r="BC96" s="9" t="s">
        <v>105</v>
      </c>
      <c r="BD96" s="9" t="s">
        <v>105</v>
      </c>
      <c r="BE96" s="9" t="s">
        <v>105</v>
      </c>
      <c r="BF96" s="9" t="s">
        <v>105</v>
      </c>
      <c r="BG96" s="9" t="s">
        <v>105</v>
      </c>
      <c r="BH96" s="9" t="s">
        <v>105</v>
      </c>
      <c r="BI96" s="9" t="s">
        <v>105</v>
      </c>
      <c r="BJ96" s="9" t="s">
        <v>886</v>
      </c>
      <c r="BK96" s="9" t="s">
        <v>887</v>
      </c>
      <c r="BL96" s="9" t="s">
        <v>105</v>
      </c>
      <c r="BM96" s="9" t="s">
        <v>122</v>
      </c>
      <c r="BN96" s="9" t="s">
        <v>122</v>
      </c>
      <c r="BO96" s="9" t="s">
        <v>100</v>
      </c>
      <c r="BP96" s="9" t="s">
        <v>105</v>
      </c>
      <c r="BQ96" s="9" t="s">
        <v>105</v>
      </c>
      <c r="BR96" s="9" t="s">
        <v>882</v>
      </c>
      <c r="BS96" s="9"/>
    </row>
    <row r="97" spans="1:71" x14ac:dyDescent="0.25">
      <c r="A97" s="9" t="s">
        <v>1202</v>
      </c>
      <c r="B97" s="9" t="s">
        <v>1203</v>
      </c>
      <c r="C97" s="9" t="s">
        <v>1544</v>
      </c>
      <c r="D97" s="9" t="s">
        <v>1545</v>
      </c>
      <c r="E97" s="9" t="s">
        <v>1546</v>
      </c>
      <c r="F97" s="9" t="s">
        <v>1547</v>
      </c>
      <c r="G97" s="9" t="s">
        <v>1546</v>
      </c>
      <c r="H97" s="9" t="s">
        <v>1548</v>
      </c>
      <c r="I97" s="9" t="s">
        <v>6</v>
      </c>
      <c r="J97" s="9" t="s">
        <v>1209</v>
      </c>
      <c r="K97" s="9" t="s">
        <v>1209</v>
      </c>
      <c r="L97" s="9" t="s">
        <v>1546</v>
      </c>
      <c r="M97" s="9" t="s">
        <v>888</v>
      </c>
      <c r="N97" s="9" t="s">
        <v>1546</v>
      </c>
      <c r="O97" s="9" t="s">
        <v>1548</v>
      </c>
      <c r="P97" s="9" t="s">
        <v>889</v>
      </c>
      <c r="Q97" s="9" t="s">
        <v>1210</v>
      </c>
      <c r="R97" s="9" t="s">
        <v>889</v>
      </c>
      <c r="S97" s="9" t="s">
        <v>82</v>
      </c>
      <c r="T97" s="9" t="s">
        <v>83</v>
      </c>
      <c r="U97" s="9" t="s">
        <v>890</v>
      </c>
      <c r="V97" s="9" t="s">
        <v>85</v>
      </c>
      <c r="W97" s="9" t="s">
        <v>891</v>
      </c>
      <c r="X97" s="9" t="s">
        <v>1209</v>
      </c>
      <c r="Y97" s="9" t="s">
        <v>1549</v>
      </c>
      <c r="Z97" s="9" t="s">
        <v>1212</v>
      </c>
      <c r="AA97" s="9" t="s">
        <v>892</v>
      </c>
      <c r="AB97" s="9" t="s">
        <v>893</v>
      </c>
      <c r="AC97" s="9" t="s">
        <v>88</v>
      </c>
      <c r="AD97" s="9" t="s">
        <v>1213</v>
      </c>
      <c r="AE97" s="9" t="s">
        <v>89</v>
      </c>
      <c r="AF97" s="9" t="s">
        <v>1550</v>
      </c>
      <c r="AG97" s="9" t="s">
        <v>894</v>
      </c>
      <c r="AH97" s="9" t="s">
        <v>92</v>
      </c>
      <c r="AI97" s="9" t="s">
        <v>92</v>
      </c>
      <c r="AJ97" s="9" t="s">
        <v>92</v>
      </c>
      <c r="AK97" s="9" t="s">
        <v>895</v>
      </c>
      <c r="AL97" s="9" t="s">
        <v>92</v>
      </c>
      <c r="AM97" s="9" t="s">
        <v>92</v>
      </c>
      <c r="AN97" s="9" t="s">
        <v>896</v>
      </c>
      <c r="AO97" s="9" t="s">
        <v>897</v>
      </c>
      <c r="AP97" s="9" t="s">
        <v>898</v>
      </c>
      <c r="AQ97" s="9" t="s">
        <v>899</v>
      </c>
      <c r="AR97" s="9" t="s">
        <v>900</v>
      </c>
      <c r="AS97" s="9" t="s">
        <v>99</v>
      </c>
      <c r="AT97" s="9" t="s">
        <v>99</v>
      </c>
      <c r="AU97" s="9" t="s">
        <v>100</v>
      </c>
      <c r="AV97" s="9" t="s">
        <v>901</v>
      </c>
      <c r="AW97" s="9" t="s">
        <v>902</v>
      </c>
      <c r="AX97" s="9" t="s">
        <v>903</v>
      </c>
      <c r="AY97" s="9" t="s">
        <v>104</v>
      </c>
      <c r="AZ97" s="9" t="s">
        <v>104</v>
      </c>
      <c r="BA97" s="9" t="s">
        <v>104</v>
      </c>
      <c r="BB97" s="9" t="s">
        <v>105</v>
      </c>
      <c r="BC97" s="9" t="s">
        <v>105</v>
      </c>
      <c r="BD97" s="9" t="s">
        <v>105</v>
      </c>
      <c r="BE97" s="9" t="s">
        <v>105</v>
      </c>
      <c r="BF97" s="9" t="s">
        <v>105</v>
      </c>
      <c r="BG97" s="9" t="s">
        <v>105</v>
      </c>
      <c r="BH97" s="9" t="s">
        <v>105</v>
      </c>
      <c r="BI97" s="9" t="s">
        <v>105</v>
      </c>
      <c r="BJ97" s="9" t="s">
        <v>106</v>
      </c>
      <c r="BK97" s="9" t="s">
        <v>107</v>
      </c>
      <c r="BL97" s="9" t="s">
        <v>105</v>
      </c>
      <c r="BM97" s="9" t="s">
        <v>99</v>
      </c>
      <c r="BN97" s="9" t="s">
        <v>99</v>
      </c>
      <c r="BO97" s="9" t="s">
        <v>100</v>
      </c>
      <c r="BP97" s="9" t="s">
        <v>898</v>
      </c>
      <c r="BQ97" s="9" t="s">
        <v>899</v>
      </c>
      <c r="BR97" s="9" t="s">
        <v>900</v>
      </c>
      <c r="BS97" s="9"/>
    </row>
    <row r="98" spans="1:71" x14ac:dyDescent="0.25">
      <c r="A98" s="9" t="s">
        <v>1202</v>
      </c>
      <c r="B98" s="9" t="s">
        <v>1203</v>
      </c>
      <c r="C98" s="9" t="s">
        <v>1544</v>
      </c>
      <c r="D98" s="9" t="s">
        <v>1545</v>
      </c>
      <c r="E98" s="9" t="s">
        <v>1546</v>
      </c>
      <c r="F98" s="9" t="s">
        <v>1547</v>
      </c>
      <c r="G98" s="9" t="s">
        <v>1546</v>
      </c>
      <c r="H98" s="9" t="s">
        <v>1551</v>
      </c>
      <c r="I98" s="9" t="s">
        <v>6</v>
      </c>
      <c r="J98" s="9" t="s">
        <v>1209</v>
      </c>
      <c r="K98" s="9" t="s">
        <v>1209</v>
      </c>
      <c r="L98" s="9" t="s">
        <v>1546</v>
      </c>
      <c r="M98" s="9" t="s">
        <v>888</v>
      </c>
      <c r="N98" s="9" t="s">
        <v>1546</v>
      </c>
      <c r="O98" s="9" t="s">
        <v>1551</v>
      </c>
      <c r="P98" s="9" t="s">
        <v>92</v>
      </c>
      <c r="Q98" s="9" t="s">
        <v>1210</v>
      </c>
      <c r="R98" s="9" t="s">
        <v>889</v>
      </c>
      <c r="S98" s="9" t="s">
        <v>82</v>
      </c>
      <c r="T98" s="9" t="s">
        <v>108</v>
      </c>
      <c r="U98" s="9" t="s">
        <v>108</v>
      </c>
      <c r="V98" s="9" t="s">
        <v>85</v>
      </c>
      <c r="W98" s="9" t="s">
        <v>109</v>
      </c>
      <c r="X98" s="9" t="s">
        <v>1209</v>
      </c>
      <c r="Y98" s="9" t="s">
        <v>1549</v>
      </c>
      <c r="Z98" s="9" t="s">
        <v>1212</v>
      </c>
      <c r="AA98" s="9" t="s">
        <v>892</v>
      </c>
      <c r="AB98" s="9" t="s">
        <v>893</v>
      </c>
      <c r="AC98" s="9" t="s">
        <v>88</v>
      </c>
      <c r="AD98" s="9" t="s">
        <v>1213</v>
      </c>
      <c r="AE98" s="9" t="s">
        <v>89</v>
      </c>
      <c r="AF98" s="9" t="s">
        <v>1550</v>
      </c>
      <c r="AG98" s="9" t="s">
        <v>894</v>
      </c>
      <c r="AH98" s="9" t="s">
        <v>92</v>
      </c>
      <c r="AI98" s="9" t="s">
        <v>92</v>
      </c>
      <c r="AJ98" s="9" t="s">
        <v>92</v>
      </c>
      <c r="AK98" s="9" t="s">
        <v>895</v>
      </c>
      <c r="AL98" s="9" t="s">
        <v>92</v>
      </c>
      <c r="AM98" s="9" t="s">
        <v>92</v>
      </c>
      <c r="AN98" s="9" t="s">
        <v>896</v>
      </c>
      <c r="AO98" s="9" t="s">
        <v>897</v>
      </c>
      <c r="AP98" s="9" t="s">
        <v>110</v>
      </c>
      <c r="AQ98" s="9" t="s">
        <v>110</v>
      </c>
      <c r="AR98" s="9" t="s">
        <v>110</v>
      </c>
      <c r="AS98" s="9" t="s">
        <v>99</v>
      </c>
      <c r="AT98" s="9" t="s">
        <v>99</v>
      </c>
      <c r="AU98" s="9" t="s">
        <v>100</v>
      </c>
      <c r="AV98" s="9" t="s">
        <v>901</v>
      </c>
      <c r="AW98" s="9" t="s">
        <v>902</v>
      </c>
      <c r="AX98" s="9" t="s">
        <v>903</v>
      </c>
      <c r="AY98" s="9" t="s">
        <v>104</v>
      </c>
      <c r="AZ98" s="9" t="s">
        <v>104</v>
      </c>
      <c r="BA98" s="9" t="s">
        <v>104</v>
      </c>
      <c r="BB98" s="9" t="s">
        <v>105</v>
      </c>
      <c r="BC98" s="9" t="s">
        <v>105</v>
      </c>
      <c r="BD98" s="9" t="s">
        <v>105</v>
      </c>
      <c r="BE98" s="9" t="s">
        <v>105</v>
      </c>
      <c r="BF98" s="9" t="s">
        <v>105</v>
      </c>
      <c r="BG98" s="9" t="s">
        <v>105</v>
      </c>
      <c r="BH98" s="9" t="s">
        <v>105</v>
      </c>
      <c r="BI98" s="9" t="s">
        <v>105</v>
      </c>
      <c r="BJ98" s="9" t="s">
        <v>106</v>
      </c>
      <c r="BK98" s="9" t="s">
        <v>107</v>
      </c>
      <c r="BL98" s="9" t="s">
        <v>105</v>
      </c>
      <c r="BM98" s="9" t="s">
        <v>99</v>
      </c>
      <c r="BN98" s="9" t="s">
        <v>99</v>
      </c>
      <c r="BO98" s="9" t="s">
        <v>100</v>
      </c>
      <c r="BP98" s="9" t="s">
        <v>110</v>
      </c>
      <c r="BQ98" s="9" t="s">
        <v>110</v>
      </c>
      <c r="BR98" s="9" t="s">
        <v>110</v>
      </c>
      <c r="BS98" s="9"/>
    </row>
    <row r="99" spans="1:71" x14ac:dyDescent="0.25">
      <c r="A99" s="9" t="s">
        <v>1202</v>
      </c>
      <c r="B99" s="9" t="s">
        <v>1203</v>
      </c>
      <c r="C99" s="9" t="s">
        <v>1552</v>
      </c>
      <c r="D99" s="9" t="s">
        <v>1553</v>
      </c>
      <c r="E99" s="9" t="s">
        <v>1554</v>
      </c>
      <c r="F99" s="9" t="s">
        <v>1555</v>
      </c>
      <c r="G99" s="9" t="s">
        <v>1554</v>
      </c>
      <c r="H99" s="9" t="s">
        <v>1556</v>
      </c>
      <c r="I99" s="9" t="s">
        <v>6</v>
      </c>
      <c r="J99" s="9" t="s">
        <v>1209</v>
      </c>
      <c r="K99" s="9" t="s">
        <v>1209</v>
      </c>
      <c r="L99" s="9" t="s">
        <v>1554</v>
      </c>
      <c r="M99" s="9" t="s">
        <v>904</v>
      </c>
      <c r="N99" s="9" t="s">
        <v>1554</v>
      </c>
      <c r="O99" s="9" t="s">
        <v>1556</v>
      </c>
      <c r="P99" s="9" t="s">
        <v>905</v>
      </c>
      <c r="Q99" s="9" t="s">
        <v>1210</v>
      </c>
      <c r="R99" s="9" t="s">
        <v>905</v>
      </c>
      <c r="S99" s="9" t="s">
        <v>82</v>
      </c>
      <c r="T99" s="9" t="s">
        <v>83</v>
      </c>
      <c r="U99" s="9" t="s">
        <v>906</v>
      </c>
      <c r="V99" s="9" t="s">
        <v>85</v>
      </c>
      <c r="W99" s="9" t="s">
        <v>907</v>
      </c>
      <c r="X99" s="9" t="s">
        <v>1209</v>
      </c>
      <c r="Y99" s="9" t="s">
        <v>1557</v>
      </c>
      <c r="Z99" s="9" t="s">
        <v>1212</v>
      </c>
      <c r="AA99" s="9"/>
      <c r="AB99" s="9" t="s">
        <v>703</v>
      </c>
      <c r="AC99" s="9" t="s">
        <v>88</v>
      </c>
      <c r="AD99" s="9" t="s">
        <v>1213</v>
      </c>
      <c r="AE99" s="9" t="s">
        <v>89</v>
      </c>
      <c r="AF99" s="9" t="s">
        <v>1466</v>
      </c>
      <c r="AG99" s="9" t="s">
        <v>908</v>
      </c>
      <c r="AH99" s="9" t="s">
        <v>92</v>
      </c>
      <c r="AI99" s="9" t="s">
        <v>92</v>
      </c>
      <c r="AJ99" s="9" t="s">
        <v>92</v>
      </c>
      <c r="AK99" s="9" t="s">
        <v>92</v>
      </c>
      <c r="AL99" s="9" t="s">
        <v>92</v>
      </c>
      <c r="AM99" s="9" t="s">
        <v>92</v>
      </c>
      <c r="AN99" s="9" t="s">
        <v>909</v>
      </c>
      <c r="AO99" s="9" t="s">
        <v>108</v>
      </c>
      <c r="AP99" s="9" t="s">
        <v>910</v>
      </c>
      <c r="AQ99" s="9" t="s">
        <v>911</v>
      </c>
      <c r="AR99" s="9" t="s">
        <v>912</v>
      </c>
      <c r="AS99" s="9" t="s">
        <v>99</v>
      </c>
      <c r="AT99" s="9" t="s">
        <v>99</v>
      </c>
      <c r="AU99" s="9" t="s">
        <v>100</v>
      </c>
      <c r="AV99" s="9" t="s">
        <v>913</v>
      </c>
      <c r="AW99" s="9" t="s">
        <v>914</v>
      </c>
      <c r="AX99" s="9" t="s">
        <v>915</v>
      </c>
      <c r="AY99" s="9" t="s">
        <v>104</v>
      </c>
      <c r="AZ99" s="9" t="s">
        <v>104</v>
      </c>
      <c r="BA99" s="9" t="s">
        <v>104</v>
      </c>
      <c r="BB99" s="9" t="s">
        <v>105</v>
      </c>
      <c r="BC99" s="9" t="s">
        <v>105</v>
      </c>
      <c r="BD99" s="9" t="s">
        <v>105</v>
      </c>
      <c r="BE99" s="9" t="s">
        <v>105</v>
      </c>
      <c r="BF99" s="9" t="s">
        <v>105</v>
      </c>
      <c r="BG99" s="9" t="s">
        <v>105</v>
      </c>
      <c r="BH99" s="9" t="s">
        <v>105</v>
      </c>
      <c r="BI99" s="9" t="s">
        <v>105</v>
      </c>
      <c r="BJ99" s="9" t="s">
        <v>106</v>
      </c>
      <c r="BK99" s="9" t="s">
        <v>107</v>
      </c>
      <c r="BL99" s="9" t="s">
        <v>105</v>
      </c>
      <c r="BM99" s="9" t="s">
        <v>99</v>
      </c>
      <c r="BN99" s="9" t="s">
        <v>99</v>
      </c>
      <c r="BO99" s="9" t="s">
        <v>100</v>
      </c>
      <c r="BP99" s="9" t="s">
        <v>910</v>
      </c>
      <c r="BQ99" s="9" t="s">
        <v>911</v>
      </c>
      <c r="BR99" s="9" t="s">
        <v>912</v>
      </c>
      <c r="BS99" s="9"/>
    </row>
    <row r="100" spans="1:71" x14ac:dyDescent="0.25">
      <c r="A100" s="9" t="s">
        <v>1202</v>
      </c>
      <c r="B100" s="9" t="s">
        <v>1203</v>
      </c>
      <c r="C100" s="9" t="s">
        <v>1552</v>
      </c>
      <c r="D100" s="9" t="s">
        <v>1553</v>
      </c>
      <c r="E100" s="9" t="s">
        <v>1554</v>
      </c>
      <c r="F100" s="9" t="s">
        <v>1555</v>
      </c>
      <c r="G100" s="9" t="s">
        <v>1554</v>
      </c>
      <c r="H100" s="9" t="s">
        <v>1558</v>
      </c>
      <c r="I100" s="9" t="s">
        <v>6</v>
      </c>
      <c r="J100" s="9" t="s">
        <v>1209</v>
      </c>
      <c r="K100" s="9" t="s">
        <v>1209</v>
      </c>
      <c r="L100" s="9" t="s">
        <v>1554</v>
      </c>
      <c r="M100" s="9" t="s">
        <v>904</v>
      </c>
      <c r="N100" s="9" t="s">
        <v>1554</v>
      </c>
      <c r="O100" s="9" t="s">
        <v>1558</v>
      </c>
      <c r="P100" s="9" t="s">
        <v>92</v>
      </c>
      <c r="Q100" s="9" t="s">
        <v>1210</v>
      </c>
      <c r="R100" s="9" t="s">
        <v>905</v>
      </c>
      <c r="S100" s="9" t="s">
        <v>82</v>
      </c>
      <c r="T100" s="9" t="s">
        <v>108</v>
      </c>
      <c r="U100" s="9" t="s">
        <v>108</v>
      </c>
      <c r="V100" s="9" t="s">
        <v>85</v>
      </c>
      <c r="W100" s="9" t="s">
        <v>109</v>
      </c>
      <c r="X100" s="9" t="s">
        <v>1209</v>
      </c>
      <c r="Y100" s="9" t="s">
        <v>1557</v>
      </c>
      <c r="Z100" s="9" t="s">
        <v>1212</v>
      </c>
      <c r="AA100" s="9"/>
      <c r="AB100" s="9" t="s">
        <v>703</v>
      </c>
      <c r="AC100" s="9" t="s">
        <v>88</v>
      </c>
      <c r="AD100" s="9" t="s">
        <v>1213</v>
      </c>
      <c r="AE100" s="9" t="s">
        <v>89</v>
      </c>
      <c r="AF100" s="9" t="s">
        <v>1466</v>
      </c>
      <c r="AG100" s="9" t="s">
        <v>908</v>
      </c>
      <c r="AH100" s="9" t="s">
        <v>92</v>
      </c>
      <c r="AI100" s="9" t="s">
        <v>92</v>
      </c>
      <c r="AJ100" s="9" t="s">
        <v>92</v>
      </c>
      <c r="AK100" s="9" t="s">
        <v>92</v>
      </c>
      <c r="AL100" s="9" t="s">
        <v>92</v>
      </c>
      <c r="AM100" s="9" t="s">
        <v>92</v>
      </c>
      <c r="AN100" s="9" t="s">
        <v>909</v>
      </c>
      <c r="AO100" s="9" t="s">
        <v>108</v>
      </c>
      <c r="AP100" s="9" t="s">
        <v>110</v>
      </c>
      <c r="AQ100" s="9" t="s">
        <v>110</v>
      </c>
      <c r="AR100" s="9" t="s">
        <v>110</v>
      </c>
      <c r="AS100" s="9" t="s">
        <v>99</v>
      </c>
      <c r="AT100" s="9" t="s">
        <v>99</v>
      </c>
      <c r="AU100" s="9" t="s">
        <v>100</v>
      </c>
      <c r="AV100" s="9" t="s">
        <v>913</v>
      </c>
      <c r="AW100" s="9" t="s">
        <v>914</v>
      </c>
      <c r="AX100" s="9" t="s">
        <v>915</v>
      </c>
      <c r="AY100" s="9" t="s">
        <v>104</v>
      </c>
      <c r="AZ100" s="9" t="s">
        <v>104</v>
      </c>
      <c r="BA100" s="9" t="s">
        <v>104</v>
      </c>
      <c r="BB100" s="9" t="s">
        <v>105</v>
      </c>
      <c r="BC100" s="9" t="s">
        <v>105</v>
      </c>
      <c r="BD100" s="9" t="s">
        <v>105</v>
      </c>
      <c r="BE100" s="9" t="s">
        <v>105</v>
      </c>
      <c r="BF100" s="9" t="s">
        <v>105</v>
      </c>
      <c r="BG100" s="9" t="s">
        <v>105</v>
      </c>
      <c r="BH100" s="9" t="s">
        <v>105</v>
      </c>
      <c r="BI100" s="9" t="s">
        <v>105</v>
      </c>
      <c r="BJ100" s="9" t="s">
        <v>106</v>
      </c>
      <c r="BK100" s="9" t="s">
        <v>107</v>
      </c>
      <c r="BL100" s="9" t="s">
        <v>105</v>
      </c>
      <c r="BM100" s="9" t="s">
        <v>99</v>
      </c>
      <c r="BN100" s="9" t="s">
        <v>99</v>
      </c>
      <c r="BO100" s="9" t="s">
        <v>100</v>
      </c>
      <c r="BP100" s="9" t="s">
        <v>110</v>
      </c>
      <c r="BQ100" s="9" t="s">
        <v>110</v>
      </c>
      <c r="BR100" s="9" t="s">
        <v>110</v>
      </c>
      <c r="BS100" s="9"/>
    </row>
    <row r="101" spans="1:71" x14ac:dyDescent="0.25">
      <c r="A101" s="9" t="s">
        <v>1202</v>
      </c>
      <c r="B101" s="9" t="s">
        <v>1203</v>
      </c>
      <c r="C101" s="9" t="s">
        <v>1559</v>
      </c>
      <c r="D101" s="9" t="s">
        <v>1560</v>
      </c>
      <c r="E101" s="9" t="s">
        <v>1561</v>
      </c>
      <c r="F101" s="9" t="s">
        <v>1562</v>
      </c>
      <c r="G101" s="9" t="s">
        <v>1561</v>
      </c>
      <c r="H101" s="9" t="s">
        <v>1563</v>
      </c>
      <c r="I101" s="9" t="s">
        <v>6</v>
      </c>
      <c r="J101" s="9" t="s">
        <v>1209</v>
      </c>
      <c r="K101" s="9" t="s">
        <v>1209</v>
      </c>
      <c r="L101" s="9" t="s">
        <v>1561</v>
      </c>
      <c r="M101" s="9" t="s">
        <v>916</v>
      </c>
      <c r="N101" s="9" t="s">
        <v>1561</v>
      </c>
      <c r="O101" s="9" t="s">
        <v>1563</v>
      </c>
      <c r="P101" s="9" t="s">
        <v>92</v>
      </c>
      <c r="Q101" s="9" t="s">
        <v>1210</v>
      </c>
      <c r="R101" s="9" t="s">
        <v>917</v>
      </c>
      <c r="S101" s="9" t="s">
        <v>82</v>
      </c>
      <c r="T101" s="9" t="s">
        <v>108</v>
      </c>
      <c r="U101" s="9" t="s">
        <v>108</v>
      </c>
      <c r="V101" s="9" t="s">
        <v>85</v>
      </c>
      <c r="W101" s="9" t="s">
        <v>109</v>
      </c>
      <c r="X101" s="9" t="s">
        <v>1209</v>
      </c>
      <c r="Y101" s="9" t="s">
        <v>1564</v>
      </c>
      <c r="Z101" s="9" t="s">
        <v>1212</v>
      </c>
      <c r="AA101" s="9" t="s">
        <v>918</v>
      </c>
      <c r="AB101" s="9" t="s">
        <v>321</v>
      </c>
      <c r="AC101" s="9" t="s">
        <v>88</v>
      </c>
      <c r="AD101" s="9" t="s">
        <v>1213</v>
      </c>
      <c r="AE101" s="9" t="s">
        <v>89</v>
      </c>
      <c r="AF101" s="9" t="s">
        <v>1311</v>
      </c>
      <c r="AG101" s="9" t="s">
        <v>919</v>
      </c>
      <c r="AH101" s="9" t="s">
        <v>920</v>
      </c>
      <c r="AI101" s="9" t="s">
        <v>92</v>
      </c>
      <c r="AJ101" s="9" t="s">
        <v>92</v>
      </c>
      <c r="AK101" s="9" t="s">
        <v>92</v>
      </c>
      <c r="AL101" s="9" t="s">
        <v>92</v>
      </c>
      <c r="AM101" s="9" t="s">
        <v>92</v>
      </c>
      <c r="AN101" s="9" t="s">
        <v>921</v>
      </c>
      <c r="AO101" s="9" t="s">
        <v>922</v>
      </c>
      <c r="AP101" s="9" t="s">
        <v>110</v>
      </c>
      <c r="AQ101" s="9" t="s">
        <v>110</v>
      </c>
      <c r="AR101" s="9" t="s">
        <v>110</v>
      </c>
      <c r="AS101" s="9" t="s">
        <v>99</v>
      </c>
      <c r="AT101" s="9" t="s">
        <v>99</v>
      </c>
      <c r="AU101" s="9" t="s">
        <v>100</v>
      </c>
      <c r="AV101" s="9" t="s">
        <v>923</v>
      </c>
      <c r="AW101" s="9" t="s">
        <v>924</v>
      </c>
      <c r="AX101" s="9" t="s">
        <v>925</v>
      </c>
      <c r="AY101" s="9" t="s">
        <v>104</v>
      </c>
      <c r="AZ101" s="9" t="s">
        <v>104</v>
      </c>
      <c r="BA101" s="9" t="s">
        <v>104</v>
      </c>
      <c r="BB101" s="9" t="s">
        <v>105</v>
      </c>
      <c r="BC101" s="9" t="s">
        <v>105</v>
      </c>
      <c r="BD101" s="9" t="s">
        <v>105</v>
      </c>
      <c r="BE101" s="9" t="s">
        <v>105</v>
      </c>
      <c r="BF101" s="9" t="s">
        <v>105</v>
      </c>
      <c r="BG101" s="9" t="s">
        <v>105</v>
      </c>
      <c r="BH101" s="9" t="s">
        <v>105</v>
      </c>
      <c r="BI101" s="9" t="s">
        <v>105</v>
      </c>
      <c r="BJ101" s="9" t="s">
        <v>106</v>
      </c>
      <c r="BK101" s="9" t="s">
        <v>107</v>
      </c>
      <c r="BL101" s="9" t="s">
        <v>105</v>
      </c>
      <c r="BM101" s="9" t="s">
        <v>99</v>
      </c>
      <c r="BN101" s="9" t="s">
        <v>99</v>
      </c>
      <c r="BO101" s="9" t="s">
        <v>100</v>
      </c>
      <c r="BP101" s="9" t="s">
        <v>110</v>
      </c>
      <c r="BQ101" s="9" t="s">
        <v>110</v>
      </c>
      <c r="BR101" s="9" t="s">
        <v>110</v>
      </c>
      <c r="BS101" s="9"/>
    </row>
    <row r="102" spans="1:71" x14ac:dyDescent="0.25">
      <c r="A102" s="9" t="s">
        <v>1202</v>
      </c>
      <c r="B102" s="9" t="s">
        <v>1203</v>
      </c>
      <c r="C102" s="9" t="s">
        <v>1559</v>
      </c>
      <c r="D102" s="9" t="s">
        <v>1560</v>
      </c>
      <c r="E102" s="9" t="s">
        <v>1561</v>
      </c>
      <c r="F102" s="9" t="s">
        <v>1562</v>
      </c>
      <c r="G102" s="9" t="s">
        <v>1561</v>
      </c>
      <c r="H102" s="9" t="s">
        <v>1565</v>
      </c>
      <c r="I102" s="9" t="s">
        <v>6</v>
      </c>
      <c r="J102" s="9" t="s">
        <v>1209</v>
      </c>
      <c r="K102" s="9" t="s">
        <v>1209</v>
      </c>
      <c r="L102" s="9" t="s">
        <v>1561</v>
      </c>
      <c r="M102" s="9" t="s">
        <v>916</v>
      </c>
      <c r="N102" s="9" t="s">
        <v>1561</v>
      </c>
      <c r="O102" s="9" t="s">
        <v>1565</v>
      </c>
      <c r="P102" s="9" t="s">
        <v>917</v>
      </c>
      <c r="Q102" s="9" t="s">
        <v>1210</v>
      </c>
      <c r="R102" s="9" t="s">
        <v>917</v>
      </c>
      <c r="S102" s="9" t="s">
        <v>82</v>
      </c>
      <c r="T102" s="9" t="s">
        <v>83</v>
      </c>
      <c r="U102" s="9" t="s">
        <v>926</v>
      </c>
      <c r="V102" s="9" t="s">
        <v>85</v>
      </c>
      <c r="W102" s="9" t="s">
        <v>927</v>
      </c>
      <c r="X102" s="9" t="s">
        <v>1209</v>
      </c>
      <c r="Y102" s="9" t="s">
        <v>1564</v>
      </c>
      <c r="Z102" s="9" t="s">
        <v>1212</v>
      </c>
      <c r="AA102" s="9" t="s">
        <v>918</v>
      </c>
      <c r="AB102" s="9" t="s">
        <v>321</v>
      </c>
      <c r="AC102" s="9" t="s">
        <v>88</v>
      </c>
      <c r="AD102" s="9" t="s">
        <v>1213</v>
      </c>
      <c r="AE102" s="9" t="s">
        <v>89</v>
      </c>
      <c r="AF102" s="9" t="s">
        <v>1311</v>
      </c>
      <c r="AG102" s="9" t="s">
        <v>919</v>
      </c>
      <c r="AH102" s="9" t="s">
        <v>920</v>
      </c>
      <c r="AI102" s="9" t="s">
        <v>92</v>
      </c>
      <c r="AJ102" s="9" t="s">
        <v>92</v>
      </c>
      <c r="AK102" s="9" t="s">
        <v>92</v>
      </c>
      <c r="AL102" s="9" t="s">
        <v>92</v>
      </c>
      <c r="AM102" s="9" t="s">
        <v>92</v>
      </c>
      <c r="AN102" s="9" t="s">
        <v>921</v>
      </c>
      <c r="AO102" s="9" t="s">
        <v>922</v>
      </c>
      <c r="AP102" s="9" t="s">
        <v>928</v>
      </c>
      <c r="AQ102" s="9" t="s">
        <v>929</v>
      </c>
      <c r="AR102" s="9" t="s">
        <v>930</v>
      </c>
      <c r="AS102" s="9" t="s">
        <v>99</v>
      </c>
      <c r="AT102" s="9" t="s">
        <v>99</v>
      </c>
      <c r="AU102" s="9" t="s">
        <v>100</v>
      </c>
      <c r="AV102" s="9" t="s">
        <v>923</v>
      </c>
      <c r="AW102" s="9" t="s">
        <v>924</v>
      </c>
      <c r="AX102" s="9" t="s">
        <v>925</v>
      </c>
      <c r="AY102" s="9" t="s">
        <v>104</v>
      </c>
      <c r="AZ102" s="9" t="s">
        <v>104</v>
      </c>
      <c r="BA102" s="9" t="s">
        <v>104</v>
      </c>
      <c r="BB102" s="9" t="s">
        <v>105</v>
      </c>
      <c r="BC102" s="9" t="s">
        <v>105</v>
      </c>
      <c r="BD102" s="9" t="s">
        <v>105</v>
      </c>
      <c r="BE102" s="9" t="s">
        <v>105</v>
      </c>
      <c r="BF102" s="9" t="s">
        <v>105</v>
      </c>
      <c r="BG102" s="9" t="s">
        <v>105</v>
      </c>
      <c r="BH102" s="9" t="s">
        <v>105</v>
      </c>
      <c r="BI102" s="9" t="s">
        <v>105</v>
      </c>
      <c r="BJ102" s="9" t="s">
        <v>106</v>
      </c>
      <c r="BK102" s="9" t="s">
        <v>107</v>
      </c>
      <c r="BL102" s="9" t="s">
        <v>105</v>
      </c>
      <c r="BM102" s="9" t="s">
        <v>99</v>
      </c>
      <c r="BN102" s="9" t="s">
        <v>99</v>
      </c>
      <c r="BO102" s="9" t="s">
        <v>100</v>
      </c>
      <c r="BP102" s="9" t="s">
        <v>928</v>
      </c>
      <c r="BQ102" s="9" t="s">
        <v>929</v>
      </c>
      <c r="BR102" s="9" t="s">
        <v>930</v>
      </c>
      <c r="BS102" s="9"/>
    </row>
    <row r="103" spans="1:71" x14ac:dyDescent="0.25">
      <c r="A103" s="9" t="s">
        <v>1216</v>
      </c>
      <c r="B103" s="9" t="s">
        <v>1217</v>
      </c>
      <c r="C103" s="9" t="s">
        <v>1566</v>
      </c>
      <c r="D103" s="9" t="s">
        <v>1219</v>
      </c>
      <c r="E103" s="9" t="s">
        <v>1567</v>
      </c>
      <c r="F103" s="9" t="s">
        <v>1568</v>
      </c>
      <c r="G103" s="9" t="s">
        <v>1567</v>
      </c>
      <c r="H103" s="9" t="s">
        <v>1569</v>
      </c>
      <c r="I103" s="9" t="s">
        <v>6</v>
      </c>
      <c r="J103" s="9" t="s">
        <v>1209</v>
      </c>
      <c r="K103" s="9" t="s">
        <v>1209</v>
      </c>
      <c r="L103" s="9" t="s">
        <v>1567</v>
      </c>
      <c r="M103" s="9" t="s">
        <v>931</v>
      </c>
      <c r="N103" s="9" t="s">
        <v>1567</v>
      </c>
      <c r="O103" s="9" t="s">
        <v>1569</v>
      </c>
      <c r="P103" s="9" t="s">
        <v>932</v>
      </c>
      <c r="Q103" s="9" t="s">
        <v>1209</v>
      </c>
      <c r="R103" s="9" t="s">
        <v>932</v>
      </c>
      <c r="S103" s="9" t="s">
        <v>82</v>
      </c>
      <c r="T103" s="9" t="s">
        <v>83</v>
      </c>
      <c r="U103" s="9" t="s">
        <v>933</v>
      </c>
      <c r="V103" s="9" t="s">
        <v>85</v>
      </c>
      <c r="W103" s="9" t="s">
        <v>934</v>
      </c>
      <c r="X103" s="9" t="s">
        <v>1209</v>
      </c>
      <c r="Y103" s="9" t="s">
        <v>1570</v>
      </c>
      <c r="Z103" s="9" t="s">
        <v>1298</v>
      </c>
      <c r="AA103" s="9" t="s">
        <v>935</v>
      </c>
      <c r="AB103" s="9" t="s">
        <v>936</v>
      </c>
      <c r="AC103" s="9" t="s">
        <v>88</v>
      </c>
      <c r="AD103" s="9" t="s">
        <v>1213</v>
      </c>
      <c r="AE103" s="9" t="s">
        <v>89</v>
      </c>
      <c r="AF103" s="9" t="s">
        <v>1571</v>
      </c>
      <c r="AG103" s="9" t="s">
        <v>937</v>
      </c>
      <c r="AH103" s="9" t="s">
        <v>938</v>
      </c>
      <c r="AI103" s="9" t="s">
        <v>92</v>
      </c>
      <c r="AJ103" s="9" t="s">
        <v>92</v>
      </c>
      <c r="AK103" s="9" t="s">
        <v>92</v>
      </c>
      <c r="AL103" s="9" t="s">
        <v>92</v>
      </c>
      <c r="AM103" s="9" t="s">
        <v>92</v>
      </c>
      <c r="AN103" s="9" t="s">
        <v>939</v>
      </c>
      <c r="AO103" s="9" t="s">
        <v>940</v>
      </c>
      <c r="AP103" s="9" t="s">
        <v>105</v>
      </c>
      <c r="AQ103" s="9" t="s">
        <v>105</v>
      </c>
      <c r="AR103" s="9" t="s">
        <v>941</v>
      </c>
      <c r="AS103" s="9" t="s">
        <v>122</v>
      </c>
      <c r="AT103" s="9" t="s">
        <v>122</v>
      </c>
      <c r="AU103" s="9" t="s">
        <v>100</v>
      </c>
      <c r="AV103" s="9" t="s">
        <v>942</v>
      </c>
      <c r="AW103" s="9" t="s">
        <v>943</v>
      </c>
      <c r="AX103" s="9" t="s">
        <v>944</v>
      </c>
      <c r="AY103" s="9" t="s">
        <v>126</v>
      </c>
      <c r="AZ103" s="9" t="s">
        <v>126</v>
      </c>
      <c r="BA103" s="9" t="s">
        <v>126</v>
      </c>
      <c r="BB103" s="9" t="s">
        <v>105</v>
      </c>
      <c r="BC103" s="9" t="s">
        <v>105</v>
      </c>
      <c r="BD103" s="9" t="s">
        <v>105</v>
      </c>
      <c r="BE103" s="9" t="s">
        <v>105</v>
      </c>
      <c r="BF103" s="9" t="s">
        <v>105</v>
      </c>
      <c r="BG103" s="9" t="s">
        <v>105</v>
      </c>
      <c r="BH103" s="9" t="s">
        <v>105</v>
      </c>
      <c r="BI103" s="9" t="s">
        <v>105</v>
      </c>
      <c r="BJ103" s="9" t="s">
        <v>945</v>
      </c>
      <c r="BK103" s="9" t="s">
        <v>946</v>
      </c>
      <c r="BL103" s="9" t="s">
        <v>105</v>
      </c>
      <c r="BM103" s="9" t="s">
        <v>122</v>
      </c>
      <c r="BN103" s="9" t="s">
        <v>122</v>
      </c>
      <c r="BO103" s="9" t="s">
        <v>100</v>
      </c>
      <c r="BP103" s="9" t="s">
        <v>105</v>
      </c>
      <c r="BQ103" s="9" t="s">
        <v>105</v>
      </c>
      <c r="BR103" s="9" t="s">
        <v>941</v>
      </c>
      <c r="BS103" s="9"/>
    </row>
    <row r="104" spans="1:71" x14ac:dyDescent="0.25">
      <c r="A104" s="9" t="s">
        <v>1202</v>
      </c>
      <c r="B104" s="9" t="s">
        <v>1203</v>
      </c>
      <c r="C104" s="9" t="s">
        <v>1572</v>
      </c>
      <c r="D104" s="9" t="s">
        <v>1573</v>
      </c>
      <c r="E104" s="9" t="s">
        <v>1574</v>
      </c>
      <c r="F104" s="9" t="s">
        <v>1575</v>
      </c>
      <c r="G104" s="9" t="s">
        <v>1574</v>
      </c>
      <c r="H104" s="9" t="s">
        <v>1576</v>
      </c>
      <c r="I104" s="9" t="s">
        <v>6</v>
      </c>
      <c r="J104" s="9" t="s">
        <v>1209</v>
      </c>
      <c r="K104" s="9" t="s">
        <v>1209</v>
      </c>
      <c r="L104" s="9" t="s">
        <v>1574</v>
      </c>
      <c r="M104" s="9" t="s">
        <v>947</v>
      </c>
      <c r="N104" s="9" t="s">
        <v>1574</v>
      </c>
      <c r="O104" s="9" t="s">
        <v>1576</v>
      </c>
      <c r="P104" s="9" t="s">
        <v>948</v>
      </c>
      <c r="Q104" s="9" t="s">
        <v>1210</v>
      </c>
      <c r="R104" s="9" t="s">
        <v>948</v>
      </c>
      <c r="S104" s="9" t="s">
        <v>82</v>
      </c>
      <c r="T104" s="9" t="s">
        <v>83</v>
      </c>
      <c r="U104" s="9" t="s">
        <v>949</v>
      </c>
      <c r="V104" s="9" t="s">
        <v>85</v>
      </c>
      <c r="W104" s="9" t="s">
        <v>950</v>
      </c>
      <c r="X104" s="9" t="s">
        <v>1209</v>
      </c>
      <c r="Y104" s="9" t="s">
        <v>1577</v>
      </c>
      <c r="Z104" s="9" t="s">
        <v>1212</v>
      </c>
      <c r="AA104" s="9"/>
      <c r="AB104" s="9" t="s">
        <v>321</v>
      </c>
      <c r="AC104" s="9" t="s">
        <v>88</v>
      </c>
      <c r="AD104" s="9" t="s">
        <v>1213</v>
      </c>
      <c r="AE104" s="9" t="s">
        <v>89</v>
      </c>
      <c r="AF104" s="9" t="s">
        <v>1311</v>
      </c>
      <c r="AG104" s="9" t="s">
        <v>951</v>
      </c>
      <c r="AH104" s="9" t="s">
        <v>952</v>
      </c>
      <c r="AI104" s="9" t="s">
        <v>92</v>
      </c>
      <c r="AJ104" s="9" t="s">
        <v>92</v>
      </c>
      <c r="AK104" s="9" t="s">
        <v>953</v>
      </c>
      <c r="AL104" s="9" t="s">
        <v>92</v>
      </c>
      <c r="AM104" s="9" t="s">
        <v>92</v>
      </c>
      <c r="AN104" s="9" t="s">
        <v>954</v>
      </c>
      <c r="AO104" s="9" t="s">
        <v>955</v>
      </c>
      <c r="AP104" s="9" t="s">
        <v>956</v>
      </c>
      <c r="AQ104" s="9" t="s">
        <v>957</v>
      </c>
      <c r="AR104" s="9" t="s">
        <v>958</v>
      </c>
      <c r="AS104" s="9" t="s">
        <v>99</v>
      </c>
      <c r="AT104" s="9" t="s">
        <v>99</v>
      </c>
      <c r="AU104" s="9" t="s">
        <v>100</v>
      </c>
      <c r="AV104" s="9" t="s">
        <v>959</v>
      </c>
      <c r="AW104" s="9" t="s">
        <v>960</v>
      </c>
      <c r="AX104" s="9" t="s">
        <v>961</v>
      </c>
      <c r="AY104" s="9" t="s">
        <v>104</v>
      </c>
      <c r="AZ104" s="9" t="s">
        <v>104</v>
      </c>
      <c r="BA104" s="9" t="s">
        <v>104</v>
      </c>
      <c r="BB104" s="9" t="s">
        <v>105</v>
      </c>
      <c r="BC104" s="9" t="s">
        <v>105</v>
      </c>
      <c r="BD104" s="9" t="s">
        <v>105</v>
      </c>
      <c r="BE104" s="9" t="s">
        <v>105</v>
      </c>
      <c r="BF104" s="9" t="s">
        <v>105</v>
      </c>
      <c r="BG104" s="9" t="s">
        <v>105</v>
      </c>
      <c r="BH104" s="9" t="s">
        <v>105</v>
      </c>
      <c r="BI104" s="9" t="s">
        <v>105</v>
      </c>
      <c r="BJ104" s="9" t="s">
        <v>106</v>
      </c>
      <c r="BK104" s="9" t="s">
        <v>107</v>
      </c>
      <c r="BL104" s="9" t="s">
        <v>105</v>
      </c>
      <c r="BM104" s="9" t="s">
        <v>99</v>
      </c>
      <c r="BN104" s="9" t="s">
        <v>99</v>
      </c>
      <c r="BO104" s="9" t="s">
        <v>100</v>
      </c>
      <c r="BP104" s="9" t="s">
        <v>956</v>
      </c>
      <c r="BQ104" s="9" t="s">
        <v>957</v>
      </c>
      <c r="BR104" s="9" t="s">
        <v>958</v>
      </c>
      <c r="BS104" s="9"/>
    </row>
    <row r="105" spans="1:71" x14ac:dyDescent="0.25">
      <c r="A105" s="9" t="s">
        <v>1202</v>
      </c>
      <c r="B105" s="9" t="s">
        <v>1203</v>
      </c>
      <c r="C105" s="9" t="s">
        <v>1572</v>
      </c>
      <c r="D105" s="9" t="s">
        <v>1573</v>
      </c>
      <c r="E105" s="9" t="s">
        <v>1574</v>
      </c>
      <c r="F105" s="9" t="s">
        <v>1575</v>
      </c>
      <c r="G105" s="9" t="s">
        <v>1574</v>
      </c>
      <c r="H105" s="9" t="s">
        <v>1578</v>
      </c>
      <c r="I105" s="9" t="s">
        <v>6</v>
      </c>
      <c r="J105" s="9" t="s">
        <v>1209</v>
      </c>
      <c r="K105" s="9" t="s">
        <v>1209</v>
      </c>
      <c r="L105" s="9" t="s">
        <v>1574</v>
      </c>
      <c r="M105" s="9" t="s">
        <v>947</v>
      </c>
      <c r="N105" s="9" t="s">
        <v>1574</v>
      </c>
      <c r="O105" s="9" t="s">
        <v>1578</v>
      </c>
      <c r="P105" s="9" t="s">
        <v>92</v>
      </c>
      <c r="Q105" s="9" t="s">
        <v>1210</v>
      </c>
      <c r="R105" s="9" t="s">
        <v>948</v>
      </c>
      <c r="S105" s="9" t="s">
        <v>82</v>
      </c>
      <c r="T105" s="9" t="s">
        <v>108</v>
      </c>
      <c r="U105" s="9" t="s">
        <v>108</v>
      </c>
      <c r="V105" s="9" t="s">
        <v>85</v>
      </c>
      <c r="W105" s="9" t="s">
        <v>109</v>
      </c>
      <c r="X105" s="9" t="s">
        <v>1209</v>
      </c>
      <c r="Y105" s="9" t="s">
        <v>1577</v>
      </c>
      <c r="Z105" s="9" t="s">
        <v>1212</v>
      </c>
      <c r="AA105" s="9"/>
      <c r="AB105" s="9" t="s">
        <v>321</v>
      </c>
      <c r="AC105" s="9" t="s">
        <v>88</v>
      </c>
      <c r="AD105" s="9" t="s">
        <v>1213</v>
      </c>
      <c r="AE105" s="9" t="s">
        <v>89</v>
      </c>
      <c r="AF105" s="9" t="s">
        <v>1311</v>
      </c>
      <c r="AG105" s="9" t="s">
        <v>951</v>
      </c>
      <c r="AH105" s="9" t="s">
        <v>952</v>
      </c>
      <c r="AI105" s="9" t="s">
        <v>92</v>
      </c>
      <c r="AJ105" s="9" t="s">
        <v>92</v>
      </c>
      <c r="AK105" s="9" t="s">
        <v>953</v>
      </c>
      <c r="AL105" s="9" t="s">
        <v>92</v>
      </c>
      <c r="AM105" s="9" t="s">
        <v>92</v>
      </c>
      <c r="AN105" s="9" t="s">
        <v>954</v>
      </c>
      <c r="AO105" s="9" t="s">
        <v>955</v>
      </c>
      <c r="AP105" s="9" t="s">
        <v>110</v>
      </c>
      <c r="AQ105" s="9" t="s">
        <v>110</v>
      </c>
      <c r="AR105" s="9" t="s">
        <v>110</v>
      </c>
      <c r="AS105" s="9" t="s">
        <v>99</v>
      </c>
      <c r="AT105" s="9" t="s">
        <v>99</v>
      </c>
      <c r="AU105" s="9" t="s">
        <v>100</v>
      </c>
      <c r="AV105" s="9" t="s">
        <v>959</v>
      </c>
      <c r="AW105" s="9" t="s">
        <v>960</v>
      </c>
      <c r="AX105" s="9" t="s">
        <v>961</v>
      </c>
      <c r="AY105" s="9" t="s">
        <v>104</v>
      </c>
      <c r="AZ105" s="9" t="s">
        <v>104</v>
      </c>
      <c r="BA105" s="9" t="s">
        <v>104</v>
      </c>
      <c r="BB105" s="9" t="s">
        <v>105</v>
      </c>
      <c r="BC105" s="9" t="s">
        <v>105</v>
      </c>
      <c r="BD105" s="9" t="s">
        <v>105</v>
      </c>
      <c r="BE105" s="9" t="s">
        <v>105</v>
      </c>
      <c r="BF105" s="9" t="s">
        <v>105</v>
      </c>
      <c r="BG105" s="9" t="s">
        <v>105</v>
      </c>
      <c r="BH105" s="9" t="s">
        <v>105</v>
      </c>
      <c r="BI105" s="9" t="s">
        <v>105</v>
      </c>
      <c r="BJ105" s="9" t="s">
        <v>106</v>
      </c>
      <c r="BK105" s="9" t="s">
        <v>107</v>
      </c>
      <c r="BL105" s="9" t="s">
        <v>105</v>
      </c>
      <c r="BM105" s="9" t="s">
        <v>99</v>
      </c>
      <c r="BN105" s="9" t="s">
        <v>99</v>
      </c>
      <c r="BO105" s="9" t="s">
        <v>100</v>
      </c>
      <c r="BP105" s="9" t="s">
        <v>110</v>
      </c>
      <c r="BQ105" s="9" t="s">
        <v>110</v>
      </c>
      <c r="BR105" s="9" t="s">
        <v>110</v>
      </c>
      <c r="BS105" s="9"/>
    </row>
    <row r="106" spans="1:71" x14ac:dyDescent="0.25">
      <c r="A106" s="9" t="s">
        <v>1202</v>
      </c>
      <c r="B106" s="9" t="s">
        <v>1203</v>
      </c>
      <c r="C106" s="9" t="s">
        <v>1579</v>
      </c>
      <c r="D106" s="9" t="s">
        <v>1580</v>
      </c>
      <c r="E106" s="9" t="s">
        <v>1581</v>
      </c>
      <c r="F106" s="9" t="s">
        <v>1582</v>
      </c>
      <c r="G106" s="9" t="s">
        <v>1581</v>
      </c>
      <c r="H106" s="9" t="s">
        <v>1583</v>
      </c>
      <c r="I106" s="9" t="s">
        <v>6</v>
      </c>
      <c r="J106" s="9" t="s">
        <v>1209</v>
      </c>
      <c r="K106" s="9" t="s">
        <v>1209</v>
      </c>
      <c r="L106" s="9" t="s">
        <v>1581</v>
      </c>
      <c r="M106" s="9" t="s">
        <v>962</v>
      </c>
      <c r="N106" s="9" t="s">
        <v>1581</v>
      </c>
      <c r="O106" s="9" t="s">
        <v>1583</v>
      </c>
      <c r="P106" s="9" t="s">
        <v>92</v>
      </c>
      <c r="Q106" s="9" t="s">
        <v>1245</v>
      </c>
      <c r="R106" s="9" t="s">
        <v>963</v>
      </c>
      <c r="S106" s="9" t="s">
        <v>82</v>
      </c>
      <c r="T106" s="9" t="s">
        <v>108</v>
      </c>
      <c r="U106" s="9" t="s">
        <v>108</v>
      </c>
      <c r="V106" s="9" t="s">
        <v>85</v>
      </c>
      <c r="W106" s="9" t="s">
        <v>109</v>
      </c>
      <c r="X106" s="9" t="s">
        <v>1209</v>
      </c>
      <c r="Y106" s="9" t="s">
        <v>1584</v>
      </c>
      <c r="Z106" s="9" t="s">
        <v>1212</v>
      </c>
      <c r="AA106" s="9" t="s">
        <v>964</v>
      </c>
      <c r="AB106" s="9" t="s">
        <v>965</v>
      </c>
      <c r="AC106" s="9" t="s">
        <v>88</v>
      </c>
      <c r="AD106" s="9" t="s">
        <v>1213</v>
      </c>
      <c r="AE106" s="9" t="s">
        <v>89</v>
      </c>
      <c r="AF106" s="9" t="s">
        <v>1585</v>
      </c>
      <c r="AG106" s="9" t="s">
        <v>966</v>
      </c>
      <c r="AH106" s="9" t="s">
        <v>967</v>
      </c>
      <c r="AI106" s="9" t="s">
        <v>92</v>
      </c>
      <c r="AJ106" s="9" t="s">
        <v>92</v>
      </c>
      <c r="AK106" s="9" t="s">
        <v>968</v>
      </c>
      <c r="AL106" s="9" t="s">
        <v>92</v>
      </c>
      <c r="AM106" s="9" t="s">
        <v>92</v>
      </c>
      <c r="AN106" s="9" t="s">
        <v>969</v>
      </c>
      <c r="AO106" s="9" t="s">
        <v>970</v>
      </c>
      <c r="AP106" s="9" t="s">
        <v>110</v>
      </c>
      <c r="AQ106" s="9" t="s">
        <v>110</v>
      </c>
      <c r="AR106" s="9" t="s">
        <v>110</v>
      </c>
      <c r="AS106" s="9" t="s">
        <v>99</v>
      </c>
      <c r="AT106" s="9" t="s">
        <v>99</v>
      </c>
      <c r="AU106" s="9" t="s">
        <v>100</v>
      </c>
      <c r="AV106" s="9" t="s">
        <v>971</v>
      </c>
      <c r="AW106" s="9" t="s">
        <v>972</v>
      </c>
      <c r="AX106" s="9" t="s">
        <v>973</v>
      </c>
      <c r="AY106" s="9" t="s">
        <v>104</v>
      </c>
      <c r="AZ106" s="9" t="s">
        <v>104</v>
      </c>
      <c r="BA106" s="9" t="s">
        <v>104</v>
      </c>
      <c r="BB106" s="9" t="s">
        <v>105</v>
      </c>
      <c r="BC106" s="9" t="s">
        <v>105</v>
      </c>
      <c r="BD106" s="9" t="s">
        <v>105</v>
      </c>
      <c r="BE106" s="9" t="s">
        <v>105</v>
      </c>
      <c r="BF106" s="9" t="s">
        <v>105</v>
      </c>
      <c r="BG106" s="9" t="s">
        <v>105</v>
      </c>
      <c r="BH106" s="9" t="s">
        <v>105</v>
      </c>
      <c r="BI106" s="9" t="s">
        <v>105</v>
      </c>
      <c r="BJ106" s="9" t="s">
        <v>178</v>
      </c>
      <c r="BK106" s="9" t="s">
        <v>179</v>
      </c>
      <c r="BL106" s="9" t="s">
        <v>105</v>
      </c>
      <c r="BM106" s="9" t="s">
        <v>99</v>
      </c>
      <c r="BN106" s="9" t="s">
        <v>99</v>
      </c>
      <c r="BO106" s="9" t="s">
        <v>100</v>
      </c>
      <c r="BP106" s="9" t="s">
        <v>110</v>
      </c>
      <c r="BQ106" s="9" t="s">
        <v>110</v>
      </c>
      <c r="BR106" s="9" t="s">
        <v>110</v>
      </c>
      <c r="BS106" s="9"/>
    </row>
    <row r="107" spans="1:71" x14ac:dyDescent="0.25">
      <c r="A107" s="9" t="s">
        <v>1202</v>
      </c>
      <c r="B107" s="9" t="s">
        <v>1203</v>
      </c>
      <c r="C107" s="9" t="s">
        <v>1579</v>
      </c>
      <c r="D107" s="9" t="s">
        <v>1580</v>
      </c>
      <c r="E107" s="9" t="s">
        <v>1581</v>
      </c>
      <c r="F107" s="9" t="s">
        <v>1582</v>
      </c>
      <c r="G107" s="9" t="s">
        <v>1581</v>
      </c>
      <c r="H107" s="9" t="s">
        <v>1586</v>
      </c>
      <c r="I107" s="9" t="s">
        <v>6</v>
      </c>
      <c r="J107" s="9" t="s">
        <v>1209</v>
      </c>
      <c r="K107" s="9" t="s">
        <v>1209</v>
      </c>
      <c r="L107" s="9" t="s">
        <v>1581</v>
      </c>
      <c r="M107" s="9" t="s">
        <v>962</v>
      </c>
      <c r="N107" s="9" t="s">
        <v>1581</v>
      </c>
      <c r="O107" s="9" t="s">
        <v>1586</v>
      </c>
      <c r="P107" s="9" t="s">
        <v>92</v>
      </c>
      <c r="Q107" s="9" t="s">
        <v>1245</v>
      </c>
      <c r="R107" s="9" t="s">
        <v>963</v>
      </c>
      <c r="S107" s="9" t="s">
        <v>82</v>
      </c>
      <c r="T107" s="9" t="s">
        <v>108</v>
      </c>
      <c r="U107" s="9" t="s">
        <v>108</v>
      </c>
      <c r="V107" s="9" t="s">
        <v>85</v>
      </c>
      <c r="W107" s="9" t="s">
        <v>109</v>
      </c>
      <c r="X107" s="9" t="s">
        <v>1209</v>
      </c>
      <c r="Y107" s="9" t="s">
        <v>1584</v>
      </c>
      <c r="Z107" s="9" t="s">
        <v>1212</v>
      </c>
      <c r="AA107" s="9" t="s">
        <v>964</v>
      </c>
      <c r="AB107" s="9" t="s">
        <v>965</v>
      </c>
      <c r="AC107" s="9" t="s">
        <v>88</v>
      </c>
      <c r="AD107" s="9" t="s">
        <v>1213</v>
      </c>
      <c r="AE107" s="9" t="s">
        <v>89</v>
      </c>
      <c r="AF107" s="9" t="s">
        <v>1585</v>
      </c>
      <c r="AG107" s="9" t="s">
        <v>966</v>
      </c>
      <c r="AH107" s="9" t="s">
        <v>967</v>
      </c>
      <c r="AI107" s="9" t="s">
        <v>92</v>
      </c>
      <c r="AJ107" s="9" t="s">
        <v>92</v>
      </c>
      <c r="AK107" s="9" t="s">
        <v>968</v>
      </c>
      <c r="AL107" s="9" t="s">
        <v>92</v>
      </c>
      <c r="AM107" s="9" t="s">
        <v>92</v>
      </c>
      <c r="AN107" s="9" t="s">
        <v>969</v>
      </c>
      <c r="AO107" s="9" t="s">
        <v>970</v>
      </c>
      <c r="AP107" s="9" t="s">
        <v>110</v>
      </c>
      <c r="AQ107" s="9" t="s">
        <v>110</v>
      </c>
      <c r="AR107" s="9" t="s">
        <v>110</v>
      </c>
      <c r="AS107" s="9" t="s">
        <v>99</v>
      </c>
      <c r="AT107" s="9" t="s">
        <v>99</v>
      </c>
      <c r="AU107" s="9" t="s">
        <v>100</v>
      </c>
      <c r="AV107" s="9" t="s">
        <v>971</v>
      </c>
      <c r="AW107" s="9" t="s">
        <v>972</v>
      </c>
      <c r="AX107" s="9" t="s">
        <v>973</v>
      </c>
      <c r="AY107" s="9" t="s">
        <v>104</v>
      </c>
      <c r="AZ107" s="9" t="s">
        <v>104</v>
      </c>
      <c r="BA107" s="9" t="s">
        <v>104</v>
      </c>
      <c r="BB107" s="9" t="s">
        <v>105</v>
      </c>
      <c r="BC107" s="9" t="s">
        <v>105</v>
      </c>
      <c r="BD107" s="9" t="s">
        <v>105</v>
      </c>
      <c r="BE107" s="9" t="s">
        <v>105</v>
      </c>
      <c r="BF107" s="9" t="s">
        <v>105</v>
      </c>
      <c r="BG107" s="9" t="s">
        <v>105</v>
      </c>
      <c r="BH107" s="9" t="s">
        <v>105</v>
      </c>
      <c r="BI107" s="9" t="s">
        <v>105</v>
      </c>
      <c r="BJ107" s="9" t="s">
        <v>178</v>
      </c>
      <c r="BK107" s="9" t="s">
        <v>179</v>
      </c>
      <c r="BL107" s="9" t="s">
        <v>105</v>
      </c>
      <c r="BM107" s="9" t="s">
        <v>99</v>
      </c>
      <c r="BN107" s="9" t="s">
        <v>99</v>
      </c>
      <c r="BO107" s="9" t="s">
        <v>100</v>
      </c>
      <c r="BP107" s="9" t="s">
        <v>110</v>
      </c>
      <c r="BQ107" s="9" t="s">
        <v>110</v>
      </c>
      <c r="BR107" s="9" t="s">
        <v>110</v>
      </c>
      <c r="BS107" s="9"/>
    </row>
    <row r="108" spans="1:71" x14ac:dyDescent="0.25">
      <c r="A108" s="9" t="s">
        <v>1202</v>
      </c>
      <c r="B108" s="9" t="s">
        <v>1203</v>
      </c>
      <c r="C108" s="9" t="s">
        <v>1579</v>
      </c>
      <c r="D108" s="9" t="s">
        <v>1580</v>
      </c>
      <c r="E108" s="9" t="s">
        <v>1581</v>
      </c>
      <c r="F108" s="9" t="s">
        <v>1582</v>
      </c>
      <c r="G108" s="9" t="s">
        <v>1581</v>
      </c>
      <c r="H108" s="9" t="s">
        <v>1587</v>
      </c>
      <c r="I108" s="9" t="s">
        <v>6</v>
      </c>
      <c r="J108" s="9" t="s">
        <v>1209</v>
      </c>
      <c r="K108" s="9" t="s">
        <v>1209</v>
      </c>
      <c r="L108" s="9" t="s">
        <v>1581</v>
      </c>
      <c r="M108" s="9" t="s">
        <v>962</v>
      </c>
      <c r="N108" s="9" t="s">
        <v>1581</v>
      </c>
      <c r="O108" s="9" t="s">
        <v>1587</v>
      </c>
      <c r="P108" s="9" t="s">
        <v>963</v>
      </c>
      <c r="Q108" s="9" t="s">
        <v>1245</v>
      </c>
      <c r="R108" s="9" t="s">
        <v>963</v>
      </c>
      <c r="S108" s="9" t="s">
        <v>82</v>
      </c>
      <c r="T108" s="9" t="s">
        <v>83</v>
      </c>
      <c r="U108" s="9" t="s">
        <v>974</v>
      </c>
      <c r="V108" s="9" t="s">
        <v>85</v>
      </c>
      <c r="W108" s="9" t="s">
        <v>975</v>
      </c>
      <c r="X108" s="9" t="s">
        <v>1209</v>
      </c>
      <c r="Y108" s="9" t="s">
        <v>1584</v>
      </c>
      <c r="Z108" s="9" t="s">
        <v>1212</v>
      </c>
      <c r="AA108" s="9" t="s">
        <v>964</v>
      </c>
      <c r="AB108" s="9" t="s">
        <v>965</v>
      </c>
      <c r="AC108" s="9" t="s">
        <v>88</v>
      </c>
      <c r="AD108" s="9" t="s">
        <v>1213</v>
      </c>
      <c r="AE108" s="9" t="s">
        <v>89</v>
      </c>
      <c r="AF108" s="9" t="s">
        <v>1585</v>
      </c>
      <c r="AG108" s="9" t="s">
        <v>966</v>
      </c>
      <c r="AH108" s="9" t="s">
        <v>967</v>
      </c>
      <c r="AI108" s="9" t="s">
        <v>92</v>
      </c>
      <c r="AJ108" s="9" t="s">
        <v>92</v>
      </c>
      <c r="AK108" s="9" t="s">
        <v>968</v>
      </c>
      <c r="AL108" s="9" t="s">
        <v>92</v>
      </c>
      <c r="AM108" s="9" t="s">
        <v>92</v>
      </c>
      <c r="AN108" s="9" t="s">
        <v>969</v>
      </c>
      <c r="AO108" s="9" t="s">
        <v>970</v>
      </c>
      <c r="AP108" s="9" t="s">
        <v>976</v>
      </c>
      <c r="AQ108" s="9" t="s">
        <v>977</v>
      </c>
      <c r="AR108" s="9" t="s">
        <v>978</v>
      </c>
      <c r="AS108" s="9" t="s">
        <v>99</v>
      </c>
      <c r="AT108" s="9" t="s">
        <v>99</v>
      </c>
      <c r="AU108" s="9" t="s">
        <v>100</v>
      </c>
      <c r="AV108" s="9" t="s">
        <v>971</v>
      </c>
      <c r="AW108" s="9" t="s">
        <v>972</v>
      </c>
      <c r="AX108" s="9" t="s">
        <v>973</v>
      </c>
      <c r="AY108" s="9" t="s">
        <v>104</v>
      </c>
      <c r="AZ108" s="9" t="s">
        <v>104</v>
      </c>
      <c r="BA108" s="9" t="s">
        <v>104</v>
      </c>
      <c r="BB108" s="9" t="s">
        <v>105</v>
      </c>
      <c r="BC108" s="9" t="s">
        <v>105</v>
      </c>
      <c r="BD108" s="9" t="s">
        <v>105</v>
      </c>
      <c r="BE108" s="9" t="s">
        <v>105</v>
      </c>
      <c r="BF108" s="9" t="s">
        <v>105</v>
      </c>
      <c r="BG108" s="9" t="s">
        <v>105</v>
      </c>
      <c r="BH108" s="9" t="s">
        <v>105</v>
      </c>
      <c r="BI108" s="9" t="s">
        <v>105</v>
      </c>
      <c r="BJ108" s="9" t="s">
        <v>178</v>
      </c>
      <c r="BK108" s="9" t="s">
        <v>179</v>
      </c>
      <c r="BL108" s="9" t="s">
        <v>105</v>
      </c>
      <c r="BM108" s="9" t="s">
        <v>99</v>
      </c>
      <c r="BN108" s="9" t="s">
        <v>99</v>
      </c>
      <c r="BO108" s="9" t="s">
        <v>100</v>
      </c>
      <c r="BP108" s="9" t="s">
        <v>976</v>
      </c>
      <c r="BQ108" s="9" t="s">
        <v>977</v>
      </c>
      <c r="BR108" s="9" t="s">
        <v>978</v>
      </c>
      <c r="BS108" s="9"/>
    </row>
    <row r="109" spans="1:71" x14ac:dyDescent="0.25">
      <c r="A109" s="9" t="s">
        <v>1202</v>
      </c>
      <c r="B109" s="9" t="s">
        <v>1203</v>
      </c>
      <c r="C109" s="9" t="s">
        <v>1579</v>
      </c>
      <c r="D109" s="9" t="s">
        <v>1580</v>
      </c>
      <c r="E109" s="9" t="s">
        <v>1581</v>
      </c>
      <c r="F109" s="9" t="s">
        <v>1582</v>
      </c>
      <c r="G109" s="9" t="s">
        <v>1581</v>
      </c>
      <c r="H109" s="9" t="s">
        <v>1588</v>
      </c>
      <c r="I109" s="9" t="s">
        <v>6</v>
      </c>
      <c r="J109" s="9" t="s">
        <v>1209</v>
      </c>
      <c r="K109" s="9" t="s">
        <v>1209</v>
      </c>
      <c r="L109" s="9" t="s">
        <v>1581</v>
      </c>
      <c r="M109" s="9" t="s">
        <v>962</v>
      </c>
      <c r="N109" s="9" t="s">
        <v>1581</v>
      </c>
      <c r="O109" s="9" t="s">
        <v>1588</v>
      </c>
      <c r="P109" s="9" t="s">
        <v>92</v>
      </c>
      <c r="Q109" s="9" t="s">
        <v>1245</v>
      </c>
      <c r="R109" s="9" t="s">
        <v>963</v>
      </c>
      <c r="S109" s="9" t="s">
        <v>82</v>
      </c>
      <c r="T109" s="9" t="s">
        <v>108</v>
      </c>
      <c r="U109" s="9" t="s">
        <v>108</v>
      </c>
      <c r="V109" s="9" t="s">
        <v>85</v>
      </c>
      <c r="W109" s="9" t="s">
        <v>109</v>
      </c>
      <c r="X109" s="9" t="s">
        <v>1209</v>
      </c>
      <c r="Y109" s="9" t="s">
        <v>1584</v>
      </c>
      <c r="Z109" s="9" t="s">
        <v>1212</v>
      </c>
      <c r="AA109" s="9" t="s">
        <v>964</v>
      </c>
      <c r="AB109" s="9" t="s">
        <v>965</v>
      </c>
      <c r="AC109" s="9" t="s">
        <v>88</v>
      </c>
      <c r="AD109" s="9" t="s">
        <v>1213</v>
      </c>
      <c r="AE109" s="9" t="s">
        <v>89</v>
      </c>
      <c r="AF109" s="9" t="s">
        <v>1585</v>
      </c>
      <c r="AG109" s="9" t="s">
        <v>966</v>
      </c>
      <c r="AH109" s="9" t="s">
        <v>967</v>
      </c>
      <c r="AI109" s="9" t="s">
        <v>92</v>
      </c>
      <c r="AJ109" s="9" t="s">
        <v>92</v>
      </c>
      <c r="AK109" s="9" t="s">
        <v>968</v>
      </c>
      <c r="AL109" s="9" t="s">
        <v>92</v>
      </c>
      <c r="AM109" s="9" t="s">
        <v>92</v>
      </c>
      <c r="AN109" s="9" t="s">
        <v>969</v>
      </c>
      <c r="AO109" s="9" t="s">
        <v>970</v>
      </c>
      <c r="AP109" s="9" t="s">
        <v>110</v>
      </c>
      <c r="AQ109" s="9" t="s">
        <v>110</v>
      </c>
      <c r="AR109" s="9" t="s">
        <v>110</v>
      </c>
      <c r="AS109" s="9" t="s">
        <v>99</v>
      </c>
      <c r="AT109" s="9" t="s">
        <v>99</v>
      </c>
      <c r="AU109" s="9" t="s">
        <v>100</v>
      </c>
      <c r="AV109" s="9" t="s">
        <v>971</v>
      </c>
      <c r="AW109" s="9" t="s">
        <v>972</v>
      </c>
      <c r="AX109" s="9" t="s">
        <v>973</v>
      </c>
      <c r="AY109" s="9" t="s">
        <v>104</v>
      </c>
      <c r="AZ109" s="9" t="s">
        <v>104</v>
      </c>
      <c r="BA109" s="9" t="s">
        <v>104</v>
      </c>
      <c r="BB109" s="9" t="s">
        <v>105</v>
      </c>
      <c r="BC109" s="9" t="s">
        <v>105</v>
      </c>
      <c r="BD109" s="9" t="s">
        <v>105</v>
      </c>
      <c r="BE109" s="9" t="s">
        <v>105</v>
      </c>
      <c r="BF109" s="9" t="s">
        <v>105</v>
      </c>
      <c r="BG109" s="9" t="s">
        <v>105</v>
      </c>
      <c r="BH109" s="9" t="s">
        <v>105</v>
      </c>
      <c r="BI109" s="9" t="s">
        <v>105</v>
      </c>
      <c r="BJ109" s="9" t="s">
        <v>178</v>
      </c>
      <c r="BK109" s="9" t="s">
        <v>179</v>
      </c>
      <c r="BL109" s="9" t="s">
        <v>105</v>
      </c>
      <c r="BM109" s="9" t="s">
        <v>99</v>
      </c>
      <c r="BN109" s="9" t="s">
        <v>99</v>
      </c>
      <c r="BO109" s="9" t="s">
        <v>100</v>
      </c>
      <c r="BP109" s="9" t="s">
        <v>110</v>
      </c>
      <c r="BQ109" s="9" t="s">
        <v>110</v>
      </c>
      <c r="BR109" s="9" t="s">
        <v>110</v>
      </c>
      <c r="BS109" s="9"/>
    </row>
    <row r="110" spans="1:71" x14ac:dyDescent="0.25">
      <c r="A110" s="9" t="s">
        <v>1216</v>
      </c>
      <c r="B110" s="9" t="s">
        <v>1217</v>
      </c>
      <c r="C110" s="9" t="s">
        <v>1589</v>
      </c>
      <c r="D110" s="9" t="s">
        <v>1219</v>
      </c>
      <c r="E110" s="9" t="s">
        <v>1590</v>
      </c>
      <c r="F110" s="9" t="s">
        <v>1591</v>
      </c>
      <c r="G110" s="9" t="s">
        <v>1590</v>
      </c>
      <c r="H110" s="9" t="s">
        <v>1592</v>
      </c>
      <c r="I110" s="9" t="s">
        <v>6</v>
      </c>
      <c r="J110" s="9" t="s">
        <v>1209</v>
      </c>
      <c r="K110" s="9" t="s">
        <v>1209</v>
      </c>
      <c r="L110" s="9" t="s">
        <v>1590</v>
      </c>
      <c r="M110" s="9" t="s">
        <v>979</v>
      </c>
      <c r="N110" s="9" t="s">
        <v>1590</v>
      </c>
      <c r="O110" s="9" t="s">
        <v>1592</v>
      </c>
      <c r="P110" s="9" t="s">
        <v>980</v>
      </c>
      <c r="Q110" s="9" t="s">
        <v>1209</v>
      </c>
      <c r="R110" s="9" t="s">
        <v>980</v>
      </c>
      <c r="S110" s="9" t="s">
        <v>82</v>
      </c>
      <c r="T110" s="9" t="s">
        <v>83</v>
      </c>
      <c r="U110" s="9" t="s">
        <v>981</v>
      </c>
      <c r="V110" s="9" t="s">
        <v>85</v>
      </c>
      <c r="W110" s="9" t="s">
        <v>982</v>
      </c>
      <c r="X110" s="9" t="s">
        <v>1209</v>
      </c>
      <c r="Y110" s="9" t="s">
        <v>1593</v>
      </c>
      <c r="Z110" s="9" t="s">
        <v>1212</v>
      </c>
      <c r="AA110" s="9" t="s">
        <v>935</v>
      </c>
      <c r="AB110" s="9" t="s">
        <v>202</v>
      </c>
      <c r="AC110" s="9" t="s">
        <v>88</v>
      </c>
      <c r="AD110" s="9" t="s">
        <v>1213</v>
      </c>
      <c r="AE110" s="9" t="s">
        <v>89</v>
      </c>
      <c r="AF110" s="9" t="s">
        <v>1262</v>
      </c>
      <c r="AG110" s="9" t="s">
        <v>983</v>
      </c>
      <c r="AH110" s="9" t="s">
        <v>92</v>
      </c>
      <c r="AI110" s="9" t="s">
        <v>92</v>
      </c>
      <c r="AJ110" s="9" t="s">
        <v>92</v>
      </c>
      <c r="AK110" s="9" t="s">
        <v>92</v>
      </c>
      <c r="AL110" s="9" t="s">
        <v>92</v>
      </c>
      <c r="AM110" s="9" t="s">
        <v>92</v>
      </c>
      <c r="AN110" s="9" t="s">
        <v>984</v>
      </c>
      <c r="AO110" s="9" t="s">
        <v>108</v>
      </c>
      <c r="AP110" s="9" t="s">
        <v>105</v>
      </c>
      <c r="AQ110" s="9" t="s">
        <v>105</v>
      </c>
      <c r="AR110" s="9" t="s">
        <v>985</v>
      </c>
      <c r="AS110" s="9" t="s">
        <v>122</v>
      </c>
      <c r="AT110" s="9" t="s">
        <v>122</v>
      </c>
      <c r="AU110" s="9" t="s">
        <v>100</v>
      </c>
      <c r="AV110" s="9" t="s">
        <v>986</v>
      </c>
      <c r="AW110" s="9" t="s">
        <v>987</v>
      </c>
      <c r="AX110" s="9" t="s">
        <v>988</v>
      </c>
      <c r="AY110" s="9" t="s">
        <v>126</v>
      </c>
      <c r="AZ110" s="9" t="s">
        <v>126</v>
      </c>
      <c r="BA110" s="9" t="s">
        <v>126</v>
      </c>
      <c r="BB110" s="9" t="s">
        <v>105</v>
      </c>
      <c r="BC110" s="9" t="s">
        <v>105</v>
      </c>
      <c r="BD110" s="9" t="s">
        <v>105</v>
      </c>
      <c r="BE110" s="9" t="s">
        <v>105</v>
      </c>
      <c r="BF110" s="9" t="s">
        <v>105</v>
      </c>
      <c r="BG110" s="9" t="s">
        <v>105</v>
      </c>
      <c r="BH110" s="9" t="s">
        <v>105</v>
      </c>
      <c r="BI110" s="9" t="s">
        <v>105</v>
      </c>
      <c r="BJ110" s="9" t="s">
        <v>989</v>
      </c>
      <c r="BK110" s="9" t="s">
        <v>990</v>
      </c>
      <c r="BL110" s="9" t="s">
        <v>105</v>
      </c>
      <c r="BM110" s="9" t="s">
        <v>122</v>
      </c>
      <c r="BN110" s="9" t="s">
        <v>122</v>
      </c>
      <c r="BO110" s="9" t="s">
        <v>100</v>
      </c>
      <c r="BP110" s="9" t="s">
        <v>105</v>
      </c>
      <c r="BQ110" s="9" t="s">
        <v>105</v>
      </c>
      <c r="BR110" s="9" t="s">
        <v>985</v>
      </c>
      <c r="BS110" s="9"/>
    </row>
    <row r="111" spans="1:71" x14ac:dyDescent="0.25">
      <c r="A111" s="9" t="s">
        <v>1216</v>
      </c>
      <c r="B111" s="9" t="s">
        <v>1217</v>
      </c>
      <c r="C111" s="9" t="s">
        <v>1594</v>
      </c>
      <c r="D111" s="9" t="s">
        <v>1219</v>
      </c>
      <c r="E111" s="9" t="s">
        <v>1595</v>
      </c>
      <c r="F111" s="9" t="s">
        <v>1596</v>
      </c>
      <c r="G111" s="9" t="s">
        <v>1595</v>
      </c>
      <c r="H111" s="9" t="s">
        <v>1597</v>
      </c>
      <c r="I111" s="9" t="s">
        <v>6</v>
      </c>
      <c r="J111" s="9" t="s">
        <v>1209</v>
      </c>
      <c r="K111" s="9" t="s">
        <v>1209</v>
      </c>
      <c r="L111" s="9" t="s">
        <v>1595</v>
      </c>
      <c r="M111" s="9" t="s">
        <v>991</v>
      </c>
      <c r="N111" s="9" t="s">
        <v>1595</v>
      </c>
      <c r="O111" s="9" t="s">
        <v>1597</v>
      </c>
      <c r="P111" s="9" t="s">
        <v>992</v>
      </c>
      <c r="Q111" s="9" t="s">
        <v>1209</v>
      </c>
      <c r="R111" s="9" t="s">
        <v>992</v>
      </c>
      <c r="S111" s="9" t="s">
        <v>82</v>
      </c>
      <c r="T111" s="9" t="s">
        <v>83</v>
      </c>
      <c r="U111" s="9" t="s">
        <v>993</v>
      </c>
      <c r="V111" s="9" t="s">
        <v>85</v>
      </c>
      <c r="W111" s="9" t="s">
        <v>994</v>
      </c>
      <c r="X111" s="9" t="s">
        <v>1209</v>
      </c>
      <c r="Y111" s="9" t="s">
        <v>1598</v>
      </c>
      <c r="Z111" s="9" t="s">
        <v>1212</v>
      </c>
      <c r="AA111" s="9" t="s">
        <v>133</v>
      </c>
      <c r="AB111" s="9" t="s">
        <v>995</v>
      </c>
      <c r="AC111" s="9" t="s">
        <v>88</v>
      </c>
      <c r="AD111" s="9" t="s">
        <v>1213</v>
      </c>
      <c r="AE111" s="9" t="s">
        <v>89</v>
      </c>
      <c r="AF111" s="9" t="s">
        <v>1599</v>
      </c>
      <c r="AG111" s="9" t="s">
        <v>996</v>
      </c>
      <c r="AH111" s="9" t="s">
        <v>997</v>
      </c>
      <c r="AI111" s="9" t="s">
        <v>92</v>
      </c>
      <c r="AJ111" s="9" t="s">
        <v>92</v>
      </c>
      <c r="AK111" s="9" t="s">
        <v>998</v>
      </c>
      <c r="AL111" s="9" t="s">
        <v>92</v>
      </c>
      <c r="AM111" s="9" t="s">
        <v>92</v>
      </c>
      <c r="AN111" s="9" t="s">
        <v>999</v>
      </c>
      <c r="AO111" s="9" t="s">
        <v>1000</v>
      </c>
      <c r="AP111" s="9" t="s">
        <v>1001</v>
      </c>
      <c r="AQ111" s="9" t="s">
        <v>1002</v>
      </c>
      <c r="AR111" s="9" t="s">
        <v>1003</v>
      </c>
      <c r="AS111" s="9" t="s">
        <v>192</v>
      </c>
      <c r="AT111" s="9" t="s">
        <v>192</v>
      </c>
      <c r="AU111" s="9" t="s">
        <v>100</v>
      </c>
      <c r="AV111" s="9" t="s">
        <v>1004</v>
      </c>
      <c r="AW111" s="9" t="s">
        <v>1005</v>
      </c>
      <c r="AX111" s="9" t="s">
        <v>1006</v>
      </c>
      <c r="AY111" s="9" t="s">
        <v>126</v>
      </c>
      <c r="AZ111" s="9" t="s">
        <v>126</v>
      </c>
      <c r="BA111" s="9" t="s">
        <v>126</v>
      </c>
      <c r="BB111" s="9" t="s">
        <v>105</v>
      </c>
      <c r="BC111" s="9" t="s">
        <v>105</v>
      </c>
      <c r="BD111" s="9" t="s">
        <v>105</v>
      </c>
      <c r="BE111" s="9" t="s">
        <v>105</v>
      </c>
      <c r="BF111" s="9" t="s">
        <v>105</v>
      </c>
      <c r="BG111" s="9" t="s">
        <v>105</v>
      </c>
      <c r="BH111" s="9" t="s">
        <v>105</v>
      </c>
      <c r="BI111" s="9" t="s">
        <v>105</v>
      </c>
      <c r="BJ111" s="9" t="s">
        <v>1007</v>
      </c>
      <c r="BK111" s="9" t="s">
        <v>1008</v>
      </c>
      <c r="BL111" s="9" t="s">
        <v>105</v>
      </c>
      <c r="BM111" s="9" t="s">
        <v>192</v>
      </c>
      <c r="BN111" s="9" t="s">
        <v>192</v>
      </c>
      <c r="BO111" s="9" t="s">
        <v>100</v>
      </c>
      <c r="BP111" s="9" t="s">
        <v>1001</v>
      </c>
      <c r="BQ111" s="9" t="s">
        <v>1002</v>
      </c>
      <c r="BR111" s="9" t="s">
        <v>1003</v>
      </c>
      <c r="BS111" s="9"/>
    </row>
    <row r="112" spans="1:71" x14ac:dyDescent="0.25">
      <c r="A112" s="9" t="s">
        <v>1216</v>
      </c>
      <c r="B112" s="9" t="s">
        <v>1217</v>
      </c>
      <c r="C112" s="9" t="s">
        <v>1600</v>
      </c>
      <c r="D112" s="9" t="s">
        <v>1219</v>
      </c>
      <c r="E112" s="9" t="s">
        <v>1601</v>
      </c>
      <c r="F112" s="9" t="s">
        <v>1596</v>
      </c>
      <c r="G112" s="9" t="s">
        <v>1601</v>
      </c>
      <c r="H112" s="9" t="s">
        <v>1597</v>
      </c>
      <c r="I112" s="9" t="s">
        <v>6</v>
      </c>
      <c r="J112" s="9" t="s">
        <v>1209</v>
      </c>
      <c r="K112" s="9" t="s">
        <v>1209</v>
      </c>
      <c r="L112" s="9" t="s">
        <v>1601</v>
      </c>
      <c r="M112" s="9" t="s">
        <v>1009</v>
      </c>
      <c r="N112" s="9" t="s">
        <v>1601</v>
      </c>
      <c r="O112" s="9" t="s">
        <v>1597</v>
      </c>
      <c r="P112" s="9" t="s">
        <v>1010</v>
      </c>
      <c r="Q112" s="9" t="s">
        <v>1209</v>
      </c>
      <c r="R112" s="9" t="s">
        <v>1010</v>
      </c>
      <c r="S112" s="9" t="s">
        <v>82</v>
      </c>
      <c r="T112" s="9" t="s">
        <v>83</v>
      </c>
      <c r="U112" s="9" t="s">
        <v>1011</v>
      </c>
      <c r="V112" s="9" t="s">
        <v>85</v>
      </c>
      <c r="W112" s="9" t="s">
        <v>1012</v>
      </c>
      <c r="X112" s="9" t="s">
        <v>1209</v>
      </c>
      <c r="Y112" s="9" t="s">
        <v>1598</v>
      </c>
      <c r="Z112" s="9" t="s">
        <v>1212</v>
      </c>
      <c r="AA112" s="9" t="s">
        <v>133</v>
      </c>
      <c r="AB112" s="9" t="s">
        <v>995</v>
      </c>
      <c r="AC112" s="9" t="s">
        <v>88</v>
      </c>
      <c r="AD112" s="9" t="s">
        <v>1213</v>
      </c>
      <c r="AE112" s="9" t="s">
        <v>89</v>
      </c>
      <c r="AF112" s="9" t="s">
        <v>1599</v>
      </c>
      <c r="AG112" s="9" t="s">
        <v>996</v>
      </c>
      <c r="AH112" s="9" t="s">
        <v>997</v>
      </c>
      <c r="AI112" s="9" t="s">
        <v>92</v>
      </c>
      <c r="AJ112" s="9" t="s">
        <v>92</v>
      </c>
      <c r="AK112" s="9" t="s">
        <v>998</v>
      </c>
      <c r="AL112" s="9" t="s">
        <v>92</v>
      </c>
      <c r="AM112" s="9" t="s">
        <v>92</v>
      </c>
      <c r="AN112" s="9" t="s">
        <v>999</v>
      </c>
      <c r="AO112" s="9" t="s">
        <v>1000</v>
      </c>
      <c r="AP112" s="9" t="s">
        <v>1013</v>
      </c>
      <c r="AQ112" s="9" t="s">
        <v>1014</v>
      </c>
      <c r="AR112" s="9" t="s">
        <v>1003</v>
      </c>
      <c r="AS112" s="9" t="s">
        <v>192</v>
      </c>
      <c r="AT112" s="9" t="s">
        <v>192</v>
      </c>
      <c r="AU112" s="9" t="s">
        <v>100</v>
      </c>
      <c r="AV112" s="9" t="s">
        <v>1004</v>
      </c>
      <c r="AW112" s="9" t="s">
        <v>1005</v>
      </c>
      <c r="AX112" s="9" t="s">
        <v>1006</v>
      </c>
      <c r="AY112" s="9" t="s">
        <v>126</v>
      </c>
      <c r="AZ112" s="9" t="s">
        <v>126</v>
      </c>
      <c r="BA112" s="9" t="s">
        <v>126</v>
      </c>
      <c r="BB112" s="9" t="s">
        <v>105</v>
      </c>
      <c r="BC112" s="9" t="s">
        <v>105</v>
      </c>
      <c r="BD112" s="9" t="s">
        <v>105</v>
      </c>
      <c r="BE112" s="9" t="s">
        <v>105</v>
      </c>
      <c r="BF112" s="9" t="s">
        <v>105</v>
      </c>
      <c r="BG112" s="9" t="s">
        <v>105</v>
      </c>
      <c r="BH112" s="9" t="s">
        <v>105</v>
      </c>
      <c r="BI112" s="9" t="s">
        <v>105</v>
      </c>
      <c r="BJ112" s="9" t="s">
        <v>1007</v>
      </c>
      <c r="BK112" s="9" t="s">
        <v>1008</v>
      </c>
      <c r="BL112" s="9" t="s">
        <v>105</v>
      </c>
      <c r="BM112" s="9" t="s">
        <v>192</v>
      </c>
      <c r="BN112" s="9" t="s">
        <v>192</v>
      </c>
      <c r="BO112" s="9" t="s">
        <v>100</v>
      </c>
      <c r="BP112" s="9" t="s">
        <v>1013</v>
      </c>
      <c r="BQ112" s="9" t="s">
        <v>1014</v>
      </c>
      <c r="BR112" s="9" t="s">
        <v>1003</v>
      </c>
      <c r="BS112" s="9"/>
    </row>
    <row r="113" spans="1:71" x14ac:dyDescent="0.25">
      <c r="A113" s="9" t="s">
        <v>1216</v>
      </c>
      <c r="B113" s="9" t="s">
        <v>1300</v>
      </c>
      <c r="C113" s="9" t="s">
        <v>1602</v>
      </c>
      <c r="D113" s="9" t="s">
        <v>1015</v>
      </c>
      <c r="E113" s="9" t="s">
        <v>1016</v>
      </c>
      <c r="F113" s="9" t="s">
        <v>1603</v>
      </c>
      <c r="G113" s="9" t="s">
        <v>1016</v>
      </c>
      <c r="H113" s="9" t="s">
        <v>1604</v>
      </c>
      <c r="I113" s="9" t="s">
        <v>6</v>
      </c>
      <c r="J113" s="9" t="s">
        <v>1209</v>
      </c>
      <c r="K113" s="9" t="s">
        <v>1209</v>
      </c>
      <c r="L113" s="9" t="s">
        <v>1016</v>
      </c>
      <c r="M113" s="9" t="s">
        <v>1017</v>
      </c>
      <c r="N113" s="9" t="s">
        <v>1016</v>
      </c>
      <c r="O113" s="9" t="s">
        <v>1604</v>
      </c>
      <c r="P113" s="9" t="s">
        <v>1018</v>
      </c>
      <c r="Q113" s="9" t="s">
        <v>1209</v>
      </c>
      <c r="R113" s="9" t="s">
        <v>1018</v>
      </c>
      <c r="S113" s="9" t="s">
        <v>82</v>
      </c>
      <c r="T113" s="9" t="s">
        <v>83</v>
      </c>
      <c r="U113" s="9" t="s">
        <v>1019</v>
      </c>
      <c r="V113" s="9" t="s">
        <v>85</v>
      </c>
      <c r="W113" s="9" t="s">
        <v>1020</v>
      </c>
      <c r="X113" s="9" t="s">
        <v>1209</v>
      </c>
      <c r="Y113" s="9" t="s">
        <v>1605</v>
      </c>
      <c r="Z113" s="9" t="s">
        <v>1212</v>
      </c>
      <c r="AA113" s="9" t="s">
        <v>1021</v>
      </c>
      <c r="AB113" s="9" t="s">
        <v>353</v>
      </c>
      <c r="AC113" s="9" t="s">
        <v>88</v>
      </c>
      <c r="AD113" s="9" t="s">
        <v>1213</v>
      </c>
      <c r="AE113" s="9" t="s">
        <v>89</v>
      </c>
      <c r="AF113" s="9" t="s">
        <v>1324</v>
      </c>
      <c r="AG113" s="9" t="s">
        <v>1022</v>
      </c>
      <c r="AH113" s="9" t="s">
        <v>92</v>
      </c>
      <c r="AI113" s="9" t="s">
        <v>92</v>
      </c>
      <c r="AJ113" s="9" t="s">
        <v>1023</v>
      </c>
      <c r="AK113" s="9" t="s">
        <v>92</v>
      </c>
      <c r="AL113" s="9" t="s">
        <v>1024</v>
      </c>
      <c r="AM113" s="9" t="s">
        <v>92</v>
      </c>
      <c r="AN113" s="9" t="s">
        <v>1025</v>
      </c>
      <c r="AO113" s="9" t="s">
        <v>1026</v>
      </c>
      <c r="AP113" s="9" t="s">
        <v>105</v>
      </c>
      <c r="AQ113" s="9" t="s">
        <v>105</v>
      </c>
      <c r="AR113" s="9" t="s">
        <v>1027</v>
      </c>
      <c r="AS113" s="9" t="s">
        <v>122</v>
      </c>
      <c r="AT113" s="9" t="s">
        <v>122</v>
      </c>
      <c r="AU113" s="9" t="s">
        <v>100</v>
      </c>
      <c r="AV113" s="9" t="s">
        <v>1028</v>
      </c>
      <c r="AW113" s="9" t="s">
        <v>1029</v>
      </c>
      <c r="AX113" s="9" t="s">
        <v>1030</v>
      </c>
      <c r="AY113" s="9" t="s">
        <v>104</v>
      </c>
      <c r="AZ113" s="9" t="s">
        <v>104</v>
      </c>
      <c r="BA113" s="9" t="s">
        <v>104</v>
      </c>
      <c r="BB113" s="9" t="s">
        <v>105</v>
      </c>
      <c r="BC113" s="9" t="s">
        <v>105</v>
      </c>
      <c r="BD113" s="9" t="s">
        <v>105</v>
      </c>
      <c r="BE113" s="9" t="s">
        <v>105</v>
      </c>
      <c r="BF113" s="9" t="s">
        <v>105</v>
      </c>
      <c r="BG113" s="9" t="s">
        <v>105</v>
      </c>
      <c r="BH113" s="9" t="s">
        <v>105</v>
      </c>
      <c r="BI113" s="9" t="s">
        <v>105</v>
      </c>
      <c r="BJ113" s="9" t="s">
        <v>1031</v>
      </c>
      <c r="BK113" s="9" t="s">
        <v>1032</v>
      </c>
      <c r="BL113" s="9" t="s">
        <v>105</v>
      </c>
      <c r="BM113" s="9" t="s">
        <v>122</v>
      </c>
      <c r="BN113" s="9" t="s">
        <v>122</v>
      </c>
      <c r="BO113" s="9" t="s">
        <v>100</v>
      </c>
      <c r="BP113" s="9" t="s">
        <v>105</v>
      </c>
      <c r="BQ113" s="9" t="s">
        <v>105</v>
      </c>
      <c r="BR113" s="9" t="s">
        <v>1027</v>
      </c>
      <c r="BS113" s="9"/>
    </row>
    <row r="114" spans="1:71" x14ac:dyDescent="0.25">
      <c r="A114" s="9" t="s">
        <v>1216</v>
      </c>
      <c r="B114" s="9" t="s">
        <v>1217</v>
      </c>
      <c r="C114" s="9" t="s">
        <v>1606</v>
      </c>
      <c r="D114" s="9" t="s">
        <v>1219</v>
      </c>
      <c r="E114" s="9" t="s">
        <v>1607</v>
      </c>
      <c r="F114" s="9" t="s">
        <v>1608</v>
      </c>
      <c r="G114" s="9" t="s">
        <v>1607</v>
      </c>
      <c r="H114" s="9" t="s">
        <v>1609</v>
      </c>
      <c r="I114" s="9" t="s">
        <v>6</v>
      </c>
      <c r="J114" s="9" t="s">
        <v>1209</v>
      </c>
      <c r="K114" s="9" t="s">
        <v>1209</v>
      </c>
      <c r="L114" s="9" t="s">
        <v>1607</v>
      </c>
      <c r="M114" s="9" t="s">
        <v>1033</v>
      </c>
      <c r="N114" s="9" t="s">
        <v>1607</v>
      </c>
      <c r="O114" s="9" t="s">
        <v>1609</v>
      </c>
      <c r="P114" s="9" t="s">
        <v>1034</v>
      </c>
      <c r="Q114" s="9" t="s">
        <v>1322</v>
      </c>
      <c r="R114" s="9" t="s">
        <v>1035</v>
      </c>
      <c r="S114" s="9" t="s">
        <v>82</v>
      </c>
      <c r="T114" s="9" t="s">
        <v>1036</v>
      </c>
      <c r="U114" s="9" t="s">
        <v>1037</v>
      </c>
      <c r="V114" s="9" t="s">
        <v>85</v>
      </c>
      <c r="W114" s="9" t="s">
        <v>1038</v>
      </c>
      <c r="X114" s="9" t="s">
        <v>1209</v>
      </c>
      <c r="Y114" s="9" t="s">
        <v>1610</v>
      </c>
      <c r="Z114" s="9" t="s">
        <v>1212</v>
      </c>
      <c r="AA114" s="9" t="s">
        <v>133</v>
      </c>
      <c r="AB114" s="9" t="s">
        <v>455</v>
      </c>
      <c r="AC114" s="9" t="s">
        <v>88</v>
      </c>
      <c r="AD114" s="9" t="s">
        <v>1213</v>
      </c>
      <c r="AE114" s="9" t="s">
        <v>89</v>
      </c>
      <c r="AF114" s="9" t="s">
        <v>1365</v>
      </c>
      <c r="AG114" s="9" t="s">
        <v>1039</v>
      </c>
      <c r="AH114" s="9" t="s">
        <v>92</v>
      </c>
      <c r="AI114" s="9" t="s">
        <v>92</v>
      </c>
      <c r="AJ114" s="9" t="s">
        <v>92</v>
      </c>
      <c r="AK114" s="9" t="s">
        <v>92</v>
      </c>
      <c r="AL114" s="9" t="s">
        <v>92</v>
      </c>
      <c r="AM114" s="9" t="s">
        <v>92</v>
      </c>
      <c r="AN114" s="9" t="s">
        <v>1040</v>
      </c>
      <c r="AO114" s="9" t="s">
        <v>108</v>
      </c>
      <c r="AP114" s="9" t="s">
        <v>105</v>
      </c>
      <c r="AQ114" s="9" t="s">
        <v>105</v>
      </c>
      <c r="AR114" s="9" t="s">
        <v>1041</v>
      </c>
      <c r="AS114" s="9" t="s">
        <v>122</v>
      </c>
      <c r="AT114" s="9" t="s">
        <v>122</v>
      </c>
      <c r="AU114" s="9" t="s">
        <v>100</v>
      </c>
      <c r="AV114" s="9" t="s">
        <v>1042</v>
      </c>
      <c r="AW114" s="9" t="s">
        <v>1043</v>
      </c>
      <c r="AX114" s="9" t="s">
        <v>1044</v>
      </c>
      <c r="AY114" s="9" t="s">
        <v>126</v>
      </c>
      <c r="AZ114" s="9" t="s">
        <v>126</v>
      </c>
      <c r="BA114" s="9" t="s">
        <v>126</v>
      </c>
      <c r="BB114" s="9" t="s">
        <v>105</v>
      </c>
      <c r="BC114" s="9" t="s">
        <v>105</v>
      </c>
      <c r="BD114" s="9" t="s">
        <v>105</v>
      </c>
      <c r="BE114" s="9" t="s">
        <v>105</v>
      </c>
      <c r="BF114" s="9" t="s">
        <v>105</v>
      </c>
      <c r="BG114" s="9" t="s">
        <v>105</v>
      </c>
      <c r="BH114" s="9" t="s">
        <v>105</v>
      </c>
      <c r="BI114" s="9" t="s">
        <v>105</v>
      </c>
      <c r="BJ114" s="9" t="s">
        <v>1045</v>
      </c>
      <c r="BK114" s="9" t="s">
        <v>1046</v>
      </c>
      <c r="BL114" s="9" t="s">
        <v>105</v>
      </c>
      <c r="BM114" s="9" t="s">
        <v>122</v>
      </c>
      <c r="BN114" s="9" t="s">
        <v>122</v>
      </c>
      <c r="BO114" s="9" t="s">
        <v>100</v>
      </c>
      <c r="BP114" s="9" t="s">
        <v>105</v>
      </c>
      <c r="BQ114" s="9" t="s">
        <v>105</v>
      </c>
      <c r="BR114" s="9" t="s">
        <v>1041</v>
      </c>
      <c r="BS114" s="9"/>
    </row>
    <row r="115" spans="1:71" x14ac:dyDescent="0.25">
      <c r="A115" s="9" t="s">
        <v>1216</v>
      </c>
      <c r="B115" s="9" t="s">
        <v>1217</v>
      </c>
      <c r="C115" s="9" t="s">
        <v>1606</v>
      </c>
      <c r="D115" s="9" t="s">
        <v>1219</v>
      </c>
      <c r="E115" s="9" t="s">
        <v>1607</v>
      </c>
      <c r="F115" s="9" t="s">
        <v>1608</v>
      </c>
      <c r="G115" s="9" t="s">
        <v>1607</v>
      </c>
      <c r="H115" s="9" t="s">
        <v>1611</v>
      </c>
      <c r="I115" s="9" t="s">
        <v>6</v>
      </c>
      <c r="J115" s="9" t="s">
        <v>1209</v>
      </c>
      <c r="K115" s="9" t="s">
        <v>1209</v>
      </c>
      <c r="L115" s="9" t="s">
        <v>1607</v>
      </c>
      <c r="M115" s="9" t="s">
        <v>1033</v>
      </c>
      <c r="N115" s="9" t="s">
        <v>1607</v>
      </c>
      <c r="O115" s="9" t="s">
        <v>1611</v>
      </c>
      <c r="P115" s="9" t="s">
        <v>1047</v>
      </c>
      <c r="Q115" s="9" t="s">
        <v>1322</v>
      </c>
      <c r="R115" s="9" t="s">
        <v>1035</v>
      </c>
      <c r="S115" s="9" t="s">
        <v>82</v>
      </c>
      <c r="T115" s="9" t="s">
        <v>1048</v>
      </c>
      <c r="U115" s="9" t="s">
        <v>1049</v>
      </c>
      <c r="V115" s="9" t="s">
        <v>85</v>
      </c>
      <c r="W115" s="9" t="s">
        <v>1050</v>
      </c>
      <c r="X115" s="9" t="s">
        <v>1209</v>
      </c>
      <c r="Y115" s="9" t="s">
        <v>1610</v>
      </c>
      <c r="Z115" s="9" t="s">
        <v>1212</v>
      </c>
      <c r="AA115" s="9" t="s">
        <v>133</v>
      </c>
      <c r="AB115" s="9" t="s">
        <v>455</v>
      </c>
      <c r="AC115" s="9" t="s">
        <v>88</v>
      </c>
      <c r="AD115" s="9" t="s">
        <v>1213</v>
      </c>
      <c r="AE115" s="9" t="s">
        <v>89</v>
      </c>
      <c r="AF115" s="9" t="s">
        <v>1365</v>
      </c>
      <c r="AG115" s="9" t="s">
        <v>1039</v>
      </c>
      <c r="AH115" s="9" t="s">
        <v>92</v>
      </c>
      <c r="AI115" s="9" t="s">
        <v>92</v>
      </c>
      <c r="AJ115" s="9" t="s">
        <v>92</v>
      </c>
      <c r="AK115" s="9" t="s">
        <v>92</v>
      </c>
      <c r="AL115" s="9" t="s">
        <v>92</v>
      </c>
      <c r="AM115" s="9" t="s">
        <v>92</v>
      </c>
      <c r="AN115" s="9" t="s">
        <v>1040</v>
      </c>
      <c r="AO115" s="9" t="s">
        <v>108</v>
      </c>
      <c r="AP115" s="9" t="s">
        <v>105</v>
      </c>
      <c r="AQ115" s="9" t="s">
        <v>105</v>
      </c>
      <c r="AR115" s="9" t="s">
        <v>1041</v>
      </c>
      <c r="AS115" s="9" t="s">
        <v>122</v>
      </c>
      <c r="AT115" s="9" t="s">
        <v>122</v>
      </c>
      <c r="AU115" s="9" t="s">
        <v>100</v>
      </c>
      <c r="AV115" s="9" t="s">
        <v>1042</v>
      </c>
      <c r="AW115" s="9" t="s">
        <v>1043</v>
      </c>
      <c r="AX115" s="9" t="s">
        <v>1044</v>
      </c>
      <c r="AY115" s="9" t="s">
        <v>126</v>
      </c>
      <c r="AZ115" s="9" t="s">
        <v>126</v>
      </c>
      <c r="BA115" s="9" t="s">
        <v>126</v>
      </c>
      <c r="BB115" s="9" t="s">
        <v>105</v>
      </c>
      <c r="BC115" s="9" t="s">
        <v>105</v>
      </c>
      <c r="BD115" s="9" t="s">
        <v>105</v>
      </c>
      <c r="BE115" s="9" t="s">
        <v>105</v>
      </c>
      <c r="BF115" s="9" t="s">
        <v>105</v>
      </c>
      <c r="BG115" s="9" t="s">
        <v>105</v>
      </c>
      <c r="BH115" s="9" t="s">
        <v>105</v>
      </c>
      <c r="BI115" s="9" t="s">
        <v>105</v>
      </c>
      <c r="BJ115" s="9" t="s">
        <v>1051</v>
      </c>
      <c r="BK115" s="9" t="s">
        <v>1052</v>
      </c>
      <c r="BL115" s="9" t="s">
        <v>105</v>
      </c>
      <c r="BM115" s="9" t="s">
        <v>122</v>
      </c>
      <c r="BN115" s="9" t="s">
        <v>122</v>
      </c>
      <c r="BO115" s="9" t="s">
        <v>100</v>
      </c>
      <c r="BP115" s="9" t="s">
        <v>105</v>
      </c>
      <c r="BQ115" s="9" t="s">
        <v>105</v>
      </c>
      <c r="BR115" s="9" t="s">
        <v>1041</v>
      </c>
      <c r="BS115" s="9"/>
    </row>
    <row r="116" spans="1:71" x14ac:dyDescent="0.25">
      <c r="A116" s="9" t="s">
        <v>1216</v>
      </c>
      <c r="B116" s="9" t="s">
        <v>1217</v>
      </c>
      <c r="C116" s="9" t="s">
        <v>1606</v>
      </c>
      <c r="D116" s="9" t="s">
        <v>1219</v>
      </c>
      <c r="E116" s="9" t="s">
        <v>1607</v>
      </c>
      <c r="F116" s="9" t="s">
        <v>1608</v>
      </c>
      <c r="G116" s="9" t="s">
        <v>1607</v>
      </c>
      <c r="H116" s="9" t="s">
        <v>1612</v>
      </c>
      <c r="I116" s="9" t="s">
        <v>6</v>
      </c>
      <c r="J116" s="9" t="s">
        <v>1209</v>
      </c>
      <c r="K116" s="9" t="s">
        <v>1209</v>
      </c>
      <c r="L116" s="9" t="s">
        <v>1607</v>
      </c>
      <c r="M116" s="9" t="s">
        <v>1033</v>
      </c>
      <c r="N116" s="9" t="s">
        <v>1607</v>
      </c>
      <c r="O116" s="9" t="s">
        <v>1612</v>
      </c>
      <c r="P116" s="9" t="s">
        <v>1053</v>
      </c>
      <c r="Q116" s="9" t="s">
        <v>1322</v>
      </c>
      <c r="R116" s="9" t="s">
        <v>1035</v>
      </c>
      <c r="S116" s="9" t="s">
        <v>82</v>
      </c>
      <c r="T116" s="9" t="s">
        <v>1054</v>
      </c>
      <c r="U116" s="9" t="s">
        <v>1055</v>
      </c>
      <c r="V116" s="9" t="s">
        <v>85</v>
      </c>
      <c r="W116" s="9" t="s">
        <v>1056</v>
      </c>
      <c r="X116" s="9" t="s">
        <v>1209</v>
      </c>
      <c r="Y116" s="9" t="s">
        <v>1610</v>
      </c>
      <c r="Z116" s="9" t="s">
        <v>1212</v>
      </c>
      <c r="AA116" s="9" t="s">
        <v>133</v>
      </c>
      <c r="AB116" s="9" t="s">
        <v>455</v>
      </c>
      <c r="AC116" s="9" t="s">
        <v>88</v>
      </c>
      <c r="AD116" s="9" t="s">
        <v>1213</v>
      </c>
      <c r="AE116" s="9" t="s">
        <v>89</v>
      </c>
      <c r="AF116" s="9" t="s">
        <v>1365</v>
      </c>
      <c r="AG116" s="9" t="s">
        <v>1039</v>
      </c>
      <c r="AH116" s="9" t="s">
        <v>92</v>
      </c>
      <c r="AI116" s="9" t="s">
        <v>92</v>
      </c>
      <c r="AJ116" s="9" t="s">
        <v>92</v>
      </c>
      <c r="AK116" s="9" t="s">
        <v>92</v>
      </c>
      <c r="AL116" s="9" t="s">
        <v>92</v>
      </c>
      <c r="AM116" s="9" t="s">
        <v>92</v>
      </c>
      <c r="AN116" s="9" t="s">
        <v>1040</v>
      </c>
      <c r="AO116" s="9" t="s">
        <v>108</v>
      </c>
      <c r="AP116" s="9" t="s">
        <v>105</v>
      </c>
      <c r="AQ116" s="9" t="s">
        <v>105</v>
      </c>
      <c r="AR116" s="9" t="s">
        <v>1041</v>
      </c>
      <c r="AS116" s="9" t="s">
        <v>122</v>
      </c>
      <c r="AT116" s="9" t="s">
        <v>122</v>
      </c>
      <c r="AU116" s="9" t="s">
        <v>100</v>
      </c>
      <c r="AV116" s="9" t="s">
        <v>1042</v>
      </c>
      <c r="AW116" s="9" t="s">
        <v>1043</v>
      </c>
      <c r="AX116" s="9" t="s">
        <v>1044</v>
      </c>
      <c r="AY116" s="9" t="s">
        <v>126</v>
      </c>
      <c r="AZ116" s="9" t="s">
        <v>126</v>
      </c>
      <c r="BA116" s="9" t="s">
        <v>126</v>
      </c>
      <c r="BB116" s="9" t="s">
        <v>105</v>
      </c>
      <c r="BC116" s="9" t="s">
        <v>105</v>
      </c>
      <c r="BD116" s="9" t="s">
        <v>105</v>
      </c>
      <c r="BE116" s="9" t="s">
        <v>105</v>
      </c>
      <c r="BF116" s="9" t="s">
        <v>105</v>
      </c>
      <c r="BG116" s="9" t="s">
        <v>105</v>
      </c>
      <c r="BH116" s="9" t="s">
        <v>105</v>
      </c>
      <c r="BI116" s="9" t="s">
        <v>105</v>
      </c>
      <c r="BJ116" s="9" t="s">
        <v>1057</v>
      </c>
      <c r="BK116" s="9" t="s">
        <v>1058</v>
      </c>
      <c r="BL116" s="9" t="s">
        <v>105</v>
      </c>
      <c r="BM116" s="9" t="s">
        <v>122</v>
      </c>
      <c r="BN116" s="9" t="s">
        <v>122</v>
      </c>
      <c r="BO116" s="9" t="s">
        <v>100</v>
      </c>
      <c r="BP116" s="9" t="s">
        <v>105</v>
      </c>
      <c r="BQ116" s="9" t="s">
        <v>105</v>
      </c>
      <c r="BR116" s="9" t="s">
        <v>1041</v>
      </c>
      <c r="BS116" s="9"/>
    </row>
    <row r="117" spans="1:71" x14ac:dyDescent="0.25">
      <c r="A117" s="9" t="s">
        <v>1216</v>
      </c>
      <c r="B117" s="9" t="s">
        <v>1217</v>
      </c>
      <c r="C117" s="9" t="s">
        <v>1613</v>
      </c>
      <c r="D117" s="9" t="s">
        <v>1219</v>
      </c>
      <c r="E117" s="9" t="s">
        <v>1614</v>
      </c>
      <c r="F117" s="9" t="s">
        <v>1615</v>
      </c>
      <c r="G117" s="9" t="s">
        <v>1614</v>
      </c>
      <c r="H117" s="9" t="s">
        <v>1616</v>
      </c>
      <c r="I117" s="9" t="s">
        <v>6</v>
      </c>
      <c r="J117" s="9" t="s">
        <v>1209</v>
      </c>
      <c r="K117" s="9" t="s">
        <v>1209</v>
      </c>
      <c r="L117" s="9" t="s">
        <v>1614</v>
      </c>
      <c r="M117" s="9" t="s">
        <v>1059</v>
      </c>
      <c r="N117" s="9" t="s">
        <v>1614</v>
      </c>
      <c r="O117" s="9" t="s">
        <v>1616</v>
      </c>
      <c r="P117" s="9" t="s">
        <v>1060</v>
      </c>
      <c r="Q117" s="9" t="s">
        <v>1210</v>
      </c>
      <c r="R117" s="9" t="s">
        <v>1061</v>
      </c>
      <c r="S117" s="9" t="s">
        <v>82</v>
      </c>
      <c r="T117" s="9" t="s">
        <v>1062</v>
      </c>
      <c r="U117" s="9" t="s">
        <v>1063</v>
      </c>
      <c r="V117" s="9" t="s">
        <v>85</v>
      </c>
      <c r="W117" s="9" t="s">
        <v>1064</v>
      </c>
      <c r="X117" s="9" t="s">
        <v>1209</v>
      </c>
      <c r="Y117" s="9" t="s">
        <v>1617</v>
      </c>
      <c r="Z117" s="9" t="s">
        <v>1212</v>
      </c>
      <c r="AA117" s="9" t="s">
        <v>133</v>
      </c>
      <c r="AB117" s="9" t="s">
        <v>1065</v>
      </c>
      <c r="AC117" s="9" t="s">
        <v>88</v>
      </c>
      <c r="AD117" s="9" t="s">
        <v>1213</v>
      </c>
      <c r="AE117" s="9" t="s">
        <v>89</v>
      </c>
      <c r="AF117" s="9" t="s">
        <v>1618</v>
      </c>
      <c r="AG117" s="9" t="s">
        <v>1066</v>
      </c>
      <c r="AH117" s="9" t="s">
        <v>1067</v>
      </c>
      <c r="AI117" s="9" t="s">
        <v>92</v>
      </c>
      <c r="AJ117" s="9" t="s">
        <v>92</v>
      </c>
      <c r="AK117" s="9" t="s">
        <v>1068</v>
      </c>
      <c r="AL117" s="9" t="s">
        <v>92</v>
      </c>
      <c r="AM117" s="9" t="s">
        <v>92</v>
      </c>
      <c r="AN117" s="9" t="s">
        <v>1069</v>
      </c>
      <c r="AO117" s="9" t="s">
        <v>1070</v>
      </c>
      <c r="AP117" s="9" t="s">
        <v>105</v>
      </c>
      <c r="AQ117" s="9" t="s">
        <v>105</v>
      </c>
      <c r="AR117" s="9" t="s">
        <v>1071</v>
      </c>
      <c r="AS117" s="9" t="s">
        <v>122</v>
      </c>
      <c r="AT117" s="9" t="s">
        <v>122</v>
      </c>
      <c r="AU117" s="9" t="s">
        <v>100</v>
      </c>
      <c r="AV117" s="9" t="s">
        <v>1072</v>
      </c>
      <c r="AW117" s="9" t="s">
        <v>1073</v>
      </c>
      <c r="AX117" s="9" t="s">
        <v>1074</v>
      </c>
      <c r="AY117" s="9" t="s">
        <v>126</v>
      </c>
      <c r="AZ117" s="9" t="s">
        <v>126</v>
      </c>
      <c r="BA117" s="9" t="s">
        <v>126</v>
      </c>
      <c r="BB117" s="9" t="s">
        <v>105</v>
      </c>
      <c r="BC117" s="9" t="s">
        <v>105</v>
      </c>
      <c r="BD117" s="9" t="s">
        <v>105</v>
      </c>
      <c r="BE117" s="9" t="s">
        <v>105</v>
      </c>
      <c r="BF117" s="9" t="s">
        <v>105</v>
      </c>
      <c r="BG117" s="9" t="s">
        <v>105</v>
      </c>
      <c r="BH117" s="9" t="s">
        <v>105</v>
      </c>
      <c r="BI117" s="9" t="s">
        <v>105</v>
      </c>
      <c r="BJ117" s="9" t="s">
        <v>1075</v>
      </c>
      <c r="BK117" s="9" t="s">
        <v>1076</v>
      </c>
      <c r="BL117" s="9" t="s">
        <v>105</v>
      </c>
      <c r="BM117" s="9" t="s">
        <v>122</v>
      </c>
      <c r="BN117" s="9" t="s">
        <v>122</v>
      </c>
      <c r="BO117" s="9" t="s">
        <v>100</v>
      </c>
      <c r="BP117" s="9" t="s">
        <v>105</v>
      </c>
      <c r="BQ117" s="9" t="s">
        <v>105</v>
      </c>
      <c r="BR117" s="9" t="s">
        <v>1071</v>
      </c>
      <c r="BS117" s="9"/>
    </row>
    <row r="118" spans="1:71" x14ac:dyDescent="0.25">
      <c r="A118" s="9" t="s">
        <v>1216</v>
      </c>
      <c r="B118" s="9" t="s">
        <v>1217</v>
      </c>
      <c r="C118" s="9" t="s">
        <v>1613</v>
      </c>
      <c r="D118" s="9" t="s">
        <v>1219</v>
      </c>
      <c r="E118" s="9" t="s">
        <v>1614</v>
      </c>
      <c r="F118" s="9" t="s">
        <v>1615</v>
      </c>
      <c r="G118" s="9" t="s">
        <v>1614</v>
      </c>
      <c r="H118" s="9" t="s">
        <v>1619</v>
      </c>
      <c r="I118" s="9" t="s">
        <v>6</v>
      </c>
      <c r="J118" s="9" t="s">
        <v>1209</v>
      </c>
      <c r="K118" s="9" t="s">
        <v>1209</v>
      </c>
      <c r="L118" s="9" t="s">
        <v>1614</v>
      </c>
      <c r="M118" s="9" t="s">
        <v>1059</v>
      </c>
      <c r="N118" s="9" t="s">
        <v>1614</v>
      </c>
      <c r="O118" s="9" t="s">
        <v>1619</v>
      </c>
      <c r="P118" s="9" t="s">
        <v>1077</v>
      </c>
      <c r="Q118" s="9" t="s">
        <v>1210</v>
      </c>
      <c r="R118" s="9" t="s">
        <v>1061</v>
      </c>
      <c r="S118" s="9" t="s">
        <v>82</v>
      </c>
      <c r="T118" s="9" t="s">
        <v>1078</v>
      </c>
      <c r="U118" s="9" t="s">
        <v>1079</v>
      </c>
      <c r="V118" s="9" t="s">
        <v>85</v>
      </c>
      <c r="W118" s="9" t="s">
        <v>1080</v>
      </c>
      <c r="X118" s="9" t="s">
        <v>1209</v>
      </c>
      <c r="Y118" s="9" t="s">
        <v>1617</v>
      </c>
      <c r="Z118" s="9" t="s">
        <v>1212</v>
      </c>
      <c r="AA118" s="9" t="s">
        <v>133</v>
      </c>
      <c r="AB118" s="9" t="s">
        <v>1065</v>
      </c>
      <c r="AC118" s="9" t="s">
        <v>88</v>
      </c>
      <c r="AD118" s="9" t="s">
        <v>1213</v>
      </c>
      <c r="AE118" s="9" t="s">
        <v>89</v>
      </c>
      <c r="AF118" s="9" t="s">
        <v>1618</v>
      </c>
      <c r="AG118" s="9" t="s">
        <v>1066</v>
      </c>
      <c r="AH118" s="9" t="s">
        <v>1067</v>
      </c>
      <c r="AI118" s="9" t="s">
        <v>92</v>
      </c>
      <c r="AJ118" s="9" t="s">
        <v>92</v>
      </c>
      <c r="AK118" s="9" t="s">
        <v>1068</v>
      </c>
      <c r="AL118" s="9" t="s">
        <v>92</v>
      </c>
      <c r="AM118" s="9" t="s">
        <v>92</v>
      </c>
      <c r="AN118" s="9" t="s">
        <v>1069</v>
      </c>
      <c r="AO118" s="9" t="s">
        <v>1070</v>
      </c>
      <c r="AP118" s="9" t="s">
        <v>105</v>
      </c>
      <c r="AQ118" s="9" t="s">
        <v>105</v>
      </c>
      <c r="AR118" s="9" t="s">
        <v>1071</v>
      </c>
      <c r="AS118" s="9" t="s">
        <v>122</v>
      </c>
      <c r="AT118" s="9" t="s">
        <v>122</v>
      </c>
      <c r="AU118" s="9" t="s">
        <v>100</v>
      </c>
      <c r="AV118" s="9" t="s">
        <v>1072</v>
      </c>
      <c r="AW118" s="9" t="s">
        <v>1073</v>
      </c>
      <c r="AX118" s="9" t="s">
        <v>1074</v>
      </c>
      <c r="AY118" s="9" t="s">
        <v>126</v>
      </c>
      <c r="AZ118" s="9" t="s">
        <v>126</v>
      </c>
      <c r="BA118" s="9" t="s">
        <v>126</v>
      </c>
      <c r="BB118" s="9" t="s">
        <v>105</v>
      </c>
      <c r="BC118" s="9" t="s">
        <v>105</v>
      </c>
      <c r="BD118" s="9" t="s">
        <v>105</v>
      </c>
      <c r="BE118" s="9" t="s">
        <v>105</v>
      </c>
      <c r="BF118" s="9" t="s">
        <v>105</v>
      </c>
      <c r="BG118" s="9" t="s">
        <v>105</v>
      </c>
      <c r="BH118" s="9" t="s">
        <v>105</v>
      </c>
      <c r="BI118" s="9" t="s">
        <v>105</v>
      </c>
      <c r="BJ118" s="9" t="s">
        <v>1081</v>
      </c>
      <c r="BK118" s="9" t="s">
        <v>1082</v>
      </c>
      <c r="BL118" s="9" t="s">
        <v>105</v>
      </c>
      <c r="BM118" s="9" t="s">
        <v>122</v>
      </c>
      <c r="BN118" s="9" t="s">
        <v>122</v>
      </c>
      <c r="BO118" s="9" t="s">
        <v>100</v>
      </c>
      <c r="BP118" s="9" t="s">
        <v>105</v>
      </c>
      <c r="BQ118" s="9" t="s">
        <v>105</v>
      </c>
      <c r="BR118" s="9" t="s">
        <v>1071</v>
      </c>
      <c r="BS118" s="9"/>
    </row>
    <row r="119" spans="1:71" x14ac:dyDescent="0.25">
      <c r="A119" s="9" t="s">
        <v>1216</v>
      </c>
      <c r="B119" s="9" t="s">
        <v>1217</v>
      </c>
      <c r="C119" s="9" t="s">
        <v>1620</v>
      </c>
      <c r="D119" s="9" t="s">
        <v>1219</v>
      </c>
      <c r="E119" s="9" t="s">
        <v>1621</v>
      </c>
      <c r="F119" s="9" t="s">
        <v>1615</v>
      </c>
      <c r="G119" s="9" t="s">
        <v>1621</v>
      </c>
      <c r="H119" s="9" t="s">
        <v>1622</v>
      </c>
      <c r="I119" s="9" t="s">
        <v>6</v>
      </c>
      <c r="J119" s="9" t="s">
        <v>1209</v>
      </c>
      <c r="K119" s="9" t="s">
        <v>1209</v>
      </c>
      <c r="L119" s="9" t="s">
        <v>1621</v>
      </c>
      <c r="M119" s="9" t="s">
        <v>1083</v>
      </c>
      <c r="N119" s="9" t="s">
        <v>1621</v>
      </c>
      <c r="O119" s="9" t="s">
        <v>1622</v>
      </c>
      <c r="P119" s="9" t="s">
        <v>1084</v>
      </c>
      <c r="Q119" s="9" t="s">
        <v>1209</v>
      </c>
      <c r="R119" s="9" t="s">
        <v>1084</v>
      </c>
      <c r="S119" s="9" t="s">
        <v>82</v>
      </c>
      <c r="T119" s="9" t="s">
        <v>83</v>
      </c>
      <c r="U119" s="9" t="s">
        <v>1085</v>
      </c>
      <c r="V119" s="9" t="s">
        <v>85</v>
      </c>
      <c r="W119" s="9" t="s">
        <v>1086</v>
      </c>
      <c r="X119" s="9" t="s">
        <v>1209</v>
      </c>
      <c r="Y119" s="9" t="s">
        <v>1617</v>
      </c>
      <c r="Z119" s="9" t="s">
        <v>1212</v>
      </c>
      <c r="AA119" s="9" t="s">
        <v>133</v>
      </c>
      <c r="AB119" s="9" t="s">
        <v>1065</v>
      </c>
      <c r="AC119" s="9" t="s">
        <v>88</v>
      </c>
      <c r="AD119" s="9" t="s">
        <v>1213</v>
      </c>
      <c r="AE119" s="9" t="s">
        <v>89</v>
      </c>
      <c r="AF119" s="9" t="s">
        <v>1618</v>
      </c>
      <c r="AG119" s="9" t="s">
        <v>1066</v>
      </c>
      <c r="AH119" s="9" t="s">
        <v>1067</v>
      </c>
      <c r="AI119" s="9" t="s">
        <v>92</v>
      </c>
      <c r="AJ119" s="9" t="s">
        <v>92</v>
      </c>
      <c r="AK119" s="9" t="s">
        <v>1068</v>
      </c>
      <c r="AL119" s="9" t="s">
        <v>92</v>
      </c>
      <c r="AM119" s="9" t="s">
        <v>92</v>
      </c>
      <c r="AN119" s="9" t="s">
        <v>1069</v>
      </c>
      <c r="AO119" s="9" t="s">
        <v>1070</v>
      </c>
      <c r="AP119" s="9" t="s">
        <v>105</v>
      </c>
      <c r="AQ119" s="9" t="s">
        <v>105</v>
      </c>
      <c r="AR119" s="9" t="s">
        <v>1071</v>
      </c>
      <c r="AS119" s="9" t="s">
        <v>122</v>
      </c>
      <c r="AT119" s="9" t="s">
        <v>122</v>
      </c>
      <c r="AU119" s="9" t="s">
        <v>100</v>
      </c>
      <c r="AV119" s="9" t="s">
        <v>1072</v>
      </c>
      <c r="AW119" s="9" t="s">
        <v>1073</v>
      </c>
      <c r="AX119" s="9" t="s">
        <v>1074</v>
      </c>
      <c r="AY119" s="9" t="s">
        <v>126</v>
      </c>
      <c r="AZ119" s="9" t="s">
        <v>126</v>
      </c>
      <c r="BA119" s="9" t="s">
        <v>126</v>
      </c>
      <c r="BB119" s="9" t="s">
        <v>105</v>
      </c>
      <c r="BC119" s="9" t="s">
        <v>105</v>
      </c>
      <c r="BD119" s="9" t="s">
        <v>105</v>
      </c>
      <c r="BE119" s="9" t="s">
        <v>105</v>
      </c>
      <c r="BF119" s="9" t="s">
        <v>105</v>
      </c>
      <c r="BG119" s="9" t="s">
        <v>105</v>
      </c>
      <c r="BH119" s="9" t="s">
        <v>105</v>
      </c>
      <c r="BI119" s="9" t="s">
        <v>105</v>
      </c>
      <c r="BJ119" s="9" t="s">
        <v>1087</v>
      </c>
      <c r="BK119" s="9" t="s">
        <v>1088</v>
      </c>
      <c r="BL119" s="9" t="s">
        <v>105</v>
      </c>
      <c r="BM119" s="9" t="s">
        <v>122</v>
      </c>
      <c r="BN119" s="9" t="s">
        <v>122</v>
      </c>
      <c r="BO119" s="9" t="s">
        <v>100</v>
      </c>
      <c r="BP119" s="9" t="s">
        <v>105</v>
      </c>
      <c r="BQ119" s="9" t="s">
        <v>105</v>
      </c>
      <c r="BR119" s="9" t="s">
        <v>1071</v>
      </c>
      <c r="BS119" s="9"/>
    </row>
    <row r="120" spans="1:71" x14ac:dyDescent="0.25">
      <c r="A120" s="9" t="s">
        <v>1216</v>
      </c>
      <c r="B120" s="9" t="s">
        <v>1217</v>
      </c>
      <c r="C120" s="9" t="s">
        <v>1623</v>
      </c>
      <c r="D120" s="9" t="s">
        <v>1219</v>
      </c>
      <c r="E120" s="9" t="s">
        <v>1624</v>
      </c>
      <c r="F120" s="9" t="s">
        <v>1615</v>
      </c>
      <c r="G120" s="9" t="s">
        <v>1624</v>
      </c>
      <c r="H120" s="9" t="s">
        <v>1622</v>
      </c>
      <c r="I120" s="9" t="s">
        <v>6</v>
      </c>
      <c r="J120" s="9" t="s">
        <v>1209</v>
      </c>
      <c r="K120" s="9" t="s">
        <v>1209</v>
      </c>
      <c r="L120" s="9" t="s">
        <v>1624</v>
      </c>
      <c r="M120" s="9" t="s">
        <v>1089</v>
      </c>
      <c r="N120" s="9" t="s">
        <v>1624</v>
      </c>
      <c r="O120" s="9" t="s">
        <v>1622</v>
      </c>
      <c r="P120" s="9" t="s">
        <v>1090</v>
      </c>
      <c r="Q120" s="9" t="s">
        <v>1209</v>
      </c>
      <c r="R120" s="9" t="s">
        <v>1090</v>
      </c>
      <c r="S120" s="9" t="s">
        <v>82</v>
      </c>
      <c r="T120" s="9" t="s">
        <v>83</v>
      </c>
      <c r="U120" s="9" t="s">
        <v>1091</v>
      </c>
      <c r="V120" s="9" t="s">
        <v>85</v>
      </c>
      <c r="W120" s="9" t="s">
        <v>1092</v>
      </c>
      <c r="X120" s="9" t="s">
        <v>1209</v>
      </c>
      <c r="Y120" s="9" t="s">
        <v>1617</v>
      </c>
      <c r="Z120" s="9" t="s">
        <v>1212</v>
      </c>
      <c r="AA120" s="9" t="s">
        <v>133</v>
      </c>
      <c r="AB120" s="9" t="s">
        <v>1065</v>
      </c>
      <c r="AC120" s="9" t="s">
        <v>88</v>
      </c>
      <c r="AD120" s="9" t="s">
        <v>1213</v>
      </c>
      <c r="AE120" s="9" t="s">
        <v>89</v>
      </c>
      <c r="AF120" s="9" t="s">
        <v>1618</v>
      </c>
      <c r="AG120" s="9" t="s">
        <v>1066</v>
      </c>
      <c r="AH120" s="9" t="s">
        <v>1067</v>
      </c>
      <c r="AI120" s="9" t="s">
        <v>92</v>
      </c>
      <c r="AJ120" s="9" t="s">
        <v>92</v>
      </c>
      <c r="AK120" s="9" t="s">
        <v>1068</v>
      </c>
      <c r="AL120" s="9" t="s">
        <v>92</v>
      </c>
      <c r="AM120" s="9" t="s">
        <v>92</v>
      </c>
      <c r="AN120" s="9" t="s">
        <v>1069</v>
      </c>
      <c r="AO120" s="9" t="s">
        <v>1070</v>
      </c>
      <c r="AP120" s="9" t="s">
        <v>105</v>
      </c>
      <c r="AQ120" s="9" t="s">
        <v>105</v>
      </c>
      <c r="AR120" s="9" t="s">
        <v>1071</v>
      </c>
      <c r="AS120" s="9" t="s">
        <v>122</v>
      </c>
      <c r="AT120" s="9" t="s">
        <v>122</v>
      </c>
      <c r="AU120" s="9" t="s">
        <v>100</v>
      </c>
      <c r="AV120" s="9" t="s">
        <v>1072</v>
      </c>
      <c r="AW120" s="9" t="s">
        <v>1073</v>
      </c>
      <c r="AX120" s="9" t="s">
        <v>1074</v>
      </c>
      <c r="AY120" s="9" t="s">
        <v>126</v>
      </c>
      <c r="AZ120" s="9" t="s">
        <v>126</v>
      </c>
      <c r="BA120" s="9" t="s">
        <v>126</v>
      </c>
      <c r="BB120" s="9" t="s">
        <v>105</v>
      </c>
      <c r="BC120" s="9" t="s">
        <v>105</v>
      </c>
      <c r="BD120" s="9" t="s">
        <v>105</v>
      </c>
      <c r="BE120" s="9" t="s">
        <v>105</v>
      </c>
      <c r="BF120" s="9" t="s">
        <v>105</v>
      </c>
      <c r="BG120" s="9" t="s">
        <v>105</v>
      </c>
      <c r="BH120" s="9" t="s">
        <v>105</v>
      </c>
      <c r="BI120" s="9" t="s">
        <v>105</v>
      </c>
      <c r="BJ120" s="9" t="s">
        <v>1087</v>
      </c>
      <c r="BK120" s="9" t="s">
        <v>1088</v>
      </c>
      <c r="BL120" s="9" t="s">
        <v>105</v>
      </c>
      <c r="BM120" s="9" t="s">
        <v>122</v>
      </c>
      <c r="BN120" s="9" t="s">
        <v>122</v>
      </c>
      <c r="BO120" s="9" t="s">
        <v>100</v>
      </c>
      <c r="BP120" s="9" t="s">
        <v>105</v>
      </c>
      <c r="BQ120" s="9" t="s">
        <v>105</v>
      </c>
      <c r="BR120" s="9" t="s">
        <v>1071</v>
      </c>
      <c r="BS120" s="9"/>
    </row>
    <row r="121" spans="1:71" x14ac:dyDescent="0.25">
      <c r="A121" s="9" t="s">
        <v>1202</v>
      </c>
      <c r="B121" s="9" t="s">
        <v>1203</v>
      </c>
      <c r="C121" s="9" t="s">
        <v>1625</v>
      </c>
      <c r="D121" s="9" t="s">
        <v>1626</v>
      </c>
      <c r="E121" s="9" t="s">
        <v>1627</v>
      </c>
      <c r="F121" s="9" t="s">
        <v>1628</v>
      </c>
      <c r="G121" s="9" t="s">
        <v>1627</v>
      </c>
      <c r="H121" s="9" t="s">
        <v>1629</v>
      </c>
      <c r="I121" s="9" t="s">
        <v>6</v>
      </c>
      <c r="J121" s="9" t="s">
        <v>1209</v>
      </c>
      <c r="K121" s="9" t="s">
        <v>1209</v>
      </c>
      <c r="L121" s="9" t="s">
        <v>1627</v>
      </c>
      <c r="M121" s="9" t="s">
        <v>1093</v>
      </c>
      <c r="N121" s="9" t="s">
        <v>1627</v>
      </c>
      <c r="O121" s="9" t="s">
        <v>1629</v>
      </c>
      <c r="P121" s="9" t="s">
        <v>92</v>
      </c>
      <c r="Q121" s="9" t="s">
        <v>1210</v>
      </c>
      <c r="R121" s="9" t="s">
        <v>1094</v>
      </c>
      <c r="S121" s="9" t="s">
        <v>82</v>
      </c>
      <c r="T121" s="9" t="s">
        <v>108</v>
      </c>
      <c r="U121" s="9" t="s">
        <v>108</v>
      </c>
      <c r="V121" s="9" t="s">
        <v>85</v>
      </c>
      <c r="W121" s="9" t="s">
        <v>109</v>
      </c>
      <c r="X121" s="9" t="s">
        <v>1209</v>
      </c>
      <c r="Y121" s="9" t="s">
        <v>1630</v>
      </c>
      <c r="Z121" s="9" t="s">
        <v>1212</v>
      </c>
      <c r="AA121" s="9"/>
      <c r="AB121" s="9" t="s">
        <v>703</v>
      </c>
      <c r="AC121" s="9" t="s">
        <v>88</v>
      </c>
      <c r="AD121" s="9" t="s">
        <v>1213</v>
      </c>
      <c r="AE121" s="9" t="s">
        <v>89</v>
      </c>
      <c r="AF121" s="9" t="s">
        <v>1466</v>
      </c>
      <c r="AG121" s="9" t="s">
        <v>1095</v>
      </c>
      <c r="AH121" s="9" t="s">
        <v>1096</v>
      </c>
      <c r="AI121" s="9" t="s">
        <v>92</v>
      </c>
      <c r="AJ121" s="9" t="s">
        <v>92</v>
      </c>
      <c r="AK121" s="9" t="s">
        <v>1097</v>
      </c>
      <c r="AL121" s="9" t="s">
        <v>92</v>
      </c>
      <c r="AM121" s="9" t="s">
        <v>92</v>
      </c>
      <c r="AN121" s="9" t="s">
        <v>1098</v>
      </c>
      <c r="AO121" s="9" t="s">
        <v>1099</v>
      </c>
      <c r="AP121" s="9" t="s">
        <v>110</v>
      </c>
      <c r="AQ121" s="9" t="s">
        <v>110</v>
      </c>
      <c r="AR121" s="9" t="s">
        <v>110</v>
      </c>
      <c r="AS121" s="9" t="s">
        <v>99</v>
      </c>
      <c r="AT121" s="9" t="s">
        <v>99</v>
      </c>
      <c r="AU121" s="9" t="s">
        <v>100</v>
      </c>
      <c r="AV121" s="9" t="s">
        <v>1100</v>
      </c>
      <c r="AW121" s="9" t="s">
        <v>1101</v>
      </c>
      <c r="AX121" s="9" t="s">
        <v>1102</v>
      </c>
      <c r="AY121" s="9" t="s">
        <v>104</v>
      </c>
      <c r="AZ121" s="9" t="s">
        <v>104</v>
      </c>
      <c r="BA121" s="9" t="s">
        <v>104</v>
      </c>
      <c r="BB121" s="9" t="s">
        <v>105</v>
      </c>
      <c r="BC121" s="9" t="s">
        <v>105</v>
      </c>
      <c r="BD121" s="9" t="s">
        <v>105</v>
      </c>
      <c r="BE121" s="9" t="s">
        <v>105</v>
      </c>
      <c r="BF121" s="9" t="s">
        <v>105</v>
      </c>
      <c r="BG121" s="9" t="s">
        <v>105</v>
      </c>
      <c r="BH121" s="9" t="s">
        <v>105</v>
      </c>
      <c r="BI121" s="9" t="s">
        <v>105</v>
      </c>
      <c r="BJ121" s="9" t="s">
        <v>106</v>
      </c>
      <c r="BK121" s="9" t="s">
        <v>107</v>
      </c>
      <c r="BL121" s="9" t="s">
        <v>105</v>
      </c>
      <c r="BM121" s="9" t="s">
        <v>99</v>
      </c>
      <c r="BN121" s="9" t="s">
        <v>99</v>
      </c>
      <c r="BO121" s="9" t="s">
        <v>100</v>
      </c>
      <c r="BP121" s="9" t="s">
        <v>110</v>
      </c>
      <c r="BQ121" s="9" t="s">
        <v>110</v>
      </c>
      <c r="BR121" s="9" t="s">
        <v>110</v>
      </c>
      <c r="BS121" s="9"/>
    </row>
    <row r="122" spans="1:71" x14ac:dyDescent="0.25">
      <c r="A122" s="9" t="s">
        <v>1202</v>
      </c>
      <c r="B122" s="9" t="s">
        <v>1203</v>
      </c>
      <c r="C122" s="9" t="s">
        <v>1625</v>
      </c>
      <c r="D122" s="9" t="s">
        <v>1626</v>
      </c>
      <c r="E122" s="9" t="s">
        <v>1627</v>
      </c>
      <c r="F122" s="9" t="s">
        <v>1628</v>
      </c>
      <c r="G122" s="9" t="s">
        <v>1627</v>
      </c>
      <c r="H122" s="9" t="s">
        <v>1631</v>
      </c>
      <c r="I122" s="9" t="s">
        <v>6</v>
      </c>
      <c r="J122" s="9" t="s">
        <v>1209</v>
      </c>
      <c r="K122" s="9" t="s">
        <v>1209</v>
      </c>
      <c r="L122" s="9" t="s">
        <v>1627</v>
      </c>
      <c r="M122" s="9" t="s">
        <v>1093</v>
      </c>
      <c r="N122" s="9" t="s">
        <v>1627</v>
      </c>
      <c r="O122" s="9" t="s">
        <v>1631</v>
      </c>
      <c r="P122" s="9" t="s">
        <v>1094</v>
      </c>
      <c r="Q122" s="9" t="s">
        <v>1210</v>
      </c>
      <c r="R122" s="9" t="s">
        <v>1094</v>
      </c>
      <c r="S122" s="9" t="s">
        <v>82</v>
      </c>
      <c r="T122" s="9" t="s">
        <v>83</v>
      </c>
      <c r="U122" s="9" t="s">
        <v>1103</v>
      </c>
      <c r="V122" s="9" t="s">
        <v>85</v>
      </c>
      <c r="W122" s="9" t="s">
        <v>1104</v>
      </c>
      <c r="X122" s="9" t="s">
        <v>1209</v>
      </c>
      <c r="Y122" s="9" t="s">
        <v>1630</v>
      </c>
      <c r="Z122" s="9" t="s">
        <v>1212</v>
      </c>
      <c r="AA122" s="9"/>
      <c r="AB122" s="9" t="s">
        <v>703</v>
      </c>
      <c r="AC122" s="9" t="s">
        <v>88</v>
      </c>
      <c r="AD122" s="9" t="s">
        <v>1213</v>
      </c>
      <c r="AE122" s="9" t="s">
        <v>89</v>
      </c>
      <c r="AF122" s="9" t="s">
        <v>1466</v>
      </c>
      <c r="AG122" s="9" t="s">
        <v>1095</v>
      </c>
      <c r="AH122" s="9" t="s">
        <v>1096</v>
      </c>
      <c r="AI122" s="9" t="s">
        <v>92</v>
      </c>
      <c r="AJ122" s="9" t="s">
        <v>92</v>
      </c>
      <c r="AK122" s="9" t="s">
        <v>1097</v>
      </c>
      <c r="AL122" s="9" t="s">
        <v>92</v>
      </c>
      <c r="AM122" s="9" t="s">
        <v>92</v>
      </c>
      <c r="AN122" s="9" t="s">
        <v>1098</v>
      </c>
      <c r="AO122" s="9" t="s">
        <v>1099</v>
      </c>
      <c r="AP122" s="9" t="s">
        <v>1105</v>
      </c>
      <c r="AQ122" s="9" t="s">
        <v>1106</v>
      </c>
      <c r="AR122" s="9" t="s">
        <v>1107</v>
      </c>
      <c r="AS122" s="9" t="s">
        <v>99</v>
      </c>
      <c r="AT122" s="9" t="s">
        <v>99</v>
      </c>
      <c r="AU122" s="9" t="s">
        <v>100</v>
      </c>
      <c r="AV122" s="9" t="s">
        <v>1100</v>
      </c>
      <c r="AW122" s="9" t="s">
        <v>1101</v>
      </c>
      <c r="AX122" s="9" t="s">
        <v>1102</v>
      </c>
      <c r="AY122" s="9" t="s">
        <v>104</v>
      </c>
      <c r="AZ122" s="9" t="s">
        <v>104</v>
      </c>
      <c r="BA122" s="9" t="s">
        <v>104</v>
      </c>
      <c r="BB122" s="9" t="s">
        <v>105</v>
      </c>
      <c r="BC122" s="9" t="s">
        <v>105</v>
      </c>
      <c r="BD122" s="9" t="s">
        <v>105</v>
      </c>
      <c r="BE122" s="9" t="s">
        <v>105</v>
      </c>
      <c r="BF122" s="9" t="s">
        <v>105</v>
      </c>
      <c r="BG122" s="9" t="s">
        <v>105</v>
      </c>
      <c r="BH122" s="9" t="s">
        <v>105</v>
      </c>
      <c r="BI122" s="9" t="s">
        <v>105</v>
      </c>
      <c r="BJ122" s="9" t="s">
        <v>106</v>
      </c>
      <c r="BK122" s="9" t="s">
        <v>107</v>
      </c>
      <c r="BL122" s="9" t="s">
        <v>105</v>
      </c>
      <c r="BM122" s="9" t="s">
        <v>99</v>
      </c>
      <c r="BN122" s="9" t="s">
        <v>99</v>
      </c>
      <c r="BO122" s="9" t="s">
        <v>100</v>
      </c>
      <c r="BP122" s="9" t="s">
        <v>1105</v>
      </c>
      <c r="BQ122" s="9" t="s">
        <v>1106</v>
      </c>
      <c r="BR122" s="9" t="s">
        <v>1107</v>
      </c>
      <c r="BS122" s="9"/>
    </row>
    <row r="123" spans="1:71" x14ac:dyDescent="0.25">
      <c r="A123" s="9" t="s">
        <v>1202</v>
      </c>
      <c r="B123" s="9" t="s">
        <v>1203</v>
      </c>
      <c r="C123" s="9" t="s">
        <v>1632</v>
      </c>
      <c r="D123" s="9" t="s">
        <v>1633</v>
      </c>
      <c r="E123" s="9" t="s">
        <v>1634</v>
      </c>
      <c r="F123" s="9" t="s">
        <v>1635</v>
      </c>
      <c r="G123" s="9" t="s">
        <v>1634</v>
      </c>
      <c r="H123" s="9" t="s">
        <v>1636</v>
      </c>
      <c r="I123" s="9" t="s">
        <v>6</v>
      </c>
      <c r="J123" s="9" t="s">
        <v>1209</v>
      </c>
      <c r="K123" s="9" t="s">
        <v>1209</v>
      </c>
      <c r="L123" s="9" t="s">
        <v>1634</v>
      </c>
      <c r="M123" s="9" t="s">
        <v>1108</v>
      </c>
      <c r="N123" s="9" t="s">
        <v>1634</v>
      </c>
      <c r="O123" s="9" t="s">
        <v>1636</v>
      </c>
      <c r="P123" s="9" t="s">
        <v>92</v>
      </c>
      <c r="Q123" s="9" t="s">
        <v>1210</v>
      </c>
      <c r="R123" s="9" t="s">
        <v>1109</v>
      </c>
      <c r="S123" s="9" t="s">
        <v>82</v>
      </c>
      <c r="T123" s="9" t="s">
        <v>108</v>
      </c>
      <c r="U123" s="9" t="s">
        <v>108</v>
      </c>
      <c r="V123" s="9" t="s">
        <v>85</v>
      </c>
      <c r="W123" s="9" t="s">
        <v>109</v>
      </c>
      <c r="X123" s="9" t="s">
        <v>1209</v>
      </c>
      <c r="Y123" s="9" t="s">
        <v>1637</v>
      </c>
      <c r="Z123" s="9" t="s">
        <v>1212</v>
      </c>
      <c r="AA123" s="9" t="s">
        <v>1110</v>
      </c>
      <c r="AB123" s="9" t="s">
        <v>167</v>
      </c>
      <c r="AC123" s="9" t="s">
        <v>88</v>
      </c>
      <c r="AD123" s="9" t="s">
        <v>1213</v>
      </c>
      <c r="AE123" s="9" t="s">
        <v>89</v>
      </c>
      <c r="AF123" s="9" t="s">
        <v>1247</v>
      </c>
      <c r="AG123" s="9" t="s">
        <v>1111</v>
      </c>
      <c r="AH123" s="9" t="s">
        <v>1112</v>
      </c>
      <c r="AI123" s="9" t="s">
        <v>92</v>
      </c>
      <c r="AJ123" s="9" t="s">
        <v>92</v>
      </c>
      <c r="AK123" s="9" t="s">
        <v>1113</v>
      </c>
      <c r="AL123" s="9" t="s">
        <v>92</v>
      </c>
      <c r="AM123" s="9" t="s">
        <v>92</v>
      </c>
      <c r="AN123" s="9" t="s">
        <v>1114</v>
      </c>
      <c r="AO123" s="9" t="s">
        <v>1115</v>
      </c>
      <c r="AP123" s="9" t="s">
        <v>110</v>
      </c>
      <c r="AQ123" s="9" t="s">
        <v>110</v>
      </c>
      <c r="AR123" s="9" t="s">
        <v>110</v>
      </c>
      <c r="AS123" s="9" t="s">
        <v>99</v>
      </c>
      <c r="AT123" s="9" t="s">
        <v>99</v>
      </c>
      <c r="AU123" s="9" t="s">
        <v>100</v>
      </c>
      <c r="AV123" s="9" t="s">
        <v>1116</v>
      </c>
      <c r="AW123" s="9" t="s">
        <v>1117</v>
      </c>
      <c r="AX123" s="9" t="s">
        <v>1118</v>
      </c>
      <c r="AY123" s="9" t="s">
        <v>104</v>
      </c>
      <c r="AZ123" s="9" t="s">
        <v>104</v>
      </c>
      <c r="BA123" s="9" t="s">
        <v>104</v>
      </c>
      <c r="BB123" s="9" t="s">
        <v>105</v>
      </c>
      <c r="BC123" s="9" t="s">
        <v>105</v>
      </c>
      <c r="BD123" s="9" t="s">
        <v>105</v>
      </c>
      <c r="BE123" s="9" t="s">
        <v>105</v>
      </c>
      <c r="BF123" s="9" t="s">
        <v>105</v>
      </c>
      <c r="BG123" s="9" t="s">
        <v>105</v>
      </c>
      <c r="BH123" s="9" t="s">
        <v>105</v>
      </c>
      <c r="BI123" s="9" t="s">
        <v>105</v>
      </c>
      <c r="BJ123" s="9" t="s">
        <v>106</v>
      </c>
      <c r="BK123" s="9" t="s">
        <v>107</v>
      </c>
      <c r="BL123" s="9" t="s">
        <v>105</v>
      </c>
      <c r="BM123" s="9" t="s">
        <v>99</v>
      </c>
      <c r="BN123" s="9" t="s">
        <v>99</v>
      </c>
      <c r="BO123" s="9" t="s">
        <v>100</v>
      </c>
      <c r="BP123" s="9" t="s">
        <v>110</v>
      </c>
      <c r="BQ123" s="9" t="s">
        <v>110</v>
      </c>
      <c r="BR123" s="9" t="s">
        <v>110</v>
      </c>
      <c r="BS123" s="9"/>
    </row>
    <row r="124" spans="1:71" x14ac:dyDescent="0.25">
      <c r="A124" s="9" t="s">
        <v>1202</v>
      </c>
      <c r="B124" s="9" t="s">
        <v>1203</v>
      </c>
      <c r="C124" s="9" t="s">
        <v>1632</v>
      </c>
      <c r="D124" s="9" t="s">
        <v>1633</v>
      </c>
      <c r="E124" s="9" t="s">
        <v>1634</v>
      </c>
      <c r="F124" s="9" t="s">
        <v>1635</v>
      </c>
      <c r="G124" s="9" t="s">
        <v>1634</v>
      </c>
      <c r="H124" s="9" t="s">
        <v>1638</v>
      </c>
      <c r="I124" s="9" t="s">
        <v>6</v>
      </c>
      <c r="J124" s="9" t="s">
        <v>1209</v>
      </c>
      <c r="K124" s="9" t="s">
        <v>1209</v>
      </c>
      <c r="L124" s="9" t="s">
        <v>1634</v>
      </c>
      <c r="M124" s="9" t="s">
        <v>1108</v>
      </c>
      <c r="N124" s="9" t="s">
        <v>1634</v>
      </c>
      <c r="O124" s="9" t="s">
        <v>1638</v>
      </c>
      <c r="P124" s="9" t="s">
        <v>1109</v>
      </c>
      <c r="Q124" s="9" t="s">
        <v>1210</v>
      </c>
      <c r="R124" s="9" t="s">
        <v>1109</v>
      </c>
      <c r="S124" s="9" t="s">
        <v>82</v>
      </c>
      <c r="T124" s="9" t="s">
        <v>83</v>
      </c>
      <c r="U124" s="9" t="s">
        <v>1119</v>
      </c>
      <c r="V124" s="9" t="s">
        <v>85</v>
      </c>
      <c r="W124" s="9" t="s">
        <v>1120</v>
      </c>
      <c r="X124" s="9" t="s">
        <v>1209</v>
      </c>
      <c r="Y124" s="9" t="s">
        <v>1637</v>
      </c>
      <c r="Z124" s="9" t="s">
        <v>1212</v>
      </c>
      <c r="AA124" s="9" t="s">
        <v>1110</v>
      </c>
      <c r="AB124" s="9" t="s">
        <v>167</v>
      </c>
      <c r="AC124" s="9" t="s">
        <v>88</v>
      </c>
      <c r="AD124" s="9" t="s">
        <v>1213</v>
      </c>
      <c r="AE124" s="9" t="s">
        <v>89</v>
      </c>
      <c r="AF124" s="9" t="s">
        <v>1247</v>
      </c>
      <c r="AG124" s="9" t="s">
        <v>1111</v>
      </c>
      <c r="AH124" s="9" t="s">
        <v>1112</v>
      </c>
      <c r="AI124" s="9" t="s">
        <v>92</v>
      </c>
      <c r="AJ124" s="9" t="s">
        <v>92</v>
      </c>
      <c r="AK124" s="9" t="s">
        <v>1113</v>
      </c>
      <c r="AL124" s="9" t="s">
        <v>92</v>
      </c>
      <c r="AM124" s="9" t="s">
        <v>92</v>
      </c>
      <c r="AN124" s="9" t="s">
        <v>1114</v>
      </c>
      <c r="AO124" s="9" t="s">
        <v>1115</v>
      </c>
      <c r="AP124" s="9" t="s">
        <v>1121</v>
      </c>
      <c r="AQ124" s="9" t="s">
        <v>1122</v>
      </c>
      <c r="AR124" s="9" t="s">
        <v>1123</v>
      </c>
      <c r="AS124" s="9" t="s">
        <v>99</v>
      </c>
      <c r="AT124" s="9" t="s">
        <v>99</v>
      </c>
      <c r="AU124" s="9" t="s">
        <v>100</v>
      </c>
      <c r="AV124" s="9" t="s">
        <v>1116</v>
      </c>
      <c r="AW124" s="9" t="s">
        <v>1117</v>
      </c>
      <c r="AX124" s="9" t="s">
        <v>1118</v>
      </c>
      <c r="AY124" s="9" t="s">
        <v>104</v>
      </c>
      <c r="AZ124" s="9" t="s">
        <v>104</v>
      </c>
      <c r="BA124" s="9" t="s">
        <v>104</v>
      </c>
      <c r="BB124" s="9" t="s">
        <v>105</v>
      </c>
      <c r="BC124" s="9" t="s">
        <v>105</v>
      </c>
      <c r="BD124" s="9" t="s">
        <v>105</v>
      </c>
      <c r="BE124" s="9" t="s">
        <v>105</v>
      </c>
      <c r="BF124" s="9" t="s">
        <v>105</v>
      </c>
      <c r="BG124" s="9" t="s">
        <v>105</v>
      </c>
      <c r="BH124" s="9" t="s">
        <v>105</v>
      </c>
      <c r="BI124" s="9" t="s">
        <v>105</v>
      </c>
      <c r="BJ124" s="9" t="s">
        <v>106</v>
      </c>
      <c r="BK124" s="9" t="s">
        <v>107</v>
      </c>
      <c r="BL124" s="9" t="s">
        <v>105</v>
      </c>
      <c r="BM124" s="9" t="s">
        <v>99</v>
      </c>
      <c r="BN124" s="9" t="s">
        <v>99</v>
      </c>
      <c r="BO124" s="9" t="s">
        <v>100</v>
      </c>
      <c r="BP124" s="9" t="s">
        <v>1121</v>
      </c>
      <c r="BQ124" s="9" t="s">
        <v>1122</v>
      </c>
      <c r="BR124" s="9" t="s">
        <v>1123</v>
      </c>
      <c r="BS124" s="9"/>
    </row>
    <row r="125" spans="1:71" x14ac:dyDescent="0.25">
      <c r="A125" s="9" t="s">
        <v>1216</v>
      </c>
      <c r="B125" s="9" t="s">
        <v>1217</v>
      </c>
      <c r="C125" s="9" t="s">
        <v>1639</v>
      </c>
      <c r="D125" s="9" t="s">
        <v>1219</v>
      </c>
      <c r="E125" s="9" t="s">
        <v>1640</v>
      </c>
      <c r="F125" s="9" t="s">
        <v>1641</v>
      </c>
      <c r="G125" s="9" t="s">
        <v>1640</v>
      </c>
      <c r="H125" s="9" t="s">
        <v>1642</v>
      </c>
      <c r="I125" s="9" t="s">
        <v>6</v>
      </c>
      <c r="J125" s="9" t="s">
        <v>1209</v>
      </c>
      <c r="K125" s="9" t="s">
        <v>1209</v>
      </c>
      <c r="L125" s="9" t="s">
        <v>1640</v>
      </c>
      <c r="M125" s="9" t="s">
        <v>1124</v>
      </c>
      <c r="N125" s="9" t="s">
        <v>1640</v>
      </c>
      <c r="O125" s="9" t="s">
        <v>1642</v>
      </c>
      <c r="P125" s="9" t="s">
        <v>1125</v>
      </c>
      <c r="Q125" s="9" t="s">
        <v>1245</v>
      </c>
      <c r="R125" s="9" t="s">
        <v>1126</v>
      </c>
      <c r="S125" s="9" t="s">
        <v>82</v>
      </c>
      <c r="T125" s="9" t="s">
        <v>1127</v>
      </c>
      <c r="U125" s="9" t="s">
        <v>1128</v>
      </c>
      <c r="V125" s="9" t="s">
        <v>85</v>
      </c>
      <c r="W125" s="9" t="s">
        <v>1129</v>
      </c>
      <c r="X125" s="9" t="s">
        <v>1209</v>
      </c>
      <c r="Y125" s="9" t="s">
        <v>1643</v>
      </c>
      <c r="Z125" s="9" t="s">
        <v>1212</v>
      </c>
      <c r="AA125" s="9" t="s">
        <v>935</v>
      </c>
      <c r="AB125" s="9" t="s">
        <v>1130</v>
      </c>
      <c r="AC125" s="9" t="s">
        <v>88</v>
      </c>
      <c r="AD125" s="9" t="s">
        <v>1213</v>
      </c>
      <c r="AE125" s="9" t="s">
        <v>89</v>
      </c>
      <c r="AF125" s="9" t="s">
        <v>1644</v>
      </c>
      <c r="AG125" s="9" t="s">
        <v>1131</v>
      </c>
      <c r="AH125" s="9" t="s">
        <v>92</v>
      </c>
      <c r="AI125" s="9" t="s">
        <v>92</v>
      </c>
      <c r="AJ125" s="9" t="s">
        <v>92</v>
      </c>
      <c r="AK125" s="9" t="s">
        <v>92</v>
      </c>
      <c r="AL125" s="9" t="s">
        <v>92</v>
      </c>
      <c r="AM125" s="9" t="s">
        <v>92</v>
      </c>
      <c r="AN125" s="9" t="s">
        <v>1132</v>
      </c>
      <c r="AO125" s="9" t="s">
        <v>108</v>
      </c>
      <c r="AP125" s="9" t="s">
        <v>105</v>
      </c>
      <c r="AQ125" s="9" t="s">
        <v>105</v>
      </c>
      <c r="AR125" s="9" t="s">
        <v>1133</v>
      </c>
      <c r="AS125" s="9" t="s">
        <v>122</v>
      </c>
      <c r="AT125" s="9" t="s">
        <v>122</v>
      </c>
      <c r="AU125" s="9" t="s">
        <v>100</v>
      </c>
      <c r="AV125" s="9" t="s">
        <v>1134</v>
      </c>
      <c r="AW125" s="9" t="s">
        <v>1135</v>
      </c>
      <c r="AX125" s="9" t="s">
        <v>1136</v>
      </c>
      <c r="AY125" s="9" t="s">
        <v>126</v>
      </c>
      <c r="AZ125" s="9" t="s">
        <v>126</v>
      </c>
      <c r="BA125" s="9" t="s">
        <v>126</v>
      </c>
      <c r="BB125" s="9" t="s">
        <v>105</v>
      </c>
      <c r="BC125" s="9" t="s">
        <v>105</v>
      </c>
      <c r="BD125" s="9" t="s">
        <v>105</v>
      </c>
      <c r="BE125" s="9" t="s">
        <v>105</v>
      </c>
      <c r="BF125" s="9" t="s">
        <v>105</v>
      </c>
      <c r="BG125" s="9" t="s">
        <v>105</v>
      </c>
      <c r="BH125" s="9" t="s">
        <v>105</v>
      </c>
      <c r="BI125" s="9" t="s">
        <v>105</v>
      </c>
      <c r="BJ125" s="9" t="s">
        <v>1137</v>
      </c>
      <c r="BK125" s="9" t="s">
        <v>1138</v>
      </c>
      <c r="BL125" s="9" t="s">
        <v>105</v>
      </c>
      <c r="BM125" s="9" t="s">
        <v>122</v>
      </c>
      <c r="BN125" s="9" t="s">
        <v>122</v>
      </c>
      <c r="BO125" s="9" t="s">
        <v>100</v>
      </c>
      <c r="BP125" s="9" t="s">
        <v>105</v>
      </c>
      <c r="BQ125" s="9" t="s">
        <v>105</v>
      </c>
      <c r="BR125" s="9" t="s">
        <v>1133</v>
      </c>
      <c r="BS125" s="9"/>
    </row>
    <row r="126" spans="1:71" x14ac:dyDescent="0.25">
      <c r="A126" s="9" t="s">
        <v>1216</v>
      </c>
      <c r="B126" s="9" t="s">
        <v>1217</v>
      </c>
      <c r="C126" s="9" t="s">
        <v>1639</v>
      </c>
      <c r="D126" s="9" t="s">
        <v>1219</v>
      </c>
      <c r="E126" s="9" t="s">
        <v>1640</v>
      </c>
      <c r="F126" s="9" t="s">
        <v>1641</v>
      </c>
      <c r="G126" s="9" t="s">
        <v>1640</v>
      </c>
      <c r="H126" s="9" t="s">
        <v>1645</v>
      </c>
      <c r="I126" s="9" t="s">
        <v>6</v>
      </c>
      <c r="J126" s="9" t="s">
        <v>1209</v>
      </c>
      <c r="K126" s="9" t="s">
        <v>1209</v>
      </c>
      <c r="L126" s="9" t="s">
        <v>1640</v>
      </c>
      <c r="M126" s="9" t="s">
        <v>1124</v>
      </c>
      <c r="N126" s="9" t="s">
        <v>1640</v>
      </c>
      <c r="O126" s="9" t="s">
        <v>1645</v>
      </c>
      <c r="P126" s="9" t="s">
        <v>1139</v>
      </c>
      <c r="Q126" s="9" t="s">
        <v>1245</v>
      </c>
      <c r="R126" s="9" t="s">
        <v>1126</v>
      </c>
      <c r="S126" s="9" t="s">
        <v>82</v>
      </c>
      <c r="T126" s="9" t="s">
        <v>1140</v>
      </c>
      <c r="U126" s="9" t="s">
        <v>1141</v>
      </c>
      <c r="V126" s="9" t="s">
        <v>85</v>
      </c>
      <c r="W126" s="9" t="s">
        <v>1142</v>
      </c>
      <c r="X126" s="9" t="s">
        <v>1209</v>
      </c>
      <c r="Y126" s="9" t="s">
        <v>1643</v>
      </c>
      <c r="Z126" s="9" t="s">
        <v>1212</v>
      </c>
      <c r="AA126" s="9" t="s">
        <v>935</v>
      </c>
      <c r="AB126" s="9" t="s">
        <v>1130</v>
      </c>
      <c r="AC126" s="9" t="s">
        <v>88</v>
      </c>
      <c r="AD126" s="9" t="s">
        <v>1213</v>
      </c>
      <c r="AE126" s="9" t="s">
        <v>89</v>
      </c>
      <c r="AF126" s="9" t="s">
        <v>1644</v>
      </c>
      <c r="AG126" s="9" t="s">
        <v>1131</v>
      </c>
      <c r="AH126" s="9" t="s">
        <v>92</v>
      </c>
      <c r="AI126" s="9" t="s">
        <v>92</v>
      </c>
      <c r="AJ126" s="9" t="s">
        <v>92</v>
      </c>
      <c r="AK126" s="9" t="s">
        <v>92</v>
      </c>
      <c r="AL126" s="9" t="s">
        <v>92</v>
      </c>
      <c r="AM126" s="9" t="s">
        <v>92</v>
      </c>
      <c r="AN126" s="9" t="s">
        <v>1132</v>
      </c>
      <c r="AO126" s="9" t="s">
        <v>108</v>
      </c>
      <c r="AP126" s="9" t="s">
        <v>105</v>
      </c>
      <c r="AQ126" s="9" t="s">
        <v>105</v>
      </c>
      <c r="AR126" s="9" t="s">
        <v>1133</v>
      </c>
      <c r="AS126" s="9" t="s">
        <v>122</v>
      </c>
      <c r="AT126" s="9" t="s">
        <v>122</v>
      </c>
      <c r="AU126" s="9" t="s">
        <v>100</v>
      </c>
      <c r="AV126" s="9" t="s">
        <v>1134</v>
      </c>
      <c r="AW126" s="9" t="s">
        <v>1135</v>
      </c>
      <c r="AX126" s="9" t="s">
        <v>1136</v>
      </c>
      <c r="AY126" s="9" t="s">
        <v>126</v>
      </c>
      <c r="AZ126" s="9" t="s">
        <v>126</v>
      </c>
      <c r="BA126" s="9" t="s">
        <v>126</v>
      </c>
      <c r="BB126" s="9" t="s">
        <v>105</v>
      </c>
      <c r="BC126" s="9" t="s">
        <v>105</v>
      </c>
      <c r="BD126" s="9" t="s">
        <v>105</v>
      </c>
      <c r="BE126" s="9" t="s">
        <v>105</v>
      </c>
      <c r="BF126" s="9" t="s">
        <v>105</v>
      </c>
      <c r="BG126" s="9" t="s">
        <v>105</v>
      </c>
      <c r="BH126" s="9" t="s">
        <v>105</v>
      </c>
      <c r="BI126" s="9" t="s">
        <v>105</v>
      </c>
      <c r="BJ126" s="9" t="s">
        <v>1143</v>
      </c>
      <c r="BK126" s="9" t="s">
        <v>1144</v>
      </c>
      <c r="BL126" s="9" t="s">
        <v>105</v>
      </c>
      <c r="BM126" s="9" t="s">
        <v>122</v>
      </c>
      <c r="BN126" s="9" t="s">
        <v>122</v>
      </c>
      <c r="BO126" s="9" t="s">
        <v>100</v>
      </c>
      <c r="BP126" s="9" t="s">
        <v>105</v>
      </c>
      <c r="BQ126" s="9" t="s">
        <v>105</v>
      </c>
      <c r="BR126" s="9" t="s">
        <v>1133</v>
      </c>
      <c r="BS126" s="9"/>
    </row>
    <row r="127" spans="1:71" x14ac:dyDescent="0.25">
      <c r="A127" s="9" t="s">
        <v>1216</v>
      </c>
      <c r="B127" s="9" t="s">
        <v>1217</v>
      </c>
      <c r="C127" s="9" t="s">
        <v>1639</v>
      </c>
      <c r="D127" s="9" t="s">
        <v>1219</v>
      </c>
      <c r="E127" s="9" t="s">
        <v>1640</v>
      </c>
      <c r="F127" s="9" t="s">
        <v>1641</v>
      </c>
      <c r="G127" s="9" t="s">
        <v>1640</v>
      </c>
      <c r="H127" s="9" t="s">
        <v>1646</v>
      </c>
      <c r="I127" s="9" t="s">
        <v>6</v>
      </c>
      <c r="J127" s="9" t="s">
        <v>1209</v>
      </c>
      <c r="K127" s="9" t="s">
        <v>1209</v>
      </c>
      <c r="L127" s="9" t="s">
        <v>1640</v>
      </c>
      <c r="M127" s="9" t="s">
        <v>1124</v>
      </c>
      <c r="N127" s="9" t="s">
        <v>1640</v>
      </c>
      <c r="O127" s="9" t="s">
        <v>1646</v>
      </c>
      <c r="P127" s="9" t="s">
        <v>1145</v>
      </c>
      <c r="Q127" s="9" t="s">
        <v>1245</v>
      </c>
      <c r="R127" s="9" t="s">
        <v>1126</v>
      </c>
      <c r="S127" s="9" t="s">
        <v>82</v>
      </c>
      <c r="T127" s="9" t="s">
        <v>1146</v>
      </c>
      <c r="U127" s="9" t="s">
        <v>1147</v>
      </c>
      <c r="V127" s="9" t="s">
        <v>85</v>
      </c>
      <c r="W127" s="9" t="s">
        <v>1148</v>
      </c>
      <c r="X127" s="9" t="s">
        <v>1209</v>
      </c>
      <c r="Y127" s="9" t="s">
        <v>1643</v>
      </c>
      <c r="Z127" s="9" t="s">
        <v>1212</v>
      </c>
      <c r="AA127" s="9" t="s">
        <v>935</v>
      </c>
      <c r="AB127" s="9" t="s">
        <v>1130</v>
      </c>
      <c r="AC127" s="9" t="s">
        <v>88</v>
      </c>
      <c r="AD127" s="9" t="s">
        <v>1213</v>
      </c>
      <c r="AE127" s="9" t="s">
        <v>89</v>
      </c>
      <c r="AF127" s="9" t="s">
        <v>1644</v>
      </c>
      <c r="AG127" s="9" t="s">
        <v>1131</v>
      </c>
      <c r="AH127" s="9" t="s">
        <v>92</v>
      </c>
      <c r="AI127" s="9" t="s">
        <v>92</v>
      </c>
      <c r="AJ127" s="9" t="s">
        <v>92</v>
      </c>
      <c r="AK127" s="9" t="s">
        <v>92</v>
      </c>
      <c r="AL127" s="9" t="s">
        <v>92</v>
      </c>
      <c r="AM127" s="9" t="s">
        <v>92</v>
      </c>
      <c r="AN127" s="9" t="s">
        <v>1132</v>
      </c>
      <c r="AO127" s="9" t="s">
        <v>108</v>
      </c>
      <c r="AP127" s="9" t="s">
        <v>105</v>
      </c>
      <c r="AQ127" s="9" t="s">
        <v>105</v>
      </c>
      <c r="AR127" s="9" t="s">
        <v>1133</v>
      </c>
      <c r="AS127" s="9" t="s">
        <v>122</v>
      </c>
      <c r="AT127" s="9" t="s">
        <v>122</v>
      </c>
      <c r="AU127" s="9" t="s">
        <v>100</v>
      </c>
      <c r="AV127" s="9" t="s">
        <v>1134</v>
      </c>
      <c r="AW127" s="9" t="s">
        <v>1135</v>
      </c>
      <c r="AX127" s="9" t="s">
        <v>1136</v>
      </c>
      <c r="AY127" s="9" t="s">
        <v>126</v>
      </c>
      <c r="AZ127" s="9" t="s">
        <v>126</v>
      </c>
      <c r="BA127" s="9" t="s">
        <v>126</v>
      </c>
      <c r="BB127" s="9" t="s">
        <v>105</v>
      </c>
      <c r="BC127" s="9" t="s">
        <v>105</v>
      </c>
      <c r="BD127" s="9" t="s">
        <v>105</v>
      </c>
      <c r="BE127" s="9" t="s">
        <v>105</v>
      </c>
      <c r="BF127" s="9" t="s">
        <v>105</v>
      </c>
      <c r="BG127" s="9" t="s">
        <v>105</v>
      </c>
      <c r="BH127" s="9" t="s">
        <v>105</v>
      </c>
      <c r="BI127" s="9" t="s">
        <v>105</v>
      </c>
      <c r="BJ127" s="9" t="s">
        <v>1149</v>
      </c>
      <c r="BK127" s="9" t="s">
        <v>1150</v>
      </c>
      <c r="BL127" s="9" t="s">
        <v>105</v>
      </c>
      <c r="BM127" s="9" t="s">
        <v>122</v>
      </c>
      <c r="BN127" s="9" t="s">
        <v>122</v>
      </c>
      <c r="BO127" s="9" t="s">
        <v>100</v>
      </c>
      <c r="BP127" s="9" t="s">
        <v>105</v>
      </c>
      <c r="BQ127" s="9" t="s">
        <v>105</v>
      </c>
      <c r="BR127" s="9" t="s">
        <v>1133</v>
      </c>
      <c r="BS127" s="9"/>
    </row>
    <row r="128" spans="1:71" x14ac:dyDescent="0.25">
      <c r="A128" s="9" t="s">
        <v>1216</v>
      </c>
      <c r="B128" s="9" t="s">
        <v>1217</v>
      </c>
      <c r="C128" s="9" t="s">
        <v>1639</v>
      </c>
      <c r="D128" s="9" t="s">
        <v>1219</v>
      </c>
      <c r="E128" s="9" t="s">
        <v>1640</v>
      </c>
      <c r="F128" s="9" t="s">
        <v>1641</v>
      </c>
      <c r="G128" s="9" t="s">
        <v>1640</v>
      </c>
      <c r="H128" s="9" t="s">
        <v>1647</v>
      </c>
      <c r="I128" s="9" t="s">
        <v>6</v>
      </c>
      <c r="J128" s="9" t="s">
        <v>1209</v>
      </c>
      <c r="K128" s="9" t="s">
        <v>1209</v>
      </c>
      <c r="L128" s="9" t="s">
        <v>1640</v>
      </c>
      <c r="M128" s="9" t="s">
        <v>1124</v>
      </c>
      <c r="N128" s="9" t="s">
        <v>1640</v>
      </c>
      <c r="O128" s="9" t="s">
        <v>1647</v>
      </c>
      <c r="P128" s="9" t="s">
        <v>1151</v>
      </c>
      <c r="Q128" s="9" t="s">
        <v>1245</v>
      </c>
      <c r="R128" s="9" t="s">
        <v>1126</v>
      </c>
      <c r="S128" s="9" t="s">
        <v>82</v>
      </c>
      <c r="T128" s="9" t="s">
        <v>1152</v>
      </c>
      <c r="U128" s="9" t="s">
        <v>1153</v>
      </c>
      <c r="V128" s="9" t="s">
        <v>85</v>
      </c>
      <c r="W128" s="9" t="s">
        <v>1154</v>
      </c>
      <c r="X128" s="9" t="s">
        <v>1209</v>
      </c>
      <c r="Y128" s="9" t="s">
        <v>1643</v>
      </c>
      <c r="Z128" s="9" t="s">
        <v>1212</v>
      </c>
      <c r="AA128" s="9" t="s">
        <v>935</v>
      </c>
      <c r="AB128" s="9" t="s">
        <v>1130</v>
      </c>
      <c r="AC128" s="9" t="s">
        <v>88</v>
      </c>
      <c r="AD128" s="9" t="s">
        <v>1213</v>
      </c>
      <c r="AE128" s="9" t="s">
        <v>89</v>
      </c>
      <c r="AF128" s="9" t="s">
        <v>1644</v>
      </c>
      <c r="AG128" s="9" t="s">
        <v>1131</v>
      </c>
      <c r="AH128" s="9" t="s">
        <v>92</v>
      </c>
      <c r="AI128" s="9" t="s">
        <v>92</v>
      </c>
      <c r="AJ128" s="9" t="s">
        <v>92</v>
      </c>
      <c r="AK128" s="9" t="s">
        <v>92</v>
      </c>
      <c r="AL128" s="9" t="s">
        <v>92</v>
      </c>
      <c r="AM128" s="9" t="s">
        <v>92</v>
      </c>
      <c r="AN128" s="9" t="s">
        <v>1132</v>
      </c>
      <c r="AO128" s="9" t="s">
        <v>108</v>
      </c>
      <c r="AP128" s="9" t="s">
        <v>105</v>
      </c>
      <c r="AQ128" s="9" t="s">
        <v>105</v>
      </c>
      <c r="AR128" s="9" t="s">
        <v>1133</v>
      </c>
      <c r="AS128" s="9" t="s">
        <v>122</v>
      </c>
      <c r="AT128" s="9" t="s">
        <v>122</v>
      </c>
      <c r="AU128" s="9" t="s">
        <v>100</v>
      </c>
      <c r="AV128" s="9" t="s">
        <v>1134</v>
      </c>
      <c r="AW128" s="9" t="s">
        <v>1135</v>
      </c>
      <c r="AX128" s="9" t="s">
        <v>1136</v>
      </c>
      <c r="AY128" s="9" t="s">
        <v>126</v>
      </c>
      <c r="AZ128" s="9" t="s">
        <v>126</v>
      </c>
      <c r="BA128" s="9" t="s">
        <v>126</v>
      </c>
      <c r="BB128" s="9" t="s">
        <v>105</v>
      </c>
      <c r="BC128" s="9" t="s">
        <v>105</v>
      </c>
      <c r="BD128" s="9" t="s">
        <v>105</v>
      </c>
      <c r="BE128" s="9" t="s">
        <v>105</v>
      </c>
      <c r="BF128" s="9" t="s">
        <v>105</v>
      </c>
      <c r="BG128" s="9" t="s">
        <v>105</v>
      </c>
      <c r="BH128" s="9" t="s">
        <v>105</v>
      </c>
      <c r="BI128" s="9" t="s">
        <v>105</v>
      </c>
      <c r="BJ128" s="9" t="s">
        <v>1155</v>
      </c>
      <c r="BK128" s="9" t="s">
        <v>1156</v>
      </c>
      <c r="BL128" s="9" t="s">
        <v>105</v>
      </c>
      <c r="BM128" s="9" t="s">
        <v>122</v>
      </c>
      <c r="BN128" s="9" t="s">
        <v>122</v>
      </c>
      <c r="BO128" s="9" t="s">
        <v>100</v>
      </c>
      <c r="BP128" s="9" t="s">
        <v>105</v>
      </c>
      <c r="BQ128" s="9" t="s">
        <v>105</v>
      </c>
      <c r="BR128" s="9" t="s">
        <v>1133</v>
      </c>
      <c r="BS128" s="9"/>
    </row>
    <row r="129" spans="1:71" x14ac:dyDescent="0.25">
      <c r="A129" s="9" t="s">
        <v>1202</v>
      </c>
      <c r="B129" s="9" t="s">
        <v>1203</v>
      </c>
      <c r="C129" s="9" t="s">
        <v>1648</v>
      </c>
      <c r="D129" s="9" t="s">
        <v>1649</v>
      </c>
      <c r="E129" s="9" t="s">
        <v>1650</v>
      </c>
      <c r="F129" s="9" t="s">
        <v>1651</v>
      </c>
      <c r="G129" s="9" t="s">
        <v>1650</v>
      </c>
      <c r="H129" s="9" t="s">
        <v>1652</v>
      </c>
      <c r="I129" s="9" t="s">
        <v>6</v>
      </c>
      <c r="J129" s="9" t="s">
        <v>1209</v>
      </c>
      <c r="K129" s="9" t="s">
        <v>1209</v>
      </c>
      <c r="L129" s="9" t="s">
        <v>1650</v>
      </c>
      <c r="M129" s="9" t="s">
        <v>1157</v>
      </c>
      <c r="N129" s="9" t="s">
        <v>1650</v>
      </c>
      <c r="O129" s="9" t="s">
        <v>1652</v>
      </c>
      <c r="P129" s="9" t="s">
        <v>1158</v>
      </c>
      <c r="Q129" s="9" t="s">
        <v>1210</v>
      </c>
      <c r="R129" s="9" t="s">
        <v>1158</v>
      </c>
      <c r="S129" s="9" t="s">
        <v>82</v>
      </c>
      <c r="T129" s="9" t="s">
        <v>83</v>
      </c>
      <c r="U129" s="9" t="s">
        <v>1159</v>
      </c>
      <c r="V129" s="9" t="s">
        <v>85</v>
      </c>
      <c r="W129" s="9" t="s">
        <v>1160</v>
      </c>
      <c r="X129" s="9" t="s">
        <v>1209</v>
      </c>
      <c r="Y129" s="9" t="s">
        <v>1653</v>
      </c>
      <c r="Z129" s="9" t="s">
        <v>1212</v>
      </c>
      <c r="AA129" s="9" t="s">
        <v>1161</v>
      </c>
      <c r="AB129" s="9" t="s">
        <v>167</v>
      </c>
      <c r="AC129" s="9" t="s">
        <v>88</v>
      </c>
      <c r="AD129" s="9" t="s">
        <v>1213</v>
      </c>
      <c r="AE129" s="9" t="s">
        <v>89</v>
      </c>
      <c r="AF129" s="9" t="s">
        <v>1247</v>
      </c>
      <c r="AG129" s="9" t="s">
        <v>1162</v>
      </c>
      <c r="AH129" s="9" t="s">
        <v>1163</v>
      </c>
      <c r="AI129" s="9" t="s">
        <v>92</v>
      </c>
      <c r="AJ129" s="9" t="s">
        <v>92</v>
      </c>
      <c r="AK129" s="9" t="s">
        <v>1164</v>
      </c>
      <c r="AL129" s="9" t="s">
        <v>92</v>
      </c>
      <c r="AM129" s="9" t="s">
        <v>92</v>
      </c>
      <c r="AN129" s="9" t="s">
        <v>1165</v>
      </c>
      <c r="AO129" s="9" t="s">
        <v>1166</v>
      </c>
      <c r="AP129" s="9" t="s">
        <v>1167</v>
      </c>
      <c r="AQ129" s="9" t="s">
        <v>1168</v>
      </c>
      <c r="AR129" s="9" t="s">
        <v>1169</v>
      </c>
      <c r="AS129" s="9" t="s">
        <v>99</v>
      </c>
      <c r="AT129" s="9" t="s">
        <v>99</v>
      </c>
      <c r="AU129" s="9" t="s">
        <v>100</v>
      </c>
      <c r="AV129" s="9" t="s">
        <v>1170</v>
      </c>
      <c r="AW129" s="9" t="s">
        <v>1171</v>
      </c>
      <c r="AX129" s="9" t="s">
        <v>1172</v>
      </c>
      <c r="AY129" s="9" t="s">
        <v>104</v>
      </c>
      <c r="AZ129" s="9" t="s">
        <v>104</v>
      </c>
      <c r="BA129" s="9" t="s">
        <v>104</v>
      </c>
      <c r="BB129" s="9" t="s">
        <v>105</v>
      </c>
      <c r="BC129" s="9" t="s">
        <v>105</v>
      </c>
      <c r="BD129" s="9" t="s">
        <v>105</v>
      </c>
      <c r="BE129" s="9" t="s">
        <v>105</v>
      </c>
      <c r="BF129" s="9" t="s">
        <v>105</v>
      </c>
      <c r="BG129" s="9" t="s">
        <v>105</v>
      </c>
      <c r="BH129" s="9" t="s">
        <v>105</v>
      </c>
      <c r="BI129" s="9" t="s">
        <v>105</v>
      </c>
      <c r="BJ129" s="9" t="s">
        <v>106</v>
      </c>
      <c r="BK129" s="9" t="s">
        <v>107</v>
      </c>
      <c r="BL129" s="9" t="s">
        <v>105</v>
      </c>
      <c r="BM129" s="9" t="s">
        <v>99</v>
      </c>
      <c r="BN129" s="9" t="s">
        <v>99</v>
      </c>
      <c r="BO129" s="9" t="s">
        <v>100</v>
      </c>
      <c r="BP129" s="9" t="s">
        <v>1167</v>
      </c>
      <c r="BQ129" s="9" t="s">
        <v>1168</v>
      </c>
      <c r="BR129" s="9" t="s">
        <v>1169</v>
      </c>
      <c r="BS129" s="9"/>
    </row>
    <row r="130" spans="1:71" x14ac:dyDescent="0.25">
      <c r="A130" s="9" t="s">
        <v>1202</v>
      </c>
      <c r="B130" s="9" t="s">
        <v>1203</v>
      </c>
      <c r="C130" s="9" t="s">
        <v>1648</v>
      </c>
      <c r="D130" s="9" t="s">
        <v>1649</v>
      </c>
      <c r="E130" s="9" t="s">
        <v>1650</v>
      </c>
      <c r="F130" s="9" t="s">
        <v>1651</v>
      </c>
      <c r="G130" s="9" t="s">
        <v>1650</v>
      </c>
      <c r="H130" s="9" t="s">
        <v>1654</v>
      </c>
      <c r="I130" s="9" t="s">
        <v>6</v>
      </c>
      <c r="J130" s="9" t="s">
        <v>1209</v>
      </c>
      <c r="K130" s="9" t="s">
        <v>1209</v>
      </c>
      <c r="L130" s="9" t="s">
        <v>1650</v>
      </c>
      <c r="M130" s="9" t="s">
        <v>1157</v>
      </c>
      <c r="N130" s="9" t="s">
        <v>1650</v>
      </c>
      <c r="O130" s="9" t="s">
        <v>1654</v>
      </c>
      <c r="P130" s="9" t="s">
        <v>92</v>
      </c>
      <c r="Q130" s="9" t="s">
        <v>1210</v>
      </c>
      <c r="R130" s="9" t="s">
        <v>1158</v>
      </c>
      <c r="S130" s="9" t="s">
        <v>82</v>
      </c>
      <c r="T130" s="9" t="s">
        <v>108</v>
      </c>
      <c r="U130" s="9" t="s">
        <v>108</v>
      </c>
      <c r="V130" s="9" t="s">
        <v>85</v>
      </c>
      <c r="W130" s="9" t="s">
        <v>109</v>
      </c>
      <c r="X130" s="9" t="s">
        <v>1209</v>
      </c>
      <c r="Y130" s="9" t="s">
        <v>1653</v>
      </c>
      <c r="Z130" s="9" t="s">
        <v>1212</v>
      </c>
      <c r="AA130" s="9" t="s">
        <v>1161</v>
      </c>
      <c r="AB130" s="9" t="s">
        <v>167</v>
      </c>
      <c r="AC130" s="9" t="s">
        <v>88</v>
      </c>
      <c r="AD130" s="9" t="s">
        <v>1213</v>
      </c>
      <c r="AE130" s="9" t="s">
        <v>89</v>
      </c>
      <c r="AF130" s="9" t="s">
        <v>1247</v>
      </c>
      <c r="AG130" s="9" t="s">
        <v>1162</v>
      </c>
      <c r="AH130" s="9" t="s">
        <v>1163</v>
      </c>
      <c r="AI130" s="9" t="s">
        <v>92</v>
      </c>
      <c r="AJ130" s="9" t="s">
        <v>92</v>
      </c>
      <c r="AK130" s="9" t="s">
        <v>1164</v>
      </c>
      <c r="AL130" s="9" t="s">
        <v>92</v>
      </c>
      <c r="AM130" s="9" t="s">
        <v>92</v>
      </c>
      <c r="AN130" s="9" t="s">
        <v>1165</v>
      </c>
      <c r="AO130" s="9" t="s">
        <v>1166</v>
      </c>
      <c r="AP130" s="9" t="s">
        <v>110</v>
      </c>
      <c r="AQ130" s="9" t="s">
        <v>110</v>
      </c>
      <c r="AR130" s="9" t="s">
        <v>110</v>
      </c>
      <c r="AS130" s="9" t="s">
        <v>99</v>
      </c>
      <c r="AT130" s="9" t="s">
        <v>99</v>
      </c>
      <c r="AU130" s="9" t="s">
        <v>100</v>
      </c>
      <c r="AV130" s="9" t="s">
        <v>1170</v>
      </c>
      <c r="AW130" s="9" t="s">
        <v>1171</v>
      </c>
      <c r="AX130" s="9" t="s">
        <v>1172</v>
      </c>
      <c r="AY130" s="9" t="s">
        <v>104</v>
      </c>
      <c r="AZ130" s="9" t="s">
        <v>104</v>
      </c>
      <c r="BA130" s="9" t="s">
        <v>104</v>
      </c>
      <c r="BB130" s="9" t="s">
        <v>105</v>
      </c>
      <c r="BC130" s="9" t="s">
        <v>105</v>
      </c>
      <c r="BD130" s="9" t="s">
        <v>105</v>
      </c>
      <c r="BE130" s="9" t="s">
        <v>105</v>
      </c>
      <c r="BF130" s="9" t="s">
        <v>105</v>
      </c>
      <c r="BG130" s="9" t="s">
        <v>105</v>
      </c>
      <c r="BH130" s="9" t="s">
        <v>105</v>
      </c>
      <c r="BI130" s="9" t="s">
        <v>105</v>
      </c>
      <c r="BJ130" s="9" t="s">
        <v>106</v>
      </c>
      <c r="BK130" s="9" t="s">
        <v>107</v>
      </c>
      <c r="BL130" s="9" t="s">
        <v>105</v>
      </c>
      <c r="BM130" s="9" t="s">
        <v>99</v>
      </c>
      <c r="BN130" s="9" t="s">
        <v>99</v>
      </c>
      <c r="BO130" s="9" t="s">
        <v>100</v>
      </c>
      <c r="BP130" s="9" t="s">
        <v>110</v>
      </c>
      <c r="BQ130" s="9" t="s">
        <v>110</v>
      </c>
      <c r="BR130" s="9" t="s">
        <v>110</v>
      </c>
      <c r="BS130" s="9"/>
    </row>
    <row r="131" spans="1:71" x14ac:dyDescent="0.25">
      <c r="A131" s="9" t="s">
        <v>1202</v>
      </c>
      <c r="B131" s="9" t="s">
        <v>1203</v>
      </c>
      <c r="C131" s="9" t="s">
        <v>1655</v>
      </c>
      <c r="D131" s="9" t="s">
        <v>1656</v>
      </c>
      <c r="E131" s="9" t="s">
        <v>1657</v>
      </c>
      <c r="F131" s="9" t="s">
        <v>1658</v>
      </c>
      <c r="G131" s="9" t="s">
        <v>1657</v>
      </c>
      <c r="H131" s="9" t="s">
        <v>1659</v>
      </c>
      <c r="I131" s="9" t="s">
        <v>6</v>
      </c>
      <c r="J131" s="9" t="s">
        <v>1209</v>
      </c>
      <c r="K131" s="9" t="s">
        <v>1209</v>
      </c>
      <c r="L131" s="9" t="s">
        <v>1657</v>
      </c>
      <c r="M131" s="9" t="s">
        <v>1173</v>
      </c>
      <c r="N131" s="9" t="s">
        <v>1657</v>
      </c>
      <c r="O131" s="9" t="s">
        <v>1659</v>
      </c>
      <c r="P131" s="9" t="s">
        <v>92</v>
      </c>
      <c r="Q131" s="9" t="s">
        <v>1245</v>
      </c>
      <c r="R131" s="9" t="s">
        <v>1174</v>
      </c>
      <c r="S131" s="9" t="s">
        <v>82</v>
      </c>
      <c r="T131" s="9" t="s">
        <v>108</v>
      </c>
      <c r="U131" s="9" t="s">
        <v>108</v>
      </c>
      <c r="V131" s="9" t="s">
        <v>85</v>
      </c>
      <c r="W131" s="9" t="s">
        <v>109</v>
      </c>
      <c r="X131" s="9" t="s">
        <v>1209</v>
      </c>
      <c r="Y131" s="9" t="s">
        <v>1660</v>
      </c>
      <c r="Z131" s="9" t="s">
        <v>1212</v>
      </c>
      <c r="AA131" s="9"/>
      <c r="AB131" s="9" t="s">
        <v>995</v>
      </c>
      <c r="AC131" s="9" t="s">
        <v>88</v>
      </c>
      <c r="AD131" s="9" t="s">
        <v>1213</v>
      </c>
      <c r="AE131" s="9" t="s">
        <v>89</v>
      </c>
      <c r="AF131" s="9" t="s">
        <v>1599</v>
      </c>
      <c r="AG131" s="9" t="s">
        <v>1175</v>
      </c>
      <c r="AH131" s="9" t="s">
        <v>1176</v>
      </c>
      <c r="AI131" s="9" t="s">
        <v>92</v>
      </c>
      <c r="AJ131" s="9" t="s">
        <v>92</v>
      </c>
      <c r="AK131" s="9" t="s">
        <v>1177</v>
      </c>
      <c r="AL131" s="9" t="s">
        <v>92</v>
      </c>
      <c r="AM131" s="9" t="s">
        <v>92</v>
      </c>
      <c r="AN131" s="9" t="s">
        <v>1178</v>
      </c>
      <c r="AO131" s="9" t="s">
        <v>1179</v>
      </c>
      <c r="AP131" s="9" t="s">
        <v>110</v>
      </c>
      <c r="AQ131" s="9" t="s">
        <v>110</v>
      </c>
      <c r="AR131" s="9" t="s">
        <v>110</v>
      </c>
      <c r="AS131" s="9" t="s">
        <v>99</v>
      </c>
      <c r="AT131" s="9" t="s">
        <v>99</v>
      </c>
      <c r="AU131" s="9" t="s">
        <v>100</v>
      </c>
      <c r="AV131" s="9" t="s">
        <v>1180</v>
      </c>
      <c r="AW131" s="9" t="s">
        <v>1181</v>
      </c>
      <c r="AX131" s="9" t="s">
        <v>1182</v>
      </c>
      <c r="AY131" s="9" t="s">
        <v>104</v>
      </c>
      <c r="AZ131" s="9" t="s">
        <v>104</v>
      </c>
      <c r="BA131" s="9" t="s">
        <v>104</v>
      </c>
      <c r="BB131" s="9" t="s">
        <v>105</v>
      </c>
      <c r="BC131" s="9" t="s">
        <v>105</v>
      </c>
      <c r="BD131" s="9" t="s">
        <v>105</v>
      </c>
      <c r="BE131" s="9" t="s">
        <v>105</v>
      </c>
      <c r="BF131" s="9" t="s">
        <v>105</v>
      </c>
      <c r="BG131" s="9" t="s">
        <v>105</v>
      </c>
      <c r="BH131" s="9" t="s">
        <v>105</v>
      </c>
      <c r="BI131" s="9" t="s">
        <v>105</v>
      </c>
      <c r="BJ131" s="9" t="s">
        <v>178</v>
      </c>
      <c r="BK131" s="9" t="s">
        <v>179</v>
      </c>
      <c r="BL131" s="9" t="s">
        <v>105</v>
      </c>
      <c r="BM131" s="9" t="s">
        <v>99</v>
      </c>
      <c r="BN131" s="9" t="s">
        <v>99</v>
      </c>
      <c r="BO131" s="9" t="s">
        <v>100</v>
      </c>
      <c r="BP131" s="9" t="s">
        <v>110</v>
      </c>
      <c r="BQ131" s="9" t="s">
        <v>110</v>
      </c>
      <c r="BR131" s="9" t="s">
        <v>110</v>
      </c>
      <c r="BS131" s="9"/>
    </row>
    <row r="132" spans="1:71" x14ac:dyDescent="0.25">
      <c r="A132" s="9" t="s">
        <v>1202</v>
      </c>
      <c r="B132" s="9" t="s">
        <v>1203</v>
      </c>
      <c r="C132" s="9" t="s">
        <v>1655</v>
      </c>
      <c r="D132" s="9" t="s">
        <v>1656</v>
      </c>
      <c r="E132" s="9" t="s">
        <v>1657</v>
      </c>
      <c r="F132" s="9" t="s">
        <v>1658</v>
      </c>
      <c r="G132" s="9" t="s">
        <v>1657</v>
      </c>
      <c r="H132" s="9" t="s">
        <v>1661</v>
      </c>
      <c r="I132" s="9" t="s">
        <v>6</v>
      </c>
      <c r="J132" s="9" t="s">
        <v>1209</v>
      </c>
      <c r="K132" s="9" t="s">
        <v>1209</v>
      </c>
      <c r="L132" s="9" t="s">
        <v>1657</v>
      </c>
      <c r="M132" s="9" t="s">
        <v>1173</v>
      </c>
      <c r="N132" s="9" t="s">
        <v>1657</v>
      </c>
      <c r="O132" s="9" t="s">
        <v>1661</v>
      </c>
      <c r="P132" s="9" t="s">
        <v>1174</v>
      </c>
      <c r="Q132" s="9" t="s">
        <v>1245</v>
      </c>
      <c r="R132" s="9" t="s">
        <v>1174</v>
      </c>
      <c r="S132" s="9" t="s">
        <v>82</v>
      </c>
      <c r="T132" s="9" t="s">
        <v>83</v>
      </c>
      <c r="U132" s="9" t="s">
        <v>1183</v>
      </c>
      <c r="V132" s="9" t="s">
        <v>85</v>
      </c>
      <c r="W132" s="9" t="s">
        <v>1184</v>
      </c>
      <c r="X132" s="9" t="s">
        <v>1209</v>
      </c>
      <c r="Y132" s="9" t="s">
        <v>1660</v>
      </c>
      <c r="Z132" s="9" t="s">
        <v>1212</v>
      </c>
      <c r="AA132" s="9"/>
      <c r="AB132" s="9" t="s">
        <v>995</v>
      </c>
      <c r="AC132" s="9" t="s">
        <v>88</v>
      </c>
      <c r="AD132" s="9" t="s">
        <v>1213</v>
      </c>
      <c r="AE132" s="9" t="s">
        <v>89</v>
      </c>
      <c r="AF132" s="9" t="s">
        <v>1599</v>
      </c>
      <c r="AG132" s="9" t="s">
        <v>1175</v>
      </c>
      <c r="AH132" s="9" t="s">
        <v>1176</v>
      </c>
      <c r="AI132" s="9" t="s">
        <v>92</v>
      </c>
      <c r="AJ132" s="9" t="s">
        <v>92</v>
      </c>
      <c r="AK132" s="9" t="s">
        <v>1177</v>
      </c>
      <c r="AL132" s="9" t="s">
        <v>92</v>
      </c>
      <c r="AM132" s="9" t="s">
        <v>92</v>
      </c>
      <c r="AN132" s="9" t="s">
        <v>1178</v>
      </c>
      <c r="AO132" s="9" t="s">
        <v>1179</v>
      </c>
      <c r="AP132" s="9" t="s">
        <v>1185</v>
      </c>
      <c r="AQ132" s="9" t="s">
        <v>1186</v>
      </c>
      <c r="AR132" s="9" t="s">
        <v>1187</v>
      </c>
      <c r="AS132" s="9" t="s">
        <v>99</v>
      </c>
      <c r="AT132" s="9" t="s">
        <v>99</v>
      </c>
      <c r="AU132" s="9" t="s">
        <v>100</v>
      </c>
      <c r="AV132" s="9" t="s">
        <v>1180</v>
      </c>
      <c r="AW132" s="9" t="s">
        <v>1181</v>
      </c>
      <c r="AX132" s="9" t="s">
        <v>1182</v>
      </c>
      <c r="AY132" s="9" t="s">
        <v>104</v>
      </c>
      <c r="AZ132" s="9" t="s">
        <v>104</v>
      </c>
      <c r="BA132" s="9" t="s">
        <v>104</v>
      </c>
      <c r="BB132" s="9" t="s">
        <v>105</v>
      </c>
      <c r="BC132" s="9" t="s">
        <v>105</v>
      </c>
      <c r="BD132" s="9" t="s">
        <v>105</v>
      </c>
      <c r="BE132" s="9" t="s">
        <v>105</v>
      </c>
      <c r="BF132" s="9" t="s">
        <v>105</v>
      </c>
      <c r="BG132" s="9" t="s">
        <v>105</v>
      </c>
      <c r="BH132" s="9" t="s">
        <v>105</v>
      </c>
      <c r="BI132" s="9" t="s">
        <v>105</v>
      </c>
      <c r="BJ132" s="9" t="s">
        <v>178</v>
      </c>
      <c r="BK132" s="9" t="s">
        <v>179</v>
      </c>
      <c r="BL132" s="9" t="s">
        <v>105</v>
      </c>
      <c r="BM132" s="9" t="s">
        <v>99</v>
      </c>
      <c r="BN132" s="9" t="s">
        <v>99</v>
      </c>
      <c r="BO132" s="9" t="s">
        <v>100</v>
      </c>
      <c r="BP132" s="9" t="s">
        <v>1185</v>
      </c>
      <c r="BQ132" s="9" t="s">
        <v>1186</v>
      </c>
      <c r="BR132" s="9" t="s">
        <v>1187</v>
      </c>
      <c r="BS132" s="9"/>
    </row>
    <row r="133" spans="1:71" x14ac:dyDescent="0.25">
      <c r="A133" s="9" t="s">
        <v>1202</v>
      </c>
      <c r="B133" s="9" t="s">
        <v>1203</v>
      </c>
      <c r="C133" s="9" t="s">
        <v>1655</v>
      </c>
      <c r="D133" s="9" t="s">
        <v>1656</v>
      </c>
      <c r="E133" s="9" t="s">
        <v>1657</v>
      </c>
      <c r="F133" s="9" t="s">
        <v>1658</v>
      </c>
      <c r="G133" s="9" t="s">
        <v>1657</v>
      </c>
      <c r="H133" s="9" t="s">
        <v>1662</v>
      </c>
      <c r="I133" s="9" t="s">
        <v>6</v>
      </c>
      <c r="J133" s="9" t="s">
        <v>1209</v>
      </c>
      <c r="K133" s="9" t="s">
        <v>1209</v>
      </c>
      <c r="L133" s="9" t="s">
        <v>1657</v>
      </c>
      <c r="M133" s="9" t="s">
        <v>1173</v>
      </c>
      <c r="N133" s="9" t="s">
        <v>1657</v>
      </c>
      <c r="O133" s="9" t="s">
        <v>1662</v>
      </c>
      <c r="P133" s="9" t="s">
        <v>92</v>
      </c>
      <c r="Q133" s="9" t="s">
        <v>1245</v>
      </c>
      <c r="R133" s="9" t="s">
        <v>1174</v>
      </c>
      <c r="S133" s="9" t="s">
        <v>82</v>
      </c>
      <c r="T133" s="9" t="s">
        <v>108</v>
      </c>
      <c r="U133" s="9" t="s">
        <v>108</v>
      </c>
      <c r="V133" s="9" t="s">
        <v>85</v>
      </c>
      <c r="W133" s="9" t="s">
        <v>109</v>
      </c>
      <c r="X133" s="9" t="s">
        <v>1209</v>
      </c>
      <c r="Y133" s="9" t="s">
        <v>1660</v>
      </c>
      <c r="Z133" s="9" t="s">
        <v>1212</v>
      </c>
      <c r="AA133" s="9"/>
      <c r="AB133" s="9" t="s">
        <v>995</v>
      </c>
      <c r="AC133" s="9" t="s">
        <v>88</v>
      </c>
      <c r="AD133" s="9" t="s">
        <v>1213</v>
      </c>
      <c r="AE133" s="9" t="s">
        <v>89</v>
      </c>
      <c r="AF133" s="9" t="s">
        <v>1599</v>
      </c>
      <c r="AG133" s="9" t="s">
        <v>1175</v>
      </c>
      <c r="AH133" s="9" t="s">
        <v>1176</v>
      </c>
      <c r="AI133" s="9" t="s">
        <v>92</v>
      </c>
      <c r="AJ133" s="9" t="s">
        <v>92</v>
      </c>
      <c r="AK133" s="9" t="s">
        <v>1177</v>
      </c>
      <c r="AL133" s="9" t="s">
        <v>92</v>
      </c>
      <c r="AM133" s="9" t="s">
        <v>92</v>
      </c>
      <c r="AN133" s="9" t="s">
        <v>1178</v>
      </c>
      <c r="AO133" s="9" t="s">
        <v>1179</v>
      </c>
      <c r="AP133" s="9" t="s">
        <v>110</v>
      </c>
      <c r="AQ133" s="9" t="s">
        <v>110</v>
      </c>
      <c r="AR133" s="9" t="s">
        <v>110</v>
      </c>
      <c r="AS133" s="9" t="s">
        <v>99</v>
      </c>
      <c r="AT133" s="9" t="s">
        <v>99</v>
      </c>
      <c r="AU133" s="9" t="s">
        <v>100</v>
      </c>
      <c r="AV133" s="9" t="s">
        <v>1180</v>
      </c>
      <c r="AW133" s="9" t="s">
        <v>1181</v>
      </c>
      <c r="AX133" s="9" t="s">
        <v>1182</v>
      </c>
      <c r="AY133" s="9" t="s">
        <v>104</v>
      </c>
      <c r="AZ133" s="9" t="s">
        <v>104</v>
      </c>
      <c r="BA133" s="9" t="s">
        <v>104</v>
      </c>
      <c r="BB133" s="9" t="s">
        <v>105</v>
      </c>
      <c r="BC133" s="9" t="s">
        <v>105</v>
      </c>
      <c r="BD133" s="9" t="s">
        <v>105</v>
      </c>
      <c r="BE133" s="9" t="s">
        <v>105</v>
      </c>
      <c r="BF133" s="9" t="s">
        <v>105</v>
      </c>
      <c r="BG133" s="9" t="s">
        <v>105</v>
      </c>
      <c r="BH133" s="9" t="s">
        <v>105</v>
      </c>
      <c r="BI133" s="9" t="s">
        <v>105</v>
      </c>
      <c r="BJ133" s="9" t="s">
        <v>178</v>
      </c>
      <c r="BK133" s="9" t="s">
        <v>179</v>
      </c>
      <c r="BL133" s="9" t="s">
        <v>105</v>
      </c>
      <c r="BM133" s="9" t="s">
        <v>99</v>
      </c>
      <c r="BN133" s="9" t="s">
        <v>99</v>
      </c>
      <c r="BO133" s="9" t="s">
        <v>100</v>
      </c>
      <c r="BP133" s="9" t="s">
        <v>110</v>
      </c>
      <c r="BQ133" s="9" t="s">
        <v>110</v>
      </c>
      <c r="BR133" s="9" t="s">
        <v>110</v>
      </c>
      <c r="BS133" s="9"/>
    </row>
    <row r="134" spans="1:71" x14ac:dyDescent="0.25">
      <c r="A134" s="9" t="s">
        <v>1202</v>
      </c>
      <c r="B134" s="9" t="s">
        <v>1203</v>
      </c>
      <c r="C134" s="9" t="s">
        <v>1655</v>
      </c>
      <c r="D134" s="9" t="s">
        <v>1656</v>
      </c>
      <c r="E134" s="9" t="s">
        <v>1657</v>
      </c>
      <c r="F134" s="9" t="s">
        <v>1658</v>
      </c>
      <c r="G134" s="9" t="s">
        <v>1657</v>
      </c>
      <c r="H134" s="9" t="s">
        <v>1663</v>
      </c>
      <c r="I134" s="9" t="s">
        <v>6</v>
      </c>
      <c r="J134" s="9" t="s">
        <v>1209</v>
      </c>
      <c r="K134" s="9" t="s">
        <v>1209</v>
      </c>
      <c r="L134" s="9" t="s">
        <v>1657</v>
      </c>
      <c r="M134" s="9" t="s">
        <v>1173</v>
      </c>
      <c r="N134" s="9" t="s">
        <v>1657</v>
      </c>
      <c r="O134" s="9" t="s">
        <v>1663</v>
      </c>
      <c r="P134" s="9" t="s">
        <v>92</v>
      </c>
      <c r="Q134" s="9" t="s">
        <v>1245</v>
      </c>
      <c r="R134" s="9" t="s">
        <v>1174</v>
      </c>
      <c r="S134" s="9" t="s">
        <v>82</v>
      </c>
      <c r="T134" s="9" t="s">
        <v>108</v>
      </c>
      <c r="U134" s="9" t="s">
        <v>108</v>
      </c>
      <c r="V134" s="9" t="s">
        <v>85</v>
      </c>
      <c r="W134" s="9" t="s">
        <v>109</v>
      </c>
      <c r="X134" s="9" t="s">
        <v>1209</v>
      </c>
      <c r="Y134" s="9" t="s">
        <v>1660</v>
      </c>
      <c r="Z134" s="9" t="s">
        <v>1212</v>
      </c>
      <c r="AA134" s="9"/>
      <c r="AB134" s="9" t="s">
        <v>995</v>
      </c>
      <c r="AC134" s="9" t="s">
        <v>88</v>
      </c>
      <c r="AD134" s="9" t="s">
        <v>1213</v>
      </c>
      <c r="AE134" s="9" t="s">
        <v>89</v>
      </c>
      <c r="AF134" s="9" t="s">
        <v>1599</v>
      </c>
      <c r="AG134" s="9" t="s">
        <v>1175</v>
      </c>
      <c r="AH134" s="9" t="s">
        <v>1176</v>
      </c>
      <c r="AI134" s="9" t="s">
        <v>92</v>
      </c>
      <c r="AJ134" s="9" t="s">
        <v>92</v>
      </c>
      <c r="AK134" s="9" t="s">
        <v>1177</v>
      </c>
      <c r="AL134" s="9" t="s">
        <v>92</v>
      </c>
      <c r="AM134" s="9" t="s">
        <v>92</v>
      </c>
      <c r="AN134" s="9" t="s">
        <v>1178</v>
      </c>
      <c r="AO134" s="9" t="s">
        <v>1179</v>
      </c>
      <c r="AP134" s="9" t="s">
        <v>110</v>
      </c>
      <c r="AQ134" s="9" t="s">
        <v>110</v>
      </c>
      <c r="AR134" s="9" t="s">
        <v>110</v>
      </c>
      <c r="AS134" s="9" t="s">
        <v>99</v>
      </c>
      <c r="AT134" s="9" t="s">
        <v>99</v>
      </c>
      <c r="AU134" s="9" t="s">
        <v>100</v>
      </c>
      <c r="AV134" s="9" t="s">
        <v>1180</v>
      </c>
      <c r="AW134" s="9" t="s">
        <v>1181</v>
      </c>
      <c r="AX134" s="9" t="s">
        <v>1182</v>
      </c>
      <c r="AY134" s="9" t="s">
        <v>104</v>
      </c>
      <c r="AZ134" s="9" t="s">
        <v>104</v>
      </c>
      <c r="BA134" s="9" t="s">
        <v>104</v>
      </c>
      <c r="BB134" s="9" t="s">
        <v>105</v>
      </c>
      <c r="BC134" s="9" t="s">
        <v>105</v>
      </c>
      <c r="BD134" s="9" t="s">
        <v>105</v>
      </c>
      <c r="BE134" s="9" t="s">
        <v>105</v>
      </c>
      <c r="BF134" s="9" t="s">
        <v>105</v>
      </c>
      <c r="BG134" s="9" t="s">
        <v>105</v>
      </c>
      <c r="BH134" s="9" t="s">
        <v>105</v>
      </c>
      <c r="BI134" s="9" t="s">
        <v>105</v>
      </c>
      <c r="BJ134" s="9" t="s">
        <v>178</v>
      </c>
      <c r="BK134" s="9" t="s">
        <v>179</v>
      </c>
      <c r="BL134" s="9" t="s">
        <v>105</v>
      </c>
      <c r="BM134" s="9" t="s">
        <v>99</v>
      </c>
      <c r="BN134" s="9" t="s">
        <v>99</v>
      </c>
      <c r="BO134" s="9" t="s">
        <v>100</v>
      </c>
      <c r="BP134" s="9" t="s">
        <v>110</v>
      </c>
      <c r="BQ134" s="9" t="s">
        <v>110</v>
      </c>
      <c r="BR134" s="9" t="s">
        <v>110</v>
      </c>
      <c r="BS134" s="9"/>
    </row>
    <row r="135" spans="1:71" x14ac:dyDescent="0.25">
      <c r="A135" s="9" t="s">
        <v>1216</v>
      </c>
      <c r="B135" s="9" t="s">
        <v>1217</v>
      </c>
      <c r="C135" s="9" t="s">
        <v>1664</v>
      </c>
      <c r="D135" s="9" t="s">
        <v>1219</v>
      </c>
      <c r="E135" s="9" t="s">
        <v>1665</v>
      </c>
      <c r="F135" s="9" t="s">
        <v>1666</v>
      </c>
      <c r="G135" s="9" t="s">
        <v>1665</v>
      </c>
      <c r="H135" s="9" t="s">
        <v>1667</v>
      </c>
      <c r="I135" s="9" t="s">
        <v>6</v>
      </c>
      <c r="J135" s="9" t="s">
        <v>1209</v>
      </c>
      <c r="K135" s="9" t="s">
        <v>1209</v>
      </c>
      <c r="L135" s="9" t="s">
        <v>1665</v>
      </c>
      <c r="M135" s="9" t="s">
        <v>1188</v>
      </c>
      <c r="N135" s="9" t="s">
        <v>1665</v>
      </c>
      <c r="O135" s="9" t="s">
        <v>1667</v>
      </c>
      <c r="P135" s="9" t="s">
        <v>1189</v>
      </c>
      <c r="Q135" s="9" t="s">
        <v>1209</v>
      </c>
      <c r="R135" s="9" t="s">
        <v>1189</v>
      </c>
      <c r="S135" s="9" t="s">
        <v>82</v>
      </c>
      <c r="T135" s="9" t="s">
        <v>83</v>
      </c>
      <c r="U135" s="9" t="s">
        <v>1190</v>
      </c>
      <c r="V135" s="9" t="s">
        <v>85</v>
      </c>
      <c r="W135" s="9" t="s">
        <v>1191</v>
      </c>
      <c r="X135" s="9" t="s">
        <v>1209</v>
      </c>
      <c r="Y135" s="9" t="s">
        <v>1668</v>
      </c>
      <c r="Z135" s="9" t="s">
        <v>1212</v>
      </c>
      <c r="AA135" s="9" t="s">
        <v>133</v>
      </c>
      <c r="AB135" s="9" t="s">
        <v>258</v>
      </c>
      <c r="AC135" s="9" t="s">
        <v>88</v>
      </c>
      <c r="AD135" s="9" t="s">
        <v>1213</v>
      </c>
      <c r="AE135" s="9" t="s">
        <v>89</v>
      </c>
      <c r="AF135" s="9" t="s">
        <v>1286</v>
      </c>
      <c r="AG135" s="9" t="s">
        <v>1192</v>
      </c>
      <c r="AH135" s="9" t="s">
        <v>1193</v>
      </c>
      <c r="AI135" s="9" t="s">
        <v>92</v>
      </c>
      <c r="AJ135" s="9" t="s">
        <v>92</v>
      </c>
      <c r="AK135" s="9" t="s">
        <v>92</v>
      </c>
      <c r="AL135" s="9" t="s">
        <v>92</v>
      </c>
      <c r="AM135" s="9" t="s">
        <v>92</v>
      </c>
      <c r="AN135" s="9" t="s">
        <v>1194</v>
      </c>
      <c r="AO135" s="9" t="s">
        <v>1195</v>
      </c>
      <c r="AP135" s="9" t="s">
        <v>105</v>
      </c>
      <c r="AQ135" s="9" t="s">
        <v>105</v>
      </c>
      <c r="AR135" s="9" t="s">
        <v>1196</v>
      </c>
      <c r="AS135" s="9" t="s">
        <v>122</v>
      </c>
      <c r="AT135" s="9" t="s">
        <v>122</v>
      </c>
      <c r="AU135" s="9" t="s">
        <v>100</v>
      </c>
      <c r="AV135" s="9" t="s">
        <v>1197</v>
      </c>
      <c r="AW135" s="9" t="s">
        <v>1198</v>
      </c>
      <c r="AX135" s="9" t="s">
        <v>1199</v>
      </c>
      <c r="AY135" s="9" t="s">
        <v>126</v>
      </c>
      <c r="AZ135" s="9" t="s">
        <v>126</v>
      </c>
      <c r="BA135" s="9" t="s">
        <v>126</v>
      </c>
      <c r="BB135" s="9" t="s">
        <v>105</v>
      </c>
      <c r="BC135" s="9" t="s">
        <v>105</v>
      </c>
      <c r="BD135" s="9" t="s">
        <v>105</v>
      </c>
      <c r="BE135" s="9" t="s">
        <v>105</v>
      </c>
      <c r="BF135" s="9" t="s">
        <v>105</v>
      </c>
      <c r="BG135" s="9" t="s">
        <v>105</v>
      </c>
      <c r="BH135" s="9" t="s">
        <v>105</v>
      </c>
      <c r="BI135" s="9" t="s">
        <v>105</v>
      </c>
      <c r="BJ135" s="9" t="s">
        <v>1200</v>
      </c>
      <c r="BK135" s="9" t="s">
        <v>1201</v>
      </c>
      <c r="BL135" s="9" t="s">
        <v>105</v>
      </c>
      <c r="BM135" s="9" t="s">
        <v>122</v>
      </c>
      <c r="BN135" s="9" t="s">
        <v>122</v>
      </c>
      <c r="BO135" s="9" t="s">
        <v>100</v>
      </c>
      <c r="BP135" s="9" t="s">
        <v>105</v>
      </c>
      <c r="BQ135" s="9" t="s">
        <v>105</v>
      </c>
      <c r="BR135" s="9" t="s">
        <v>1196</v>
      </c>
      <c r="BS135" s="9"/>
    </row>
  </sheetData>
  <autoFilter ref="A3:BR135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31DBB7B-AD31-4DC6-8545-80C5DF9CEB8A}"/>
</file>

<file path=customXml/itemProps2.xml><?xml version="1.0" encoding="utf-8"?>
<ds:datastoreItem xmlns:ds="http://schemas.openxmlformats.org/officeDocument/2006/customXml" ds:itemID="{09CBBE40-CD3D-425E-8662-33DB17EAA0AA}"/>
</file>

<file path=customXml/itemProps3.xml><?xml version="1.0" encoding="utf-8"?>
<ds:datastoreItem xmlns:ds="http://schemas.openxmlformats.org/officeDocument/2006/customXml" ds:itemID="{3F3B2505-676C-4DC1-B4C3-F7D47C5142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Análise Univ</vt:lpstr>
      <vt:lpstr>2. Análise_Comum</vt:lpstr>
      <vt:lpstr>Aux - 69 contratos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dcterms:created xsi:type="dcterms:W3CDTF">2025-06-16T11:49:58Z</dcterms:created>
  <dcterms:modified xsi:type="dcterms:W3CDTF">2025-06-17T00:39:22Z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2025-06-17T00:28:00Z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b49fd5d3-438c-45b1-a6e6-d706d473c98f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</Properties>
</file>