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ttps://santandernet.sharepoint.com/sites/BSImplementaoTemplatesLocais/Shared Documents/Implementação Templates Locais/00. Gestão/"/>
    </mc:Choice>
  </mc:AlternateContent>
  <bookViews>
    <workbookView xWindow="0" yWindow="0" windowWidth="19200" windowHeight="6465" activeTab="1"/>
  </bookViews>
  <sheets>
    <sheet name="Plano" sheetId="2" r:id="rId1"/>
    <sheet name="Sheet1" sheetId="5" r:id="rId2"/>
    <sheet name="Plan- Granular" sheetId="1" r:id="rId3"/>
    <sheet name="Matriz de horas" sheetId="4" r:id="rId4"/>
  </sheets>
  <definedNames>
    <definedName name="_AMO_UniqueIdentifier" hidden="1">"'98fdfd1e-8a18-42d0-9169-4592737fd980'"</definedName>
    <definedName name="_xlnm._FilterDatabase" localSheetId="1" hidden="1">Sheet1!$G$2:$J$16</definedName>
    <definedName name="asefadf" localSheetId="3">#REF!</definedName>
    <definedName name="asefadf">#REF!</definedName>
    <definedName name="bn" localSheetId="3">#REF!</definedName>
    <definedName name="bn">#REF!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4" i="2" l="1"/>
  <c r="F142" i="1"/>
  <c r="E24" i="2" l="1"/>
  <c r="C45" i="2"/>
  <c r="E45" i="2"/>
  <c r="D44" i="2"/>
  <c r="E44" i="2" s="1"/>
  <c r="CG3" i="2"/>
  <c r="CG2" i="2" s="1"/>
  <c r="CF3" i="2"/>
  <c r="CF2" i="2" s="1"/>
  <c r="CE3" i="2"/>
  <c r="CE2" i="2" s="1"/>
  <c r="CD3" i="2"/>
  <c r="CD2" i="2" s="1"/>
  <c r="CC3" i="2"/>
  <c r="CC2" i="2" s="1"/>
  <c r="CG1" i="2"/>
  <c r="CF1" i="2"/>
  <c r="CE1" i="2"/>
  <c r="CD1" i="2"/>
  <c r="CC1" i="2"/>
  <c r="CB3" i="2"/>
  <c r="CB2" i="2" s="1"/>
  <c r="CA3" i="2"/>
  <c r="CA2" i="2" s="1"/>
  <c r="BZ3" i="2"/>
  <c r="BZ2" i="2" s="1"/>
  <c r="BY3" i="2"/>
  <c r="BY2" i="2" s="1"/>
  <c r="BX3" i="2"/>
  <c r="BX2" i="2" s="1"/>
  <c r="CB1" i="2"/>
  <c r="CA1" i="2"/>
  <c r="BZ1" i="2"/>
  <c r="BY1" i="2"/>
  <c r="BX1" i="2"/>
  <c r="BW3" i="2"/>
  <c r="BW2" i="2" s="1"/>
  <c r="BV3" i="2"/>
  <c r="BV2" i="2" s="1"/>
  <c r="BU3" i="2"/>
  <c r="BU2" i="2" s="1"/>
  <c r="BT3" i="2"/>
  <c r="BT2" i="2" s="1"/>
  <c r="BS3" i="2"/>
  <c r="BS2" i="2" s="1"/>
  <c r="BW1" i="2"/>
  <c r="BV1" i="2"/>
  <c r="BU1" i="2"/>
  <c r="BT1" i="2"/>
  <c r="BS1" i="2"/>
  <c r="BR3" i="2"/>
  <c r="BR2" i="2" s="1"/>
  <c r="BQ3" i="2"/>
  <c r="BQ2" i="2" s="1"/>
  <c r="BP3" i="2"/>
  <c r="BP2" i="2" s="1"/>
  <c r="BO3" i="2"/>
  <c r="BO2" i="2" s="1"/>
  <c r="BN3" i="2"/>
  <c r="BN2" i="2" s="1"/>
  <c r="BR1" i="2"/>
  <c r="BQ1" i="2"/>
  <c r="BP1" i="2"/>
  <c r="BO1" i="2"/>
  <c r="BN1" i="2"/>
  <c r="D40" i="2"/>
  <c r="E40" i="2" s="1"/>
  <c r="D41" i="2"/>
  <c r="E41" i="2" s="1"/>
  <c r="D42" i="2"/>
  <c r="E42" i="2" s="1"/>
  <c r="D43" i="2"/>
  <c r="E43" i="2" s="1"/>
  <c r="F139" i="1"/>
  <c r="F140" i="1"/>
  <c r="F128" i="1"/>
  <c r="G128" i="1"/>
  <c r="D32" i="2"/>
  <c r="E32" i="2" s="1"/>
  <c r="BM1" i="2"/>
  <c r="BL1" i="2"/>
  <c r="BK1" i="2"/>
  <c r="BJ1" i="2"/>
  <c r="BI1" i="2"/>
  <c r="BH1" i="2"/>
  <c r="BG1" i="2"/>
  <c r="BF1" i="2"/>
  <c r="BE1" i="2"/>
  <c r="BD1" i="2"/>
  <c r="BC1" i="2"/>
  <c r="BB1" i="2"/>
  <c r="BA1" i="2"/>
  <c r="AZ1" i="2"/>
  <c r="AY1" i="2"/>
  <c r="AX1" i="2"/>
  <c r="AW1" i="2"/>
  <c r="AV1" i="2"/>
  <c r="AU1" i="2"/>
  <c r="AT1" i="2"/>
  <c r="AS1" i="2"/>
  <c r="AR1" i="2"/>
  <c r="AQ1" i="2"/>
  <c r="AP1" i="2"/>
  <c r="AO1" i="2"/>
  <c r="AN1" i="2"/>
  <c r="AM1" i="2"/>
  <c r="AL1" i="2"/>
  <c r="AK1" i="2"/>
  <c r="AJ1" i="2"/>
  <c r="AI1" i="2"/>
  <c r="AH1" i="2"/>
  <c r="AG1" i="2"/>
  <c r="AF1" i="2"/>
  <c r="AE1" i="2"/>
  <c r="AD1" i="2"/>
  <c r="AC1" i="2"/>
  <c r="AB1" i="2"/>
  <c r="AA1" i="2"/>
  <c r="Z1" i="2"/>
  <c r="Y1" i="2"/>
  <c r="X1" i="2"/>
  <c r="W1" i="2"/>
  <c r="V1" i="2"/>
  <c r="U1" i="2"/>
  <c r="T1" i="2"/>
  <c r="S1" i="2"/>
  <c r="R1" i="2"/>
  <c r="Q1" i="2"/>
  <c r="P1" i="2"/>
  <c r="O1" i="2"/>
  <c r="N1" i="2"/>
  <c r="M1" i="2"/>
  <c r="L1" i="2"/>
  <c r="K1" i="2"/>
  <c r="J1" i="2"/>
  <c r="I1" i="2"/>
  <c r="H1" i="2"/>
  <c r="G1" i="2"/>
  <c r="F1" i="2"/>
  <c r="BM3" i="2"/>
  <c r="BM2" i="2" s="1"/>
  <c r="BL3" i="2"/>
  <c r="BL2" i="2" s="1"/>
  <c r="BK3" i="2"/>
  <c r="BK2" i="2" s="1"/>
  <c r="BJ3" i="2"/>
  <c r="BJ2" i="2" s="1"/>
  <c r="BI3" i="2"/>
  <c r="BI2" i="2" s="1"/>
  <c r="BH3" i="2"/>
  <c r="BH2" i="2" s="1"/>
  <c r="BG3" i="2"/>
  <c r="BG2" i="2" s="1"/>
  <c r="BF3" i="2"/>
  <c r="BF2" i="2" s="1"/>
  <c r="BE3" i="2"/>
  <c r="BE2" i="2" s="1"/>
  <c r="BD3" i="2"/>
  <c r="BD2" i="2" s="1"/>
  <c r="BC3" i="2"/>
  <c r="BC2" i="2" s="1"/>
  <c r="BB3" i="2"/>
  <c r="BB2" i="2" s="1"/>
  <c r="BA3" i="2"/>
  <c r="BA2" i="2" s="1"/>
  <c r="AZ3" i="2"/>
  <c r="AZ2" i="2" s="1"/>
  <c r="AY3" i="2"/>
  <c r="AY2" i="2" s="1"/>
  <c r="AX3" i="2"/>
  <c r="AX2" i="2" s="1"/>
  <c r="AW3" i="2"/>
  <c r="AW2" i="2" s="1"/>
  <c r="AV3" i="2"/>
  <c r="AV2" i="2" s="1"/>
  <c r="AU3" i="2"/>
  <c r="AU2" i="2" s="1"/>
  <c r="AT3" i="2"/>
  <c r="AT2" i="2" s="1"/>
  <c r="AS3" i="2"/>
  <c r="AS2" i="2" s="1"/>
  <c r="AR3" i="2"/>
  <c r="AR2" i="2" s="1"/>
  <c r="AQ3" i="2"/>
  <c r="AQ2" i="2" s="1"/>
  <c r="AP3" i="2"/>
  <c r="AP2" i="2" s="1"/>
  <c r="AO3" i="2"/>
  <c r="AO2" i="2" s="1"/>
  <c r="AN3" i="2"/>
  <c r="AN2" i="2" s="1"/>
  <c r="AM3" i="2"/>
  <c r="AM2" i="2" s="1"/>
  <c r="AL3" i="2"/>
  <c r="AL2" i="2" s="1"/>
  <c r="AK3" i="2"/>
  <c r="AK2" i="2" s="1"/>
  <c r="AJ3" i="2"/>
  <c r="AJ2" i="2" s="1"/>
  <c r="AI3" i="2"/>
  <c r="AI2" i="2" s="1"/>
  <c r="AH3" i="2"/>
  <c r="AH2" i="2" s="1"/>
  <c r="AG3" i="2"/>
  <c r="AG2" i="2" s="1"/>
  <c r="AF3" i="2"/>
  <c r="AF2" i="2" s="1"/>
  <c r="AE3" i="2"/>
  <c r="AE2" i="2" s="1"/>
  <c r="AD3" i="2"/>
  <c r="AD2" i="2" s="1"/>
  <c r="AC3" i="2"/>
  <c r="AC2" i="2" s="1"/>
  <c r="AB3" i="2"/>
  <c r="AB2" i="2" s="1"/>
  <c r="AA3" i="2"/>
  <c r="AA2" i="2" s="1"/>
  <c r="Z3" i="2"/>
  <c r="Z2" i="2" s="1"/>
  <c r="Y3" i="2"/>
  <c r="Y2" i="2" s="1"/>
  <c r="G8" i="2"/>
  <c r="H8" i="2" s="1"/>
  <c r="I8" i="2" s="1"/>
  <c r="J8" i="2" s="1"/>
  <c r="K8" i="2" s="1"/>
  <c r="L8" i="2" s="1"/>
  <c r="M8" i="2" s="1"/>
  <c r="N8" i="2" s="1"/>
  <c r="O8" i="2" s="1"/>
  <c r="P8" i="2" s="1"/>
  <c r="Q8" i="2" s="1"/>
  <c r="R8" i="2" s="1"/>
  <c r="S8" i="2" s="1"/>
  <c r="T8" i="2" s="1"/>
  <c r="U8" i="2" s="1"/>
  <c r="V8" i="2" s="1"/>
  <c r="W8" i="2" s="1"/>
  <c r="X8" i="2" s="1"/>
  <c r="Y8" i="2" s="1"/>
  <c r="Z8" i="2" s="1"/>
  <c r="AA8" i="2" s="1"/>
  <c r="AB8" i="2" s="1"/>
  <c r="AC8" i="2" s="1"/>
  <c r="AD8" i="2" s="1"/>
  <c r="AE8" i="2" s="1"/>
  <c r="AF8" i="2" s="1"/>
  <c r="AG8" i="2" s="1"/>
  <c r="AH8" i="2" s="1"/>
  <c r="AI8" i="2" s="1"/>
  <c r="AJ8" i="2" s="1"/>
  <c r="AK8" i="2" s="1"/>
  <c r="AL8" i="2" l="1"/>
  <c r="AM8" i="2" s="1"/>
  <c r="AN8" i="2" s="1"/>
  <c r="AO8" i="2" s="1"/>
  <c r="AP8" i="2" s="1"/>
  <c r="AQ8" i="2" s="1"/>
  <c r="AR8" i="2" s="1"/>
  <c r="AS8" i="2" s="1"/>
  <c r="AT8" i="2" s="1"/>
  <c r="AU8" i="2" s="1"/>
  <c r="AV8" i="2" s="1"/>
  <c r="AW8" i="2" s="1"/>
  <c r="AX8" i="2" s="1"/>
  <c r="AY8" i="2" s="1"/>
  <c r="AZ8" i="2" s="1"/>
  <c r="BA8" i="2" s="1"/>
  <c r="BB8" i="2" s="1"/>
  <c r="BC8" i="2" s="1"/>
  <c r="BD8" i="2" s="1"/>
  <c r="BE8" i="2" s="1"/>
  <c r="BF8" i="2" s="1"/>
  <c r="BG8" i="2" s="1"/>
  <c r="BH8" i="2" s="1"/>
  <c r="BI8" i="2" s="1"/>
  <c r="BJ8" i="2" s="1"/>
  <c r="BK8" i="2" s="1"/>
  <c r="BL8" i="2" s="1"/>
  <c r="BM8" i="2" s="1"/>
  <c r="BN8" i="2" s="1"/>
  <c r="BO8" i="2" s="1"/>
  <c r="BP8" i="2" s="1"/>
  <c r="BQ8" i="2" s="1"/>
  <c r="BR8" i="2" s="1"/>
  <c r="BS8" i="2" s="1"/>
  <c r="BT8" i="2" s="1"/>
  <c r="BU8" i="2" s="1"/>
  <c r="BV8" i="2" s="1"/>
  <c r="BW8" i="2" s="1"/>
  <c r="BX8" i="2" s="1"/>
  <c r="BY8" i="2" s="1"/>
  <c r="BZ8" i="2" s="1"/>
  <c r="CA8" i="2" s="1"/>
  <c r="CB8" i="2" s="1"/>
  <c r="CC8" i="2" s="1"/>
  <c r="CD8" i="2" s="1"/>
  <c r="CE8" i="2" s="1"/>
  <c r="CF8" i="2" s="1"/>
  <c r="CG8" i="2" s="1"/>
  <c r="C8" i="2" l="1"/>
  <c r="D38" i="2"/>
  <c r="E38" i="2" s="1"/>
  <c r="D37" i="2"/>
  <c r="E37" i="2" s="1"/>
  <c r="D36" i="2"/>
  <c r="E36" i="2" s="1"/>
  <c r="D35" i="2"/>
  <c r="E35" i="2" s="1"/>
  <c r="D34" i="2"/>
  <c r="E34" i="2" s="1"/>
  <c r="D33" i="2"/>
  <c r="D39" i="2"/>
  <c r="E39" i="2" s="1"/>
  <c r="D30" i="2"/>
  <c r="E30" i="2" s="1"/>
  <c r="D29" i="2"/>
  <c r="E29" i="2" s="1"/>
  <c r="D28" i="2"/>
  <c r="E28" i="2" s="1"/>
  <c r="D27" i="2"/>
  <c r="E27" i="2" s="1"/>
  <c r="D26" i="2"/>
  <c r="E26" i="2" s="1"/>
  <c r="D25" i="2"/>
  <c r="D23" i="2"/>
  <c r="E23" i="2" s="1"/>
  <c r="D22" i="2"/>
  <c r="E22" i="2" s="1"/>
  <c r="D21" i="2"/>
  <c r="E21" i="2" s="1"/>
  <c r="D20" i="2"/>
  <c r="E20" i="2" s="1"/>
  <c r="D19" i="2"/>
  <c r="E19" i="2" s="1"/>
  <c r="D18" i="2"/>
  <c r="D17" i="2"/>
  <c r="E17" i="2" s="1"/>
  <c r="D16" i="2"/>
  <c r="E16" i="2" s="1"/>
  <c r="D15" i="2"/>
  <c r="E15" i="2" s="1"/>
  <c r="D14" i="2"/>
  <c r="E14" i="2" s="1"/>
  <c r="D13" i="2"/>
  <c r="E13" i="2" s="1"/>
  <c r="D12" i="2"/>
  <c r="E12" i="2" s="1"/>
  <c r="D11" i="2"/>
  <c r="F127" i="1"/>
  <c r="F141" i="1"/>
  <c r="F137" i="1"/>
  <c r="F138" i="1"/>
  <c r="F130" i="1"/>
  <c r="F133" i="1"/>
  <c r="F134" i="1"/>
  <c r="F132" i="1"/>
  <c r="F131" i="1"/>
  <c r="F126" i="1"/>
  <c r="F125" i="1"/>
  <c r="F124" i="1"/>
  <c r="F123" i="1"/>
  <c r="F108" i="1"/>
  <c r="F107" i="1"/>
  <c r="F106" i="1"/>
  <c r="F105" i="1"/>
  <c r="F65" i="1"/>
  <c r="F64" i="1"/>
  <c r="F56" i="1"/>
  <c r="F55" i="1"/>
  <c r="F54" i="1"/>
  <c r="F53" i="1"/>
  <c r="F44" i="1"/>
  <c r="F43" i="1"/>
  <c r="F42" i="1"/>
  <c r="F41" i="1"/>
  <c r="F33" i="1"/>
  <c r="F32" i="1"/>
  <c r="F31" i="1"/>
  <c r="F30" i="1"/>
  <c r="D8" i="2" l="1"/>
  <c r="F136" i="1"/>
  <c r="F129" i="1"/>
  <c r="G129" i="1" s="1"/>
  <c r="F122" i="1"/>
  <c r="G122" i="1" s="1"/>
  <c r="F115" i="1" l="1"/>
  <c r="F114" i="1"/>
  <c r="F113" i="1"/>
  <c r="F112" i="1"/>
  <c r="F111" i="1"/>
  <c r="F110" i="1"/>
  <c r="F109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3" i="1"/>
  <c r="F62" i="1"/>
  <c r="F61" i="1"/>
  <c r="F60" i="1"/>
  <c r="F59" i="1"/>
  <c r="F58" i="1"/>
  <c r="F57" i="1"/>
  <c r="F51" i="1"/>
  <c r="F50" i="1"/>
  <c r="F49" i="1"/>
  <c r="F48" i="1"/>
  <c r="F47" i="1"/>
  <c r="F46" i="1"/>
  <c r="F45" i="1"/>
  <c r="F39" i="1"/>
  <c r="F38" i="1"/>
  <c r="F37" i="1"/>
  <c r="F36" i="1"/>
  <c r="F35" i="1"/>
  <c r="F34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2" i="1"/>
  <c r="F10" i="1"/>
  <c r="F9" i="1"/>
  <c r="F8" i="1"/>
  <c r="F7" i="1"/>
  <c r="X3" i="2"/>
  <c r="W3" i="2"/>
  <c r="V3" i="2"/>
  <c r="U3" i="2"/>
  <c r="T3" i="2"/>
  <c r="S3" i="2"/>
  <c r="R3" i="2"/>
  <c r="Q3" i="2"/>
  <c r="P3" i="2"/>
  <c r="O3" i="2"/>
  <c r="N3" i="2"/>
  <c r="M3" i="2"/>
  <c r="L3" i="2"/>
  <c r="K3" i="2"/>
  <c r="J3" i="2"/>
  <c r="I3" i="2"/>
  <c r="H3" i="2"/>
  <c r="F3" i="2"/>
  <c r="G3" i="2"/>
  <c r="F47" i="2"/>
  <c r="F6" i="1" l="1"/>
  <c r="F29" i="1"/>
  <c r="F40" i="1"/>
  <c r="F14" i="1"/>
  <c r="F52" i="1"/>
  <c r="F104" i="1"/>
  <c r="G6" i="1" l="1"/>
  <c r="F13" i="1"/>
  <c r="G13" i="1" s="1"/>
  <c r="X2" i="2"/>
  <c r="W2" i="2"/>
  <c r="V2" i="2"/>
  <c r="U2" i="2"/>
  <c r="T2" i="2"/>
  <c r="S2" i="2"/>
  <c r="R2" i="2"/>
  <c r="Q2" i="2"/>
  <c r="P2" i="2"/>
  <c r="O2" i="2"/>
  <c r="N2" i="2"/>
  <c r="M2" i="2"/>
  <c r="L2" i="2"/>
  <c r="K2" i="2"/>
  <c r="J2" i="2"/>
  <c r="I2" i="2"/>
  <c r="H2" i="2"/>
  <c r="G2" i="2"/>
  <c r="H7" i="4" l="1"/>
  <c r="G136" i="1" l="1"/>
  <c r="G135" i="1"/>
  <c r="D9" i="2" l="1"/>
  <c r="C9" i="2" s="1"/>
  <c r="J6" i="2"/>
  <c r="K6" i="2" s="1"/>
  <c r="L6" i="2" s="1"/>
  <c r="M6" i="2" s="1"/>
  <c r="N6" i="2" s="1"/>
  <c r="O6" i="2" s="1"/>
  <c r="P6" i="2" s="1"/>
  <c r="Q6" i="2" s="1"/>
  <c r="R6" i="2" s="1"/>
  <c r="S6" i="2" s="1"/>
  <c r="T6" i="2" s="1"/>
  <c r="F6" i="2"/>
  <c r="G6" i="2" s="1"/>
  <c r="H6" i="2" s="1"/>
  <c r="F2" i="2"/>
  <c r="E1" i="2" l="1"/>
  <c r="C3" i="2" l="1"/>
  <c r="C4" i="2" s="1"/>
  <c r="C5" i="2" s="1"/>
</calcChain>
</file>

<file path=xl/comments1.xml><?xml version="1.0" encoding="utf-8"?>
<comments xmlns="http://schemas.openxmlformats.org/spreadsheetml/2006/main">
  <authors>
    <author>Escaleira, Diogo Alexandre</author>
  </authors>
  <commentList>
    <comment ref="E7" authorId="0" shapeId="0">
      <text>
        <r>
          <rPr>
            <b/>
            <sz val="9"/>
            <color indexed="81"/>
            <rFont val="Tahoma"/>
            <family val="2"/>
          </rPr>
          <t>Escaleira, Diogo Alexandre:</t>
        </r>
        <r>
          <rPr>
            <sz val="9"/>
            <color indexed="81"/>
            <rFont val="Tahoma"/>
            <family val="2"/>
          </rPr>
          <t xml:space="preserve">
1 semana 1 FTE</t>
        </r>
      </text>
    </comment>
  </commentList>
</comments>
</file>

<file path=xl/sharedStrings.xml><?xml version="1.0" encoding="utf-8"?>
<sst xmlns="http://schemas.openxmlformats.org/spreadsheetml/2006/main" count="395" uniqueCount="175">
  <si>
    <t>VAL</t>
  </si>
  <si>
    <t>FTE REAIS</t>
  </si>
  <si>
    <t>FTE ESP.</t>
  </si>
  <si>
    <t>Duração (horas)</t>
  </si>
  <si>
    <t>Gestão Projeto</t>
  </si>
  <si>
    <t>Total (h)</t>
  </si>
  <si>
    <t>Satélite 79</t>
  </si>
  <si>
    <t>Tipologia de testes</t>
  </si>
  <si>
    <t>Estimação Horas</t>
  </si>
  <si>
    <t>Categorização de Testes</t>
  </si>
  <si>
    <t>Descrição</t>
  </si>
  <si>
    <t>n.a.</t>
  </si>
  <si>
    <t>Baixa</t>
  </si>
  <si>
    <t>Média</t>
  </si>
  <si>
    <t>Alta</t>
  </si>
  <si>
    <t>Simulação da especificação funcional.
Suplementarmente, realizar reuniões de validações e esclarecimentos funcionais junto do negócio/owner.</t>
  </si>
  <si>
    <t xml:space="preserve">A partir da simulação realizada, comparar resultados com a implementação de IT. </t>
  </si>
  <si>
    <t>Pressupostos</t>
  </si>
  <si>
    <t>Testes</t>
  </si>
  <si>
    <t>Serão realizados testes regressivos semanalmente (com base em reprocessamentos sobre as várias entregas)</t>
  </si>
  <si>
    <t>Assume-se que 20% dos campos entregues terão incidências/re-especificações de pequenos ajustos e devem ser re-implementados</t>
  </si>
  <si>
    <t xml:space="preserve">% dos testes </t>
  </si>
  <si>
    <t>ccontab_final_idcomb_total</t>
  </si>
  <si>
    <t>Re-testes</t>
  </si>
  <si>
    <t xml:space="preserve">invstmnt_sctr </t>
  </si>
  <si>
    <t>flg_excldd_eu_prs_cntrct</t>
  </si>
  <si>
    <t>mtrty_esg</t>
  </si>
  <si>
    <t>exposition</t>
  </si>
  <si>
    <t>erpn_unn</t>
  </si>
  <si>
    <t>flg_chrnc_physcl_rsk_cntrct</t>
  </si>
  <si>
    <t>flg_act_physcl_rsk_cntrct</t>
  </si>
  <si>
    <t xml:space="preserve">phscl_rsk_ggrph </t>
  </si>
  <si>
    <t>cnael_cntrct</t>
  </si>
  <si>
    <t>nace_cntrct</t>
  </si>
  <si>
    <t>informing_soc</t>
  </si>
  <si>
    <t>counterparty_soc</t>
  </si>
  <si>
    <t>adjustment_code</t>
  </si>
  <si>
    <t>Satélite 80 (Gran)</t>
  </si>
  <si>
    <t>typ_ep_scr</t>
  </si>
  <si>
    <t>ep_scr</t>
  </si>
  <si>
    <t>typ_epc_lbl</t>
  </si>
  <si>
    <t>epc_lbl</t>
  </si>
  <si>
    <t>Satélite 83 (Gran)</t>
  </si>
  <si>
    <t>prps_esg</t>
  </si>
  <si>
    <t>grn_fnncl_instrmnt</t>
  </si>
  <si>
    <t>fndng_type</t>
  </si>
  <si>
    <t>rsk_mtgtd_cct</t>
  </si>
  <si>
    <t>rsk_mtgtd_ccp</t>
  </si>
  <si>
    <t>amount</t>
  </si>
  <si>
    <t>Satélite 84 (Gran)</t>
  </si>
  <si>
    <t>invstmnt_sctr</t>
  </si>
  <si>
    <t>esg_sbsctr</t>
  </si>
  <si>
    <t>flg_nfrd_applcblty_cntrct</t>
  </si>
  <si>
    <t>orgntd_drng_prd</t>
  </si>
  <si>
    <t>gnrl_spcfc_prps</t>
  </si>
  <si>
    <t>spclsd_lndng</t>
  </si>
  <si>
    <t>ccm_trnvr_ttl_elgbl_cntrct</t>
  </si>
  <si>
    <t>ccm_trnvr_own_prfrmnce_algnd_cntrct</t>
  </si>
  <si>
    <t>ccm_trnvr_trnstn_alignd_cntrct</t>
  </si>
  <si>
    <t>ccm_trnvr_enblng_algnd_cntrct</t>
  </si>
  <si>
    <t>cca_trnvr_ttl_elgbl_cntrct</t>
  </si>
  <si>
    <t>cca_turnover_own_prfrmnce_algnd_cntrct</t>
  </si>
  <si>
    <t>cca_trnvr_enblng_alignd_cntrct</t>
  </si>
  <si>
    <t>wtr_trnvr_ttl_elgbl_cntrct</t>
  </si>
  <si>
    <t>wtr_turnover_own_prfrmnce_algnd_cntrct</t>
  </si>
  <si>
    <t>wtr_trnvr_enblng_alignd_cntrct</t>
  </si>
  <si>
    <t>ce_trnvr_ttl_elgbl_cntrct</t>
  </si>
  <si>
    <t>ce_turnover_own_prfrmnce_algnd_cntrct</t>
  </si>
  <si>
    <t>ce_trnvr_enblng_alignd_cntrct</t>
  </si>
  <si>
    <t>ppc_trnvr_ttl_elgbl_cntrct</t>
  </si>
  <si>
    <t>ppc_turnover_own_prfrmnce_algnd_cntrct</t>
  </si>
  <si>
    <t>bio_trnvr_ttl_elgbl_cntrct</t>
  </si>
  <si>
    <t>bio_turnover_own_prfrmnce_algnd_cntrct</t>
  </si>
  <si>
    <t>ccm_capex_ttl_elgbl_cntrct</t>
  </si>
  <si>
    <t>ccm_capex_own_prfrmnce_algnd_cntrct</t>
  </si>
  <si>
    <t>ccm_capex_trnstn_algnd_cntrct</t>
  </si>
  <si>
    <t>ccm_capex_enblng_algnd_cntrct</t>
  </si>
  <si>
    <t>cca_capex_ttl_elgbl_cntrct</t>
  </si>
  <si>
    <t>cca_capex_own_prfrmnce_algnd_cntrct</t>
  </si>
  <si>
    <t>cca_capex_enblng_algnd_cntrct</t>
  </si>
  <si>
    <t>wtr_capex_ttl_elgbl_cntrct</t>
  </si>
  <si>
    <t>wtr_capex_own_prfrmnce_algnd_cntrct</t>
  </si>
  <si>
    <t>wtr_capex_enblng_algnd_cntrct</t>
  </si>
  <si>
    <t>ce_capex_ttl_elgbl_cntrct</t>
  </si>
  <si>
    <t>ce_capex_own_prfrmnce_algnd_cntrct</t>
  </si>
  <si>
    <t>ce_capex_enblng_algnd_cntrct</t>
  </si>
  <si>
    <t>ppc_capex_ttl_elgbl_cntrct</t>
  </si>
  <si>
    <t>ppc_capex_own_prfrmnce_algnd_cntrct</t>
  </si>
  <si>
    <t>bio_capex_ttl_elgbl_cntrct</t>
  </si>
  <si>
    <t>bio_capex_own_prfrmnce_algnd_cntrct</t>
  </si>
  <si>
    <t>Satélite 93 (Gran)</t>
  </si>
  <si>
    <t>clnt_emssn_area</t>
  </si>
  <si>
    <t>src_emssn</t>
  </si>
  <si>
    <t>dt_qulty_scr</t>
  </si>
  <si>
    <t>Amnt_scp_1</t>
  </si>
  <si>
    <t>GHG_emssns_scp_1</t>
  </si>
  <si>
    <t>Amnt_scp_2</t>
  </si>
  <si>
    <t>GHG_emssns_scp_2</t>
  </si>
  <si>
    <t>Amnt_scp_3</t>
  </si>
  <si>
    <t>GHG_emssns_scp_3</t>
  </si>
  <si>
    <t>ccontab_final_idcomb_total (IDCOMB Contabilistico)</t>
  </si>
  <si>
    <t>dcon</t>
  </si>
  <si>
    <t>clcltn_apprch</t>
  </si>
  <si>
    <t>Identificação de casuísticas</t>
  </si>
  <si>
    <t xml:space="preserve">Identificar casuísticas dos paralelos </t>
  </si>
  <si>
    <t>Semanas</t>
  </si>
  <si>
    <t>Meses</t>
  </si>
  <si>
    <t>Meses p/ 2 FTE's</t>
  </si>
  <si>
    <t>1Mar25</t>
  </si>
  <si>
    <t>15Jul25</t>
  </si>
  <si>
    <t>Atividades Propostas</t>
  </si>
  <si>
    <t>Universo Corporativo (IDCOMBs)</t>
  </si>
  <si>
    <t>Métricas Contratos &amp; Clientes</t>
  </si>
  <si>
    <t>Métricas Colaterais</t>
  </si>
  <si>
    <t>Adjudicados</t>
  </si>
  <si>
    <t>Repartição de Garantias</t>
  </si>
  <si>
    <t xml:space="preserve">Gloval - Informação no Modelo de Bens Imóveis </t>
  </si>
  <si>
    <t>c/Buffer</t>
  </si>
  <si>
    <t>Conseguimos adaptar esta informação, existe muita info que está no MBI</t>
  </si>
  <si>
    <t>Incerto se conseguimos capitalizar</t>
  </si>
  <si>
    <t>Preparação dos satélites</t>
  </si>
  <si>
    <t>Geração dos Satélites Corporativos</t>
  </si>
  <si>
    <t>Geração</t>
  </si>
  <si>
    <t>specific elegible</t>
  </si>
  <si>
    <t>specific sustainable</t>
  </si>
  <si>
    <t xml:space="preserve">Vamos ter de colocar no MV &amp;MBI </t>
  </si>
  <si>
    <t>Validação &amp; testes &amp; Correções</t>
  </si>
  <si>
    <t>Reporte de Jun24 &amp; Conciliações Contabilisticas</t>
  </si>
  <si>
    <t>Documentação</t>
  </si>
  <si>
    <t>Duração (Dias)</t>
  </si>
  <si>
    <t>Paralelo Dez24 &amp; identificação de casuísticas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</si>
  <si>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</si>
  <si>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</si>
  <si>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</si>
  <si>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</si>
  <si>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</si>
  <si>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</si>
  <si>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</si>
  <si>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</si>
  <si>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</si>
  <si>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</si>
  <si>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</si>
  <si>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</si>
  <si>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</si>
  <si>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</si>
  <si>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</si>
  <si>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</si>
  <si>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Buffer</t>
  </si>
  <si>
    <t>Implementação dos Satélites Corporativos</t>
  </si>
  <si>
    <r>
      <t xml:space="preserve">Geração de </t>
    </r>
    <r>
      <rPr>
        <b/>
        <i/>
        <sz val="10"/>
        <color rgb="FFFFFFFF"/>
        <rFont val="Calibri"/>
        <family val="2"/>
        <scheme val="minor"/>
      </rPr>
      <t>Scripts</t>
    </r>
    <r>
      <rPr>
        <b/>
        <sz val="10"/>
        <color rgb="FFFFFFFF"/>
        <rFont val="Calibri"/>
        <family val="2"/>
        <scheme val="minor"/>
      </rPr>
      <t xml:space="preserve"> </t>
    </r>
    <r>
      <rPr>
        <b/>
        <i/>
        <sz val="10"/>
        <color rgb="FFFFFFFF"/>
        <rFont val="Calibri"/>
        <family val="2"/>
        <scheme val="minor"/>
      </rPr>
      <t xml:space="preserve">&amp; Passagem de conhecimento </t>
    </r>
  </si>
  <si>
    <t>Paralelo Dez24 &amp; idnetificação de casuísticas + buffer</t>
  </si>
  <si>
    <t>re-testes</t>
  </si>
  <si>
    <t>Template 4</t>
  </si>
  <si>
    <t>Satélite / Template</t>
  </si>
  <si>
    <t>Ownership</t>
  </si>
  <si>
    <t>HC / RC</t>
  </si>
  <si>
    <t>JG / RC</t>
  </si>
  <si>
    <t>Deadline s/ paralelo + s/adjudicados</t>
  </si>
  <si>
    <t>Deadline s/adjudicados - cliente</t>
  </si>
  <si>
    <t>STE 2</t>
  </si>
  <si>
    <t>Satélite 80</t>
  </si>
  <si>
    <t>Satélite 83</t>
  </si>
  <si>
    <t>Satélite 84</t>
  </si>
  <si>
    <t>Satélite 93</t>
  </si>
  <si>
    <t>Template 1</t>
  </si>
  <si>
    <t>Template 2</t>
  </si>
  <si>
    <t>Template 5</t>
  </si>
  <si>
    <t>Template 6,7,8,9</t>
  </si>
  <si>
    <t>Template 10</t>
  </si>
  <si>
    <t>Satelite 109</t>
  </si>
  <si>
    <t>STE 1</t>
  </si>
  <si>
    <t>Considerando férias + passagem de conhecimento</t>
  </si>
  <si>
    <t>PN / RC</t>
  </si>
  <si>
    <t>HF / RC</t>
  </si>
  <si>
    <t>HF / PN / RC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</si>
</sst>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dd"/>
    <numFmt numFmtId="165" formatCode="0.0"/>
    <numFmt numFmtId="166" formatCode="0.00000"/>
    <numFmt numFmtId="167" formatCode="0.000"/>
  </numFmts>
  <fonts count="33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 Light"/>
      <family val="2"/>
      <scheme val="major"/>
    </font>
    <font>
      <b/>
      <sz val="11"/>
      <color theme="3"/>
      <name val="Calibri Light"/>
      <family val="2"/>
      <scheme val="major"/>
    </font>
    <font>
      <b/>
      <sz val="10"/>
      <color theme="1"/>
      <name val="Calibri Light"/>
      <family val="2"/>
      <scheme val="major"/>
    </font>
    <font>
      <sz val="8"/>
      <color theme="1"/>
      <name val="Calibri Light"/>
      <family val="2"/>
      <scheme val="major"/>
    </font>
    <font>
      <b/>
      <sz val="8"/>
      <color theme="1"/>
      <name val="Calibri Light"/>
      <family val="2"/>
      <scheme val="major"/>
    </font>
    <font>
      <sz val="8"/>
      <color theme="0" tint="-0.499984740745262"/>
      <name val="Calibri Light"/>
      <family val="2"/>
      <scheme val="major"/>
    </font>
    <font>
      <sz val="8"/>
      <color theme="1"/>
      <name val="Calibri"/>
      <family val="2"/>
      <scheme val="minor"/>
    </font>
    <font>
      <b/>
      <sz val="10"/>
      <color theme="0"/>
      <name val="Calibri Light"/>
      <family val="2"/>
      <scheme val="major"/>
    </font>
    <font>
      <b/>
      <sz val="10"/>
      <color theme="3"/>
      <name val="Calibri Light"/>
      <family val="2"/>
      <scheme val="major"/>
    </font>
    <font>
      <b/>
      <sz val="11"/>
      <color theme="1"/>
      <name val="Santander Text"/>
      <family val="2"/>
    </font>
    <font>
      <b/>
      <sz val="10"/>
      <name val="Calibri Light"/>
      <family val="2"/>
      <scheme val="major"/>
    </font>
    <font>
      <b/>
      <sz val="8"/>
      <color theme="0" tint="-0.499984740745262"/>
      <name val="Calibri Light"/>
      <family val="2"/>
      <scheme val="major"/>
    </font>
    <font>
      <b/>
      <sz val="11"/>
      <name val="Calibri Light"/>
      <family val="2"/>
      <scheme val="major"/>
    </font>
    <font>
      <b/>
      <sz val="8"/>
      <color theme="1"/>
      <name val="Calibri"/>
      <family val="2"/>
      <scheme val="minor"/>
    </font>
    <font>
      <sz val="11"/>
      <name val="Calibri Light"/>
      <family val="2"/>
      <scheme val="major"/>
    </font>
    <font>
      <b/>
      <u/>
      <sz val="10"/>
      <color rgb="FFFF0000"/>
      <name val="Calibri Light"/>
      <family val="2"/>
      <scheme val="major"/>
    </font>
    <font>
      <sz val="10"/>
      <color theme="0"/>
      <name val="Calibri Light"/>
      <family val="2"/>
      <scheme val="maj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color rgb="FFFFFFFF"/>
      <name val="Calibri"/>
      <family val="2"/>
      <scheme val="minor"/>
    </font>
    <font>
      <sz val="10"/>
      <color rgb="FFFFFFFF"/>
      <name val="Calibri"/>
      <family val="2"/>
      <scheme val="minor"/>
    </font>
    <font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name val="Calibri Light"/>
      <family val="2"/>
      <scheme val="major"/>
    </font>
    <font>
      <sz val="8"/>
      <name val="Calibri Light"/>
      <family val="2"/>
      <scheme val="major"/>
    </font>
    <font>
      <sz val="11"/>
      <name val="Calibri"/>
      <family val="2"/>
      <scheme val="minor"/>
    </font>
    <font>
      <b/>
      <i/>
      <sz val="10"/>
      <color rgb="FFFFFFFF"/>
      <name val="Calibri"/>
      <family val="2"/>
      <scheme val="minor"/>
    </font>
    <font>
      <i/>
      <sz val="11"/>
      <name val="Calibri Light"/>
      <family val="2"/>
      <scheme val="major"/>
    </font>
    <font>
      <b/>
      <sz val="10"/>
      <color theme="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C393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hair">
        <color theme="0" tint="-0.24994659260841701"/>
      </left>
      <right style="hair">
        <color theme="0" tint="-0.24994659260841701"/>
      </right>
      <top style="hair">
        <color theme="0" tint="-0.24994659260841701"/>
      </top>
      <bottom style="hair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9">
    <xf numFmtId="0" fontId="0" fillId="0" borderId="0" xfId="0"/>
    <xf numFmtId="0" fontId="1" fillId="0" borderId="1" xfId="0" applyFont="1" applyBorder="1"/>
    <xf numFmtId="0" fontId="2" fillId="0" borderId="0" xfId="0" applyFont="1"/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2" fontId="6" fillId="0" borderId="0" xfId="0" applyNumberFormat="1" applyFont="1" applyAlignment="1">
      <alignment horizontal="center"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horizontal="left" vertical="center"/>
    </xf>
    <xf numFmtId="2" fontId="8" fillId="0" borderId="0" xfId="0" applyNumberFormat="1" applyFont="1" applyAlignment="1">
      <alignment horizontal="left" vertical="center"/>
    </xf>
    <xf numFmtId="0" fontId="9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2" fontId="12" fillId="0" borderId="0" xfId="0" applyNumberFormat="1" applyFont="1" applyAlignment="1">
      <alignment vertical="center"/>
    </xf>
    <xf numFmtId="14" fontId="4" fillId="0" borderId="0" xfId="0" applyNumberFormat="1" applyFont="1" applyAlignment="1">
      <alignment vertical="center"/>
    </xf>
    <xf numFmtId="164" fontId="13" fillId="3" borderId="0" xfId="0" applyNumberFormat="1" applyFont="1" applyFill="1" applyAlignment="1" applyProtection="1">
      <alignment horizontal="center" vertical="center"/>
      <protection hidden="1"/>
    </xf>
    <xf numFmtId="0" fontId="14" fillId="0" borderId="0" xfId="0" applyFont="1" applyAlignment="1">
      <alignment horizontal="center" vertical="center"/>
    </xf>
    <xf numFmtId="2" fontId="14" fillId="0" borderId="0" xfId="0" applyNumberFormat="1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0" borderId="2" xfId="0" applyFont="1" applyBorder="1" applyAlignment="1">
      <alignment vertical="center"/>
    </xf>
    <xf numFmtId="0" fontId="16" fillId="4" borderId="0" xfId="0" applyFont="1" applyFill="1" applyAlignment="1">
      <alignment horizontal="left" vertical="center"/>
    </xf>
    <xf numFmtId="0" fontId="6" fillId="4" borderId="0" xfId="0" applyFont="1" applyFill="1" applyAlignment="1">
      <alignment horizontal="center" vertical="center"/>
    </xf>
    <xf numFmtId="2" fontId="6" fillId="4" borderId="0" xfId="0" applyNumberFormat="1" applyFont="1" applyFill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0" fontId="18" fillId="0" borderId="0" xfId="0" applyFont="1" applyAlignment="1">
      <alignment horizontal="left" vertical="center" indent="3"/>
    </xf>
    <xf numFmtId="1" fontId="4" fillId="0" borderId="0" xfId="0" applyNumberFormat="1" applyFont="1" applyAlignment="1">
      <alignment horizontal="center" vertical="center"/>
    </xf>
    <xf numFmtId="0" fontId="19" fillId="0" borderId="0" xfId="0" applyFont="1"/>
    <xf numFmtId="0" fontId="4" fillId="0" borderId="0" xfId="0" applyFont="1"/>
    <xf numFmtId="0" fontId="11" fillId="6" borderId="3" xfId="0" applyFont="1" applyFill="1" applyBorder="1" applyAlignment="1">
      <alignment horizontal="centerContinuous"/>
    </xf>
    <xf numFmtId="0" fontId="20" fillId="6" borderId="3" xfId="0" applyFont="1" applyFill="1" applyBorder="1" applyAlignment="1">
      <alignment horizontal="centerContinuous" vertical="center"/>
    </xf>
    <xf numFmtId="0" fontId="0" fillId="0" borderId="0" xfId="0" applyAlignment="1">
      <alignment vertical="center"/>
    </xf>
    <xf numFmtId="0" fontId="14" fillId="7" borderId="3" xfId="0" applyFont="1" applyFill="1" applyBorder="1" applyAlignment="1">
      <alignment horizontal="left"/>
    </xf>
    <xf numFmtId="0" fontId="4" fillId="7" borderId="3" xfId="0" applyFont="1" applyFill="1" applyBorder="1" applyAlignment="1">
      <alignment horizontal="center" vertical="center"/>
    </xf>
    <xf numFmtId="0" fontId="4" fillId="0" borderId="3" xfId="0" applyFont="1" applyBorder="1" applyAlignment="1">
      <alignment vertical="center"/>
    </xf>
    <xf numFmtId="0" fontId="4" fillId="0" borderId="3" xfId="0" quotePrefix="1" applyFont="1" applyBorder="1" applyAlignment="1">
      <alignment wrapText="1"/>
    </xf>
    <xf numFmtId="0" fontId="4" fillId="8" borderId="3" xfId="0" applyFont="1" applyFill="1" applyBorder="1" applyAlignment="1">
      <alignment vertical="center"/>
    </xf>
    <xf numFmtId="0" fontId="2" fillId="0" borderId="0" xfId="0" applyFont="1" applyAlignment="1">
      <alignment horizontal="left" indent="1"/>
    </xf>
    <xf numFmtId="0" fontId="4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left" indent="9"/>
    </xf>
    <xf numFmtId="0" fontId="1" fillId="9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4" fontId="3" fillId="0" borderId="0" xfId="0" applyNumberFormat="1" applyFont="1" applyAlignment="1">
      <alignment horizontal="center"/>
    </xf>
    <xf numFmtId="166" fontId="0" fillId="0" borderId="0" xfId="0" applyNumberFormat="1"/>
    <xf numFmtId="0" fontId="23" fillId="11" borderId="0" xfId="0" applyFont="1" applyFill="1"/>
    <xf numFmtId="0" fontId="23" fillId="11" borderId="0" xfId="0" applyFont="1" applyFill="1" applyAlignment="1">
      <alignment horizontal="center" vertical="center"/>
    </xf>
    <xf numFmtId="0" fontId="23" fillId="12" borderId="0" xfId="0" quotePrefix="1" applyFont="1" applyFill="1" applyAlignment="1">
      <alignment horizontal="left" indent="7"/>
    </xf>
    <xf numFmtId="0" fontId="24" fillId="12" borderId="0" xfId="0" applyFont="1" applyFill="1" applyAlignment="1">
      <alignment horizontal="center" vertical="center"/>
    </xf>
    <xf numFmtId="0" fontId="23" fillId="12" borderId="0" xfId="0" applyFont="1" applyFill="1" applyAlignment="1">
      <alignment horizontal="center" vertical="center"/>
    </xf>
    <xf numFmtId="0" fontId="25" fillId="12" borderId="0" xfId="0" applyFont="1" applyFill="1" applyAlignment="1">
      <alignment horizontal="center" vertical="center"/>
    </xf>
    <xf numFmtId="165" fontId="0" fillId="0" borderId="0" xfId="0" applyNumberFormat="1"/>
    <xf numFmtId="2" fontId="27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right" vertical="center"/>
    </xf>
    <xf numFmtId="165" fontId="28" fillId="0" borderId="0" xfId="0" applyNumberFormat="1" applyFont="1" applyAlignment="1">
      <alignment horizontal="left" vertical="center"/>
    </xf>
    <xf numFmtId="165" fontId="29" fillId="0" borderId="0" xfId="0" applyNumberFormat="1" applyFont="1" applyAlignment="1">
      <alignment horizontal="left"/>
    </xf>
    <xf numFmtId="0" fontId="0" fillId="0" borderId="0" xfId="0" applyAlignment="1">
      <alignment horizontal="center"/>
    </xf>
    <xf numFmtId="0" fontId="17" fillId="4" borderId="0" xfId="0" applyFont="1" applyFill="1" applyAlignment="1">
      <alignment horizontal="center" vertical="center"/>
    </xf>
    <xf numFmtId="0" fontId="16" fillId="10" borderId="0" xfId="0" applyFont="1" applyFill="1" applyAlignment="1">
      <alignment horizontal="left" vertical="center"/>
    </xf>
    <xf numFmtId="1" fontId="6" fillId="10" borderId="0" xfId="0" applyNumberFormat="1" applyFont="1" applyFill="1" applyAlignment="1">
      <alignment horizontal="center" vertical="center"/>
    </xf>
    <xf numFmtId="2" fontId="6" fillId="10" borderId="0" xfId="0" applyNumberFormat="1" applyFont="1" applyFill="1" applyAlignment="1">
      <alignment horizontal="center" vertical="center"/>
    </xf>
    <xf numFmtId="2" fontId="17" fillId="10" borderId="0" xfId="0" applyNumberFormat="1" applyFont="1" applyFill="1" applyAlignment="1">
      <alignment horizontal="center" vertical="center"/>
    </xf>
    <xf numFmtId="2" fontId="10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64" fontId="6" fillId="5" borderId="0" xfId="0" applyNumberFormat="1" applyFont="1" applyFill="1" applyAlignment="1" applyProtection="1">
      <alignment horizontal="center" vertical="center"/>
      <protection hidden="1"/>
    </xf>
    <xf numFmtId="0" fontId="3" fillId="0" borderId="0" xfId="0" applyFont="1"/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14" fontId="3" fillId="0" borderId="0" xfId="0" quotePrefix="1" applyNumberFormat="1" applyFont="1"/>
    <xf numFmtId="4" fontId="0" fillId="0" borderId="0" xfId="0" applyNumberFormat="1" applyAlignment="1">
      <alignment horizontal="center"/>
    </xf>
    <xf numFmtId="4" fontId="0" fillId="0" borderId="0" xfId="0" applyNumberFormat="1"/>
    <xf numFmtId="0" fontId="1" fillId="9" borderId="0" xfId="0" quotePrefix="1" applyFont="1" applyFill="1" applyAlignment="1">
      <alignment horizontal="left" indent="3"/>
    </xf>
    <xf numFmtId="0" fontId="26" fillId="0" borderId="0" xfId="0" applyFont="1"/>
    <xf numFmtId="0" fontId="4" fillId="2" borderId="3" xfId="0" applyFont="1" applyFill="1" applyBorder="1" applyAlignment="1">
      <alignment horizontal="center" vertical="center"/>
    </xf>
    <xf numFmtId="1" fontId="6" fillId="5" borderId="0" xfId="0" applyNumberFormat="1" applyFont="1" applyFill="1" applyAlignment="1" applyProtection="1">
      <alignment horizontal="center" vertical="center"/>
      <protection hidden="1"/>
    </xf>
    <xf numFmtId="4" fontId="6" fillId="0" borderId="0" xfId="0" applyNumberFormat="1" applyFont="1" applyAlignment="1">
      <alignment horizontal="center" vertical="center"/>
    </xf>
    <xf numFmtId="167" fontId="6" fillId="0" borderId="0" xfId="0" applyNumberFormat="1" applyFont="1" applyAlignment="1">
      <alignment horizontal="center" vertical="center"/>
    </xf>
    <xf numFmtId="167" fontId="10" fillId="0" borderId="0" xfId="0" applyNumberFormat="1" applyFont="1" applyAlignment="1">
      <alignment horizontal="center" vertical="center"/>
    </xf>
    <xf numFmtId="0" fontId="31" fillId="0" borderId="0" xfId="0" applyFont="1" applyAlignment="1">
      <alignment horizontal="left" vertical="center" indent="3"/>
    </xf>
    <xf numFmtId="0" fontId="4" fillId="13" borderId="2" xfId="0" applyFont="1" applyFill="1" applyBorder="1" applyAlignment="1">
      <alignment vertical="center"/>
    </xf>
    <xf numFmtId="0" fontId="2" fillId="0" borderId="3" xfId="0" applyFont="1" applyBorder="1"/>
    <xf numFmtId="16" fontId="2" fillId="0" borderId="3" xfId="0" applyNumberFormat="1" applyFont="1" applyBorder="1"/>
    <xf numFmtId="0" fontId="32" fillId="12" borderId="3" xfId="0" applyFont="1" applyFill="1" applyBorder="1"/>
    <xf numFmtId="164" fontId="13" fillId="3" borderId="3" xfId="0" applyNumberFormat="1" applyFont="1" applyFill="1" applyBorder="1" applyAlignment="1" applyProtection="1">
      <alignment horizontal="center" vertical="center"/>
      <protection hidden="1"/>
    </xf>
  </cellXfs>
  <cellStyles count="1">
    <cellStyle name="Normal" xfId="0" builtinId="0"/>
  </cellStyles>
  <dxfs count="6">
    <dxf>
      <font>
        <color theme="8" tint="0.79998168889431442"/>
      </font>
      <fill>
        <patternFill>
          <bgColor theme="8" tint="0.79998168889431442"/>
        </patternFill>
      </fill>
    </dxf>
    <dxf>
      <font>
        <color rgb="FFFF0000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4" tint="0.79998168889431442"/>
        </patternFill>
      </fill>
    </dxf>
    <dxf>
      <font>
        <color rgb="FF00B050"/>
      </font>
      <fill>
        <patternFill>
          <bgColor theme="7" tint="0.79998168889431442"/>
        </patternFill>
      </fill>
    </dxf>
    <dxf>
      <font>
        <color rgb="FF00B050"/>
      </font>
    </dxf>
    <dxf>
      <font>
        <color theme="4"/>
      </font>
    </dxf>
  </dxfs>
  <tableStyles count="0" defaultTableStyle="TableStyleMedium2" defaultPivotStyle="PivotStyleLight16"/>
  <colors>
    <mruColors>
      <color rgb="FFFFAFAF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/>
  </sheetPr>
  <dimension ref="A1:CG50"/>
  <sheetViews>
    <sheetView showGridLines="0" zoomScale="90" zoomScaleNormal="90" workbookViewId="0">
      <pane xSplit="5" ySplit="7" topLeftCell="BF8" activePane="bottomRight" state="frozen"/>
      <selection pane="topRight" activeCell="J1" sqref="J1"/>
      <selection pane="bottomLeft" activeCell="A9" sqref="A9"/>
      <selection pane="bottomRight" activeCell="BQ32" sqref="BQ32"/>
    </sheetView>
  </sheetViews>
  <sheetFormatPr defaultColWidth="6.42578125" defaultRowHeight="0" customHeight="1" zeroHeight="1" outlineLevelRow="4" x14ac:dyDescent="0.25"/>
  <cols>
    <col min="1" max="1" width="3.140625" customWidth="1"/>
    <col min="2" max="2" width="57.140625" customWidth="1"/>
    <col min="3" max="4" width="21.42578125" customWidth="1"/>
    <col min="5" max="5" width="14.28515625" bestFit="1" customWidth="1"/>
    <col min="6" max="77" width="6.42578125" customWidth="1"/>
  </cols>
  <sheetData>
    <row r="1" spans="1:85" s="60" customFormat="1" ht="15" x14ac:dyDescent="0.25">
      <c r="A1" s="67"/>
      <c r="B1" s="68"/>
      <c r="C1" s="17"/>
      <c r="D1" s="5"/>
      <c r="E1" s="80">
        <f>SUM(F1:W1)</f>
        <v>144</v>
      </c>
      <c r="F1" s="67">
        <f>F4*8</f>
        <v>8</v>
      </c>
      <c r="G1" s="67">
        <f t="shared" ref="G1:BM1" si="0">G4*8</f>
        <v>8</v>
      </c>
      <c r="H1" s="67">
        <f t="shared" si="0"/>
        <v>8</v>
      </c>
      <c r="I1" s="67">
        <f t="shared" si="0"/>
        <v>8</v>
      </c>
      <c r="J1" s="67">
        <f t="shared" si="0"/>
        <v>8</v>
      </c>
      <c r="K1" s="67">
        <f t="shared" si="0"/>
        <v>8</v>
      </c>
      <c r="L1" s="67">
        <f t="shared" si="0"/>
        <v>8</v>
      </c>
      <c r="M1" s="67">
        <f t="shared" si="0"/>
        <v>8</v>
      </c>
      <c r="N1" s="67">
        <f t="shared" si="0"/>
        <v>8</v>
      </c>
      <c r="O1" s="67">
        <f t="shared" si="0"/>
        <v>8</v>
      </c>
      <c r="P1" s="67">
        <f t="shared" si="0"/>
        <v>8</v>
      </c>
      <c r="Q1" s="67">
        <f t="shared" si="0"/>
        <v>8</v>
      </c>
      <c r="R1" s="67">
        <f t="shared" si="0"/>
        <v>8</v>
      </c>
      <c r="S1" s="67">
        <f t="shared" si="0"/>
        <v>8</v>
      </c>
      <c r="T1" s="67">
        <f t="shared" si="0"/>
        <v>8</v>
      </c>
      <c r="U1" s="67">
        <f t="shared" si="0"/>
        <v>8</v>
      </c>
      <c r="V1" s="67">
        <f t="shared" si="0"/>
        <v>8</v>
      </c>
      <c r="W1" s="67">
        <f t="shared" si="0"/>
        <v>8</v>
      </c>
      <c r="X1" s="67">
        <f t="shared" si="0"/>
        <v>8</v>
      </c>
      <c r="Y1" s="67">
        <f t="shared" si="0"/>
        <v>8</v>
      </c>
      <c r="Z1" s="67">
        <f t="shared" si="0"/>
        <v>8</v>
      </c>
      <c r="AA1" s="67">
        <f t="shared" si="0"/>
        <v>8</v>
      </c>
      <c r="AB1" s="67">
        <f t="shared" si="0"/>
        <v>8</v>
      </c>
      <c r="AC1" s="67">
        <f t="shared" si="0"/>
        <v>8</v>
      </c>
      <c r="AD1" s="67">
        <f t="shared" si="0"/>
        <v>8</v>
      </c>
      <c r="AE1" s="67">
        <f t="shared" si="0"/>
        <v>8</v>
      </c>
      <c r="AF1" s="67">
        <f t="shared" si="0"/>
        <v>8</v>
      </c>
      <c r="AG1" s="67">
        <f t="shared" si="0"/>
        <v>8</v>
      </c>
      <c r="AH1" s="67">
        <f t="shared" si="0"/>
        <v>8</v>
      </c>
      <c r="AI1" s="67">
        <f t="shared" si="0"/>
        <v>8</v>
      </c>
      <c r="AJ1" s="67">
        <f t="shared" si="0"/>
        <v>16</v>
      </c>
      <c r="AK1" s="67">
        <f t="shared" si="0"/>
        <v>16</v>
      </c>
      <c r="AL1" s="67">
        <f t="shared" si="0"/>
        <v>16</v>
      </c>
      <c r="AM1" s="67">
        <f t="shared" si="0"/>
        <v>16</v>
      </c>
      <c r="AN1" s="67">
        <f t="shared" si="0"/>
        <v>16</v>
      </c>
      <c r="AO1" s="67">
        <f t="shared" si="0"/>
        <v>8</v>
      </c>
      <c r="AP1" s="67">
        <f t="shared" si="0"/>
        <v>16</v>
      </c>
      <c r="AQ1" s="67">
        <f t="shared" si="0"/>
        <v>16</v>
      </c>
      <c r="AR1" s="67">
        <f t="shared" si="0"/>
        <v>16</v>
      </c>
      <c r="AS1" s="67">
        <f t="shared" si="0"/>
        <v>16</v>
      </c>
      <c r="AT1" s="67">
        <f t="shared" si="0"/>
        <v>16</v>
      </c>
      <c r="AU1" s="67">
        <f t="shared" si="0"/>
        <v>16</v>
      </c>
      <c r="AV1" s="67">
        <f t="shared" si="0"/>
        <v>16</v>
      </c>
      <c r="AW1" s="67">
        <f t="shared" si="0"/>
        <v>16</v>
      </c>
      <c r="AX1" s="67">
        <f t="shared" si="0"/>
        <v>16</v>
      </c>
      <c r="AY1" s="67">
        <f t="shared" si="0"/>
        <v>16</v>
      </c>
      <c r="AZ1" s="67">
        <f t="shared" si="0"/>
        <v>16</v>
      </c>
      <c r="BA1" s="67">
        <f t="shared" si="0"/>
        <v>16</v>
      </c>
      <c r="BB1" s="67">
        <f t="shared" si="0"/>
        <v>16</v>
      </c>
      <c r="BC1" s="67">
        <f t="shared" si="0"/>
        <v>16</v>
      </c>
      <c r="BD1" s="67">
        <f t="shared" si="0"/>
        <v>16</v>
      </c>
      <c r="BE1" s="67">
        <f t="shared" si="0"/>
        <v>16</v>
      </c>
      <c r="BF1" s="67">
        <f t="shared" si="0"/>
        <v>16</v>
      </c>
      <c r="BG1" s="67">
        <f t="shared" si="0"/>
        <v>16</v>
      </c>
      <c r="BH1" s="67">
        <f t="shared" si="0"/>
        <v>16</v>
      </c>
      <c r="BI1" s="67">
        <f t="shared" si="0"/>
        <v>16</v>
      </c>
      <c r="BJ1" s="67">
        <f t="shared" si="0"/>
        <v>16</v>
      </c>
      <c r="BK1" s="67">
        <f t="shared" si="0"/>
        <v>16</v>
      </c>
      <c r="BL1" s="67">
        <f t="shared" si="0"/>
        <v>16</v>
      </c>
      <c r="BM1" s="67">
        <f t="shared" si="0"/>
        <v>16</v>
      </c>
      <c r="BN1" s="67">
        <f t="shared" ref="BN1:CG1" si="1">BN4*8</f>
        <v>16</v>
      </c>
      <c r="BO1" s="67">
        <f t="shared" si="1"/>
        <v>16</v>
      </c>
      <c r="BP1" s="67">
        <f t="shared" si="1"/>
        <v>16</v>
      </c>
      <c r="BQ1" s="67">
        <f t="shared" si="1"/>
        <v>16</v>
      </c>
      <c r="BR1" s="67">
        <f t="shared" si="1"/>
        <v>16</v>
      </c>
      <c r="BS1" s="67">
        <f t="shared" si="1"/>
        <v>16</v>
      </c>
      <c r="BT1" s="67">
        <f t="shared" si="1"/>
        <v>16</v>
      </c>
      <c r="BU1" s="67">
        <f t="shared" si="1"/>
        <v>16</v>
      </c>
      <c r="BV1" s="67">
        <f t="shared" si="1"/>
        <v>16</v>
      </c>
      <c r="BW1" s="67">
        <f t="shared" si="1"/>
        <v>16</v>
      </c>
      <c r="BX1" s="67">
        <f t="shared" si="1"/>
        <v>16</v>
      </c>
      <c r="BY1" s="67">
        <f t="shared" si="1"/>
        <v>16</v>
      </c>
      <c r="BZ1" s="67">
        <f t="shared" si="1"/>
        <v>16</v>
      </c>
      <c r="CA1" s="67">
        <f t="shared" si="1"/>
        <v>16</v>
      </c>
      <c r="CB1" s="67">
        <f t="shared" si="1"/>
        <v>16</v>
      </c>
      <c r="CC1" s="67">
        <f t="shared" si="1"/>
        <v>16</v>
      </c>
      <c r="CD1" s="67">
        <f t="shared" si="1"/>
        <v>16</v>
      </c>
      <c r="CE1" s="67">
        <f t="shared" si="1"/>
        <v>16</v>
      </c>
      <c r="CF1" s="67">
        <f t="shared" si="1"/>
        <v>16</v>
      </c>
      <c r="CG1" s="67">
        <f t="shared" si="1"/>
        <v>16</v>
      </c>
    </row>
    <row r="2" spans="1:85" ht="15" x14ac:dyDescent="0.25">
      <c r="A2" s="6"/>
      <c r="B2" s="4"/>
      <c r="C2" s="7"/>
      <c r="D2" s="8"/>
      <c r="E2" s="9" t="s">
        <v>0</v>
      </c>
      <c r="F2" s="66">
        <f t="shared" ref="F2" si="2">F3-F4</f>
        <v>0</v>
      </c>
      <c r="G2" s="66">
        <f t="shared" ref="G2:X2" si="3">G3-G4</f>
        <v>0</v>
      </c>
      <c r="H2" s="66">
        <f t="shared" si="3"/>
        <v>0</v>
      </c>
      <c r="I2" s="66">
        <f t="shared" si="3"/>
        <v>0</v>
      </c>
      <c r="J2" s="66">
        <f t="shared" si="3"/>
        <v>0</v>
      </c>
      <c r="K2" s="66">
        <f t="shared" si="3"/>
        <v>0</v>
      </c>
      <c r="L2" s="66">
        <f t="shared" si="3"/>
        <v>0</v>
      </c>
      <c r="M2" s="66">
        <f t="shared" si="3"/>
        <v>0</v>
      </c>
      <c r="N2" s="66">
        <f t="shared" si="3"/>
        <v>0</v>
      </c>
      <c r="O2" s="66">
        <f t="shared" si="3"/>
        <v>0</v>
      </c>
      <c r="P2" s="66">
        <f t="shared" si="3"/>
        <v>0</v>
      </c>
      <c r="Q2" s="66">
        <f t="shared" si="3"/>
        <v>0</v>
      </c>
      <c r="R2" s="66">
        <f t="shared" si="3"/>
        <v>0</v>
      </c>
      <c r="S2" s="66">
        <f t="shared" si="3"/>
        <v>0</v>
      </c>
      <c r="T2" s="66">
        <f t="shared" si="3"/>
        <v>0</v>
      </c>
      <c r="U2" s="82">
        <f t="shared" si="3"/>
        <v>0</v>
      </c>
      <c r="V2" s="82">
        <f t="shared" si="3"/>
        <v>0</v>
      </c>
      <c r="W2" s="82">
        <f t="shared" si="3"/>
        <v>0</v>
      </c>
      <c r="X2" s="82">
        <f t="shared" si="3"/>
        <v>0</v>
      </c>
      <c r="Y2" s="82">
        <f t="shared" ref="Y2:BM2" si="4">Y3-Y4</f>
        <v>0</v>
      </c>
      <c r="Z2" s="82">
        <f t="shared" si="4"/>
        <v>0</v>
      </c>
      <c r="AA2" s="82">
        <f t="shared" si="4"/>
        <v>0</v>
      </c>
      <c r="AB2" s="82">
        <f t="shared" si="4"/>
        <v>0</v>
      </c>
      <c r="AC2" s="82">
        <f t="shared" si="4"/>
        <v>0</v>
      </c>
      <c r="AD2" s="82">
        <f t="shared" si="4"/>
        <v>0</v>
      </c>
      <c r="AE2" s="82">
        <f t="shared" si="4"/>
        <v>0</v>
      </c>
      <c r="AF2" s="82">
        <f t="shared" si="4"/>
        <v>0</v>
      </c>
      <c r="AG2" s="82">
        <f t="shared" si="4"/>
        <v>0</v>
      </c>
      <c r="AH2" s="82">
        <f t="shared" si="4"/>
        <v>0</v>
      </c>
      <c r="AI2" s="82">
        <f t="shared" si="4"/>
        <v>0</v>
      </c>
      <c r="AJ2" s="82">
        <f t="shared" si="4"/>
        <v>0</v>
      </c>
      <c r="AK2" s="82">
        <f t="shared" si="4"/>
        <v>0</v>
      </c>
      <c r="AL2" s="82">
        <f t="shared" si="4"/>
        <v>0</v>
      </c>
      <c r="AM2" s="82">
        <f t="shared" si="4"/>
        <v>0</v>
      </c>
      <c r="AN2" s="82">
        <f t="shared" si="4"/>
        <v>0</v>
      </c>
      <c r="AO2" s="82">
        <f t="shared" si="4"/>
        <v>0</v>
      </c>
      <c r="AP2" s="82">
        <f t="shared" si="4"/>
        <v>0</v>
      </c>
      <c r="AQ2" s="82">
        <f t="shared" si="4"/>
        <v>0</v>
      </c>
      <c r="AR2" s="82">
        <f t="shared" si="4"/>
        <v>0</v>
      </c>
      <c r="AS2" s="82">
        <f t="shared" si="4"/>
        <v>0</v>
      </c>
      <c r="AT2" s="82">
        <f t="shared" si="4"/>
        <v>0</v>
      </c>
      <c r="AU2" s="82">
        <f t="shared" si="4"/>
        <v>0</v>
      </c>
      <c r="AV2" s="82">
        <f t="shared" si="4"/>
        <v>0</v>
      </c>
      <c r="AW2" s="82">
        <f t="shared" si="4"/>
        <v>0</v>
      </c>
      <c r="AX2" s="82">
        <f t="shared" si="4"/>
        <v>0</v>
      </c>
      <c r="AY2" s="82">
        <f t="shared" si="4"/>
        <v>0</v>
      </c>
      <c r="AZ2" s="82">
        <f t="shared" si="4"/>
        <v>0</v>
      </c>
      <c r="BA2" s="82">
        <f t="shared" si="4"/>
        <v>0</v>
      </c>
      <c r="BB2" s="82">
        <f t="shared" si="4"/>
        <v>0</v>
      </c>
      <c r="BC2" s="82">
        <f t="shared" si="4"/>
        <v>0</v>
      </c>
      <c r="BD2" s="82">
        <f t="shared" si="4"/>
        <v>0</v>
      </c>
      <c r="BE2" s="82">
        <f t="shared" si="4"/>
        <v>0</v>
      </c>
      <c r="BF2" s="82">
        <f t="shared" si="4"/>
        <v>0</v>
      </c>
      <c r="BG2" s="82">
        <f t="shared" si="4"/>
        <v>0</v>
      </c>
      <c r="BH2" s="82">
        <f t="shared" si="4"/>
        <v>0</v>
      </c>
      <c r="BI2" s="82">
        <f t="shared" si="4"/>
        <v>0</v>
      </c>
      <c r="BJ2" s="82">
        <f t="shared" si="4"/>
        <v>0</v>
      </c>
      <c r="BK2" s="82">
        <f t="shared" si="4"/>
        <v>0</v>
      </c>
      <c r="BL2" s="82">
        <f t="shared" si="4"/>
        <v>0</v>
      </c>
      <c r="BM2" s="82">
        <f t="shared" si="4"/>
        <v>0</v>
      </c>
      <c r="BN2" s="82">
        <f t="shared" ref="BN2:CG2" si="5">BN3-BN4</f>
        <v>0</v>
      </c>
      <c r="BO2" s="82">
        <f t="shared" si="5"/>
        <v>0</v>
      </c>
      <c r="BP2" s="82">
        <f t="shared" si="5"/>
        <v>0</v>
      </c>
      <c r="BQ2" s="82">
        <f t="shared" si="5"/>
        <v>0</v>
      </c>
      <c r="BR2" s="82">
        <f t="shared" si="5"/>
        <v>0</v>
      </c>
      <c r="BS2" s="82">
        <f t="shared" si="5"/>
        <v>0</v>
      </c>
      <c r="BT2" s="82">
        <f t="shared" si="5"/>
        <v>0</v>
      </c>
      <c r="BU2" s="82">
        <f t="shared" si="5"/>
        <v>0</v>
      </c>
      <c r="BV2" s="82">
        <f t="shared" si="5"/>
        <v>0</v>
      </c>
      <c r="BW2" s="82">
        <f t="shared" si="5"/>
        <v>0</v>
      </c>
      <c r="BX2" s="82">
        <f t="shared" si="5"/>
        <v>0</v>
      </c>
      <c r="BY2" s="82">
        <f t="shared" si="5"/>
        <v>0</v>
      </c>
      <c r="BZ2" s="82">
        <f t="shared" si="5"/>
        <v>0</v>
      </c>
      <c r="CA2" s="82">
        <f t="shared" si="5"/>
        <v>-1</v>
      </c>
      <c r="CB2" s="82">
        <f t="shared" si="5"/>
        <v>-2</v>
      </c>
      <c r="CC2" s="82">
        <f t="shared" si="5"/>
        <v>-2</v>
      </c>
      <c r="CD2" s="82">
        <f t="shared" si="5"/>
        <v>-2</v>
      </c>
      <c r="CE2" s="82">
        <f t="shared" si="5"/>
        <v>-2</v>
      </c>
      <c r="CF2" s="82">
        <f t="shared" si="5"/>
        <v>-2</v>
      </c>
      <c r="CG2" s="82">
        <f t="shared" si="5"/>
        <v>-2</v>
      </c>
    </row>
    <row r="3" spans="1:85" ht="15" x14ac:dyDescent="0.25">
      <c r="A3" s="6"/>
      <c r="B3" s="57" t="s">
        <v>105</v>
      </c>
      <c r="C3" s="58" t="e">
        <f>ROUND(#REF!/8/5,1)</f>
        <v>#REF!</v>
      </c>
      <c r="D3" s="8"/>
      <c r="E3" s="9" t="s">
        <v>1</v>
      </c>
      <c r="F3" s="9">
        <f t="shared" ref="F3:AK3" si="6">SUM(F10:F44)</f>
        <v>1</v>
      </c>
      <c r="G3" s="9">
        <f t="shared" si="6"/>
        <v>1</v>
      </c>
      <c r="H3" s="9">
        <f t="shared" si="6"/>
        <v>1</v>
      </c>
      <c r="I3" s="9">
        <f t="shared" si="6"/>
        <v>1</v>
      </c>
      <c r="J3" s="9">
        <f t="shared" si="6"/>
        <v>1</v>
      </c>
      <c r="K3" s="9">
        <f t="shared" si="6"/>
        <v>1</v>
      </c>
      <c r="L3" s="9">
        <f t="shared" si="6"/>
        <v>1</v>
      </c>
      <c r="M3" s="9">
        <f t="shared" si="6"/>
        <v>1</v>
      </c>
      <c r="N3" s="9">
        <f t="shared" si="6"/>
        <v>1</v>
      </c>
      <c r="O3" s="9">
        <f t="shared" si="6"/>
        <v>1</v>
      </c>
      <c r="P3" s="9">
        <f t="shared" si="6"/>
        <v>1</v>
      </c>
      <c r="Q3" s="9">
        <f t="shared" si="6"/>
        <v>1</v>
      </c>
      <c r="R3" s="9">
        <f t="shared" si="6"/>
        <v>1</v>
      </c>
      <c r="S3" s="9">
        <f t="shared" si="6"/>
        <v>1</v>
      </c>
      <c r="T3" s="9">
        <f t="shared" si="6"/>
        <v>1</v>
      </c>
      <c r="U3" s="9">
        <f t="shared" si="6"/>
        <v>1</v>
      </c>
      <c r="V3" s="9">
        <f t="shared" si="6"/>
        <v>1</v>
      </c>
      <c r="W3" s="9">
        <f t="shared" si="6"/>
        <v>1</v>
      </c>
      <c r="X3" s="9">
        <f t="shared" si="6"/>
        <v>1</v>
      </c>
      <c r="Y3" s="9">
        <f t="shared" si="6"/>
        <v>1</v>
      </c>
      <c r="Z3" s="9">
        <f t="shared" si="6"/>
        <v>1</v>
      </c>
      <c r="AA3" s="9">
        <f t="shared" si="6"/>
        <v>1</v>
      </c>
      <c r="AB3" s="9">
        <f t="shared" si="6"/>
        <v>1</v>
      </c>
      <c r="AC3" s="9">
        <f t="shared" si="6"/>
        <v>1</v>
      </c>
      <c r="AD3" s="9">
        <f t="shared" si="6"/>
        <v>1</v>
      </c>
      <c r="AE3" s="9">
        <f t="shared" si="6"/>
        <v>1</v>
      </c>
      <c r="AF3" s="9">
        <f t="shared" si="6"/>
        <v>1</v>
      </c>
      <c r="AG3" s="9">
        <f t="shared" si="6"/>
        <v>1</v>
      </c>
      <c r="AH3" s="9">
        <f t="shared" si="6"/>
        <v>1</v>
      </c>
      <c r="AI3" s="9">
        <f t="shared" si="6"/>
        <v>1</v>
      </c>
      <c r="AJ3" s="9">
        <f t="shared" si="6"/>
        <v>2</v>
      </c>
      <c r="AK3" s="9">
        <f t="shared" si="6"/>
        <v>2</v>
      </c>
      <c r="AL3" s="9">
        <f t="shared" ref="AL3:BQ3" si="7">SUM(AL10:AL44)</f>
        <v>2</v>
      </c>
      <c r="AM3" s="9">
        <f t="shared" si="7"/>
        <v>2</v>
      </c>
      <c r="AN3" s="9">
        <f t="shared" si="7"/>
        <v>2</v>
      </c>
      <c r="AO3" s="9">
        <f t="shared" si="7"/>
        <v>1</v>
      </c>
      <c r="AP3" s="9">
        <f t="shared" si="7"/>
        <v>2</v>
      </c>
      <c r="AQ3" s="9">
        <f t="shared" si="7"/>
        <v>2</v>
      </c>
      <c r="AR3" s="9">
        <f t="shared" si="7"/>
        <v>2</v>
      </c>
      <c r="AS3" s="9">
        <f t="shared" si="7"/>
        <v>2</v>
      </c>
      <c r="AT3" s="9">
        <f t="shared" si="7"/>
        <v>2</v>
      </c>
      <c r="AU3" s="9">
        <f t="shared" si="7"/>
        <v>2</v>
      </c>
      <c r="AV3" s="9">
        <f t="shared" si="7"/>
        <v>2</v>
      </c>
      <c r="AW3" s="9">
        <f t="shared" si="7"/>
        <v>2</v>
      </c>
      <c r="AX3" s="9">
        <f t="shared" si="7"/>
        <v>2</v>
      </c>
      <c r="AY3" s="9">
        <f t="shared" si="7"/>
        <v>2</v>
      </c>
      <c r="AZ3" s="9">
        <f t="shared" si="7"/>
        <v>2</v>
      </c>
      <c r="BA3" s="9">
        <f t="shared" si="7"/>
        <v>2</v>
      </c>
      <c r="BB3" s="9">
        <f t="shared" si="7"/>
        <v>2</v>
      </c>
      <c r="BC3" s="9">
        <f t="shared" si="7"/>
        <v>2</v>
      </c>
      <c r="BD3" s="9">
        <f t="shared" si="7"/>
        <v>2</v>
      </c>
      <c r="BE3" s="9">
        <f t="shared" si="7"/>
        <v>2</v>
      </c>
      <c r="BF3" s="9">
        <f t="shared" si="7"/>
        <v>2</v>
      </c>
      <c r="BG3" s="9">
        <f t="shared" si="7"/>
        <v>2</v>
      </c>
      <c r="BH3" s="9">
        <f t="shared" si="7"/>
        <v>2</v>
      </c>
      <c r="BI3" s="9">
        <f t="shared" si="7"/>
        <v>2</v>
      </c>
      <c r="BJ3" s="9">
        <f t="shared" si="7"/>
        <v>2</v>
      </c>
      <c r="BK3" s="9">
        <f t="shared" si="7"/>
        <v>2</v>
      </c>
      <c r="BL3" s="9">
        <f t="shared" si="7"/>
        <v>2</v>
      </c>
      <c r="BM3" s="9">
        <f t="shared" si="7"/>
        <v>2</v>
      </c>
      <c r="BN3" s="9">
        <f t="shared" si="7"/>
        <v>2</v>
      </c>
      <c r="BO3" s="9">
        <f t="shared" si="7"/>
        <v>2</v>
      </c>
      <c r="BP3" s="9">
        <f t="shared" si="7"/>
        <v>2</v>
      </c>
      <c r="BQ3" s="9">
        <f t="shared" si="7"/>
        <v>2</v>
      </c>
      <c r="BR3" s="9">
        <f t="shared" ref="BR3:CG3" si="8">SUM(BR10:BR44)</f>
        <v>2</v>
      </c>
      <c r="BS3" s="9">
        <f t="shared" si="8"/>
        <v>2</v>
      </c>
      <c r="BT3" s="9">
        <f t="shared" si="8"/>
        <v>2</v>
      </c>
      <c r="BU3" s="9">
        <f t="shared" si="8"/>
        <v>2</v>
      </c>
      <c r="BV3" s="9">
        <f t="shared" si="8"/>
        <v>2</v>
      </c>
      <c r="BW3" s="9">
        <f t="shared" si="8"/>
        <v>2</v>
      </c>
      <c r="BX3" s="9">
        <f t="shared" si="8"/>
        <v>2</v>
      </c>
      <c r="BY3" s="9">
        <f t="shared" si="8"/>
        <v>2</v>
      </c>
      <c r="BZ3" s="9">
        <f t="shared" si="8"/>
        <v>2</v>
      </c>
      <c r="CA3" s="9">
        <f t="shared" si="8"/>
        <v>1</v>
      </c>
      <c r="CB3" s="9">
        <f t="shared" si="8"/>
        <v>0</v>
      </c>
      <c r="CC3" s="9">
        <f t="shared" si="8"/>
        <v>0</v>
      </c>
      <c r="CD3" s="9">
        <f t="shared" si="8"/>
        <v>0</v>
      </c>
      <c r="CE3" s="9">
        <f t="shared" si="8"/>
        <v>0</v>
      </c>
      <c r="CF3" s="9">
        <f t="shared" si="8"/>
        <v>0</v>
      </c>
      <c r="CG3" s="9">
        <f t="shared" si="8"/>
        <v>0</v>
      </c>
    </row>
    <row r="4" spans="1:85" ht="15" x14ac:dyDescent="0.25">
      <c r="A4" s="6"/>
      <c r="B4" s="57" t="s">
        <v>106</v>
      </c>
      <c r="C4" s="58" t="e">
        <f>C3/4</f>
        <v>#REF!</v>
      </c>
      <c r="D4" s="8"/>
      <c r="E4" s="9" t="s">
        <v>2</v>
      </c>
      <c r="F4" s="9">
        <v>1</v>
      </c>
      <c r="G4" s="9">
        <v>1</v>
      </c>
      <c r="H4" s="9">
        <v>1</v>
      </c>
      <c r="I4" s="9">
        <v>1</v>
      </c>
      <c r="J4" s="9">
        <v>1</v>
      </c>
      <c r="K4" s="9">
        <v>1</v>
      </c>
      <c r="L4" s="9">
        <v>1</v>
      </c>
      <c r="M4" s="9">
        <v>1</v>
      </c>
      <c r="N4" s="9">
        <v>1</v>
      </c>
      <c r="O4" s="9">
        <v>1</v>
      </c>
      <c r="P4" s="9">
        <v>1</v>
      </c>
      <c r="Q4" s="9">
        <v>1</v>
      </c>
      <c r="R4" s="9">
        <v>1</v>
      </c>
      <c r="S4" s="9">
        <v>1</v>
      </c>
      <c r="T4" s="9">
        <v>1</v>
      </c>
      <c r="U4" s="9">
        <v>1</v>
      </c>
      <c r="V4" s="9">
        <v>1</v>
      </c>
      <c r="W4" s="9">
        <v>1</v>
      </c>
      <c r="X4" s="9">
        <v>1</v>
      </c>
      <c r="Y4" s="9">
        <v>1</v>
      </c>
      <c r="Z4" s="9">
        <v>1</v>
      </c>
      <c r="AA4" s="9">
        <v>1</v>
      </c>
      <c r="AB4" s="9">
        <v>1</v>
      </c>
      <c r="AC4" s="9">
        <v>1</v>
      </c>
      <c r="AD4" s="9">
        <v>1</v>
      </c>
      <c r="AE4" s="9">
        <v>1</v>
      </c>
      <c r="AF4" s="9">
        <v>1</v>
      </c>
      <c r="AG4" s="9">
        <v>1</v>
      </c>
      <c r="AH4" s="9">
        <v>1</v>
      </c>
      <c r="AI4" s="9">
        <v>1</v>
      </c>
      <c r="AJ4" s="9">
        <v>2</v>
      </c>
      <c r="AK4" s="9">
        <v>2</v>
      </c>
      <c r="AL4" s="9">
        <v>2</v>
      </c>
      <c r="AM4" s="9">
        <v>2</v>
      </c>
      <c r="AN4" s="9">
        <v>2</v>
      </c>
      <c r="AO4" s="9">
        <v>1</v>
      </c>
      <c r="AP4" s="9">
        <v>2</v>
      </c>
      <c r="AQ4" s="9">
        <v>2</v>
      </c>
      <c r="AR4" s="9">
        <v>2</v>
      </c>
      <c r="AS4" s="9">
        <v>2</v>
      </c>
      <c r="AT4" s="9">
        <v>2</v>
      </c>
      <c r="AU4" s="9">
        <v>2</v>
      </c>
      <c r="AV4" s="9">
        <v>2</v>
      </c>
      <c r="AW4" s="9">
        <v>2</v>
      </c>
      <c r="AX4" s="9">
        <v>2</v>
      </c>
      <c r="AY4" s="9">
        <v>2</v>
      </c>
      <c r="AZ4" s="9">
        <v>2</v>
      </c>
      <c r="BA4" s="9">
        <v>2</v>
      </c>
      <c r="BB4" s="9">
        <v>2</v>
      </c>
      <c r="BC4" s="9">
        <v>2</v>
      </c>
      <c r="BD4" s="9">
        <v>2</v>
      </c>
      <c r="BE4" s="9">
        <v>2</v>
      </c>
      <c r="BF4" s="9">
        <v>2</v>
      </c>
      <c r="BG4" s="9">
        <v>2</v>
      </c>
      <c r="BH4" s="9">
        <v>2</v>
      </c>
      <c r="BI4" s="9">
        <v>2</v>
      </c>
      <c r="BJ4" s="9">
        <v>2</v>
      </c>
      <c r="BK4" s="9">
        <v>2</v>
      </c>
      <c r="BL4" s="9">
        <v>2</v>
      </c>
      <c r="BM4" s="9">
        <v>2</v>
      </c>
      <c r="BN4" s="9">
        <v>2</v>
      </c>
      <c r="BO4" s="9">
        <v>2</v>
      </c>
      <c r="BP4" s="9">
        <v>2</v>
      </c>
      <c r="BQ4" s="9">
        <v>2</v>
      </c>
      <c r="BR4" s="9">
        <v>2</v>
      </c>
      <c r="BS4" s="9">
        <v>2</v>
      </c>
      <c r="BT4" s="9">
        <v>2</v>
      </c>
      <c r="BU4" s="9">
        <v>2</v>
      </c>
      <c r="BV4" s="9">
        <v>2</v>
      </c>
      <c r="BW4" s="9">
        <v>2</v>
      </c>
      <c r="BX4" s="9">
        <v>2</v>
      </c>
      <c r="BY4" s="9">
        <v>2</v>
      </c>
      <c r="BZ4" s="9">
        <v>2</v>
      </c>
      <c r="CA4" s="9">
        <v>2</v>
      </c>
      <c r="CB4" s="9">
        <v>2</v>
      </c>
      <c r="CC4" s="9">
        <v>2</v>
      </c>
      <c r="CD4" s="9">
        <v>2</v>
      </c>
      <c r="CE4" s="9">
        <v>2</v>
      </c>
      <c r="CF4" s="9">
        <v>2</v>
      </c>
      <c r="CG4" s="9">
        <v>2</v>
      </c>
    </row>
    <row r="5" spans="1:85" ht="15" x14ac:dyDescent="0.25">
      <c r="A5" s="3"/>
      <c r="B5" s="57" t="s">
        <v>107</v>
      </c>
      <c r="C5" s="59" t="e">
        <f>C4/2</f>
        <v>#REF!</v>
      </c>
      <c r="E5" s="3"/>
    </row>
    <row r="6" spans="1:85" ht="15" hidden="1" customHeight="1" x14ac:dyDescent="0.25">
      <c r="A6" s="3"/>
      <c r="B6" s="4"/>
      <c r="C6" s="10"/>
      <c r="D6" s="11"/>
      <c r="E6" s="12">
        <v>45657</v>
      </c>
      <c r="F6" s="13">
        <f>WORKDAY(E6,1)</f>
        <v>45658</v>
      </c>
      <c r="G6" s="13">
        <f t="shared" ref="G6:J6" si="9">WORKDAY(F6,1)</f>
        <v>45659</v>
      </c>
      <c r="H6" s="13">
        <f t="shared" si="9"/>
        <v>45660</v>
      </c>
      <c r="I6" s="13">
        <v>4</v>
      </c>
      <c r="J6" s="13">
        <f t="shared" si="9"/>
        <v>5</v>
      </c>
      <c r="K6" s="13">
        <f>WORKDAY(J6,1)</f>
        <v>6</v>
      </c>
      <c r="L6" s="13">
        <f t="shared" ref="L6:O6" si="10">WORKDAY(K6,1)</f>
        <v>9</v>
      </c>
      <c r="M6" s="13">
        <f t="shared" si="10"/>
        <v>10</v>
      </c>
      <c r="N6" s="13">
        <f t="shared" si="10"/>
        <v>11</v>
      </c>
      <c r="O6" s="13">
        <f t="shared" si="10"/>
        <v>12</v>
      </c>
      <c r="P6" s="13">
        <f>WORKDAY(O6,1)</f>
        <v>13</v>
      </c>
      <c r="Q6" s="13">
        <f t="shared" ref="Q6:T6" si="11">WORKDAY(P6,1)</f>
        <v>16</v>
      </c>
      <c r="R6" s="13">
        <f t="shared" si="11"/>
        <v>17</v>
      </c>
      <c r="S6" s="13">
        <f t="shared" si="11"/>
        <v>18</v>
      </c>
      <c r="T6" s="13">
        <f t="shared" si="11"/>
        <v>19</v>
      </c>
    </row>
    <row r="7" spans="1:85" ht="18.75" x14ac:dyDescent="0.25">
      <c r="A7" s="3"/>
      <c r="B7" s="4"/>
      <c r="C7" s="14" t="s">
        <v>3</v>
      </c>
      <c r="D7" s="15" t="s">
        <v>129</v>
      </c>
      <c r="E7" s="16" t="s">
        <v>0</v>
      </c>
      <c r="F7" s="88" t="s">
        <v>131</v>
      </c>
      <c r="G7" s="88"/>
      <c r="H7" s="88"/>
      <c r="I7" s="88"/>
      <c r="J7" s="88"/>
      <c r="K7" s="88" t="s">
        <v>132</v>
      </c>
      <c r="L7" s="88"/>
      <c r="M7" s="88"/>
      <c r="N7" s="88"/>
      <c r="O7" s="88"/>
      <c r="P7" s="88" t="s">
        <v>133</v>
      </c>
      <c r="Q7" s="88"/>
      <c r="R7" s="88"/>
      <c r="S7" s="88"/>
      <c r="T7" s="88"/>
      <c r="U7" s="88" t="s">
        <v>134</v>
      </c>
      <c r="V7" s="88"/>
      <c r="W7" s="88"/>
      <c r="X7" s="88"/>
      <c r="Y7" s="88"/>
      <c r="Z7" s="88" t="s">
        <v>135</v>
      </c>
      <c r="AA7" s="88"/>
      <c r="AB7" s="88"/>
      <c r="AC7" s="88"/>
      <c r="AD7" s="88"/>
      <c r="AE7" s="88" t="s">
        <v>136</v>
      </c>
      <c r="AF7" s="88"/>
      <c r="AG7" s="88"/>
      <c r="AH7" s="88"/>
      <c r="AI7" s="88"/>
      <c r="AJ7" s="88" t="s">
        <v>137</v>
      </c>
      <c r="AK7" s="88"/>
      <c r="AL7" s="88"/>
      <c r="AM7" s="88"/>
      <c r="AN7" s="88"/>
      <c r="AO7" s="88" t="s">
        <v>138</v>
      </c>
      <c r="AP7" s="88"/>
      <c r="AQ7" s="88"/>
      <c r="AR7" s="88"/>
      <c r="AS7" s="88"/>
      <c r="AT7" s="88" t="s">
        <v>139</v>
      </c>
      <c r="AU7" s="88"/>
      <c r="AV7" s="88"/>
      <c r="AW7" s="88"/>
      <c r="AX7" s="88"/>
      <c r="AY7" s="88" t="s">
        <v>140</v>
      </c>
      <c r="AZ7" s="88"/>
      <c r="BA7" s="88"/>
      <c r="BB7" s="88"/>
      <c r="BC7" s="88"/>
      <c r="BD7" s="88" t="s">
        <v>141</v>
      </c>
      <c r="BE7" s="88"/>
      <c r="BF7" s="88"/>
      <c r="BG7" s="88"/>
      <c r="BH7" s="88"/>
      <c r="BI7" s="88" t="s">
        <v>142</v>
      </c>
      <c r="BJ7" s="88"/>
      <c r="BK7" s="88"/>
      <c r="BL7" s="88"/>
      <c r="BM7" s="88"/>
      <c r="BN7" s="88" t="s">
        <v>143</v>
      </c>
      <c r="BO7" s="88"/>
      <c r="BP7" s="88"/>
      <c r="BQ7" s="88"/>
      <c r="BR7" s="88"/>
      <c r="BS7" s="88" t="s">
        <v>144</v>
      </c>
      <c r="BT7" s="88"/>
      <c r="BU7" s="88"/>
      <c r="BV7" s="88"/>
      <c r="BW7" s="88"/>
      <c r="BX7" s="88" t="s">
        <v>145</v>
      </c>
      <c r="BY7" s="88"/>
      <c r="BZ7" s="88"/>
      <c r="CA7" s="88"/>
      <c r="CB7" s="88"/>
      <c r="CC7" s="88" t="s">
        <v>146</v>
      </c>
      <c r="CD7" s="88"/>
      <c r="CE7" s="88"/>
      <c r="CF7" s="88"/>
      <c r="CG7" s="88"/>
    </row>
    <row r="8" spans="1:85" ht="15" x14ac:dyDescent="0.25">
      <c r="A8" s="3"/>
      <c r="B8" s="4"/>
      <c r="C8" s="22" t="e">
        <f>C11+C18+C25+C39+#REF!+C33</f>
        <v>#REF!</v>
      </c>
      <c r="D8" s="22" t="e">
        <f>D11+D18+D25+D39+#REF!+D33</f>
        <v>#REF!</v>
      </c>
      <c r="E8" s="17"/>
      <c r="F8" s="69">
        <v>1</v>
      </c>
      <c r="G8" s="69">
        <f>F8+1</f>
        <v>2</v>
      </c>
      <c r="H8" s="69">
        <f t="shared" ref="H8:BM8" si="12">G8+1</f>
        <v>3</v>
      </c>
      <c r="I8" s="69">
        <f t="shared" si="12"/>
        <v>4</v>
      </c>
      <c r="J8" s="69">
        <f t="shared" si="12"/>
        <v>5</v>
      </c>
      <c r="K8" s="69">
        <f t="shared" si="12"/>
        <v>6</v>
      </c>
      <c r="L8" s="69">
        <f t="shared" si="12"/>
        <v>7</v>
      </c>
      <c r="M8" s="69">
        <f t="shared" si="12"/>
        <v>8</v>
      </c>
      <c r="N8" s="69">
        <f t="shared" si="12"/>
        <v>9</v>
      </c>
      <c r="O8" s="69">
        <f t="shared" si="12"/>
        <v>10</v>
      </c>
      <c r="P8" s="69">
        <f t="shared" si="12"/>
        <v>11</v>
      </c>
      <c r="Q8" s="69">
        <f t="shared" si="12"/>
        <v>12</v>
      </c>
      <c r="R8" s="69">
        <f t="shared" si="12"/>
        <v>13</v>
      </c>
      <c r="S8" s="69">
        <f t="shared" si="12"/>
        <v>14</v>
      </c>
      <c r="T8" s="69">
        <f t="shared" si="12"/>
        <v>15</v>
      </c>
      <c r="U8" s="69">
        <f t="shared" si="12"/>
        <v>16</v>
      </c>
      <c r="V8" s="69">
        <f t="shared" si="12"/>
        <v>17</v>
      </c>
      <c r="W8" s="69">
        <f t="shared" si="12"/>
        <v>18</v>
      </c>
      <c r="X8" s="69">
        <f t="shared" si="12"/>
        <v>19</v>
      </c>
      <c r="Y8" s="69">
        <f t="shared" si="12"/>
        <v>20</v>
      </c>
      <c r="Z8" s="69">
        <f t="shared" si="12"/>
        <v>21</v>
      </c>
      <c r="AA8" s="69">
        <f t="shared" si="12"/>
        <v>22</v>
      </c>
      <c r="AB8" s="69">
        <f t="shared" si="12"/>
        <v>23</v>
      </c>
      <c r="AC8" s="69">
        <f t="shared" si="12"/>
        <v>24</v>
      </c>
      <c r="AD8" s="69">
        <f t="shared" si="12"/>
        <v>25</v>
      </c>
      <c r="AE8" s="69">
        <f t="shared" si="12"/>
        <v>26</v>
      </c>
      <c r="AF8" s="69">
        <f t="shared" si="12"/>
        <v>27</v>
      </c>
      <c r="AG8" s="69">
        <f t="shared" si="12"/>
        <v>28</v>
      </c>
      <c r="AH8" s="69">
        <f t="shared" si="12"/>
        <v>29</v>
      </c>
      <c r="AI8" s="69">
        <f t="shared" si="12"/>
        <v>30</v>
      </c>
      <c r="AJ8" s="69">
        <f>AI8+1</f>
        <v>31</v>
      </c>
      <c r="AK8" s="79">
        <f>AJ8+1</f>
        <v>32</v>
      </c>
      <c r="AL8" s="79">
        <f t="shared" si="12"/>
        <v>33</v>
      </c>
      <c r="AM8" s="79">
        <f t="shared" si="12"/>
        <v>34</v>
      </c>
      <c r="AN8" s="79">
        <f t="shared" si="12"/>
        <v>35</v>
      </c>
      <c r="AO8" s="79">
        <f t="shared" si="12"/>
        <v>36</v>
      </c>
      <c r="AP8" s="79">
        <f t="shared" si="12"/>
        <v>37</v>
      </c>
      <c r="AQ8" s="79">
        <f t="shared" si="12"/>
        <v>38</v>
      </c>
      <c r="AR8" s="79">
        <f t="shared" si="12"/>
        <v>39</v>
      </c>
      <c r="AS8" s="79">
        <f t="shared" si="12"/>
        <v>40</v>
      </c>
      <c r="AT8" s="79">
        <f t="shared" si="12"/>
        <v>41</v>
      </c>
      <c r="AU8" s="79">
        <f t="shared" si="12"/>
        <v>42</v>
      </c>
      <c r="AV8" s="79">
        <f t="shared" si="12"/>
        <v>43</v>
      </c>
      <c r="AW8" s="79">
        <f t="shared" si="12"/>
        <v>44</v>
      </c>
      <c r="AX8" s="79">
        <f t="shared" si="12"/>
        <v>45</v>
      </c>
      <c r="AY8" s="79">
        <f t="shared" si="12"/>
        <v>46</v>
      </c>
      <c r="AZ8" s="79">
        <f t="shared" si="12"/>
        <v>47</v>
      </c>
      <c r="BA8" s="79">
        <f t="shared" si="12"/>
        <v>48</v>
      </c>
      <c r="BB8" s="79">
        <f t="shared" si="12"/>
        <v>49</v>
      </c>
      <c r="BC8" s="79">
        <f t="shared" si="12"/>
        <v>50</v>
      </c>
      <c r="BD8" s="79">
        <f t="shared" si="12"/>
        <v>51</v>
      </c>
      <c r="BE8" s="79">
        <f t="shared" si="12"/>
        <v>52</v>
      </c>
      <c r="BF8" s="79">
        <f t="shared" si="12"/>
        <v>53</v>
      </c>
      <c r="BG8" s="79">
        <f t="shared" si="12"/>
        <v>54</v>
      </c>
      <c r="BH8" s="79">
        <f t="shared" si="12"/>
        <v>55</v>
      </c>
      <c r="BI8" s="79">
        <f t="shared" si="12"/>
        <v>56</v>
      </c>
      <c r="BJ8" s="79">
        <f t="shared" si="12"/>
        <v>57</v>
      </c>
      <c r="BK8" s="79">
        <f t="shared" si="12"/>
        <v>58</v>
      </c>
      <c r="BL8" s="79">
        <f t="shared" si="12"/>
        <v>59</v>
      </c>
      <c r="BM8" s="79">
        <f t="shared" si="12"/>
        <v>60</v>
      </c>
      <c r="BN8" s="79">
        <f t="shared" ref="BN8:CG8" si="13">BM8+1</f>
        <v>61</v>
      </c>
      <c r="BO8" s="79">
        <f t="shared" si="13"/>
        <v>62</v>
      </c>
      <c r="BP8" s="79">
        <f t="shared" si="13"/>
        <v>63</v>
      </c>
      <c r="BQ8" s="79">
        <f t="shared" si="13"/>
        <v>64</v>
      </c>
      <c r="BR8" s="79">
        <f t="shared" si="13"/>
        <v>65</v>
      </c>
      <c r="BS8" s="79">
        <f t="shared" si="13"/>
        <v>66</v>
      </c>
      <c r="BT8" s="79">
        <f t="shared" si="13"/>
        <v>67</v>
      </c>
      <c r="BU8" s="79">
        <f t="shared" si="13"/>
        <v>68</v>
      </c>
      <c r="BV8" s="79">
        <f t="shared" si="13"/>
        <v>69</v>
      </c>
      <c r="BW8" s="79">
        <f t="shared" si="13"/>
        <v>70</v>
      </c>
      <c r="BX8" s="79">
        <f t="shared" si="13"/>
        <v>71</v>
      </c>
      <c r="BY8" s="79">
        <f t="shared" si="13"/>
        <v>72</v>
      </c>
      <c r="BZ8" s="79">
        <f t="shared" si="13"/>
        <v>73</v>
      </c>
      <c r="CA8" s="79">
        <f t="shared" si="13"/>
        <v>74</v>
      </c>
      <c r="CB8" s="79">
        <f t="shared" si="13"/>
        <v>75</v>
      </c>
      <c r="CC8" s="79">
        <f t="shared" si="13"/>
        <v>76</v>
      </c>
      <c r="CD8" s="79">
        <f t="shared" si="13"/>
        <v>77</v>
      </c>
      <c r="CE8" s="79">
        <f t="shared" si="13"/>
        <v>78</v>
      </c>
      <c r="CF8" s="79">
        <f t="shared" si="13"/>
        <v>79</v>
      </c>
      <c r="CG8" s="79">
        <f t="shared" si="13"/>
        <v>80</v>
      </c>
    </row>
    <row r="9" spans="1:85" ht="15" hidden="1" customHeight="1" x14ac:dyDescent="0.25">
      <c r="A9" s="3"/>
      <c r="B9" s="19" t="s">
        <v>4</v>
      </c>
      <c r="C9" s="20">
        <f>D9*8*5</f>
        <v>0</v>
      </c>
      <c r="D9" s="21">
        <f>SUM(F9:I9)</f>
        <v>0</v>
      </c>
      <c r="E9" s="61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</row>
    <row r="10" spans="1:85" ht="15" x14ac:dyDescent="0.25">
      <c r="A10" s="3"/>
      <c r="B10" s="62" t="s">
        <v>4</v>
      </c>
      <c r="C10" s="63"/>
      <c r="D10" s="64"/>
      <c r="E10" s="65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</row>
    <row r="11" spans="1:85" ht="15" x14ac:dyDescent="0.25">
      <c r="A11" s="3"/>
      <c r="B11" s="62" t="s">
        <v>120</v>
      </c>
      <c r="C11" s="63">
        <v>80</v>
      </c>
      <c r="D11" s="64">
        <f>C11/8</f>
        <v>10</v>
      </c>
      <c r="E11" s="65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</row>
    <row r="12" spans="1:85" ht="15" outlineLevel="4" x14ac:dyDescent="0.25">
      <c r="A12" s="3"/>
      <c r="B12" s="23" t="s">
        <v>114</v>
      </c>
      <c r="C12" s="24">
        <v>12</v>
      </c>
      <c r="D12" s="56">
        <f t="shared" ref="D12:D32" si="14">C12/8</f>
        <v>1.5</v>
      </c>
      <c r="E12" s="5">
        <f t="shared" ref="E12:E17" si="15">SUM(F12:CG12)-D12</f>
        <v>0</v>
      </c>
      <c r="F12" s="18">
        <v>1</v>
      </c>
      <c r="G12" s="18">
        <v>0.5</v>
      </c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</row>
    <row r="13" spans="1:85" ht="15" outlineLevel="4" x14ac:dyDescent="0.25">
      <c r="A13" s="3"/>
      <c r="B13" s="23" t="s">
        <v>116</v>
      </c>
      <c r="C13" s="24">
        <v>16</v>
      </c>
      <c r="D13" s="56">
        <f t="shared" si="14"/>
        <v>2</v>
      </c>
      <c r="E13" s="5">
        <f t="shared" si="15"/>
        <v>0</v>
      </c>
      <c r="F13" s="18"/>
      <c r="G13" s="18">
        <v>0.5</v>
      </c>
      <c r="H13" s="18">
        <v>1</v>
      </c>
      <c r="I13" s="18">
        <v>0.5</v>
      </c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</row>
    <row r="14" spans="1:85" ht="15" outlineLevel="4" x14ac:dyDescent="0.25">
      <c r="A14" s="3"/>
      <c r="B14" s="23" t="s">
        <v>111</v>
      </c>
      <c r="C14" s="24">
        <v>16</v>
      </c>
      <c r="D14" s="56">
        <f t="shared" si="14"/>
        <v>2</v>
      </c>
      <c r="E14" s="5">
        <f t="shared" si="15"/>
        <v>0</v>
      </c>
      <c r="F14" s="18"/>
      <c r="G14" s="18"/>
      <c r="H14" s="18"/>
      <c r="I14" s="18">
        <v>0.5</v>
      </c>
      <c r="J14" s="18">
        <v>1</v>
      </c>
      <c r="K14" s="18">
        <v>0.5</v>
      </c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</row>
    <row r="15" spans="1:85" ht="15" outlineLevel="4" x14ac:dyDescent="0.25">
      <c r="A15" s="3"/>
      <c r="B15" s="23" t="s">
        <v>112</v>
      </c>
      <c r="C15" s="24">
        <v>12</v>
      </c>
      <c r="D15" s="56">
        <f t="shared" si="14"/>
        <v>1.5</v>
      </c>
      <c r="E15" s="5">
        <f t="shared" si="15"/>
        <v>0</v>
      </c>
      <c r="F15" s="18"/>
      <c r="G15" s="18"/>
      <c r="H15" s="18"/>
      <c r="I15" s="18"/>
      <c r="J15" s="18"/>
      <c r="K15" s="18">
        <v>0.5</v>
      </c>
      <c r="L15" s="18">
        <v>1</v>
      </c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</row>
    <row r="16" spans="1:85" ht="15" outlineLevel="4" x14ac:dyDescent="0.25">
      <c r="A16" s="3"/>
      <c r="B16" s="23" t="s">
        <v>113</v>
      </c>
      <c r="C16" s="24">
        <v>8</v>
      </c>
      <c r="D16" s="56">
        <f t="shared" si="14"/>
        <v>1</v>
      </c>
      <c r="E16" s="5">
        <f t="shared" si="15"/>
        <v>0</v>
      </c>
      <c r="F16" s="18"/>
      <c r="G16" s="18"/>
      <c r="H16" s="18"/>
      <c r="I16" s="18"/>
      <c r="J16" s="18"/>
      <c r="K16" s="18"/>
      <c r="L16" s="18"/>
      <c r="M16" s="18">
        <v>1</v>
      </c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/>
      <c r="BE16" s="18"/>
      <c r="BF16" s="18"/>
      <c r="BG16" s="18"/>
      <c r="BH16" s="18"/>
      <c r="BI16" s="18"/>
      <c r="BJ16" s="18"/>
      <c r="BK16" s="18"/>
      <c r="BL16" s="18"/>
      <c r="BM16" s="18"/>
      <c r="BN16" s="18"/>
      <c r="BO16" s="18"/>
      <c r="BP16" s="18"/>
      <c r="BQ16" s="18"/>
      <c r="BR16" s="18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</row>
    <row r="17" spans="1:85" ht="15" outlineLevel="4" x14ac:dyDescent="0.25">
      <c r="A17" s="3"/>
      <c r="B17" s="23" t="s">
        <v>115</v>
      </c>
      <c r="C17" s="24">
        <v>16</v>
      </c>
      <c r="D17" s="56">
        <f t="shared" si="14"/>
        <v>2</v>
      </c>
      <c r="E17" s="5">
        <f t="shared" si="15"/>
        <v>0</v>
      </c>
      <c r="F17" s="18"/>
      <c r="G17" s="18"/>
      <c r="H17" s="18"/>
      <c r="I17" s="18"/>
      <c r="J17" s="18"/>
      <c r="K17" s="18"/>
      <c r="L17" s="18"/>
      <c r="M17" s="18"/>
      <c r="N17" s="18">
        <v>1</v>
      </c>
      <c r="O17" s="18">
        <v>1</v>
      </c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/>
      <c r="BE17" s="18"/>
      <c r="BF17" s="18"/>
      <c r="BG17" s="18"/>
      <c r="BH17" s="18"/>
      <c r="BI17" s="18"/>
      <c r="BJ17" s="18"/>
      <c r="BK17" s="18"/>
      <c r="BL17" s="18"/>
      <c r="BM17" s="18"/>
      <c r="BN17" s="18"/>
      <c r="BO17" s="18"/>
      <c r="BP17" s="18"/>
      <c r="BQ17" s="18"/>
      <c r="BR17" s="18"/>
      <c r="BS17" s="18"/>
      <c r="BT17" s="18"/>
      <c r="BU17" s="18"/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</row>
    <row r="18" spans="1:85" ht="15" x14ac:dyDescent="0.25">
      <c r="A18" s="3"/>
      <c r="B18" s="62" t="s">
        <v>121</v>
      </c>
      <c r="C18" s="63">
        <v>248</v>
      </c>
      <c r="D18" s="64">
        <f t="shared" si="14"/>
        <v>31</v>
      </c>
      <c r="E18" s="65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/>
      <c r="BE18" s="18"/>
      <c r="BF18" s="18"/>
      <c r="BG18" s="18"/>
      <c r="BH18" s="18"/>
      <c r="BI18" s="18"/>
      <c r="BJ18" s="18"/>
      <c r="BK18" s="18"/>
      <c r="BL18" s="18"/>
      <c r="BM18" s="18"/>
      <c r="BN18" s="18"/>
      <c r="BO18" s="18"/>
      <c r="BP18" s="18"/>
      <c r="BQ18" s="18"/>
      <c r="BR18" s="18"/>
      <c r="BS18" s="18"/>
      <c r="BT18" s="18"/>
      <c r="BU18" s="18"/>
      <c r="BV18" s="18"/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8"/>
    </row>
    <row r="19" spans="1:85" ht="15" outlineLevel="1" x14ac:dyDescent="0.25">
      <c r="A19" s="3"/>
      <c r="B19" s="23" t="s">
        <v>6</v>
      </c>
      <c r="C19" s="24">
        <v>22</v>
      </c>
      <c r="D19" s="56">
        <f t="shared" si="14"/>
        <v>2.75</v>
      </c>
      <c r="E19" s="81">
        <f t="shared" ref="E19:E23" si="16">SUM(F19:CG19)-D19</f>
        <v>0</v>
      </c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>
        <v>1</v>
      </c>
      <c r="Q19" s="18">
        <v>1</v>
      </c>
      <c r="R19" s="18">
        <v>0.75</v>
      </c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/>
      <c r="BE19" s="18"/>
      <c r="BF19" s="18"/>
      <c r="BG19" s="18"/>
      <c r="BH19" s="18"/>
      <c r="BI19" s="18"/>
      <c r="BJ19" s="18"/>
      <c r="BK19" s="18"/>
      <c r="BL19" s="18"/>
      <c r="BM19" s="18"/>
      <c r="BN19" s="18"/>
      <c r="BO19" s="18"/>
      <c r="BP19" s="18"/>
      <c r="BQ19" s="18"/>
      <c r="BR19" s="18"/>
      <c r="BS19" s="18"/>
      <c r="BT19" s="18"/>
      <c r="BU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</row>
    <row r="20" spans="1:85" ht="15" outlineLevel="1" x14ac:dyDescent="0.25">
      <c r="A20" s="3"/>
      <c r="B20" s="23" t="s">
        <v>37</v>
      </c>
      <c r="C20" s="24">
        <v>21</v>
      </c>
      <c r="D20" s="56">
        <f t="shared" si="14"/>
        <v>2.625</v>
      </c>
      <c r="E20" s="81">
        <f t="shared" si="16"/>
        <v>0</v>
      </c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>
        <v>0.25</v>
      </c>
      <c r="S20" s="18">
        <v>1</v>
      </c>
      <c r="T20" s="18">
        <v>1</v>
      </c>
      <c r="U20" s="18">
        <v>0.375</v>
      </c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/>
      <c r="BE20" s="18"/>
      <c r="BF20" s="18"/>
      <c r="BG20" s="18"/>
      <c r="BH20" s="18"/>
      <c r="BI20" s="18"/>
      <c r="BJ20" s="18"/>
      <c r="BK20" s="18"/>
      <c r="BL20" s="18"/>
      <c r="BM20" s="18"/>
      <c r="BN20" s="18"/>
      <c r="BO20" s="18"/>
      <c r="BP20" s="18"/>
      <c r="BQ20" s="18"/>
      <c r="BR20" s="18"/>
      <c r="BS20" s="18"/>
      <c r="BT20" s="18"/>
      <c r="BU20" s="18"/>
      <c r="BV20" s="18"/>
      <c r="BW20" s="18"/>
      <c r="BX20" s="18"/>
      <c r="BY20" s="18"/>
      <c r="BZ20" s="18"/>
      <c r="CA20" s="18"/>
      <c r="CB20" s="18"/>
      <c r="CC20" s="18"/>
      <c r="CD20" s="18"/>
      <c r="CE20" s="18"/>
      <c r="CF20" s="18"/>
      <c r="CG20" s="18"/>
    </row>
    <row r="21" spans="1:85" ht="15" outlineLevel="1" x14ac:dyDescent="0.25">
      <c r="A21" s="3"/>
      <c r="B21" s="23" t="s">
        <v>42</v>
      </c>
      <c r="C21" s="24">
        <v>24</v>
      </c>
      <c r="D21" s="56">
        <f t="shared" si="14"/>
        <v>3</v>
      </c>
      <c r="E21" s="81">
        <f t="shared" si="16"/>
        <v>0</v>
      </c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>
        <v>0.625</v>
      </c>
      <c r="V21" s="18">
        <v>1</v>
      </c>
      <c r="W21" s="18">
        <v>1</v>
      </c>
      <c r="X21" s="18">
        <v>0.375</v>
      </c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/>
      <c r="BE21" s="18"/>
      <c r="BF21" s="18"/>
      <c r="BG21" s="18"/>
      <c r="BH21" s="18"/>
      <c r="BI21" s="18"/>
      <c r="BJ21" s="18"/>
      <c r="BK21" s="18"/>
      <c r="BL21" s="18"/>
      <c r="BM21" s="18"/>
      <c r="BN21" s="18"/>
      <c r="BO21" s="18"/>
      <c r="BP21" s="18"/>
      <c r="BQ21" s="18"/>
      <c r="BR21" s="18"/>
      <c r="BS21" s="18"/>
      <c r="BT21" s="18"/>
      <c r="BU21" s="18"/>
      <c r="BV21" s="18"/>
      <c r="BW21" s="18"/>
      <c r="BX21" s="18"/>
      <c r="BY21" s="18"/>
      <c r="BZ21" s="18"/>
      <c r="CA21" s="18"/>
      <c r="CB21" s="18"/>
      <c r="CC21" s="18"/>
      <c r="CD21" s="18"/>
      <c r="CE21" s="18"/>
      <c r="CF21" s="18"/>
      <c r="CG21" s="18"/>
    </row>
    <row r="22" spans="1:85" ht="15" outlineLevel="1" x14ac:dyDescent="0.25">
      <c r="A22" s="3"/>
      <c r="B22" s="23" t="s">
        <v>49</v>
      </c>
      <c r="C22" s="24">
        <v>71</v>
      </c>
      <c r="D22" s="56">
        <f t="shared" si="14"/>
        <v>8.875</v>
      </c>
      <c r="E22" s="81">
        <f t="shared" si="16"/>
        <v>0</v>
      </c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>
        <v>0.625</v>
      </c>
      <c r="Y22" s="18">
        <v>1</v>
      </c>
      <c r="Z22" s="18">
        <v>1</v>
      </c>
      <c r="AA22" s="18">
        <v>1</v>
      </c>
      <c r="AB22" s="18">
        <v>1</v>
      </c>
      <c r="AC22" s="18">
        <v>1</v>
      </c>
      <c r="AD22" s="18">
        <v>1</v>
      </c>
      <c r="AE22" s="18">
        <v>1</v>
      </c>
      <c r="AF22" s="18">
        <v>1</v>
      </c>
      <c r="AG22" s="18">
        <v>0.25</v>
      </c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18"/>
      <c r="BK22" s="18"/>
      <c r="BL22" s="18"/>
      <c r="BM22" s="18"/>
      <c r="BN22" s="18"/>
      <c r="BO22" s="18"/>
      <c r="BP22" s="18"/>
      <c r="BQ22" s="18"/>
      <c r="BR22" s="18"/>
      <c r="BS22" s="18"/>
      <c r="BT22" s="18"/>
      <c r="BU22" s="18"/>
      <c r="BV22" s="18"/>
      <c r="BW22" s="18"/>
      <c r="BX22" s="18"/>
      <c r="BY22" s="18"/>
      <c r="BZ22" s="18"/>
      <c r="CA22" s="18"/>
      <c r="CB22" s="18"/>
      <c r="CC22" s="18"/>
      <c r="CD22" s="18"/>
      <c r="CE22" s="18"/>
      <c r="CF22" s="18"/>
      <c r="CG22" s="18"/>
    </row>
    <row r="23" spans="1:85" ht="15" outlineLevel="1" x14ac:dyDescent="0.25">
      <c r="A23" s="3"/>
      <c r="B23" s="23" t="s">
        <v>90</v>
      </c>
      <c r="C23" s="24">
        <v>110</v>
      </c>
      <c r="D23" s="56">
        <f t="shared" si="14"/>
        <v>13.75</v>
      </c>
      <c r="E23" s="81">
        <f t="shared" si="16"/>
        <v>0</v>
      </c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>
        <v>0.75</v>
      </c>
      <c r="AH23" s="18">
        <v>1</v>
      </c>
      <c r="AI23" s="18">
        <v>1</v>
      </c>
      <c r="AJ23" s="18">
        <v>2</v>
      </c>
      <c r="AK23" s="18">
        <v>2</v>
      </c>
      <c r="AL23" s="18">
        <v>2</v>
      </c>
      <c r="AM23" s="18">
        <v>2</v>
      </c>
      <c r="AN23" s="18">
        <v>2</v>
      </c>
      <c r="AO23" s="18">
        <v>1</v>
      </c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18"/>
      <c r="BK23" s="18"/>
      <c r="BL23" s="18"/>
      <c r="BM23" s="18"/>
      <c r="BN23" s="18"/>
      <c r="BO23" s="18"/>
      <c r="BP23" s="18"/>
      <c r="BQ23" s="18"/>
      <c r="BR23" s="18"/>
      <c r="BS23" s="18"/>
      <c r="BT23" s="18"/>
      <c r="BU23" s="18"/>
      <c r="BV23" s="18"/>
      <c r="BW23" s="18"/>
      <c r="BX23" s="18"/>
      <c r="BY23" s="18"/>
      <c r="BZ23" s="18"/>
      <c r="CA23" s="18"/>
      <c r="CB23" s="18"/>
      <c r="CC23" s="18"/>
      <c r="CD23" s="18"/>
      <c r="CE23" s="18"/>
      <c r="CF23" s="18"/>
      <c r="CG23" s="18"/>
    </row>
    <row r="24" spans="1:85" ht="15" outlineLevel="1" x14ac:dyDescent="0.25">
      <c r="A24" s="3"/>
      <c r="B24" s="83" t="s">
        <v>147</v>
      </c>
      <c r="C24" s="24">
        <f>D24*8</f>
        <v>352</v>
      </c>
      <c r="D24" s="56">
        <v>44</v>
      </c>
      <c r="E24" s="5">
        <f>SUM(F24:CG24)-D24</f>
        <v>-4.75</v>
      </c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>
        <v>2</v>
      </c>
      <c r="AQ24" s="18">
        <v>2</v>
      </c>
      <c r="AR24" s="18">
        <v>2</v>
      </c>
      <c r="AS24" s="18">
        <v>2</v>
      </c>
      <c r="AT24" s="18">
        <v>2</v>
      </c>
      <c r="AU24" s="18">
        <v>2</v>
      </c>
      <c r="AV24" s="18">
        <v>2</v>
      </c>
      <c r="AW24" s="18">
        <v>2</v>
      </c>
      <c r="AX24" s="18">
        <v>2</v>
      </c>
      <c r="AY24" s="18">
        <v>2</v>
      </c>
      <c r="AZ24" s="18">
        <v>2</v>
      </c>
      <c r="BA24" s="18">
        <v>2</v>
      </c>
      <c r="BB24" s="18">
        <v>2</v>
      </c>
      <c r="BC24" s="18">
        <v>2</v>
      </c>
      <c r="BD24" s="18">
        <v>2</v>
      </c>
      <c r="BE24" s="18">
        <v>2</v>
      </c>
      <c r="BF24" s="18">
        <v>2</v>
      </c>
      <c r="BG24" s="18">
        <v>2</v>
      </c>
      <c r="BH24" s="18">
        <v>2</v>
      </c>
      <c r="BI24" s="18">
        <v>1.25</v>
      </c>
      <c r="BJ24" s="18"/>
      <c r="BK24" s="18"/>
      <c r="BX24" s="18"/>
      <c r="BY24" s="18"/>
      <c r="BZ24" s="18"/>
      <c r="CA24" s="18"/>
      <c r="CB24" s="18"/>
      <c r="CC24" s="18"/>
      <c r="CD24" s="18"/>
      <c r="CE24" s="18"/>
      <c r="CF24" s="18"/>
      <c r="CG24" s="18"/>
    </row>
    <row r="25" spans="1:85" ht="15" x14ac:dyDescent="0.25">
      <c r="A25" s="3"/>
      <c r="B25" s="62" t="s">
        <v>126</v>
      </c>
      <c r="C25" s="63">
        <v>140</v>
      </c>
      <c r="D25" s="64">
        <f t="shared" si="14"/>
        <v>17.5</v>
      </c>
      <c r="E25" s="65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/>
      <c r="BE25" s="18"/>
      <c r="BF25" s="18"/>
      <c r="BG25" s="18"/>
      <c r="BH25" s="18"/>
      <c r="BI25" s="18"/>
      <c r="BJ25" s="18"/>
      <c r="BK25" s="18"/>
      <c r="BL25" s="18"/>
      <c r="BM25" s="18"/>
      <c r="BN25" s="18"/>
      <c r="BO25" s="18"/>
      <c r="BP25" s="18"/>
      <c r="BQ25" s="18"/>
      <c r="BR25" s="18"/>
      <c r="BS25" s="18"/>
      <c r="BT25" s="18"/>
      <c r="BU25" s="18"/>
      <c r="BV25" s="18"/>
      <c r="BW25" s="18"/>
      <c r="BX25" s="18"/>
      <c r="BY25" s="18"/>
      <c r="BZ25" s="18"/>
      <c r="CA25" s="18"/>
      <c r="CB25" s="18"/>
      <c r="CC25" s="18"/>
      <c r="CD25" s="18"/>
      <c r="CE25" s="18"/>
      <c r="CF25" s="18"/>
      <c r="CG25" s="18"/>
    </row>
    <row r="26" spans="1:85" ht="15" outlineLevel="1" x14ac:dyDescent="0.25">
      <c r="A26" s="3"/>
      <c r="B26" s="23" t="s">
        <v>6</v>
      </c>
      <c r="C26" s="24">
        <v>12</v>
      </c>
      <c r="D26" s="56">
        <f t="shared" si="14"/>
        <v>1.5</v>
      </c>
      <c r="E26" s="5">
        <f t="shared" ref="E26:E32" si="17">SUM(F26:CG26)-D26</f>
        <v>0</v>
      </c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/>
      <c r="BE26" s="18"/>
      <c r="BF26" s="18"/>
      <c r="BG26" s="18"/>
      <c r="BH26" s="18"/>
      <c r="BI26" s="18">
        <v>0.75</v>
      </c>
      <c r="BJ26" s="18">
        <v>0.75</v>
      </c>
      <c r="BK26" s="18"/>
      <c r="BL26" s="18"/>
      <c r="BM26" s="18"/>
      <c r="BN26" s="18"/>
      <c r="BO26" s="18"/>
      <c r="BP26" s="18"/>
      <c r="BQ26" s="18"/>
      <c r="BR26" s="18"/>
      <c r="BS26" s="18"/>
      <c r="BT26" s="18"/>
      <c r="BU26" s="18"/>
      <c r="BV26" s="18"/>
      <c r="BW26" s="18"/>
      <c r="BX26" s="18"/>
      <c r="BY26" s="18"/>
      <c r="BZ26" s="18"/>
      <c r="CA26" s="18"/>
      <c r="CB26" s="18"/>
      <c r="CC26" s="18"/>
      <c r="CD26" s="18"/>
      <c r="CE26" s="18"/>
      <c r="CF26" s="18"/>
      <c r="CG26" s="18"/>
    </row>
    <row r="27" spans="1:85" ht="15" outlineLevel="1" x14ac:dyDescent="0.25">
      <c r="A27" s="3"/>
      <c r="B27" s="23" t="s">
        <v>37</v>
      </c>
      <c r="C27" s="24">
        <v>16</v>
      </c>
      <c r="D27" s="56">
        <f t="shared" si="14"/>
        <v>2</v>
      </c>
      <c r="E27" s="5">
        <f t="shared" si="17"/>
        <v>0</v>
      </c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/>
      <c r="BE27" s="18"/>
      <c r="BF27" s="18"/>
      <c r="BG27" s="18"/>
      <c r="BH27" s="18"/>
      <c r="BI27" s="18"/>
      <c r="BJ27" s="18">
        <v>1.25</v>
      </c>
      <c r="BK27" s="18">
        <v>0.75</v>
      </c>
      <c r="BL27" s="18"/>
      <c r="BM27" s="18"/>
      <c r="BN27" s="18"/>
      <c r="BO27" s="18"/>
      <c r="BP27" s="18"/>
      <c r="BQ27" s="18"/>
      <c r="BR27" s="18"/>
      <c r="BS27" s="18"/>
      <c r="BT27" s="18"/>
      <c r="BU27" s="18"/>
      <c r="BV27" s="18"/>
      <c r="BW27" s="18"/>
      <c r="BX27" s="18"/>
      <c r="BY27" s="18"/>
      <c r="BZ27" s="18"/>
      <c r="CA27" s="18"/>
      <c r="CB27" s="18"/>
      <c r="CC27" s="18"/>
      <c r="CD27" s="18"/>
      <c r="CE27" s="18"/>
      <c r="CF27" s="18"/>
      <c r="CG27" s="18"/>
    </row>
    <row r="28" spans="1:85" ht="15" outlineLevel="1" x14ac:dyDescent="0.25">
      <c r="A28" s="3"/>
      <c r="B28" s="23" t="s">
        <v>42</v>
      </c>
      <c r="C28" s="24">
        <v>16</v>
      </c>
      <c r="D28" s="56">
        <f t="shared" si="14"/>
        <v>2</v>
      </c>
      <c r="E28" s="5">
        <f t="shared" si="17"/>
        <v>0</v>
      </c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/>
      <c r="BE28" s="18"/>
      <c r="BF28" s="18"/>
      <c r="BG28" s="18"/>
      <c r="BH28" s="18"/>
      <c r="BI28" s="18"/>
      <c r="BJ28" s="18"/>
      <c r="BK28" s="18">
        <v>1.25</v>
      </c>
      <c r="BL28" s="18">
        <v>0.75</v>
      </c>
      <c r="BM28" s="18"/>
      <c r="BN28" s="18"/>
      <c r="BO28" s="18"/>
      <c r="BP28" s="18"/>
      <c r="BQ28" s="18"/>
      <c r="BR28" s="18"/>
      <c r="BS28" s="18"/>
      <c r="BT28" s="18"/>
      <c r="BU28" s="18"/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</row>
    <row r="29" spans="1:85" ht="15" outlineLevel="1" x14ac:dyDescent="0.25">
      <c r="A29" s="3"/>
      <c r="B29" s="23" t="s">
        <v>49</v>
      </c>
      <c r="C29" s="24">
        <v>16</v>
      </c>
      <c r="D29" s="56">
        <f t="shared" si="14"/>
        <v>2</v>
      </c>
      <c r="E29" s="5">
        <f t="shared" si="17"/>
        <v>0</v>
      </c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18"/>
      <c r="BK29" s="18"/>
      <c r="BL29" s="18">
        <v>1.25</v>
      </c>
      <c r="BM29" s="18">
        <v>0.75</v>
      </c>
      <c r="BN29" s="18"/>
      <c r="BO29" s="18"/>
      <c r="BP29" s="18"/>
      <c r="BQ29" s="18"/>
      <c r="BR29" s="18"/>
      <c r="BS29" s="18"/>
      <c r="BT29" s="18"/>
      <c r="BU29" s="18"/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</row>
    <row r="30" spans="1:85" ht="15" outlineLevel="1" x14ac:dyDescent="0.25">
      <c r="A30" s="3"/>
      <c r="B30" s="23" t="s">
        <v>90</v>
      </c>
      <c r="C30" s="24">
        <v>80</v>
      </c>
      <c r="D30" s="56">
        <f t="shared" si="14"/>
        <v>10</v>
      </c>
      <c r="E30" s="5">
        <f t="shared" si="17"/>
        <v>0</v>
      </c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/>
      <c r="BE30" s="18"/>
      <c r="BF30" s="18"/>
      <c r="BG30" s="18"/>
      <c r="BH30" s="18"/>
      <c r="BI30" s="18"/>
      <c r="BJ30" s="18"/>
      <c r="BK30" s="18"/>
      <c r="BL30" s="18"/>
      <c r="BM30" s="18">
        <v>1.25</v>
      </c>
      <c r="BN30" s="18">
        <v>2</v>
      </c>
      <c r="BO30" s="18">
        <v>2</v>
      </c>
      <c r="BP30" s="18">
        <v>2</v>
      </c>
      <c r="BQ30" s="18">
        <v>2</v>
      </c>
      <c r="BR30" s="18">
        <v>0.75</v>
      </c>
      <c r="BS30" s="18"/>
      <c r="BT30" s="18"/>
      <c r="BU30" s="18"/>
      <c r="BV30" s="18"/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18"/>
    </row>
    <row r="31" spans="1:85" ht="15" outlineLevel="1" x14ac:dyDescent="0.25">
      <c r="A31" s="3"/>
      <c r="B31" s="23" t="s">
        <v>151</v>
      </c>
      <c r="C31" s="24"/>
      <c r="D31" s="56"/>
      <c r="E31" s="5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/>
      <c r="BE31" s="18"/>
      <c r="BF31" s="18"/>
      <c r="BG31" s="18"/>
      <c r="BH31" s="18"/>
      <c r="BI31" s="18"/>
      <c r="BJ31" s="18"/>
      <c r="BK31" s="18"/>
      <c r="BL31" s="18"/>
      <c r="BM31" s="18"/>
      <c r="BN31" s="18"/>
      <c r="BO31" s="18"/>
      <c r="BP31" s="18"/>
      <c r="BQ31" s="18"/>
      <c r="BR31" s="84"/>
      <c r="BS31" s="84"/>
      <c r="BT31" s="18"/>
      <c r="BU31" s="18"/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</row>
    <row r="32" spans="1:85" ht="15" x14ac:dyDescent="0.25">
      <c r="A32" s="3"/>
      <c r="B32" s="62" t="s">
        <v>150</v>
      </c>
      <c r="C32" s="63">
        <v>50</v>
      </c>
      <c r="D32" s="64">
        <f t="shared" si="14"/>
        <v>6.25</v>
      </c>
      <c r="E32" s="65">
        <f t="shared" si="17"/>
        <v>0</v>
      </c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18"/>
      <c r="BI32" s="18"/>
      <c r="BJ32" s="18"/>
      <c r="BK32" s="18"/>
      <c r="BL32" s="18"/>
      <c r="BM32" s="18"/>
      <c r="BN32" s="18"/>
      <c r="BO32" s="18"/>
      <c r="BP32" s="18"/>
      <c r="BQ32" s="18"/>
      <c r="BR32" s="18">
        <v>1.25</v>
      </c>
      <c r="BS32" s="18">
        <v>2</v>
      </c>
      <c r="BT32" s="18">
        <v>2</v>
      </c>
      <c r="BU32" s="18">
        <v>1</v>
      </c>
      <c r="BV32" s="18"/>
      <c r="BW32" s="18"/>
      <c r="BX32" s="18"/>
      <c r="BY32" s="18"/>
      <c r="BZ32" s="18"/>
      <c r="CA32" s="18"/>
      <c r="CB32" s="18"/>
      <c r="CC32" s="18"/>
      <c r="CD32" s="18"/>
      <c r="CE32" s="18"/>
      <c r="CF32" s="18"/>
      <c r="CG32" s="18"/>
    </row>
    <row r="33" spans="1:85" ht="15" x14ac:dyDescent="0.25">
      <c r="A33" s="3"/>
      <c r="B33" s="62" t="s">
        <v>128</v>
      </c>
      <c r="C33" s="63">
        <v>40</v>
      </c>
      <c r="D33" s="64">
        <f t="shared" ref="D33:D44" si="18">C33/8</f>
        <v>5</v>
      </c>
      <c r="E33" s="65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/>
      <c r="BE33" s="18"/>
      <c r="BF33" s="18"/>
      <c r="BG33" s="18"/>
      <c r="BH33" s="18"/>
      <c r="BI33" s="18"/>
      <c r="BJ33" s="18"/>
      <c r="BK33" s="18"/>
      <c r="BL33" s="18"/>
      <c r="BM33" s="18"/>
      <c r="BN33" s="18"/>
      <c r="BO33" s="18"/>
      <c r="BP33" s="18"/>
      <c r="BQ33" s="18"/>
      <c r="BR33" s="18"/>
      <c r="BS33" s="18"/>
      <c r="BT33" s="18"/>
      <c r="BU33" s="18"/>
      <c r="BV33" s="18"/>
      <c r="BW33" s="18"/>
      <c r="BX33" s="18"/>
      <c r="BY33" s="18"/>
      <c r="BZ33" s="18"/>
      <c r="CA33" s="18"/>
      <c r="CB33" s="18"/>
      <c r="CC33" s="18"/>
      <c r="CD33" s="18"/>
      <c r="CE33" s="18"/>
      <c r="CF33" s="18"/>
      <c r="CG33" s="18"/>
    </row>
    <row r="34" spans="1:85" ht="15" outlineLevel="1" x14ac:dyDescent="0.25">
      <c r="A34" s="3"/>
      <c r="B34" s="23" t="s">
        <v>6</v>
      </c>
      <c r="C34" s="24">
        <v>8</v>
      </c>
      <c r="D34" s="56">
        <f t="shared" si="18"/>
        <v>1</v>
      </c>
      <c r="E34" s="5">
        <f t="shared" ref="E34:E38" si="19">SUM(F34:CG34)-D34</f>
        <v>0</v>
      </c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8"/>
      <c r="BE34" s="18"/>
      <c r="BF34" s="18"/>
      <c r="BG34" s="18"/>
      <c r="BH34" s="18"/>
      <c r="BI34" s="18"/>
      <c r="BJ34" s="18"/>
      <c r="BK34" s="18"/>
      <c r="BL34" s="18"/>
      <c r="BM34" s="18"/>
      <c r="BN34" s="18"/>
      <c r="BO34" s="18"/>
      <c r="BP34" s="18"/>
      <c r="BQ34" s="18"/>
      <c r="BR34" s="18"/>
      <c r="BS34" s="18"/>
      <c r="BT34" s="18"/>
      <c r="BU34" s="18">
        <v>1</v>
      </c>
      <c r="BV34" s="18"/>
      <c r="BW34" s="18"/>
      <c r="BX34" s="18"/>
      <c r="BY34" s="18"/>
      <c r="BZ34" s="18"/>
      <c r="CA34" s="18"/>
      <c r="CB34" s="18"/>
      <c r="CC34" s="18"/>
      <c r="CD34" s="18"/>
      <c r="CE34" s="18"/>
      <c r="CF34" s="18"/>
      <c r="CG34" s="18"/>
    </row>
    <row r="35" spans="1:85" ht="15" outlineLevel="1" x14ac:dyDescent="0.25">
      <c r="A35" s="3"/>
      <c r="B35" s="23" t="s">
        <v>37</v>
      </c>
      <c r="C35" s="24">
        <v>8</v>
      </c>
      <c r="D35" s="56">
        <f t="shared" si="18"/>
        <v>1</v>
      </c>
      <c r="E35" s="5">
        <f t="shared" si="19"/>
        <v>0</v>
      </c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/>
      <c r="BE35" s="18"/>
      <c r="BF35" s="18"/>
      <c r="BG35" s="18"/>
      <c r="BH35" s="18"/>
      <c r="BI35" s="18"/>
      <c r="BJ35" s="18"/>
      <c r="BK35" s="18"/>
      <c r="BL35" s="18"/>
      <c r="BM35" s="18"/>
      <c r="BN35" s="18"/>
      <c r="BO35" s="18"/>
      <c r="BP35" s="18"/>
      <c r="BQ35" s="18"/>
      <c r="BR35" s="18"/>
      <c r="BS35" s="18"/>
      <c r="BT35" s="18"/>
      <c r="BU35" s="18"/>
      <c r="BV35" s="18">
        <v>1</v>
      </c>
      <c r="BW35" s="18"/>
      <c r="BX35" s="18"/>
      <c r="BY35" s="18"/>
      <c r="BZ35" s="18"/>
      <c r="CA35" s="18"/>
      <c r="CB35" s="18"/>
      <c r="CC35" s="18"/>
      <c r="CD35" s="18"/>
      <c r="CE35" s="18"/>
      <c r="CF35" s="18"/>
      <c r="CG35" s="18"/>
    </row>
    <row r="36" spans="1:85" ht="15" outlineLevel="1" x14ac:dyDescent="0.25">
      <c r="A36" s="3"/>
      <c r="B36" s="23" t="s">
        <v>42</v>
      </c>
      <c r="C36" s="24">
        <v>8</v>
      </c>
      <c r="D36" s="56">
        <f t="shared" si="18"/>
        <v>1</v>
      </c>
      <c r="E36" s="5">
        <f t="shared" si="19"/>
        <v>0</v>
      </c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/>
      <c r="BE36" s="18"/>
      <c r="BF36" s="18"/>
      <c r="BG36" s="18"/>
      <c r="BH36" s="18"/>
      <c r="BI36" s="18"/>
      <c r="BJ36" s="18"/>
      <c r="BK36" s="18"/>
      <c r="BL36" s="18"/>
      <c r="BM36" s="18"/>
      <c r="BN36" s="18"/>
      <c r="BO36" s="18"/>
      <c r="BP36" s="18"/>
      <c r="BQ36" s="18"/>
      <c r="BR36" s="18"/>
      <c r="BS36" s="18"/>
      <c r="BT36" s="18"/>
      <c r="BU36" s="18"/>
      <c r="BV36" s="18">
        <v>1</v>
      </c>
      <c r="BW36" s="18"/>
      <c r="BX36" s="18"/>
      <c r="BY36" s="18"/>
      <c r="BZ36" s="18"/>
      <c r="CA36" s="18"/>
      <c r="CB36" s="18"/>
      <c r="CC36" s="18"/>
      <c r="CD36" s="18"/>
      <c r="CE36" s="18"/>
      <c r="CF36" s="18"/>
      <c r="CG36" s="18"/>
    </row>
    <row r="37" spans="1:85" ht="15" outlineLevel="1" x14ac:dyDescent="0.25">
      <c r="A37" s="3"/>
      <c r="B37" s="23" t="s">
        <v>49</v>
      </c>
      <c r="C37" s="24">
        <v>8</v>
      </c>
      <c r="D37" s="56">
        <f t="shared" si="18"/>
        <v>1</v>
      </c>
      <c r="E37" s="5">
        <f t="shared" si="19"/>
        <v>0</v>
      </c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18"/>
      <c r="BC37" s="18"/>
      <c r="BD37" s="18"/>
      <c r="BE37" s="18"/>
      <c r="BF37" s="18"/>
      <c r="BG37" s="18"/>
      <c r="BH37" s="18"/>
      <c r="BI37" s="18"/>
      <c r="BJ37" s="18"/>
      <c r="BK37" s="18"/>
      <c r="BL37" s="18"/>
      <c r="BM37" s="18"/>
      <c r="BN37" s="18"/>
      <c r="BO37" s="18"/>
      <c r="BP37" s="18"/>
      <c r="BQ37" s="18"/>
      <c r="BR37" s="18"/>
      <c r="BS37" s="18"/>
      <c r="BT37" s="18"/>
      <c r="BU37" s="18"/>
      <c r="BV37" s="18"/>
      <c r="BW37" s="18">
        <v>1</v>
      </c>
      <c r="BX37" s="18"/>
      <c r="BY37" s="18"/>
      <c r="BZ37" s="18"/>
      <c r="CA37" s="18"/>
      <c r="CB37" s="18"/>
      <c r="CC37" s="18"/>
      <c r="CD37" s="18"/>
      <c r="CE37" s="18"/>
      <c r="CF37" s="18"/>
      <c r="CG37" s="18"/>
    </row>
    <row r="38" spans="1:85" ht="15" outlineLevel="1" x14ac:dyDescent="0.25">
      <c r="A38" s="3"/>
      <c r="B38" s="23" t="s">
        <v>90</v>
      </c>
      <c r="C38" s="24">
        <v>8</v>
      </c>
      <c r="D38" s="56">
        <f t="shared" si="18"/>
        <v>1</v>
      </c>
      <c r="E38" s="5">
        <f t="shared" si="19"/>
        <v>0</v>
      </c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18"/>
      <c r="BC38" s="18"/>
      <c r="BD38" s="18"/>
      <c r="BE38" s="18"/>
      <c r="BF38" s="18"/>
      <c r="BG38" s="18"/>
      <c r="BH38" s="18"/>
      <c r="BI38" s="18"/>
      <c r="BJ38" s="18"/>
      <c r="BK38" s="18"/>
      <c r="BL38" s="18"/>
      <c r="BM38" s="18"/>
      <c r="BN38" s="18"/>
      <c r="BO38" s="18"/>
      <c r="BP38" s="18"/>
      <c r="BQ38" s="18"/>
      <c r="BR38" s="18"/>
      <c r="BS38" s="18"/>
      <c r="BT38" s="18"/>
      <c r="BU38" s="18"/>
      <c r="BV38" s="18"/>
      <c r="BW38" s="18">
        <v>1</v>
      </c>
      <c r="BX38" s="18"/>
      <c r="BY38" s="18"/>
      <c r="BZ38" s="18"/>
      <c r="CA38" s="18"/>
      <c r="CB38" s="18"/>
      <c r="CC38" s="18"/>
      <c r="CD38" s="18"/>
      <c r="CE38" s="18"/>
      <c r="CF38" s="18"/>
      <c r="CG38" s="18"/>
    </row>
    <row r="39" spans="1:85" ht="15" x14ac:dyDescent="0.25">
      <c r="A39" s="3"/>
      <c r="B39" s="62" t="s">
        <v>127</v>
      </c>
      <c r="C39" s="63">
        <v>68</v>
      </c>
      <c r="D39" s="64">
        <f t="shared" si="18"/>
        <v>8.5</v>
      </c>
      <c r="E39" s="65">
        <f t="shared" ref="E39:E43" si="20">SUM(F39:CG39)-D39</f>
        <v>-8.5</v>
      </c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18"/>
      <c r="BE39" s="18"/>
      <c r="BF39" s="18"/>
      <c r="BG39" s="18"/>
      <c r="BH39" s="18"/>
      <c r="BI39" s="18"/>
      <c r="BJ39" s="18"/>
      <c r="BK39" s="18"/>
      <c r="BL39" s="18"/>
      <c r="BM39" s="18"/>
      <c r="BN39" s="18"/>
      <c r="BO39" s="18"/>
      <c r="BP39" s="18"/>
      <c r="BQ39" s="18"/>
      <c r="BR39" s="18"/>
      <c r="BS39" s="18"/>
      <c r="BT39" s="18"/>
      <c r="BU39" s="18"/>
      <c r="BV39" s="18"/>
      <c r="BW39" s="18"/>
      <c r="BX39" s="18"/>
      <c r="BY39" s="18"/>
      <c r="BZ39" s="18"/>
      <c r="CA39" s="18"/>
      <c r="CB39" s="18"/>
      <c r="CC39" s="18"/>
      <c r="CD39" s="18"/>
      <c r="CE39" s="18"/>
      <c r="CF39" s="18"/>
      <c r="CG39" s="18"/>
    </row>
    <row r="40" spans="1:85" ht="15" outlineLevel="1" x14ac:dyDescent="0.25">
      <c r="A40" s="3"/>
      <c r="B40" s="23" t="s">
        <v>6</v>
      </c>
      <c r="C40" s="24">
        <v>8</v>
      </c>
      <c r="D40" s="56">
        <f t="shared" si="18"/>
        <v>1</v>
      </c>
      <c r="E40" s="5">
        <f t="shared" si="20"/>
        <v>0</v>
      </c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18"/>
      <c r="BC40" s="18"/>
      <c r="BD40" s="18"/>
      <c r="BE40" s="18"/>
      <c r="BF40" s="18"/>
      <c r="BG40" s="18"/>
      <c r="BH40" s="18"/>
      <c r="BI40" s="18"/>
      <c r="BJ40" s="18"/>
      <c r="BK40" s="18"/>
      <c r="BL40" s="18"/>
      <c r="BM40" s="18"/>
      <c r="BN40" s="18"/>
      <c r="BO40" s="18"/>
      <c r="BP40" s="18"/>
      <c r="BQ40" s="18"/>
      <c r="BR40" s="18"/>
      <c r="BS40" s="18"/>
      <c r="BT40" s="18"/>
      <c r="BU40" s="18"/>
      <c r="BV40" s="18"/>
      <c r="BW40" s="18"/>
      <c r="BX40" s="18">
        <v>1</v>
      </c>
      <c r="BY40" s="18"/>
      <c r="BZ40" s="18"/>
      <c r="CA40" s="18"/>
      <c r="CB40" s="18"/>
      <c r="CC40" s="18"/>
      <c r="CD40" s="18"/>
      <c r="CE40" s="18"/>
      <c r="CF40" s="18"/>
      <c r="CG40" s="18"/>
    </row>
    <row r="41" spans="1:85" ht="15" outlineLevel="1" x14ac:dyDescent="0.25">
      <c r="A41" s="3"/>
      <c r="B41" s="23" t="s">
        <v>37</v>
      </c>
      <c r="C41" s="24">
        <v>8</v>
      </c>
      <c r="D41" s="56">
        <f t="shared" si="18"/>
        <v>1</v>
      </c>
      <c r="E41" s="5">
        <f t="shared" si="20"/>
        <v>0</v>
      </c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18"/>
      <c r="BE41" s="18"/>
      <c r="BF41" s="18"/>
      <c r="BG41" s="18"/>
      <c r="BH41" s="18"/>
      <c r="BI41" s="18"/>
      <c r="BJ41" s="18"/>
      <c r="BK41" s="18"/>
      <c r="BL41" s="18"/>
      <c r="BM41" s="18"/>
      <c r="BN41" s="18"/>
      <c r="BO41" s="18"/>
      <c r="BP41" s="18"/>
      <c r="BQ41" s="18"/>
      <c r="BR41" s="18"/>
      <c r="BS41" s="18"/>
      <c r="BT41" s="18"/>
      <c r="BU41" s="18"/>
      <c r="BV41" s="18"/>
      <c r="BW41" s="18"/>
      <c r="BX41" s="18">
        <v>1</v>
      </c>
      <c r="BY41" s="18"/>
      <c r="BZ41" s="18"/>
      <c r="CA41" s="18"/>
      <c r="CB41" s="18"/>
      <c r="CC41" s="18"/>
      <c r="CD41" s="18"/>
      <c r="CE41" s="18"/>
      <c r="CF41" s="18"/>
      <c r="CG41" s="18"/>
    </row>
    <row r="42" spans="1:85" ht="15" outlineLevel="1" x14ac:dyDescent="0.25">
      <c r="A42" s="3"/>
      <c r="B42" s="23" t="s">
        <v>42</v>
      </c>
      <c r="C42" s="24">
        <v>16</v>
      </c>
      <c r="D42" s="56">
        <f t="shared" si="18"/>
        <v>2</v>
      </c>
      <c r="E42" s="5">
        <f t="shared" si="20"/>
        <v>0</v>
      </c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8"/>
      <c r="BA42" s="18"/>
      <c r="BB42" s="18"/>
      <c r="BC42" s="18"/>
      <c r="BD42" s="18"/>
      <c r="BE42" s="18"/>
      <c r="BF42" s="18"/>
      <c r="BG42" s="18"/>
      <c r="BH42" s="18"/>
      <c r="BI42" s="18"/>
      <c r="BJ42" s="18"/>
      <c r="BK42" s="18"/>
      <c r="BL42" s="18"/>
      <c r="BM42" s="18"/>
      <c r="BN42" s="18"/>
      <c r="BO42" s="18"/>
      <c r="BP42" s="18"/>
      <c r="BQ42" s="18"/>
      <c r="BR42" s="18"/>
      <c r="BS42" s="18"/>
      <c r="BT42" s="18"/>
      <c r="BU42" s="18"/>
      <c r="BV42" s="18"/>
      <c r="BW42" s="18"/>
      <c r="BX42" s="18"/>
      <c r="BY42" s="18">
        <v>2</v>
      </c>
      <c r="BZ42" s="18"/>
      <c r="CA42" s="18"/>
      <c r="CB42" s="18"/>
      <c r="CC42" s="18"/>
      <c r="CD42" s="18"/>
      <c r="CE42" s="18"/>
      <c r="CF42" s="18"/>
      <c r="CG42" s="18"/>
    </row>
    <row r="43" spans="1:85" ht="15" outlineLevel="1" x14ac:dyDescent="0.25">
      <c r="A43" s="3"/>
      <c r="B43" s="23" t="s">
        <v>49</v>
      </c>
      <c r="C43" s="24">
        <v>16</v>
      </c>
      <c r="D43" s="56">
        <f t="shared" si="18"/>
        <v>2</v>
      </c>
      <c r="E43" s="5">
        <f t="shared" si="20"/>
        <v>0</v>
      </c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/>
      <c r="AV43" s="18"/>
      <c r="AW43" s="18"/>
      <c r="AX43" s="18"/>
      <c r="AY43" s="18"/>
      <c r="AZ43" s="18"/>
      <c r="BA43" s="18"/>
      <c r="BB43" s="18"/>
      <c r="BC43" s="18"/>
      <c r="BD43" s="18"/>
      <c r="BE43" s="18"/>
      <c r="BF43" s="18"/>
      <c r="BG43" s="18"/>
      <c r="BH43" s="18"/>
      <c r="BI43" s="18"/>
      <c r="BJ43" s="18"/>
      <c r="BK43" s="18"/>
      <c r="BL43" s="18"/>
      <c r="BM43" s="18"/>
      <c r="BN43" s="18"/>
      <c r="BO43" s="18"/>
      <c r="BP43" s="18"/>
      <c r="BQ43" s="18"/>
      <c r="BR43" s="18"/>
      <c r="BS43" s="18"/>
      <c r="BT43" s="18"/>
      <c r="BU43" s="18"/>
      <c r="BV43" s="18"/>
      <c r="BW43" s="18"/>
      <c r="BX43" s="18"/>
      <c r="BY43" s="18"/>
      <c r="BZ43" s="18">
        <v>2</v>
      </c>
      <c r="CA43" s="18"/>
      <c r="CB43" s="18"/>
      <c r="CC43" s="18"/>
      <c r="CD43" s="18"/>
      <c r="CE43" s="18"/>
      <c r="CF43" s="18"/>
      <c r="CG43" s="18"/>
    </row>
    <row r="44" spans="1:85" ht="15" outlineLevel="1" x14ac:dyDescent="0.25">
      <c r="A44" s="3"/>
      <c r="B44" s="23" t="s">
        <v>90</v>
      </c>
      <c r="C44" s="24">
        <v>8</v>
      </c>
      <c r="D44" s="56">
        <f t="shared" si="18"/>
        <v>1</v>
      </c>
      <c r="E44" s="5">
        <f>SUM(F44:CG44)-D44</f>
        <v>0</v>
      </c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V44" s="18"/>
      <c r="AW44" s="18"/>
      <c r="AX44" s="18"/>
      <c r="AY44" s="18"/>
      <c r="AZ44" s="18"/>
      <c r="BA44" s="18"/>
      <c r="BB44" s="18"/>
      <c r="BC44" s="18"/>
      <c r="BD44" s="18"/>
      <c r="BE44" s="18"/>
      <c r="BF44" s="18"/>
      <c r="BG44" s="18"/>
      <c r="BH44" s="18"/>
      <c r="BI44" s="18"/>
      <c r="BJ44" s="18"/>
      <c r="BK44" s="18"/>
      <c r="BL44" s="18"/>
      <c r="BM44" s="18"/>
      <c r="BN44" s="18"/>
      <c r="BO44" s="18"/>
      <c r="BP44" s="18"/>
      <c r="BQ44" s="18"/>
      <c r="BR44" s="18"/>
      <c r="BS44" s="18"/>
      <c r="BT44" s="18"/>
      <c r="BU44" s="18"/>
      <c r="BV44" s="18"/>
      <c r="BW44" s="18"/>
      <c r="BX44" s="18"/>
      <c r="BY44" s="18"/>
      <c r="BZ44" s="18"/>
      <c r="CA44" s="18">
        <v>1</v>
      </c>
      <c r="CB44" s="18"/>
      <c r="CC44" s="18"/>
      <c r="CD44" s="18"/>
      <c r="CE44" s="18"/>
      <c r="CF44" s="18"/>
      <c r="CG44" s="18"/>
    </row>
    <row r="45" spans="1:85" ht="15" outlineLevel="1" x14ac:dyDescent="0.25">
      <c r="A45" s="3"/>
      <c r="B45" s="83" t="s">
        <v>147</v>
      </c>
      <c r="C45" s="24">
        <f>D45*8</f>
        <v>104</v>
      </c>
      <c r="D45" s="56">
        <v>13</v>
      </c>
      <c r="E45" s="5">
        <f>SUM(F45:CG45)-D45</f>
        <v>0</v>
      </c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18"/>
      <c r="AW45" s="18"/>
      <c r="AX45" s="18"/>
      <c r="AY45" s="18"/>
      <c r="AZ45" s="18"/>
      <c r="BA45" s="18"/>
      <c r="BB45" s="18"/>
      <c r="BC45" s="18"/>
      <c r="BD45" s="18"/>
      <c r="BE45" s="18"/>
      <c r="BF45" s="18"/>
      <c r="BG45" s="18"/>
      <c r="BH45" s="18"/>
      <c r="BI45" s="18"/>
      <c r="BJ45" s="18"/>
      <c r="BK45" s="18"/>
      <c r="BL45" s="18"/>
      <c r="BM45" s="18"/>
      <c r="BN45" s="18"/>
      <c r="BO45" s="18"/>
      <c r="BP45" s="18"/>
      <c r="BQ45" s="18"/>
      <c r="BR45" s="18"/>
      <c r="BS45" s="18"/>
      <c r="BT45" s="18"/>
      <c r="BU45" s="18"/>
      <c r="BV45" s="18"/>
      <c r="BW45" s="18"/>
      <c r="BX45" s="18"/>
      <c r="BY45" s="18"/>
      <c r="BZ45" s="18"/>
      <c r="CA45" s="18">
        <v>1</v>
      </c>
      <c r="CB45" s="18">
        <v>2</v>
      </c>
      <c r="CC45" s="18">
        <v>2</v>
      </c>
      <c r="CD45" s="18">
        <v>2</v>
      </c>
      <c r="CE45" s="18">
        <v>2</v>
      </c>
      <c r="CF45" s="18">
        <v>2</v>
      </c>
      <c r="CG45" s="18">
        <v>2</v>
      </c>
    </row>
    <row r="46" spans="1:85" ht="14.25" customHeight="1" x14ac:dyDescent="0.25">
      <c r="B46" s="48"/>
      <c r="C46" s="47"/>
      <c r="D46" s="74"/>
      <c r="E46" s="71"/>
      <c r="F46" s="46">
        <v>5</v>
      </c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</row>
    <row r="47" spans="1:85" ht="14.25" hidden="1" customHeight="1" x14ac:dyDescent="0.25">
      <c r="C47" s="47"/>
      <c r="D47" s="55"/>
      <c r="E47" s="72"/>
      <c r="F47" s="46">
        <f>SUM(F46:W46)</f>
        <v>5</v>
      </c>
    </row>
    <row r="48" spans="1:85" ht="14.25" hidden="1" customHeight="1" x14ac:dyDescent="0.25">
      <c r="C48" s="75"/>
      <c r="E48" s="70"/>
      <c r="F48" s="46">
        <v>7</v>
      </c>
    </row>
    <row r="49" spans="5:6" ht="14.25" hidden="1" customHeight="1" x14ac:dyDescent="0.25">
      <c r="E49" s="70"/>
      <c r="F49" s="73" t="s">
        <v>108</v>
      </c>
    </row>
    <row r="50" spans="5:6" ht="14.25" hidden="1" customHeight="1" x14ac:dyDescent="0.25">
      <c r="E50" s="70"/>
      <c r="F50" s="73" t="s">
        <v>109</v>
      </c>
    </row>
  </sheetData>
  <mergeCells count="16">
    <mergeCell ref="AE7:AI7"/>
    <mergeCell ref="F7:J7"/>
    <mergeCell ref="K7:O7"/>
    <mergeCell ref="P7:T7"/>
    <mergeCell ref="U7:Y7"/>
    <mergeCell ref="Z7:AD7"/>
    <mergeCell ref="BN7:BR7"/>
    <mergeCell ref="BS7:BW7"/>
    <mergeCell ref="BX7:CB7"/>
    <mergeCell ref="CC7:CG7"/>
    <mergeCell ref="AJ7:AN7"/>
    <mergeCell ref="AO7:AS7"/>
    <mergeCell ref="AT7:AX7"/>
    <mergeCell ref="AY7:BC7"/>
    <mergeCell ref="BD7:BH7"/>
    <mergeCell ref="BI7:BM7"/>
  </mergeCells>
  <conditionalFormatting sqref="E9:E45">
    <cfRule type="cellIs" dxfId="5" priority="9" operator="notEqual">
      <formula>0</formula>
    </cfRule>
    <cfRule type="cellIs" dxfId="4" priority="10" operator="equal">
      <formula>0</formula>
    </cfRule>
  </conditionalFormatting>
  <conditionalFormatting sqref="F2:CG2">
    <cfRule type="cellIs" dxfId="3" priority="12" operator="equal">
      <formula>0</formula>
    </cfRule>
    <cfRule type="cellIs" dxfId="2" priority="13" operator="greaterThan">
      <formula>0</formula>
    </cfRule>
    <cfRule type="cellIs" dxfId="1" priority="14" operator="lessThan">
      <formula>0</formula>
    </cfRule>
  </conditionalFormatting>
  <conditionalFormatting sqref="F9:CG23 F24:BK24 BX24:CG24 F25:CG45">
    <cfRule type="cellIs" dxfId="0" priority="1" operator="not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16"/>
  <sheetViews>
    <sheetView showGridLines="0" tabSelected="1" topLeftCell="E1" zoomScale="150" zoomScaleNormal="150" workbookViewId="0">
      <selection activeCell="G1" sqref="G1"/>
    </sheetView>
  </sheetViews>
  <sheetFormatPr defaultRowHeight="15" x14ac:dyDescent="0.25"/>
  <cols>
    <col min="2" max="2" width="24.28515625" bestFit="1" customWidth="1"/>
    <col min="3" max="3" width="29.42578125" bestFit="1" customWidth="1"/>
    <col min="4" max="4" width="25.7109375" bestFit="1" customWidth="1"/>
    <col min="5" max="5" width="9.140625" bestFit="1" customWidth="1"/>
    <col min="7" max="7" width="25.28515625" customWidth="1"/>
    <col min="8" max="8" width="30.85546875" bestFit="1" customWidth="1"/>
    <col min="9" max="9" width="27" bestFit="1" customWidth="1"/>
    <col min="10" max="10" width="10.42578125" customWidth="1"/>
  </cols>
  <sheetData>
    <row r="1" spans="2:10" x14ac:dyDescent="0.25">
      <c r="G1" s="2" t="s">
        <v>171</v>
      </c>
    </row>
    <row r="2" spans="2:10" x14ac:dyDescent="0.25">
      <c r="B2" s="87" t="s">
        <v>153</v>
      </c>
      <c r="C2" s="87" t="s">
        <v>157</v>
      </c>
      <c r="D2" s="87" t="s">
        <v>158</v>
      </c>
      <c r="E2" s="87" t="s">
        <v>154</v>
      </c>
      <c r="G2" s="87" t="s">
        <v>153</v>
      </c>
      <c r="H2" s="87" t="s">
        <v>157</v>
      </c>
      <c r="I2" s="87" t="s">
        <v>158</v>
      </c>
      <c r="J2" s="87" t="s">
        <v>154</v>
      </c>
    </row>
    <row r="3" spans="2:10" x14ac:dyDescent="0.25">
      <c r="B3" s="85" t="s">
        <v>6</v>
      </c>
      <c r="C3" s="86">
        <v>45763</v>
      </c>
      <c r="D3" s="86"/>
      <c r="E3" s="86" t="s">
        <v>155</v>
      </c>
      <c r="G3" s="85" t="s">
        <v>6</v>
      </c>
      <c r="H3" s="86">
        <v>45764</v>
      </c>
      <c r="I3" s="86"/>
      <c r="J3" s="86" t="s">
        <v>155</v>
      </c>
    </row>
    <row r="4" spans="2:10" x14ac:dyDescent="0.25">
      <c r="B4" s="85" t="s">
        <v>160</v>
      </c>
      <c r="C4" s="86">
        <v>45771</v>
      </c>
      <c r="D4" s="86"/>
      <c r="E4" s="86" t="s">
        <v>155</v>
      </c>
      <c r="G4" s="85" t="s">
        <v>159</v>
      </c>
      <c r="H4" s="86">
        <v>45769</v>
      </c>
      <c r="I4" s="86"/>
      <c r="J4" s="86" t="s">
        <v>156</v>
      </c>
    </row>
    <row r="5" spans="2:10" x14ac:dyDescent="0.25">
      <c r="B5" s="85" t="s">
        <v>161</v>
      </c>
      <c r="C5" s="86">
        <v>45784</v>
      </c>
      <c r="D5" s="86"/>
      <c r="E5" s="86" t="s">
        <v>155</v>
      </c>
      <c r="G5" s="85" t="s">
        <v>160</v>
      </c>
      <c r="H5" s="86">
        <v>45770</v>
      </c>
      <c r="I5" s="86"/>
      <c r="J5" s="86" t="s">
        <v>155</v>
      </c>
    </row>
    <row r="6" spans="2:10" x14ac:dyDescent="0.25">
      <c r="B6" s="85" t="s">
        <v>162</v>
      </c>
      <c r="C6" s="86">
        <v>45793</v>
      </c>
      <c r="D6" s="86"/>
      <c r="E6" s="86" t="s">
        <v>155</v>
      </c>
      <c r="G6" s="85" t="s">
        <v>165</v>
      </c>
      <c r="H6" s="86">
        <v>45775</v>
      </c>
      <c r="I6" s="86"/>
      <c r="J6" s="86" t="s">
        <v>156</v>
      </c>
    </row>
    <row r="7" spans="2:10" x14ac:dyDescent="0.25">
      <c r="B7" s="85" t="s">
        <v>163</v>
      </c>
      <c r="C7" s="86">
        <v>45805</v>
      </c>
      <c r="D7" s="86"/>
      <c r="E7" s="86" t="s">
        <v>155</v>
      </c>
      <c r="G7" s="85" t="s">
        <v>166</v>
      </c>
      <c r="H7" s="86">
        <v>45782</v>
      </c>
      <c r="I7" s="86"/>
      <c r="J7" s="86" t="s">
        <v>156</v>
      </c>
    </row>
    <row r="8" spans="2:10" x14ac:dyDescent="0.25">
      <c r="B8" s="85" t="s">
        <v>169</v>
      </c>
      <c r="C8" s="86">
        <v>45814</v>
      </c>
      <c r="D8" s="86"/>
      <c r="E8" s="86" t="s">
        <v>155</v>
      </c>
      <c r="G8" s="85" t="s">
        <v>162</v>
      </c>
      <c r="H8" s="86">
        <v>45793</v>
      </c>
      <c r="I8" s="86"/>
      <c r="J8" s="86" t="s">
        <v>173</v>
      </c>
    </row>
    <row r="9" spans="2:10" x14ac:dyDescent="0.25">
      <c r="B9" s="85" t="s">
        <v>164</v>
      </c>
      <c r="C9" s="86">
        <v>45819</v>
      </c>
      <c r="D9" s="86"/>
      <c r="E9" s="86" t="s">
        <v>156</v>
      </c>
      <c r="G9" s="85" t="s">
        <v>161</v>
      </c>
      <c r="H9" s="86">
        <v>45800</v>
      </c>
      <c r="I9" s="86"/>
      <c r="J9" s="86" t="s">
        <v>172</v>
      </c>
    </row>
    <row r="10" spans="2:10" x14ac:dyDescent="0.25">
      <c r="B10" s="85" t="s">
        <v>165</v>
      </c>
      <c r="C10" s="86">
        <v>45771</v>
      </c>
      <c r="D10" s="86"/>
      <c r="E10" s="86" t="s">
        <v>156</v>
      </c>
      <c r="G10" s="85" t="s">
        <v>167</v>
      </c>
      <c r="H10" s="86">
        <v>45793</v>
      </c>
      <c r="I10" s="86"/>
      <c r="J10" s="86" t="s">
        <v>156</v>
      </c>
    </row>
    <row r="11" spans="2:10" x14ac:dyDescent="0.25">
      <c r="B11" s="85" t="s">
        <v>152</v>
      </c>
      <c r="C11" s="86">
        <v>45807</v>
      </c>
      <c r="D11" s="86"/>
      <c r="E11" s="86" t="s">
        <v>156</v>
      </c>
      <c r="G11" s="85" t="s">
        <v>163</v>
      </c>
      <c r="H11" s="86">
        <v>45807</v>
      </c>
      <c r="I11" s="86"/>
      <c r="J11" s="86" t="s">
        <v>173</v>
      </c>
    </row>
    <row r="12" spans="2:10" x14ac:dyDescent="0.25">
      <c r="B12" s="85" t="s">
        <v>166</v>
      </c>
      <c r="C12" s="86">
        <v>45784</v>
      </c>
      <c r="D12" s="86"/>
      <c r="E12" s="86" t="s">
        <v>156</v>
      </c>
      <c r="G12" s="85" t="s">
        <v>152</v>
      </c>
      <c r="H12" s="86">
        <v>45800</v>
      </c>
      <c r="I12" s="86"/>
      <c r="J12" s="86" t="s">
        <v>156</v>
      </c>
    </row>
    <row r="13" spans="2:10" x14ac:dyDescent="0.25">
      <c r="B13" s="85" t="s">
        <v>167</v>
      </c>
      <c r="C13" s="86">
        <v>45800</v>
      </c>
      <c r="D13" s="86"/>
      <c r="E13" s="86" t="s">
        <v>156</v>
      </c>
      <c r="G13" s="85" t="s">
        <v>169</v>
      </c>
      <c r="H13" s="86">
        <v>45814</v>
      </c>
      <c r="I13" s="86"/>
      <c r="J13" s="86" t="s">
        <v>174</v>
      </c>
    </row>
    <row r="14" spans="2:10" x14ac:dyDescent="0.25">
      <c r="B14" s="85" t="s">
        <v>168</v>
      </c>
      <c r="C14" s="86">
        <v>45835</v>
      </c>
      <c r="D14" s="86"/>
      <c r="E14" s="86" t="s">
        <v>156</v>
      </c>
      <c r="G14" s="85" t="s">
        <v>164</v>
      </c>
      <c r="H14" s="86">
        <v>45807</v>
      </c>
      <c r="I14" s="86"/>
      <c r="J14" s="86" t="s">
        <v>156</v>
      </c>
    </row>
    <row r="15" spans="2:10" x14ac:dyDescent="0.25">
      <c r="B15" s="85" t="s">
        <v>170</v>
      </c>
      <c r="C15" s="86">
        <v>45826</v>
      </c>
      <c r="D15" s="86"/>
      <c r="E15" s="86" t="s">
        <v>156</v>
      </c>
      <c r="G15" s="85" t="s">
        <v>170</v>
      </c>
      <c r="H15" s="86">
        <v>45819</v>
      </c>
      <c r="I15" s="86"/>
      <c r="J15" s="86" t="s">
        <v>156</v>
      </c>
    </row>
    <row r="16" spans="2:10" x14ac:dyDescent="0.25">
      <c r="B16" s="85" t="s">
        <v>159</v>
      </c>
      <c r="C16" s="86">
        <v>45763</v>
      </c>
      <c r="D16" s="86"/>
      <c r="E16" s="86" t="s">
        <v>156</v>
      </c>
      <c r="G16" s="85" t="s">
        <v>168</v>
      </c>
      <c r="H16" s="86">
        <v>45828</v>
      </c>
      <c r="I16" s="86"/>
      <c r="J16" s="86" t="s">
        <v>156</v>
      </c>
    </row>
  </sheetData>
  <autoFilter ref="G2:J16">
    <sortState ref="G3:J16">
      <sortCondition ref="H2:H16"/>
    </sortState>
  </autoFilter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V144"/>
  <sheetViews>
    <sheetView showGridLines="0" topLeftCell="A3" zoomScale="90" zoomScaleNormal="90" workbookViewId="0">
      <selection activeCell="F143" sqref="F143"/>
    </sheetView>
  </sheetViews>
  <sheetFormatPr defaultRowHeight="15" zeroHeight="1" outlineLevelRow="1" x14ac:dyDescent="0.25"/>
  <cols>
    <col min="1" max="1" width="3.7109375" customWidth="1"/>
    <col min="2" max="2" width="150.7109375" customWidth="1"/>
    <col min="3" max="3" width="17" style="40" bestFit="1" customWidth="1"/>
    <col min="4" max="4" width="17.7109375" style="40" bestFit="1" customWidth="1"/>
    <col min="5" max="5" width="12.28515625" style="40" bestFit="1" customWidth="1"/>
    <col min="6" max="6" width="7.7109375" style="40" bestFit="1" customWidth="1"/>
    <col min="7" max="7" width="7.7109375" style="40" customWidth="1"/>
  </cols>
  <sheetData>
    <row r="1" spans="2:22" x14ac:dyDescent="0.25"/>
    <row r="2" spans="2:22" x14ac:dyDescent="0.25">
      <c r="B2" s="1" t="s">
        <v>110</v>
      </c>
      <c r="C2" s="37"/>
      <c r="D2" s="37"/>
      <c r="E2" s="37"/>
      <c r="F2" s="37"/>
      <c r="G2"/>
    </row>
    <row r="3" spans="2:22" x14ac:dyDescent="0.25">
      <c r="B3" s="2"/>
      <c r="C3" s="38"/>
      <c r="D3" s="38"/>
      <c r="E3" s="38"/>
      <c r="F3" s="38"/>
      <c r="G3"/>
    </row>
    <row r="4" spans="2:22" x14ac:dyDescent="0.25">
      <c r="C4"/>
      <c r="D4"/>
      <c r="E4"/>
      <c r="F4" s="50" t="s">
        <v>5</v>
      </c>
      <c r="G4"/>
    </row>
    <row r="5" spans="2:22" ht="5.0999999999999996" customHeight="1" x14ac:dyDescent="0.25">
      <c r="B5" s="2"/>
      <c r="C5" s="38"/>
      <c r="D5" s="38"/>
      <c r="E5" s="38"/>
      <c r="F5" s="38"/>
      <c r="G5" s="38"/>
    </row>
    <row r="6" spans="2:22" x14ac:dyDescent="0.25">
      <c r="B6" s="49" t="s">
        <v>120</v>
      </c>
      <c r="C6" s="50"/>
      <c r="D6" s="50"/>
      <c r="E6" s="50"/>
      <c r="F6" s="50">
        <f>SUM(F7:F12)</f>
        <v>80</v>
      </c>
      <c r="G6">
        <f>F6/8</f>
        <v>10</v>
      </c>
    </row>
    <row r="7" spans="2:22" x14ac:dyDescent="0.25">
      <c r="B7" s="76" t="s">
        <v>114</v>
      </c>
      <c r="C7" s="42"/>
      <c r="D7" s="42"/>
      <c r="E7" s="42"/>
      <c r="F7" s="44">
        <f>8*1.5</f>
        <v>12</v>
      </c>
      <c r="G7"/>
    </row>
    <row r="8" spans="2:22" x14ac:dyDescent="0.25">
      <c r="B8" s="76" t="s">
        <v>116</v>
      </c>
      <c r="C8" s="42"/>
      <c r="D8" s="42"/>
      <c r="E8" s="42"/>
      <c r="F8" s="44">
        <f>8*2</f>
        <v>16</v>
      </c>
      <c r="G8" s="77" t="s">
        <v>117</v>
      </c>
    </row>
    <row r="9" spans="2:22" x14ac:dyDescent="0.25">
      <c r="B9" s="76" t="s">
        <v>111</v>
      </c>
      <c r="C9" s="42"/>
      <c r="D9" s="42"/>
      <c r="E9" s="42"/>
      <c r="F9" s="44">
        <f>8*2</f>
        <v>16</v>
      </c>
      <c r="G9"/>
    </row>
    <row r="10" spans="2:22" x14ac:dyDescent="0.25">
      <c r="B10" s="76" t="s">
        <v>112</v>
      </c>
      <c r="C10" s="42"/>
      <c r="D10" s="42"/>
      <c r="E10" s="42"/>
      <c r="F10" s="44">
        <f>8*1.5</f>
        <v>12</v>
      </c>
      <c r="G10" t="s">
        <v>118</v>
      </c>
    </row>
    <row r="11" spans="2:22" x14ac:dyDescent="0.25">
      <c r="B11" s="76" t="s">
        <v>113</v>
      </c>
      <c r="C11" s="42"/>
      <c r="D11" s="42"/>
      <c r="E11" s="42"/>
      <c r="F11" s="44">
        <v>8</v>
      </c>
      <c r="G11" t="s">
        <v>118</v>
      </c>
    </row>
    <row r="12" spans="2:22" x14ac:dyDescent="0.25">
      <c r="B12" s="76" t="s">
        <v>115</v>
      </c>
      <c r="C12" s="42"/>
      <c r="D12" s="42"/>
      <c r="E12" s="42"/>
      <c r="F12" s="44">
        <f>8*2</f>
        <v>16</v>
      </c>
      <c r="G12" t="s">
        <v>119</v>
      </c>
    </row>
    <row r="13" spans="2:22" x14ac:dyDescent="0.25">
      <c r="B13" s="49" t="s">
        <v>148</v>
      </c>
      <c r="C13" s="50"/>
      <c r="D13" s="50"/>
      <c r="E13" s="50"/>
      <c r="F13" s="50">
        <f>F14+F29+F40+F52+F104</f>
        <v>248</v>
      </c>
      <c r="G13">
        <f>F13/8</f>
        <v>31</v>
      </c>
    </row>
    <row r="14" spans="2:22" x14ac:dyDescent="0.25">
      <c r="B14" s="51" t="s">
        <v>6</v>
      </c>
      <c r="C14" s="52"/>
      <c r="D14" s="52"/>
      <c r="E14" s="52"/>
      <c r="F14" s="53">
        <f>SUM(F15:F28)</f>
        <v>22</v>
      </c>
      <c r="G14"/>
      <c r="H14" s="2"/>
      <c r="I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</row>
    <row r="15" spans="2:22" hidden="1" outlineLevel="1" x14ac:dyDescent="0.25">
      <c r="B15" s="43" t="s">
        <v>34</v>
      </c>
      <c r="C15" s="39"/>
      <c r="D15" s="39"/>
      <c r="E15" s="39" t="s">
        <v>12</v>
      </c>
      <c r="F15" s="39">
        <f>HLOOKUP(E15,'Matriz de horas'!$E$4:$G$5,2,0)</f>
        <v>1</v>
      </c>
      <c r="G15"/>
      <c r="H15" s="2"/>
      <c r="I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</row>
    <row r="16" spans="2:22" hidden="1" outlineLevel="1" x14ac:dyDescent="0.25">
      <c r="B16" s="43" t="s">
        <v>35</v>
      </c>
      <c r="C16" s="39"/>
      <c r="D16" s="39"/>
      <c r="E16" s="39" t="s">
        <v>12</v>
      </c>
      <c r="F16" s="39">
        <f>HLOOKUP(E16,'Matriz de horas'!$E$4:$G$5,2,0)</f>
        <v>1</v>
      </c>
      <c r="G16"/>
      <c r="H16" s="2"/>
      <c r="I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</row>
    <row r="17" spans="2:22" hidden="1" outlineLevel="1" x14ac:dyDescent="0.25">
      <c r="B17" s="43" t="s">
        <v>36</v>
      </c>
      <c r="C17" s="39"/>
      <c r="D17" s="39"/>
      <c r="E17" s="39" t="s">
        <v>12</v>
      </c>
      <c r="F17" s="39">
        <f>HLOOKUP(E17,'Matriz de horas'!$E$4:$G$5,2,0)</f>
        <v>1</v>
      </c>
      <c r="G17"/>
      <c r="H17" s="2"/>
      <c r="I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</row>
    <row r="18" spans="2:22" hidden="1" outlineLevel="1" x14ac:dyDescent="0.25">
      <c r="B18" s="43" t="s">
        <v>100</v>
      </c>
      <c r="C18" s="39"/>
      <c r="D18" s="39"/>
      <c r="E18" s="39" t="s">
        <v>12</v>
      </c>
      <c r="F18" s="39">
        <f>HLOOKUP(E18,'Matriz de horas'!$E$4:$G$5,2,0)</f>
        <v>1</v>
      </c>
      <c r="G18"/>
      <c r="H18" s="2"/>
      <c r="I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</row>
    <row r="19" spans="2:22" hidden="1" outlineLevel="1" x14ac:dyDescent="0.25">
      <c r="B19" s="43" t="s">
        <v>24</v>
      </c>
      <c r="C19" s="39"/>
      <c r="D19" s="39"/>
      <c r="E19" s="39" t="s">
        <v>12</v>
      </c>
      <c r="F19" s="39">
        <f>HLOOKUP(E19,'Matriz de horas'!$E$4:$G$5,2,0)</f>
        <v>1</v>
      </c>
      <c r="G19"/>
      <c r="H19" s="2"/>
      <c r="I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</row>
    <row r="20" spans="2:22" hidden="1" outlineLevel="1" x14ac:dyDescent="0.25">
      <c r="B20" s="43" t="s">
        <v>25</v>
      </c>
      <c r="C20" s="39"/>
      <c r="D20" s="39"/>
      <c r="E20" s="39" t="s">
        <v>12</v>
      </c>
      <c r="F20" s="39">
        <f>HLOOKUP(E20,'Matriz de horas'!$E$4:$G$5,2,0)</f>
        <v>1</v>
      </c>
      <c r="G20"/>
      <c r="H20" s="2"/>
      <c r="I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</row>
    <row r="21" spans="2:22" hidden="1" outlineLevel="1" x14ac:dyDescent="0.25">
      <c r="B21" s="43" t="s">
        <v>26</v>
      </c>
      <c r="C21" s="39"/>
      <c r="D21" s="39"/>
      <c r="E21" s="39" t="s">
        <v>13</v>
      </c>
      <c r="F21" s="39">
        <f>HLOOKUP(E21,'Matriz de horas'!$E$4:$G$5,2,0)</f>
        <v>3</v>
      </c>
      <c r="G21"/>
      <c r="H21" s="2"/>
      <c r="I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</row>
    <row r="22" spans="2:22" hidden="1" outlineLevel="1" x14ac:dyDescent="0.25">
      <c r="B22" s="43" t="s">
        <v>28</v>
      </c>
      <c r="C22" s="39"/>
      <c r="D22" s="39"/>
      <c r="E22" s="39" t="s">
        <v>12</v>
      </c>
      <c r="F22" s="39">
        <f>HLOOKUP(E22,'Matriz de horas'!$E$4:$G$5,2,0)</f>
        <v>1</v>
      </c>
      <c r="G22"/>
      <c r="H22" s="2"/>
      <c r="I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</row>
    <row r="23" spans="2:22" hidden="1" outlineLevel="1" x14ac:dyDescent="0.25">
      <c r="B23" s="43" t="s">
        <v>29</v>
      </c>
      <c r="C23" s="39"/>
      <c r="D23" s="39"/>
      <c r="E23" s="39" t="s">
        <v>13</v>
      </c>
      <c r="F23" s="39">
        <f>HLOOKUP(E23,'Matriz de horas'!$E$4:$G$5,2,0)</f>
        <v>3</v>
      </c>
      <c r="G23"/>
      <c r="H23" s="2"/>
      <c r="I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</row>
    <row r="24" spans="2:22" hidden="1" outlineLevel="1" x14ac:dyDescent="0.25">
      <c r="B24" s="43" t="s">
        <v>30</v>
      </c>
      <c r="C24" s="39"/>
      <c r="D24" s="39"/>
      <c r="E24" s="39" t="s">
        <v>13</v>
      </c>
      <c r="F24" s="39">
        <f>HLOOKUP(E24,'Matriz de horas'!$E$4:$G$5,2,0)</f>
        <v>3</v>
      </c>
      <c r="G24"/>
      <c r="H24" s="2"/>
      <c r="I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</row>
    <row r="25" spans="2:22" hidden="1" outlineLevel="1" x14ac:dyDescent="0.25">
      <c r="B25" s="43" t="s">
        <v>31</v>
      </c>
      <c r="C25" s="39"/>
      <c r="D25" s="39"/>
      <c r="E25" s="39" t="s">
        <v>12</v>
      </c>
      <c r="F25" s="39">
        <f>HLOOKUP(E25,'Matriz de horas'!$E$4:$G$5,2,0)</f>
        <v>1</v>
      </c>
      <c r="G25"/>
      <c r="H25" s="2"/>
      <c r="I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</row>
    <row r="26" spans="2:22" hidden="1" outlineLevel="1" x14ac:dyDescent="0.25">
      <c r="B26" s="43" t="s">
        <v>32</v>
      </c>
      <c r="C26" s="39"/>
      <c r="D26" s="39"/>
      <c r="E26" s="39" t="s">
        <v>12</v>
      </c>
      <c r="F26" s="39">
        <f>HLOOKUP(E26,'Matriz de horas'!$E$4:$G$5,2,0)</f>
        <v>1</v>
      </c>
      <c r="G26"/>
      <c r="H26" s="2"/>
      <c r="I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</row>
    <row r="27" spans="2:22" hidden="1" outlineLevel="1" x14ac:dyDescent="0.25">
      <c r="B27" s="43" t="s">
        <v>33</v>
      </c>
      <c r="C27" s="39"/>
      <c r="D27" s="39"/>
      <c r="E27" s="39" t="s">
        <v>12</v>
      </c>
      <c r="F27" s="39">
        <f>HLOOKUP(E27,'Matriz de horas'!$E$4:$G$5,2,0)</f>
        <v>1</v>
      </c>
      <c r="G27"/>
      <c r="H27" s="2"/>
      <c r="I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</row>
    <row r="28" spans="2:22" hidden="1" outlineLevel="1" x14ac:dyDescent="0.25">
      <c r="B28" s="43" t="s">
        <v>27</v>
      </c>
      <c r="C28" s="39"/>
      <c r="D28" s="39"/>
      <c r="E28" s="39" t="s">
        <v>13</v>
      </c>
      <c r="F28" s="39">
        <f>HLOOKUP(E28,'Matriz de horas'!$E$4:$G$5,2,0)</f>
        <v>3</v>
      </c>
      <c r="G28"/>
      <c r="H28" s="2"/>
      <c r="I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</row>
    <row r="29" spans="2:22" collapsed="1" x14ac:dyDescent="0.25">
      <c r="B29" s="51" t="s">
        <v>37</v>
      </c>
      <c r="C29" s="54"/>
      <c r="D29" s="52"/>
      <c r="E29" s="52"/>
      <c r="F29" s="53">
        <f>SUM(F30:F39)</f>
        <v>21</v>
      </c>
      <c r="G29"/>
      <c r="H29" s="2"/>
      <c r="I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</row>
    <row r="30" spans="2:22" hidden="1" outlineLevel="1" x14ac:dyDescent="0.25">
      <c r="B30" s="43" t="s">
        <v>34</v>
      </c>
      <c r="C30" s="39"/>
      <c r="D30" s="39"/>
      <c r="E30" s="39" t="s">
        <v>12</v>
      </c>
      <c r="F30" s="39">
        <f>HLOOKUP(E30,'Matriz de horas'!$E$4:$G$5,2,0)</f>
        <v>1</v>
      </c>
      <c r="G30"/>
      <c r="H30" s="2"/>
      <c r="I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</row>
    <row r="31" spans="2:22" hidden="1" outlineLevel="1" x14ac:dyDescent="0.25">
      <c r="B31" s="43" t="s">
        <v>35</v>
      </c>
      <c r="C31" s="39"/>
      <c r="D31" s="39"/>
      <c r="E31" s="39" t="s">
        <v>12</v>
      </c>
      <c r="F31" s="39">
        <f>HLOOKUP(E31,'Matriz de horas'!$E$4:$G$5,2,0)</f>
        <v>1</v>
      </c>
      <c r="G31"/>
      <c r="H31" s="2"/>
      <c r="I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</row>
    <row r="32" spans="2:22" hidden="1" outlineLevel="1" x14ac:dyDescent="0.25">
      <c r="B32" s="43" t="s">
        <v>36</v>
      </c>
      <c r="C32" s="39"/>
      <c r="D32" s="39"/>
      <c r="E32" s="39" t="s">
        <v>12</v>
      </c>
      <c r="F32" s="39">
        <f>HLOOKUP(E32,'Matriz de horas'!$E$4:$G$5,2,0)</f>
        <v>1</v>
      </c>
      <c r="G32"/>
      <c r="H32" s="2"/>
      <c r="I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</row>
    <row r="33" spans="2:22" hidden="1" outlineLevel="1" x14ac:dyDescent="0.25">
      <c r="B33" s="43" t="s">
        <v>22</v>
      </c>
      <c r="C33" s="41"/>
      <c r="D33" s="39"/>
      <c r="E33" s="39" t="s">
        <v>12</v>
      </c>
      <c r="F33" s="39">
        <f>HLOOKUP(E33,'Matriz de horas'!$E$4:$G$5,2,0)</f>
        <v>1</v>
      </c>
      <c r="G33"/>
      <c r="H33" s="2"/>
      <c r="I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</row>
    <row r="34" spans="2:22" hidden="1" outlineLevel="1" x14ac:dyDescent="0.25">
      <c r="B34" s="43" t="s">
        <v>38</v>
      </c>
      <c r="C34" s="41"/>
      <c r="D34" s="39"/>
      <c r="E34" s="39" t="s">
        <v>13</v>
      </c>
      <c r="F34" s="39">
        <f>HLOOKUP(E34,'Matriz de horas'!$E$4:$G$5,2,0)</f>
        <v>3</v>
      </c>
      <c r="G34"/>
      <c r="H34" s="2"/>
      <c r="I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</row>
    <row r="35" spans="2:22" hidden="1" outlineLevel="1" x14ac:dyDescent="0.25">
      <c r="B35" s="43" t="s">
        <v>39</v>
      </c>
      <c r="C35" s="41"/>
      <c r="D35" s="39"/>
      <c r="E35" s="39" t="s">
        <v>13</v>
      </c>
      <c r="F35" s="39">
        <f>HLOOKUP(E35,'Matriz de horas'!$E$4:$G$5,2,0)</f>
        <v>3</v>
      </c>
      <c r="G35"/>
      <c r="H35" s="2"/>
      <c r="I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</row>
    <row r="36" spans="2:22" hidden="1" outlineLevel="1" x14ac:dyDescent="0.25">
      <c r="B36" s="43" t="s">
        <v>40</v>
      </c>
      <c r="C36" s="41"/>
      <c r="D36" s="39"/>
      <c r="E36" s="39" t="s">
        <v>13</v>
      </c>
      <c r="F36" s="39">
        <f>HLOOKUP(E36,'Matriz de horas'!$E$4:$G$5,2,0)</f>
        <v>3</v>
      </c>
      <c r="G36"/>
      <c r="H36" s="2"/>
      <c r="I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</row>
    <row r="37" spans="2:22" hidden="1" outlineLevel="1" x14ac:dyDescent="0.25">
      <c r="B37" s="43" t="s">
        <v>41</v>
      </c>
      <c r="C37" s="41"/>
      <c r="D37" s="39"/>
      <c r="E37" s="39" t="s">
        <v>13</v>
      </c>
      <c r="F37" s="39">
        <f>HLOOKUP(E37,'Matriz de horas'!$E$4:$G$5,2,0)</f>
        <v>3</v>
      </c>
      <c r="G37"/>
      <c r="H37" s="2"/>
      <c r="I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</row>
    <row r="38" spans="2:22" hidden="1" outlineLevel="1" x14ac:dyDescent="0.25">
      <c r="B38" s="43" t="s">
        <v>27</v>
      </c>
      <c r="C38" s="41"/>
      <c r="D38" s="39"/>
      <c r="E38" s="39" t="s">
        <v>14</v>
      </c>
      <c r="F38" s="39">
        <f>HLOOKUP(E38,'Matriz de horas'!$E$4:$G$5,2,0)</f>
        <v>4</v>
      </c>
      <c r="G38"/>
      <c r="H38" s="2"/>
      <c r="I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</row>
    <row r="39" spans="2:22" hidden="1" outlineLevel="1" x14ac:dyDescent="0.25">
      <c r="B39" s="43" t="s">
        <v>28</v>
      </c>
      <c r="C39" s="41"/>
      <c r="D39" s="39"/>
      <c r="E39" s="39" t="s">
        <v>12</v>
      </c>
      <c r="F39" s="39">
        <f>HLOOKUP(E39,'Matriz de horas'!$E$4:$G$5,2,0)</f>
        <v>1</v>
      </c>
      <c r="G39"/>
      <c r="H39" s="2"/>
      <c r="I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</row>
    <row r="40" spans="2:22" collapsed="1" x14ac:dyDescent="0.25">
      <c r="B40" s="51" t="s">
        <v>42</v>
      </c>
      <c r="C40" s="54"/>
      <c r="D40" s="52"/>
      <c r="E40" s="52"/>
      <c r="F40" s="53">
        <f>SUM(F41:F51)</f>
        <v>24</v>
      </c>
      <c r="G40"/>
      <c r="H40" s="2"/>
      <c r="I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</row>
    <row r="41" spans="2:22" hidden="1" outlineLevel="1" x14ac:dyDescent="0.25">
      <c r="B41" s="43" t="s">
        <v>34</v>
      </c>
      <c r="C41" s="39"/>
      <c r="D41" s="39"/>
      <c r="E41" s="39" t="s">
        <v>12</v>
      </c>
      <c r="F41" s="39">
        <f>HLOOKUP(E41,'Matriz de horas'!$E$4:$G$5,2,0)</f>
        <v>1</v>
      </c>
      <c r="G41"/>
      <c r="H41" s="2"/>
      <c r="I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</row>
    <row r="42" spans="2:22" hidden="1" outlineLevel="1" x14ac:dyDescent="0.25">
      <c r="B42" s="43" t="s">
        <v>35</v>
      </c>
      <c r="C42" s="39"/>
      <c r="D42" s="39"/>
      <c r="E42" s="39" t="s">
        <v>12</v>
      </c>
      <c r="F42" s="39">
        <f>HLOOKUP(E42,'Matriz de horas'!$E$4:$G$5,2,0)</f>
        <v>1</v>
      </c>
      <c r="G42"/>
      <c r="H42" s="2"/>
      <c r="I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</row>
    <row r="43" spans="2:22" hidden="1" outlineLevel="1" x14ac:dyDescent="0.25">
      <c r="B43" s="43" t="s">
        <v>36</v>
      </c>
      <c r="C43" s="39"/>
      <c r="D43" s="39"/>
      <c r="E43" s="39" t="s">
        <v>12</v>
      </c>
      <c r="F43" s="39">
        <f>HLOOKUP(E43,'Matriz de horas'!$E$4:$G$5,2,0)</f>
        <v>1</v>
      </c>
      <c r="G43"/>
      <c r="H43" s="2"/>
      <c r="I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</row>
    <row r="44" spans="2:22" hidden="1" outlineLevel="1" x14ac:dyDescent="0.25">
      <c r="B44" s="43" t="s">
        <v>22</v>
      </c>
      <c r="C44" s="41"/>
      <c r="D44" s="39"/>
      <c r="E44" s="39" t="s">
        <v>12</v>
      </c>
      <c r="F44" s="39">
        <f>HLOOKUP(E44,'Matriz de horas'!$E$4:$G$5,2,0)</f>
        <v>1</v>
      </c>
      <c r="G44"/>
      <c r="H44" s="2"/>
      <c r="I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</row>
    <row r="45" spans="2:22" hidden="1" outlineLevel="1" x14ac:dyDescent="0.25">
      <c r="B45" s="43" t="s">
        <v>43</v>
      </c>
      <c r="C45" s="41"/>
      <c r="D45" s="39"/>
      <c r="E45" s="39" t="s">
        <v>14</v>
      </c>
      <c r="F45" s="39">
        <f>HLOOKUP(E45,'Matriz de horas'!$E$4:$G$5,2,0)</f>
        <v>4</v>
      </c>
      <c r="G45"/>
      <c r="H45" s="2"/>
      <c r="I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</row>
    <row r="46" spans="2:22" hidden="1" outlineLevel="1" x14ac:dyDescent="0.25">
      <c r="B46" s="43" t="s">
        <v>44</v>
      </c>
      <c r="C46" s="41"/>
      <c r="D46" s="39"/>
      <c r="E46" s="39" t="s">
        <v>13</v>
      </c>
      <c r="F46" s="39">
        <f>HLOOKUP(E46,'Matriz de horas'!$E$4:$G$5,2,0)</f>
        <v>3</v>
      </c>
      <c r="G46"/>
      <c r="H46" s="2"/>
      <c r="I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</row>
    <row r="47" spans="2:22" hidden="1" outlineLevel="1" x14ac:dyDescent="0.25">
      <c r="B47" s="43" t="s">
        <v>45</v>
      </c>
      <c r="C47" s="41"/>
      <c r="D47" s="39"/>
      <c r="E47" s="39" t="s">
        <v>14</v>
      </c>
      <c r="F47" s="39">
        <f>HLOOKUP(E47,'Matriz de horas'!$E$4:$G$5,2,0)</f>
        <v>4</v>
      </c>
      <c r="G47"/>
      <c r="H47" s="2"/>
      <c r="I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</row>
    <row r="48" spans="2:22" hidden="1" outlineLevel="1" x14ac:dyDescent="0.25">
      <c r="B48" s="43" t="s">
        <v>46</v>
      </c>
      <c r="C48" s="41"/>
      <c r="D48" s="39"/>
      <c r="E48" s="39" t="s">
        <v>13</v>
      </c>
      <c r="F48" s="39">
        <f>HLOOKUP(E48,'Matriz de horas'!$E$4:$G$5,2,0)</f>
        <v>3</v>
      </c>
      <c r="G48"/>
      <c r="H48" s="2"/>
      <c r="I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</row>
    <row r="49" spans="2:22" hidden="1" outlineLevel="1" x14ac:dyDescent="0.25">
      <c r="B49" s="43" t="s">
        <v>47</v>
      </c>
      <c r="C49" s="41"/>
      <c r="D49" s="39"/>
      <c r="E49" s="39" t="s">
        <v>12</v>
      </c>
      <c r="F49" s="39">
        <f>HLOOKUP(E49,'Matriz de horas'!$E$4:$G$5,2,0)</f>
        <v>1</v>
      </c>
      <c r="G49"/>
      <c r="H49" s="2"/>
      <c r="I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</row>
    <row r="50" spans="2:22" hidden="1" outlineLevel="1" x14ac:dyDescent="0.25">
      <c r="B50" s="43" t="s">
        <v>48</v>
      </c>
      <c r="C50" s="41"/>
      <c r="D50" s="39"/>
      <c r="E50" s="39" t="s">
        <v>14</v>
      </c>
      <c r="F50" s="39">
        <f>HLOOKUP(E50,'Matriz de horas'!$E$4:$G$5,2,0)</f>
        <v>4</v>
      </c>
      <c r="G50"/>
      <c r="H50" s="2"/>
      <c r="I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</row>
    <row r="51" spans="2:22" hidden="1" outlineLevel="1" x14ac:dyDescent="0.25">
      <c r="B51" s="43" t="s">
        <v>101</v>
      </c>
      <c r="C51" s="41"/>
      <c r="D51" s="39"/>
      <c r="E51" s="39" t="s">
        <v>12</v>
      </c>
      <c r="F51" s="39">
        <f>HLOOKUP(E51,'Matriz de horas'!$E$4:$G$5,2,0)</f>
        <v>1</v>
      </c>
      <c r="G51"/>
      <c r="H51" s="2"/>
      <c r="I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</row>
    <row r="52" spans="2:22" collapsed="1" x14ac:dyDescent="0.25">
      <c r="B52" s="51" t="s">
        <v>49</v>
      </c>
      <c r="C52" s="54"/>
      <c r="D52" s="52"/>
      <c r="E52" s="52"/>
      <c r="F52" s="53">
        <f>SUM(F53:F103)</f>
        <v>71</v>
      </c>
      <c r="G52"/>
      <c r="H52" s="2"/>
      <c r="I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</row>
    <row r="53" spans="2:22" hidden="1" outlineLevel="1" x14ac:dyDescent="0.25">
      <c r="B53" s="43" t="s">
        <v>34</v>
      </c>
      <c r="C53" s="39"/>
      <c r="D53" s="39"/>
      <c r="E53" s="39" t="s">
        <v>12</v>
      </c>
      <c r="F53" s="39">
        <f>HLOOKUP(E53,'Matriz de horas'!$E$4:$G$5,2,0)</f>
        <v>1</v>
      </c>
      <c r="G53"/>
      <c r="H53" s="2"/>
      <c r="I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</row>
    <row r="54" spans="2:22" hidden="1" outlineLevel="1" x14ac:dyDescent="0.25">
      <c r="B54" s="43" t="s">
        <v>35</v>
      </c>
      <c r="C54" s="39"/>
      <c r="D54" s="39"/>
      <c r="E54" s="39" t="s">
        <v>12</v>
      </c>
      <c r="F54" s="39">
        <f>HLOOKUP(E54,'Matriz de horas'!$E$4:$G$5,2,0)</f>
        <v>1</v>
      </c>
      <c r="G54"/>
      <c r="H54" s="2"/>
      <c r="I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</row>
    <row r="55" spans="2:22" hidden="1" outlineLevel="1" x14ac:dyDescent="0.25">
      <c r="B55" s="43" t="s">
        <v>36</v>
      </c>
      <c r="C55" s="39"/>
      <c r="D55" s="39"/>
      <c r="E55" s="39" t="s">
        <v>12</v>
      </c>
      <c r="F55" s="39">
        <f>HLOOKUP(E55,'Matriz de horas'!$E$4:$G$5,2,0)</f>
        <v>1</v>
      </c>
      <c r="G55"/>
      <c r="H55" s="2"/>
      <c r="I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</row>
    <row r="56" spans="2:22" hidden="1" outlineLevel="1" x14ac:dyDescent="0.25">
      <c r="B56" s="43" t="s">
        <v>22</v>
      </c>
      <c r="C56" s="41"/>
      <c r="D56" s="39"/>
      <c r="E56" s="39" t="s">
        <v>12</v>
      </c>
      <c r="F56" s="39">
        <f>HLOOKUP(E56,'Matriz de horas'!$E$4:$G$5,2,0)</f>
        <v>1</v>
      </c>
      <c r="G56"/>
      <c r="H56" s="2"/>
      <c r="I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</row>
    <row r="57" spans="2:22" hidden="1" outlineLevel="1" x14ac:dyDescent="0.25">
      <c r="B57" s="43" t="s">
        <v>50</v>
      </c>
      <c r="C57" s="41"/>
      <c r="D57" s="39"/>
      <c r="E57" s="39" t="s">
        <v>12</v>
      </c>
      <c r="F57" s="39">
        <f>HLOOKUP(E57,'Matriz de horas'!$E$4:$G$5,2,0)</f>
        <v>1</v>
      </c>
      <c r="G57"/>
      <c r="H57" s="2"/>
      <c r="I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</row>
    <row r="58" spans="2:22" hidden="1" outlineLevel="1" x14ac:dyDescent="0.25">
      <c r="B58" s="43" t="s">
        <v>51</v>
      </c>
      <c r="C58" s="41"/>
      <c r="D58" s="39"/>
      <c r="E58" s="39" t="s">
        <v>12</v>
      </c>
      <c r="F58" s="39">
        <f>HLOOKUP(E58,'Matriz de horas'!$E$4:$G$5,2,0)</f>
        <v>1</v>
      </c>
      <c r="G58"/>
      <c r="H58" s="2"/>
      <c r="I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</row>
    <row r="59" spans="2:22" hidden="1" outlineLevel="1" x14ac:dyDescent="0.25">
      <c r="B59" s="43" t="s">
        <v>43</v>
      </c>
      <c r="C59" s="41"/>
      <c r="D59" s="39"/>
      <c r="E59" s="39" t="s">
        <v>14</v>
      </c>
      <c r="F59" s="39">
        <f>HLOOKUP(E59,'Matriz de horas'!$E$4:$G$5,2,0)</f>
        <v>4</v>
      </c>
      <c r="G59"/>
      <c r="H59" s="2"/>
      <c r="I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</row>
    <row r="60" spans="2:22" hidden="1" outlineLevel="1" x14ac:dyDescent="0.25">
      <c r="B60" s="43" t="s">
        <v>52</v>
      </c>
      <c r="C60" s="41"/>
      <c r="D60" s="39"/>
      <c r="E60" s="39" t="s">
        <v>12</v>
      </c>
      <c r="F60" s="39">
        <f>HLOOKUP(E60,'Matriz de horas'!$E$4:$G$5,2,0)</f>
        <v>1</v>
      </c>
      <c r="G60"/>
      <c r="H60" s="2"/>
      <c r="I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</row>
    <row r="61" spans="2:22" hidden="1" outlineLevel="1" x14ac:dyDescent="0.25">
      <c r="B61" s="43" t="s">
        <v>53</v>
      </c>
      <c r="C61" s="41"/>
      <c r="D61" s="39"/>
      <c r="E61" s="39" t="s">
        <v>12</v>
      </c>
      <c r="F61" s="39">
        <f>HLOOKUP(E61,'Matriz de horas'!$E$4:$G$5,2,0)</f>
        <v>1</v>
      </c>
      <c r="G61"/>
      <c r="H61" s="2"/>
      <c r="I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</row>
    <row r="62" spans="2:22" hidden="1" outlineLevel="1" x14ac:dyDescent="0.25">
      <c r="B62" s="43" t="s">
        <v>54</v>
      </c>
      <c r="C62" s="41"/>
      <c r="D62" s="39"/>
      <c r="E62" s="39" t="s">
        <v>14</v>
      </c>
      <c r="F62" s="39">
        <f>HLOOKUP(E62,'Matriz de horas'!$E$4:$G$5,2,0)</f>
        <v>4</v>
      </c>
      <c r="G62"/>
      <c r="H62" s="2"/>
      <c r="I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</row>
    <row r="63" spans="2:22" hidden="1" outlineLevel="1" x14ac:dyDescent="0.25">
      <c r="B63" s="43" t="s">
        <v>55</v>
      </c>
      <c r="C63" s="41"/>
      <c r="D63" s="39"/>
      <c r="E63" s="39" t="s">
        <v>12</v>
      </c>
      <c r="F63" s="39">
        <f>HLOOKUP(E63,'Matriz de horas'!$E$4:$G$5,2,0)</f>
        <v>1</v>
      </c>
      <c r="G63"/>
      <c r="H63" s="2"/>
      <c r="I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</row>
    <row r="64" spans="2:22" hidden="1" outlineLevel="1" x14ac:dyDescent="0.25">
      <c r="B64" s="43" t="s">
        <v>123</v>
      </c>
      <c r="C64" s="41"/>
      <c r="D64" s="39"/>
      <c r="E64" s="39" t="s">
        <v>14</v>
      </c>
      <c r="F64" s="39">
        <f>HLOOKUP(E64,'Matriz de horas'!$E$4:$G$5,2,0)</f>
        <v>4</v>
      </c>
      <c r="G64"/>
      <c r="H64" s="2"/>
      <c r="I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</row>
    <row r="65" spans="2:22" hidden="1" outlineLevel="1" x14ac:dyDescent="0.25">
      <c r="B65" s="43" t="s">
        <v>124</v>
      </c>
      <c r="C65" s="41"/>
      <c r="D65" s="39"/>
      <c r="E65" s="39" t="s">
        <v>14</v>
      </c>
      <c r="F65" s="39">
        <f>HLOOKUP(E65,'Matriz de horas'!$E$4:$G$5,2,0)</f>
        <v>4</v>
      </c>
      <c r="G65"/>
      <c r="H65" s="2"/>
      <c r="I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</row>
    <row r="66" spans="2:22" hidden="1" outlineLevel="1" x14ac:dyDescent="0.25">
      <c r="B66" s="43" t="s">
        <v>27</v>
      </c>
      <c r="C66" s="41"/>
      <c r="D66" s="39"/>
      <c r="E66" s="39" t="s">
        <v>14</v>
      </c>
      <c r="F66" s="39">
        <f>HLOOKUP(E66,'Matriz de horas'!$E$4:$G$5,2,0)</f>
        <v>4</v>
      </c>
      <c r="G66"/>
      <c r="H66" s="2"/>
      <c r="I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</row>
    <row r="67" spans="2:22" hidden="1" outlineLevel="1" x14ac:dyDescent="0.25">
      <c r="B67" s="43" t="s">
        <v>28</v>
      </c>
      <c r="C67" s="41"/>
      <c r="D67" s="39"/>
      <c r="E67" s="39" t="s">
        <v>12</v>
      </c>
      <c r="F67" s="39">
        <f>HLOOKUP(E67,'Matriz de horas'!$E$4:$G$5,2,0)</f>
        <v>1</v>
      </c>
      <c r="G67"/>
      <c r="H67" s="2"/>
      <c r="I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</row>
    <row r="68" spans="2:22" hidden="1" outlineLevel="1" x14ac:dyDescent="0.25">
      <c r="B68" s="43" t="s">
        <v>32</v>
      </c>
      <c r="C68" s="41"/>
      <c r="D68" s="39"/>
      <c r="E68" s="39" t="s">
        <v>12</v>
      </c>
      <c r="F68" s="39">
        <f>HLOOKUP(E68,'Matriz de horas'!$E$4:$G$5,2,0)</f>
        <v>1</v>
      </c>
      <c r="G68"/>
      <c r="H68" s="2"/>
      <c r="I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</row>
    <row r="69" spans="2:22" hidden="1" outlineLevel="1" x14ac:dyDescent="0.25">
      <c r="B69" s="43" t="s">
        <v>33</v>
      </c>
      <c r="C69" s="41"/>
      <c r="D69" s="39"/>
      <c r="E69" s="39" t="s">
        <v>12</v>
      </c>
      <c r="F69" s="39">
        <f>HLOOKUP(E69,'Matriz de horas'!$E$4:$G$5,2,0)</f>
        <v>1</v>
      </c>
      <c r="G69"/>
      <c r="H69" s="2"/>
      <c r="I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</row>
    <row r="70" spans="2:22" hidden="1" outlineLevel="1" x14ac:dyDescent="0.25">
      <c r="B70" s="43" t="s">
        <v>56</v>
      </c>
      <c r="C70" s="41"/>
      <c r="D70" s="39"/>
      <c r="E70" s="39" t="s">
        <v>14</v>
      </c>
      <c r="F70" s="39">
        <f>HLOOKUP(E70,'Matriz de horas'!$E$4:$G$5,2,0)</f>
        <v>4</v>
      </c>
      <c r="G70"/>
      <c r="H70" s="2"/>
      <c r="I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</row>
    <row r="71" spans="2:22" hidden="1" outlineLevel="1" x14ac:dyDescent="0.25">
      <c r="B71" s="43" t="s">
        <v>57</v>
      </c>
      <c r="C71" s="41"/>
      <c r="D71" s="39"/>
      <c r="E71" s="39" t="s">
        <v>13</v>
      </c>
      <c r="F71" s="39">
        <f>HLOOKUP(E71,'Matriz de horas'!$E$4:$G$5,2,0)</f>
        <v>3</v>
      </c>
      <c r="G71"/>
      <c r="H71" s="2"/>
      <c r="I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</row>
    <row r="72" spans="2:22" hidden="1" outlineLevel="1" x14ac:dyDescent="0.25">
      <c r="B72" s="43" t="s">
        <v>58</v>
      </c>
      <c r="C72" s="41"/>
      <c r="D72" s="39"/>
      <c r="E72" s="39" t="s">
        <v>12</v>
      </c>
      <c r="F72" s="39">
        <f>HLOOKUP(E72,'Matriz de horas'!$E$4:$G$5,2,0)</f>
        <v>1</v>
      </c>
      <c r="G72"/>
      <c r="H72" s="2"/>
      <c r="I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</row>
    <row r="73" spans="2:22" hidden="1" outlineLevel="1" x14ac:dyDescent="0.25">
      <c r="B73" s="43" t="s">
        <v>59</v>
      </c>
      <c r="C73" s="41"/>
      <c r="D73" s="39"/>
      <c r="E73" s="39" t="s">
        <v>12</v>
      </c>
      <c r="F73" s="39">
        <f>HLOOKUP(E73,'Matriz de horas'!$E$4:$G$5,2,0)</f>
        <v>1</v>
      </c>
      <c r="G73"/>
      <c r="H73" s="2"/>
      <c r="I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</row>
    <row r="74" spans="2:22" hidden="1" outlineLevel="1" x14ac:dyDescent="0.25">
      <c r="B74" s="43" t="s">
        <v>60</v>
      </c>
      <c r="C74" s="41"/>
      <c r="D74" s="39"/>
      <c r="E74" s="39" t="s">
        <v>12</v>
      </c>
      <c r="F74" s="39">
        <f>HLOOKUP(E74,'Matriz de horas'!$E$4:$G$5,2,0)</f>
        <v>1</v>
      </c>
      <c r="G74"/>
      <c r="H74" s="2"/>
      <c r="I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</row>
    <row r="75" spans="2:22" hidden="1" outlineLevel="1" x14ac:dyDescent="0.25">
      <c r="B75" s="43" t="s">
        <v>61</v>
      </c>
      <c r="C75" s="41"/>
      <c r="D75" s="39"/>
      <c r="E75" s="39" t="s">
        <v>12</v>
      </c>
      <c r="F75" s="39">
        <f>HLOOKUP(E75,'Matriz de horas'!$E$4:$G$5,2,0)</f>
        <v>1</v>
      </c>
      <c r="G75"/>
      <c r="H75" s="2"/>
      <c r="I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</row>
    <row r="76" spans="2:22" hidden="1" outlineLevel="1" x14ac:dyDescent="0.25">
      <c r="B76" s="43" t="s">
        <v>62</v>
      </c>
      <c r="C76" s="41"/>
      <c r="D76" s="39"/>
      <c r="E76" s="39" t="s">
        <v>12</v>
      </c>
      <c r="F76" s="39">
        <f>HLOOKUP(E76,'Matriz de horas'!$E$4:$G$5,2,0)</f>
        <v>1</v>
      </c>
      <c r="G76"/>
      <c r="H76" s="2"/>
      <c r="I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</row>
    <row r="77" spans="2:22" hidden="1" outlineLevel="1" x14ac:dyDescent="0.25">
      <c r="B77" s="43" t="s">
        <v>63</v>
      </c>
      <c r="C77" s="41"/>
      <c r="D77" s="39"/>
      <c r="E77" s="39" t="s">
        <v>12</v>
      </c>
      <c r="F77" s="39">
        <f>HLOOKUP(E77,'Matriz de horas'!$E$4:$G$5,2,0)</f>
        <v>1</v>
      </c>
      <c r="G77"/>
      <c r="H77" s="2"/>
      <c r="I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</row>
    <row r="78" spans="2:22" hidden="1" outlineLevel="1" x14ac:dyDescent="0.25">
      <c r="B78" s="43" t="s">
        <v>64</v>
      </c>
      <c r="C78" s="41"/>
      <c r="D78" s="39"/>
      <c r="E78" s="39" t="s">
        <v>12</v>
      </c>
      <c r="F78" s="39">
        <f>HLOOKUP(E78,'Matriz de horas'!$E$4:$G$5,2,0)</f>
        <v>1</v>
      </c>
      <c r="G78"/>
      <c r="H78" s="2"/>
      <c r="I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</row>
    <row r="79" spans="2:22" hidden="1" outlineLevel="1" x14ac:dyDescent="0.25">
      <c r="B79" s="43" t="s">
        <v>65</v>
      </c>
      <c r="C79" s="41"/>
      <c r="D79" s="39"/>
      <c r="E79" s="39" t="s">
        <v>12</v>
      </c>
      <c r="F79" s="39">
        <f>HLOOKUP(E79,'Matriz de horas'!$E$4:$G$5,2,0)</f>
        <v>1</v>
      </c>
      <c r="G79"/>
      <c r="H79" s="2"/>
      <c r="I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</row>
    <row r="80" spans="2:22" hidden="1" outlineLevel="1" x14ac:dyDescent="0.25">
      <c r="B80" s="43" t="s">
        <v>66</v>
      </c>
      <c r="C80" s="41"/>
      <c r="D80" s="39"/>
      <c r="E80" s="39" t="s">
        <v>12</v>
      </c>
      <c r="F80" s="39">
        <f>HLOOKUP(E80,'Matriz de horas'!$E$4:$G$5,2,0)</f>
        <v>1</v>
      </c>
      <c r="G80"/>
      <c r="H80" s="2"/>
      <c r="I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</row>
    <row r="81" spans="2:22" hidden="1" outlineLevel="1" x14ac:dyDescent="0.25">
      <c r="B81" s="43" t="s">
        <v>67</v>
      </c>
      <c r="C81" s="41"/>
      <c r="D81" s="39"/>
      <c r="E81" s="39" t="s">
        <v>12</v>
      </c>
      <c r="F81" s="39">
        <f>HLOOKUP(E81,'Matriz de horas'!$E$4:$G$5,2,0)</f>
        <v>1</v>
      </c>
      <c r="G81"/>
      <c r="H81" s="2"/>
      <c r="I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</row>
    <row r="82" spans="2:22" hidden="1" outlineLevel="1" x14ac:dyDescent="0.25">
      <c r="B82" s="43" t="s">
        <v>68</v>
      </c>
      <c r="C82" s="41"/>
      <c r="D82" s="39"/>
      <c r="E82" s="39" t="s">
        <v>12</v>
      </c>
      <c r="F82" s="39">
        <f>HLOOKUP(E82,'Matriz de horas'!$E$4:$G$5,2,0)</f>
        <v>1</v>
      </c>
      <c r="G82"/>
      <c r="H82" s="2"/>
      <c r="I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</row>
    <row r="83" spans="2:22" hidden="1" outlineLevel="1" x14ac:dyDescent="0.25">
      <c r="B83" s="43" t="s">
        <v>69</v>
      </c>
      <c r="C83" s="41"/>
      <c r="D83" s="39"/>
      <c r="E83" s="39" t="s">
        <v>12</v>
      </c>
      <c r="F83" s="39">
        <f>HLOOKUP(E83,'Matriz de horas'!$E$4:$G$5,2,0)</f>
        <v>1</v>
      </c>
      <c r="G83"/>
      <c r="H83" s="2"/>
      <c r="I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</row>
    <row r="84" spans="2:22" hidden="1" outlineLevel="1" x14ac:dyDescent="0.25">
      <c r="B84" s="43" t="s">
        <v>70</v>
      </c>
      <c r="C84" s="41"/>
      <c r="D84" s="39"/>
      <c r="E84" s="39" t="s">
        <v>12</v>
      </c>
      <c r="F84" s="39">
        <f>HLOOKUP(E84,'Matriz de horas'!$E$4:$G$5,2,0)</f>
        <v>1</v>
      </c>
      <c r="G84"/>
      <c r="H84" s="2"/>
      <c r="I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</row>
    <row r="85" spans="2:22" hidden="1" outlineLevel="1" x14ac:dyDescent="0.25">
      <c r="B85" s="43" t="s">
        <v>71</v>
      </c>
      <c r="C85" s="41"/>
      <c r="D85" s="39"/>
      <c r="E85" s="39" t="s">
        <v>12</v>
      </c>
      <c r="F85" s="39">
        <f>HLOOKUP(E85,'Matriz de horas'!$E$4:$G$5,2,0)</f>
        <v>1</v>
      </c>
      <c r="G85"/>
      <c r="H85" s="2"/>
      <c r="I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</row>
    <row r="86" spans="2:22" hidden="1" outlineLevel="1" x14ac:dyDescent="0.25">
      <c r="B86" s="43" t="s">
        <v>72</v>
      </c>
      <c r="C86" s="41"/>
      <c r="D86" s="39"/>
      <c r="E86" s="39" t="s">
        <v>12</v>
      </c>
      <c r="F86" s="39">
        <f>HLOOKUP(E86,'Matriz de horas'!$E$4:$G$5,2,0)</f>
        <v>1</v>
      </c>
      <c r="G86"/>
      <c r="H86" s="2"/>
      <c r="I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</row>
    <row r="87" spans="2:22" hidden="1" outlineLevel="1" x14ac:dyDescent="0.25">
      <c r="B87" s="43" t="s">
        <v>73</v>
      </c>
      <c r="C87" s="41"/>
      <c r="D87" s="39"/>
      <c r="E87" s="39" t="s">
        <v>12</v>
      </c>
      <c r="F87" s="39">
        <f>HLOOKUP(E87,'Matriz de horas'!$E$4:$G$5,2,0)</f>
        <v>1</v>
      </c>
      <c r="G87"/>
      <c r="H87" s="2"/>
      <c r="I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</row>
    <row r="88" spans="2:22" hidden="1" outlineLevel="1" x14ac:dyDescent="0.25">
      <c r="B88" s="43" t="s">
        <v>74</v>
      </c>
      <c r="C88" s="41"/>
      <c r="D88" s="39"/>
      <c r="E88" s="39" t="s">
        <v>12</v>
      </c>
      <c r="F88" s="39">
        <f>HLOOKUP(E88,'Matriz de horas'!$E$4:$G$5,2,0)</f>
        <v>1</v>
      </c>
      <c r="G88"/>
      <c r="H88" s="2"/>
      <c r="I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</row>
    <row r="89" spans="2:22" hidden="1" outlineLevel="1" x14ac:dyDescent="0.25">
      <c r="B89" s="43" t="s">
        <v>75</v>
      </c>
      <c r="C89" s="41"/>
      <c r="D89" s="39"/>
      <c r="E89" s="39" t="s">
        <v>12</v>
      </c>
      <c r="F89" s="39">
        <f>HLOOKUP(E89,'Matriz de horas'!$E$4:$G$5,2,0)</f>
        <v>1</v>
      </c>
      <c r="G89"/>
      <c r="H89" s="2"/>
      <c r="I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</row>
    <row r="90" spans="2:22" hidden="1" outlineLevel="1" x14ac:dyDescent="0.25">
      <c r="B90" s="43" t="s">
        <v>76</v>
      </c>
      <c r="C90" s="41"/>
      <c r="D90" s="39"/>
      <c r="E90" s="39" t="s">
        <v>12</v>
      </c>
      <c r="F90" s="39">
        <f>HLOOKUP(E90,'Matriz de horas'!$E$4:$G$5,2,0)</f>
        <v>1</v>
      </c>
      <c r="G90"/>
      <c r="H90" s="2"/>
      <c r="I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</row>
    <row r="91" spans="2:22" hidden="1" outlineLevel="1" x14ac:dyDescent="0.25">
      <c r="B91" s="43" t="s">
        <v>77</v>
      </c>
      <c r="C91" s="41"/>
      <c r="D91" s="39"/>
      <c r="E91" s="39" t="s">
        <v>12</v>
      </c>
      <c r="F91" s="39">
        <f>HLOOKUP(E91,'Matriz de horas'!$E$4:$G$5,2,0)</f>
        <v>1</v>
      </c>
      <c r="G91"/>
      <c r="H91" s="2"/>
      <c r="I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</row>
    <row r="92" spans="2:22" hidden="1" outlineLevel="1" x14ac:dyDescent="0.25">
      <c r="B92" s="43" t="s">
        <v>78</v>
      </c>
      <c r="C92" s="41"/>
      <c r="D92" s="39"/>
      <c r="E92" s="39" t="s">
        <v>12</v>
      </c>
      <c r="F92" s="39">
        <f>HLOOKUP(E92,'Matriz de horas'!$E$4:$G$5,2,0)</f>
        <v>1</v>
      </c>
      <c r="G92"/>
      <c r="H92" s="2"/>
      <c r="I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</row>
    <row r="93" spans="2:22" hidden="1" outlineLevel="1" x14ac:dyDescent="0.25">
      <c r="B93" s="43" t="s">
        <v>79</v>
      </c>
      <c r="C93" s="41"/>
      <c r="D93" s="39"/>
      <c r="E93" s="39" t="s">
        <v>12</v>
      </c>
      <c r="F93" s="39">
        <f>HLOOKUP(E93,'Matriz de horas'!$E$4:$G$5,2,0)</f>
        <v>1</v>
      </c>
      <c r="G93"/>
      <c r="H93" s="2"/>
      <c r="I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</row>
    <row r="94" spans="2:22" hidden="1" outlineLevel="1" x14ac:dyDescent="0.25">
      <c r="B94" s="43" t="s">
        <v>80</v>
      </c>
      <c r="C94" s="41"/>
      <c r="D94" s="39"/>
      <c r="E94" s="39" t="s">
        <v>12</v>
      </c>
      <c r="F94" s="39">
        <f>HLOOKUP(E94,'Matriz de horas'!$E$4:$G$5,2,0)</f>
        <v>1</v>
      </c>
      <c r="G94"/>
      <c r="H94" s="2"/>
      <c r="I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</row>
    <row r="95" spans="2:22" hidden="1" outlineLevel="1" x14ac:dyDescent="0.25">
      <c r="B95" s="43" t="s">
        <v>81</v>
      </c>
      <c r="C95" s="41"/>
      <c r="D95" s="39"/>
      <c r="E95" s="39" t="s">
        <v>12</v>
      </c>
      <c r="F95" s="39">
        <f>HLOOKUP(E95,'Matriz de horas'!$E$4:$G$5,2,0)</f>
        <v>1</v>
      </c>
      <c r="G95"/>
      <c r="H95" s="2"/>
      <c r="I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</row>
    <row r="96" spans="2:22" hidden="1" outlineLevel="1" x14ac:dyDescent="0.25">
      <c r="B96" s="43" t="s">
        <v>82</v>
      </c>
      <c r="C96" s="41"/>
      <c r="D96" s="39"/>
      <c r="E96" s="39" t="s">
        <v>12</v>
      </c>
      <c r="F96" s="39">
        <f>HLOOKUP(E96,'Matriz de horas'!$E$4:$G$5,2,0)</f>
        <v>1</v>
      </c>
      <c r="G96"/>
      <c r="H96" s="2"/>
      <c r="I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</row>
    <row r="97" spans="2:22" hidden="1" outlineLevel="1" x14ac:dyDescent="0.25">
      <c r="B97" s="43" t="s">
        <v>83</v>
      </c>
      <c r="C97" s="41"/>
      <c r="D97" s="39"/>
      <c r="E97" s="39" t="s">
        <v>12</v>
      </c>
      <c r="F97" s="39">
        <f>HLOOKUP(E97,'Matriz de horas'!$E$4:$G$5,2,0)</f>
        <v>1</v>
      </c>
      <c r="G97"/>
      <c r="H97" s="2"/>
      <c r="I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</row>
    <row r="98" spans="2:22" hidden="1" outlineLevel="1" x14ac:dyDescent="0.25">
      <c r="B98" s="43" t="s">
        <v>84</v>
      </c>
      <c r="C98" s="41"/>
      <c r="D98" s="39"/>
      <c r="E98" s="39" t="s">
        <v>12</v>
      </c>
      <c r="F98" s="39">
        <f>HLOOKUP(E98,'Matriz de horas'!$E$4:$G$5,2,0)</f>
        <v>1</v>
      </c>
      <c r="G98"/>
      <c r="H98" s="2"/>
      <c r="I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</row>
    <row r="99" spans="2:22" hidden="1" outlineLevel="1" x14ac:dyDescent="0.25">
      <c r="B99" s="43" t="s">
        <v>85</v>
      </c>
      <c r="C99" s="41"/>
      <c r="D99" s="39"/>
      <c r="E99" s="39" t="s">
        <v>12</v>
      </c>
      <c r="F99" s="39">
        <f>HLOOKUP(E99,'Matriz de horas'!$E$4:$G$5,2,0)</f>
        <v>1</v>
      </c>
      <c r="G99"/>
      <c r="H99" s="2"/>
      <c r="I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</row>
    <row r="100" spans="2:22" hidden="1" outlineLevel="1" x14ac:dyDescent="0.25">
      <c r="B100" s="43" t="s">
        <v>86</v>
      </c>
      <c r="C100" s="41"/>
      <c r="D100" s="39"/>
      <c r="E100" s="39" t="s">
        <v>12</v>
      </c>
      <c r="F100" s="39">
        <f>HLOOKUP(E100,'Matriz de horas'!$E$4:$G$5,2,0)</f>
        <v>1</v>
      </c>
      <c r="G100"/>
      <c r="H100" s="2"/>
      <c r="I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</row>
    <row r="101" spans="2:22" hidden="1" outlineLevel="1" x14ac:dyDescent="0.25">
      <c r="B101" s="43" t="s">
        <v>87</v>
      </c>
      <c r="C101" s="41"/>
      <c r="D101" s="39"/>
      <c r="E101" s="39" t="s">
        <v>12</v>
      </c>
      <c r="F101" s="39">
        <f>HLOOKUP(E101,'Matriz de horas'!$E$4:$G$5,2,0)</f>
        <v>1</v>
      </c>
      <c r="G101"/>
      <c r="H101" s="2"/>
      <c r="I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</row>
    <row r="102" spans="2:22" hidden="1" outlineLevel="1" x14ac:dyDescent="0.25">
      <c r="B102" s="43" t="s">
        <v>88</v>
      </c>
      <c r="C102" s="41"/>
      <c r="D102" s="39"/>
      <c r="E102" s="39" t="s">
        <v>12</v>
      </c>
      <c r="F102" s="39">
        <f>HLOOKUP(E102,'Matriz de horas'!$E$4:$G$5,2,0)</f>
        <v>1</v>
      </c>
      <c r="G102"/>
      <c r="H102" s="2"/>
      <c r="I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</row>
    <row r="103" spans="2:22" hidden="1" outlineLevel="1" x14ac:dyDescent="0.25">
      <c r="B103" s="43" t="s">
        <v>89</v>
      </c>
      <c r="C103" s="41"/>
      <c r="D103" s="39"/>
      <c r="E103" s="39" t="s">
        <v>12</v>
      </c>
      <c r="F103" s="39">
        <f>HLOOKUP(E103,'Matriz de horas'!$E$4:$G$5,2,0)</f>
        <v>1</v>
      </c>
      <c r="G103"/>
      <c r="H103" s="2"/>
      <c r="I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</row>
    <row r="104" spans="2:22" collapsed="1" x14ac:dyDescent="0.25">
      <c r="B104" s="51" t="s">
        <v>90</v>
      </c>
      <c r="C104" s="54"/>
      <c r="D104" s="52"/>
      <c r="E104" s="52"/>
      <c r="F104" s="53">
        <f>SUM(F105:F121)</f>
        <v>110</v>
      </c>
      <c r="G104"/>
      <c r="H104" s="2"/>
      <c r="I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</row>
    <row r="105" spans="2:22" hidden="1" outlineLevel="1" x14ac:dyDescent="0.25">
      <c r="B105" s="43" t="s">
        <v>34</v>
      </c>
      <c r="C105" s="39"/>
      <c r="D105" s="39"/>
      <c r="E105" s="39" t="s">
        <v>12</v>
      </c>
      <c r="F105" s="39">
        <f>HLOOKUP(E105,'Matriz de horas'!$E$4:$G$5,2,0)</f>
        <v>1</v>
      </c>
      <c r="G105"/>
      <c r="H105" s="2"/>
      <c r="I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</row>
    <row r="106" spans="2:22" hidden="1" outlineLevel="1" x14ac:dyDescent="0.25">
      <c r="B106" s="43" t="s">
        <v>35</v>
      </c>
      <c r="C106" s="39"/>
      <c r="D106" s="39"/>
      <c r="E106" s="39" t="s">
        <v>12</v>
      </c>
      <c r="F106" s="39">
        <f>HLOOKUP(E106,'Matriz de horas'!$E$4:$G$5,2,0)</f>
        <v>1</v>
      </c>
      <c r="G106"/>
      <c r="H106" s="2"/>
      <c r="I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</row>
    <row r="107" spans="2:22" hidden="1" outlineLevel="1" x14ac:dyDescent="0.25">
      <c r="B107" s="43" t="s">
        <v>36</v>
      </c>
      <c r="C107" s="39"/>
      <c r="D107" s="39"/>
      <c r="E107" s="39" t="s">
        <v>12</v>
      </c>
      <c r="F107" s="39">
        <f>HLOOKUP(E107,'Matriz de horas'!$E$4:$G$5,2,0)</f>
        <v>1</v>
      </c>
      <c r="G107"/>
      <c r="H107" s="2"/>
      <c r="I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</row>
    <row r="108" spans="2:22" hidden="1" outlineLevel="1" x14ac:dyDescent="0.25">
      <c r="B108" s="43" t="s">
        <v>22</v>
      </c>
      <c r="C108" s="41"/>
      <c r="D108" s="39"/>
      <c r="E108" s="39" t="s">
        <v>12</v>
      </c>
      <c r="F108" s="39">
        <f>HLOOKUP(E108,'Matriz de horas'!$E$4:$G$5,2,0)</f>
        <v>1</v>
      </c>
      <c r="G108"/>
      <c r="H108" s="2"/>
      <c r="I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</row>
    <row r="109" spans="2:22" hidden="1" outlineLevel="1" x14ac:dyDescent="0.25">
      <c r="B109" s="43" t="s">
        <v>91</v>
      </c>
      <c r="C109" s="41"/>
      <c r="D109" s="39"/>
      <c r="E109" s="39" t="s">
        <v>12</v>
      </c>
      <c r="F109" s="39">
        <f>HLOOKUP(E109,'Matriz de horas'!$E$4:$G$5,2,0)</f>
        <v>1</v>
      </c>
      <c r="G109"/>
      <c r="H109" s="2"/>
      <c r="I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</row>
    <row r="110" spans="2:22" hidden="1" outlineLevel="1" x14ac:dyDescent="0.25">
      <c r="B110" s="43" t="s">
        <v>102</v>
      </c>
      <c r="C110" s="41"/>
      <c r="D110" s="39"/>
      <c r="E110" s="39" t="s">
        <v>14</v>
      </c>
      <c r="F110" s="39">
        <f>HLOOKUP(E110,'Matriz de horas'!$E$4:$G$5,2,0)</f>
        <v>4</v>
      </c>
      <c r="G110"/>
      <c r="H110" s="2"/>
      <c r="I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</row>
    <row r="111" spans="2:22" hidden="1" outlineLevel="1" x14ac:dyDescent="0.25">
      <c r="B111" s="43" t="s">
        <v>92</v>
      </c>
      <c r="C111" s="41"/>
      <c r="D111" s="39"/>
      <c r="E111" s="39" t="s">
        <v>14</v>
      </c>
      <c r="F111" s="39">
        <f>HLOOKUP(E111,'Matriz de horas'!$E$4:$G$5,2,0)</f>
        <v>4</v>
      </c>
      <c r="G111"/>
      <c r="H111" s="2"/>
      <c r="I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</row>
    <row r="112" spans="2:22" hidden="1" outlineLevel="1" x14ac:dyDescent="0.25">
      <c r="B112" s="43" t="s">
        <v>93</v>
      </c>
      <c r="C112" s="41"/>
      <c r="D112" s="39"/>
      <c r="E112" s="39" t="s">
        <v>14</v>
      </c>
      <c r="F112" s="39">
        <f>HLOOKUP(E112,'Matriz de horas'!$E$4:$G$5,2,0)</f>
        <v>4</v>
      </c>
      <c r="G112"/>
      <c r="H112" s="2"/>
      <c r="I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</row>
    <row r="113" spans="2:22" hidden="1" outlineLevel="1" x14ac:dyDescent="0.25">
      <c r="B113" s="43" t="s">
        <v>28</v>
      </c>
      <c r="C113" s="41"/>
      <c r="D113" s="39"/>
      <c r="E113" s="39" t="s">
        <v>12</v>
      </c>
      <c r="F113" s="39">
        <f>HLOOKUP(E113,'Matriz de horas'!$E$4:$G$5,2,0)</f>
        <v>1</v>
      </c>
      <c r="G113"/>
      <c r="H113" s="2"/>
      <c r="I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</row>
    <row r="114" spans="2:22" hidden="1" outlineLevel="1" x14ac:dyDescent="0.25">
      <c r="B114" s="43" t="s">
        <v>32</v>
      </c>
      <c r="C114" s="41"/>
      <c r="D114" s="39"/>
      <c r="E114" s="39" t="s">
        <v>12</v>
      </c>
      <c r="F114" s="39">
        <f>HLOOKUP(E114,'Matriz de horas'!$E$4:$G$5,2,0)</f>
        <v>1</v>
      </c>
      <c r="G114"/>
      <c r="H114" s="2"/>
      <c r="I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</row>
    <row r="115" spans="2:22" hidden="1" outlineLevel="1" x14ac:dyDescent="0.25">
      <c r="B115" s="43" t="s">
        <v>33</v>
      </c>
      <c r="C115" s="41"/>
      <c r="D115" s="39"/>
      <c r="E115" s="39" t="s">
        <v>12</v>
      </c>
      <c r="F115" s="39">
        <f>HLOOKUP(E115,'Matriz de horas'!$E$4:$G$5,2,0)</f>
        <v>1</v>
      </c>
      <c r="G115"/>
      <c r="H115" s="2"/>
      <c r="I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</row>
    <row r="116" spans="2:22" hidden="1" outlineLevel="1" x14ac:dyDescent="0.25">
      <c r="B116" s="43" t="s">
        <v>94</v>
      </c>
      <c r="C116" s="41"/>
      <c r="D116" s="39"/>
      <c r="E116" s="39" t="s">
        <v>14</v>
      </c>
      <c r="F116" s="45">
        <v>15</v>
      </c>
      <c r="G116" t="s">
        <v>125</v>
      </c>
      <c r="H116" s="2"/>
      <c r="I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</row>
    <row r="117" spans="2:22" hidden="1" outlineLevel="1" x14ac:dyDescent="0.25">
      <c r="B117" s="43" t="s">
        <v>95</v>
      </c>
      <c r="C117" s="41"/>
      <c r="D117" s="39"/>
      <c r="E117" s="39" t="s">
        <v>14</v>
      </c>
      <c r="F117" s="45">
        <v>15</v>
      </c>
      <c r="G117"/>
      <c r="H117" s="2"/>
      <c r="I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</row>
    <row r="118" spans="2:22" hidden="1" outlineLevel="1" x14ac:dyDescent="0.25">
      <c r="B118" s="43" t="s">
        <v>96</v>
      </c>
      <c r="C118" s="41"/>
      <c r="D118" s="39"/>
      <c r="E118" s="39" t="s">
        <v>14</v>
      </c>
      <c r="F118" s="45">
        <v>15</v>
      </c>
      <c r="G118"/>
      <c r="H118" s="2"/>
      <c r="I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</row>
    <row r="119" spans="2:22" hidden="1" outlineLevel="1" x14ac:dyDescent="0.25">
      <c r="B119" s="43" t="s">
        <v>97</v>
      </c>
      <c r="C119" s="41"/>
      <c r="D119" s="39"/>
      <c r="E119" s="39" t="s">
        <v>14</v>
      </c>
      <c r="F119" s="45">
        <v>15</v>
      </c>
      <c r="G119"/>
      <c r="H119" s="2"/>
      <c r="I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</row>
    <row r="120" spans="2:22" hidden="1" outlineLevel="1" x14ac:dyDescent="0.25">
      <c r="B120" s="43" t="s">
        <v>98</v>
      </c>
      <c r="C120" s="41"/>
      <c r="D120" s="39"/>
      <c r="E120" s="39" t="s">
        <v>14</v>
      </c>
      <c r="F120" s="45">
        <v>15</v>
      </c>
      <c r="G120"/>
      <c r="H120" s="2"/>
      <c r="I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</row>
    <row r="121" spans="2:22" hidden="1" outlineLevel="1" x14ac:dyDescent="0.25">
      <c r="B121" s="43" t="s">
        <v>99</v>
      </c>
      <c r="C121" s="41"/>
      <c r="D121" s="39"/>
      <c r="E121" s="39" t="s">
        <v>14</v>
      </c>
      <c r="F121" s="45">
        <v>15</v>
      </c>
      <c r="G121"/>
      <c r="H121" s="2"/>
      <c r="I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</row>
    <row r="122" spans="2:22" collapsed="1" x14ac:dyDescent="0.25">
      <c r="B122" s="49" t="s">
        <v>126</v>
      </c>
      <c r="C122" s="50"/>
      <c r="D122" s="50"/>
      <c r="E122" s="50"/>
      <c r="F122" s="50">
        <f>SUM(F123:F127)</f>
        <v>140</v>
      </c>
      <c r="G122">
        <f>F122/8</f>
        <v>17.5</v>
      </c>
    </row>
    <row r="123" spans="2:22" x14ac:dyDescent="0.25">
      <c r="B123" s="51" t="s">
        <v>6</v>
      </c>
      <c r="C123" s="54"/>
      <c r="D123" s="52"/>
      <c r="E123" s="52"/>
      <c r="F123" s="53">
        <f>8*1.5</f>
        <v>12</v>
      </c>
      <c r="G123"/>
    </row>
    <row r="124" spans="2:22" x14ac:dyDescent="0.25">
      <c r="B124" s="51" t="s">
        <v>37</v>
      </c>
      <c r="C124" s="54"/>
      <c r="D124" s="52"/>
      <c r="E124" s="52"/>
      <c r="F124" s="53">
        <f>2*8</f>
        <v>16</v>
      </c>
      <c r="G124"/>
    </row>
    <row r="125" spans="2:22" x14ac:dyDescent="0.25">
      <c r="B125" s="51" t="s">
        <v>42</v>
      </c>
      <c r="C125" s="54"/>
      <c r="D125" s="52"/>
      <c r="E125" s="52"/>
      <c r="F125" s="53">
        <f>2*8</f>
        <v>16</v>
      </c>
      <c r="G125"/>
    </row>
    <row r="126" spans="2:22" x14ac:dyDescent="0.25">
      <c r="B126" s="51" t="s">
        <v>49</v>
      </c>
      <c r="C126" s="54"/>
      <c r="D126" s="52"/>
      <c r="E126" s="52"/>
      <c r="F126" s="53">
        <f>2*8</f>
        <v>16</v>
      </c>
      <c r="G126"/>
    </row>
    <row r="127" spans="2:22" x14ac:dyDescent="0.25">
      <c r="B127" s="51" t="s">
        <v>90</v>
      </c>
      <c r="C127" s="54"/>
      <c r="D127" s="52"/>
      <c r="E127" s="52"/>
      <c r="F127" s="53">
        <f>10*8</f>
        <v>80</v>
      </c>
      <c r="G127"/>
    </row>
    <row r="128" spans="2:22" collapsed="1" x14ac:dyDescent="0.25">
      <c r="B128" s="49" t="s">
        <v>130</v>
      </c>
      <c r="C128" s="50"/>
      <c r="D128" s="50"/>
      <c r="E128" s="50"/>
      <c r="F128" s="50">
        <f>2.5*8</f>
        <v>20</v>
      </c>
      <c r="G128">
        <f>F128/8</f>
        <v>2.5</v>
      </c>
    </row>
    <row r="129" spans="2:7" collapsed="1" x14ac:dyDescent="0.25">
      <c r="B129" s="49" t="s">
        <v>127</v>
      </c>
      <c r="C129" s="50"/>
      <c r="D129" s="50"/>
      <c r="E129" s="50"/>
      <c r="F129" s="50">
        <f>SUM(F130:F134)</f>
        <v>68</v>
      </c>
      <c r="G129">
        <f>F129/8</f>
        <v>8.5</v>
      </c>
    </row>
    <row r="130" spans="2:7" x14ac:dyDescent="0.25">
      <c r="B130" s="51" t="s">
        <v>6</v>
      </c>
      <c r="C130" s="54"/>
      <c r="D130" s="52"/>
      <c r="E130" s="52"/>
      <c r="F130" s="53">
        <f>1*8</f>
        <v>8</v>
      </c>
      <c r="G130"/>
    </row>
    <row r="131" spans="2:7" x14ac:dyDescent="0.25">
      <c r="B131" s="51" t="s">
        <v>37</v>
      </c>
      <c r="C131" s="54"/>
      <c r="D131" s="52"/>
      <c r="E131" s="52"/>
      <c r="F131" s="53">
        <f>8</f>
        <v>8</v>
      </c>
      <c r="G131"/>
    </row>
    <row r="132" spans="2:7" x14ac:dyDescent="0.25">
      <c r="B132" s="51" t="s">
        <v>42</v>
      </c>
      <c r="C132" s="54"/>
      <c r="D132" s="52"/>
      <c r="E132" s="52"/>
      <c r="F132" s="53">
        <f>1.5*8</f>
        <v>12</v>
      </c>
      <c r="G132"/>
    </row>
    <row r="133" spans="2:7" x14ac:dyDescent="0.25">
      <c r="B133" s="51" t="s">
        <v>49</v>
      </c>
      <c r="C133" s="54"/>
      <c r="D133" s="52"/>
      <c r="E133" s="52"/>
      <c r="F133" s="53">
        <f>2*8</f>
        <v>16</v>
      </c>
      <c r="G133"/>
    </row>
    <row r="134" spans="2:7" x14ac:dyDescent="0.25">
      <c r="B134" s="51" t="s">
        <v>90</v>
      </c>
      <c r="C134" s="54"/>
      <c r="D134" s="52"/>
      <c r="E134" s="52"/>
      <c r="F134" s="53">
        <f>3*8</f>
        <v>24</v>
      </c>
      <c r="G134"/>
    </row>
    <row r="135" spans="2:7" collapsed="1" x14ac:dyDescent="0.25">
      <c r="B135" s="49" t="s">
        <v>149</v>
      </c>
      <c r="C135" s="50"/>
      <c r="D135" s="50"/>
      <c r="E135" s="50"/>
      <c r="F135" s="50">
        <v>16</v>
      </c>
      <c r="G135">
        <f>F135/8</f>
        <v>2</v>
      </c>
    </row>
    <row r="136" spans="2:7" collapsed="1" x14ac:dyDescent="0.25">
      <c r="B136" s="49" t="s">
        <v>128</v>
      </c>
      <c r="C136" s="50"/>
      <c r="D136" s="50"/>
      <c r="E136" s="50"/>
      <c r="F136" s="50">
        <f>SUM(F137:F141)</f>
        <v>56</v>
      </c>
      <c r="G136">
        <f>F136/8</f>
        <v>7</v>
      </c>
    </row>
    <row r="137" spans="2:7" x14ac:dyDescent="0.25">
      <c r="B137" s="51" t="s">
        <v>6</v>
      </c>
      <c r="C137" s="54"/>
      <c r="D137" s="52"/>
      <c r="E137" s="52"/>
      <c r="F137" s="53">
        <f>1*8</f>
        <v>8</v>
      </c>
      <c r="G137"/>
    </row>
    <row r="138" spans="2:7" x14ac:dyDescent="0.25">
      <c r="B138" s="51" t="s">
        <v>37</v>
      </c>
      <c r="C138" s="54"/>
      <c r="D138" s="52"/>
      <c r="E138" s="52"/>
      <c r="F138" s="53">
        <f>8</f>
        <v>8</v>
      </c>
      <c r="G138"/>
    </row>
    <row r="139" spans="2:7" x14ac:dyDescent="0.25">
      <c r="B139" s="51" t="s">
        <v>42</v>
      </c>
      <c r="C139" s="54"/>
      <c r="D139" s="52"/>
      <c r="E139" s="52"/>
      <c r="F139" s="53">
        <f>2*8</f>
        <v>16</v>
      </c>
      <c r="G139"/>
    </row>
    <row r="140" spans="2:7" x14ac:dyDescent="0.25">
      <c r="B140" s="51" t="s">
        <v>49</v>
      </c>
      <c r="C140" s="54"/>
      <c r="D140" s="52"/>
      <c r="E140" s="52"/>
      <c r="F140" s="53">
        <f>2*8</f>
        <v>16</v>
      </c>
      <c r="G140"/>
    </row>
    <row r="141" spans="2:7" x14ac:dyDescent="0.25">
      <c r="B141" s="51" t="s">
        <v>90</v>
      </c>
      <c r="C141" s="54"/>
      <c r="D141" s="52"/>
      <c r="E141" s="52"/>
      <c r="F141" s="53">
        <f>1*8</f>
        <v>8</v>
      </c>
      <c r="G141"/>
    </row>
    <row r="142" spans="2:7" x14ac:dyDescent="0.25">
      <c r="B142" s="49" t="s">
        <v>147</v>
      </c>
      <c r="C142" s="50"/>
      <c r="D142" s="50"/>
      <c r="E142" s="50"/>
      <c r="F142" s="50">
        <f>104-16</f>
        <v>88</v>
      </c>
      <c r="G142"/>
    </row>
    <row r="143" spans="2:7" x14ac:dyDescent="0.25">
      <c r="C143"/>
      <c r="D143"/>
      <c r="E143"/>
      <c r="F143"/>
      <c r="G143"/>
    </row>
    <row r="144" spans="2:7" hidden="1" x14ac:dyDescent="0.25">
      <c r="C144"/>
      <c r="D144"/>
      <c r="E144"/>
      <c r="F144"/>
      <c r="G144"/>
    </row>
  </sheetData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'Matriz de horas'!$D$4:$G$4</xm:f>
          </x14:formula1>
          <xm:sqref>E15:E121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O17"/>
  <sheetViews>
    <sheetView showGridLines="0" zoomScale="115" zoomScaleNormal="115" workbookViewId="0">
      <selection activeCell="E6" sqref="E6:G8"/>
    </sheetView>
  </sheetViews>
  <sheetFormatPr defaultColWidth="0" defaultRowHeight="15" x14ac:dyDescent="0.25"/>
  <cols>
    <col min="1" max="1" width="3.140625" customWidth="1"/>
    <col min="2" max="2" width="40.28515625" customWidth="1"/>
    <col min="3" max="3" width="115.140625" customWidth="1"/>
    <col min="4" max="4" width="6.5703125" customWidth="1"/>
    <col min="5" max="9" width="10" customWidth="1"/>
    <col min="10" max="15" width="0" hidden="1" customWidth="1"/>
    <col min="16" max="16384" width="10" hidden="1"/>
  </cols>
  <sheetData>
    <row r="2" spans="2:8" x14ac:dyDescent="0.25">
      <c r="B2" s="25" t="s">
        <v>7</v>
      </c>
    </row>
    <row r="3" spans="2:8" x14ac:dyDescent="0.25">
      <c r="C3" s="26"/>
      <c r="D3" s="27" t="s">
        <v>8</v>
      </c>
      <c r="E3" s="28"/>
      <c r="F3" s="28"/>
      <c r="G3" s="28"/>
      <c r="H3" s="29"/>
    </row>
    <row r="4" spans="2:8" x14ac:dyDescent="0.25">
      <c r="B4" s="30" t="s">
        <v>9</v>
      </c>
      <c r="C4" s="30" t="s">
        <v>10</v>
      </c>
      <c r="D4" s="31" t="s">
        <v>11</v>
      </c>
      <c r="E4" s="31" t="s">
        <v>12</v>
      </c>
      <c r="F4" s="31" t="s">
        <v>13</v>
      </c>
      <c r="G4" s="31" t="s">
        <v>14</v>
      </c>
    </row>
    <row r="5" spans="2:8" ht="26.25" x14ac:dyDescent="0.25">
      <c r="B5" s="32" t="s">
        <v>122</v>
      </c>
      <c r="C5" s="33" t="s">
        <v>15</v>
      </c>
      <c r="D5" s="36">
        <v>0</v>
      </c>
      <c r="E5" s="36">
        <v>1</v>
      </c>
      <c r="F5" s="36">
        <v>3</v>
      </c>
      <c r="G5" s="36">
        <v>4</v>
      </c>
    </row>
    <row r="6" spans="2:8" x14ac:dyDescent="0.25">
      <c r="B6" s="32" t="s">
        <v>18</v>
      </c>
      <c r="C6" s="33" t="s">
        <v>16</v>
      </c>
      <c r="D6" s="36">
        <v>0</v>
      </c>
      <c r="E6" s="78">
        <v>3</v>
      </c>
      <c r="F6" s="78">
        <v>6</v>
      </c>
      <c r="G6" s="78">
        <v>8</v>
      </c>
    </row>
    <row r="7" spans="2:8" x14ac:dyDescent="0.25">
      <c r="B7" s="32" t="s">
        <v>103</v>
      </c>
      <c r="C7" s="33" t="s">
        <v>104</v>
      </c>
      <c r="D7" s="36">
        <v>0</v>
      </c>
      <c r="E7" s="78">
        <v>20</v>
      </c>
      <c r="F7" s="78">
        <v>40</v>
      </c>
      <c r="G7" s="78">
        <v>60</v>
      </c>
      <c r="H7">
        <f>F7/8</f>
        <v>5</v>
      </c>
    </row>
    <row r="8" spans="2:8" x14ac:dyDescent="0.25">
      <c r="B8" s="34" t="s">
        <v>23</v>
      </c>
      <c r="C8" s="33" t="s">
        <v>21</v>
      </c>
      <c r="D8" s="36">
        <v>0</v>
      </c>
      <c r="E8" s="78">
        <v>0.3</v>
      </c>
      <c r="F8" s="78">
        <v>0.3</v>
      </c>
      <c r="G8" s="78">
        <v>0.3</v>
      </c>
    </row>
    <row r="10" spans="2:8" x14ac:dyDescent="0.25">
      <c r="B10" s="25" t="s">
        <v>17</v>
      </c>
    </row>
    <row r="11" spans="2:8" x14ac:dyDescent="0.25">
      <c r="B11" s="35" t="s">
        <v>19</v>
      </c>
    </row>
    <row r="12" spans="2:8" x14ac:dyDescent="0.25">
      <c r="B12" s="35" t="s">
        <v>20</v>
      </c>
    </row>
    <row r="13" spans="2:8" x14ac:dyDescent="0.25">
      <c r="B13" s="35"/>
    </row>
    <row r="14" spans="2:8" x14ac:dyDescent="0.25">
      <c r="B14" s="2"/>
    </row>
    <row r="15" spans="2:8" x14ac:dyDescent="0.25">
      <c r="B15" s="2"/>
    </row>
    <row r="16" spans="2:8" x14ac:dyDescent="0.25">
      <c r="B16" s="2"/>
    </row>
    <row r="17" spans="2:2" x14ac:dyDescent="0.25">
      <c r="B17" s="2"/>
    </row>
  </sheetData>
  <pageMargins left="0.7" right="0.7" top="0.75" bottom="0.75" header="0.3" footer="0.3"/>
  <pageSetup paperSize="9"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CB2EC0B2B90E8438FD7BC14926F993E" ma:contentTypeVersion="3" ma:contentTypeDescription="Criar um novo documento." ma:contentTypeScope="" ma:versionID="3b9189e12f11176f5cfcf680d227dc59">
  <xsd:schema xmlns:xsd="http://www.w3.org/2001/XMLSchema" xmlns:xs="http://www.w3.org/2001/XMLSchema" xmlns:p="http://schemas.microsoft.com/office/2006/metadata/properties" xmlns:ns2="572bdb13-c576-4166-8827-65186753b8b5" targetNamespace="http://schemas.microsoft.com/office/2006/metadata/properties" ma:root="true" ma:fieldsID="a19afc087ef3c4e00df32303148ef8c8" ns2:_="">
    <xsd:import namespace="572bdb13-c576-4166-8827-65186753b8b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2bdb13-c576-4166-8827-65186753b8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27737EA-64A8-421E-87C4-1ECE78B6304F}">
  <ds:schemaRefs>
    <ds:schemaRef ds:uri="572bdb13-c576-4166-8827-65186753b8b5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purl.org/dc/elements/1.1/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4927527D-9C88-4195-8522-F5015C44B5E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AA26A47-B62B-45FB-834B-09DC1A1EF15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Plano</vt:lpstr>
      <vt:lpstr>Sheet1</vt:lpstr>
      <vt:lpstr>Plan- Granular</vt:lpstr>
      <vt:lpstr>Matriz de horas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Escaleira, Diogo Alexandre</dc:creator>
  <cp:lastModifiedBy>Henrique Crespo Rodrigues Antunes Correia</cp:lastModifiedBy>
  <dcterms:created xsi:type="dcterms:W3CDTF">2015-06-05T18:17:20Z</dcterms:created>
  <dcterms:modified xsi:type="dcterms:W3CDTF">2025-04-17T18:30:53Z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0x010100FCB2EC0B2B90E8438FD7BC14926F993E</vt:lpwstr>
  </property>
  <property fmtid="{D5CDD505-2E9C-101B-9397-08002B2CF9AE}" pid="3" name="MediaServiceImageTags">
    <vt:lpwstr/>
  </property>
  <property fmtid="{D5CDD505-2E9C-101B-9397-08002B2CF9AE}" pid="4" name="MSIP_Label_0c2abd79-57a9-4473-8700-c843f76a1e37_Enabled">
    <vt:lpwstr>true</vt:lpwstr>
  </property>
  <property fmtid="{D5CDD505-2E9C-101B-9397-08002B2CF9AE}" pid="5" name="MSIP_Label_0c2abd79-57a9-4473-8700-c843f76a1e37_SetDate">
    <vt:lpwstr>2025-04-03T07:42:29Z</vt:lpwstr>
  </property>
  <property fmtid="{D5CDD505-2E9C-101B-9397-08002B2CF9AE}" pid="6" name="MSIP_Label_0c2abd79-57a9-4473-8700-c843f76a1e37_Method">
    <vt:lpwstr>Privileged</vt:lpwstr>
  </property>
  <property fmtid="{D5CDD505-2E9C-101B-9397-08002B2CF9AE}" pid="7" name="MSIP_Label_0c2abd79-57a9-4473-8700-c843f76a1e37_Name">
    <vt:lpwstr>Internal</vt:lpwstr>
  </property>
  <property fmtid="{D5CDD505-2E9C-101B-9397-08002B2CF9AE}" pid="8" name="MSIP_Label_0c2abd79-57a9-4473-8700-c843f76a1e37_SiteId">
    <vt:lpwstr>35595a02-4d6d-44ac-99e1-f9ab4cd872db</vt:lpwstr>
  </property>
  <property fmtid="{D5CDD505-2E9C-101B-9397-08002B2CF9AE}" pid="9" name="MSIP_Label_0c2abd79-57a9-4473-8700-c843f76a1e37_ActionId">
    <vt:lpwstr>01d0cfdc-ce54-4f0d-b7ca-874f6bc45820</vt:lpwstr>
  </property>
  <property fmtid="{D5CDD505-2E9C-101B-9397-08002B2CF9AE}" pid="10" name="MSIP_Label_0c2abd79-57a9-4473-8700-c843f76a1e37_ContentBits">
    <vt:lpwstr>0</vt:lpwstr>
  </property>
</Properties>
</file>