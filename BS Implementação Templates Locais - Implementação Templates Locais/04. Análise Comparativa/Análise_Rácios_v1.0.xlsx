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ttps://santandernet.sharepoint.com/sites/BSImplementaoTemplatesLocais/Shared Documents/Geral/04. Análise Comparativa/"/>
    </mc:Choice>
  </mc:AlternateContent>
  <bookViews>
    <workbookView xWindow="0" yWindow="0" windowWidth="28740" windowHeight="11520"/>
  </bookViews>
  <sheets>
    <sheet name="Sheet1" sheetId="1" r:id="rId1"/>
  </sheets>
  <definedNames>
    <definedName name="_xlnm._FilterDatabase" localSheetId="0" hidden="1">Sheet1!$B$52:$G$61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7" i="1" l="1"/>
  <c r="J7" i="1"/>
  <c r="K6" i="1"/>
  <c r="J6" i="1"/>
  <c r="F62" i="1"/>
  <c r="E62" i="1"/>
  <c r="D62" i="1"/>
  <c r="C62" i="1"/>
  <c r="C63" i="1" s="1"/>
  <c r="F47" i="1"/>
  <c r="E47" i="1"/>
  <c r="D47" i="1"/>
  <c r="C47" i="1"/>
  <c r="C48" i="1" s="1"/>
  <c r="F33" i="1"/>
  <c r="E33" i="1"/>
  <c r="D33" i="1"/>
  <c r="C33" i="1"/>
  <c r="C34" i="1" s="1"/>
  <c r="G16" i="1"/>
  <c r="F16" i="1"/>
  <c r="E17" i="1" s="1"/>
  <c r="E16" i="1"/>
  <c r="D16" i="1"/>
  <c r="C16" i="1"/>
  <c r="C17" i="1" s="1"/>
</calcChain>
</file>

<file path=xl/sharedStrings.xml><?xml version="1.0" encoding="utf-8"?>
<sst xmlns="http://schemas.openxmlformats.org/spreadsheetml/2006/main" count="104" uniqueCount="30">
  <si>
    <t>flag</t>
  </si>
  <si>
    <t>racio_temp</t>
  </si>
  <si>
    <t>racio_tat</t>
  </si>
  <si>
    <t>amount_temp</t>
  </si>
  <si>
    <t>amount_tat</t>
  </si>
  <si>
    <t>n</t>
  </si>
  <si>
    <t>OK REVER - Martelo no template de null para 0 /Sem cruz com NFIN</t>
  </si>
  <si>
    <t>NULL</t>
  </si>
  <si>
    <t>OK - Martelo no template de null para 0 /Nao Aplic nos rácios</t>
  </si>
  <si>
    <t>NOK JUST - Modelo diff de general &amp; tat com valor</t>
  </si>
  <si>
    <t>OK - Martelo no template de null para 0 /Miss nos rácios</t>
  </si>
  <si>
    <t>NOK REVER - Sem cruz no modelo &amp; tat com valor</t>
  </si>
  <si>
    <t>Rever - Tatico não calcula valor, mas rácios são iguais</t>
  </si>
  <si>
    <t>OK - Dif de metodologia</t>
  </si>
  <si>
    <t>Rácio no Temp &amp; Tático, mas diferentes por metodologia</t>
  </si>
  <si>
    <t>OK - Ambos Preench</t>
  </si>
  <si>
    <t>OK - Ambos NULL</t>
  </si>
  <si>
    <t>OK - Amount dif mas rácio igual</t>
  </si>
  <si>
    <t>TOTAL</t>
  </si>
  <si>
    <t>1. TUCCM</t>
  </si>
  <si>
    <t>2.ETCCM</t>
  </si>
  <si>
    <t>3.TRANT</t>
  </si>
  <si>
    <t xml:space="preserve">
SELECT 
    CASE
        WHEN F2.CHAVE_CRUZ_TAT IS NULL then 'Sem cruzamento'
        WHEN F2.TUCCM_SUM IS NULL AND f1.tuccm is null then 'OK - Ambos NULL'
        WHEN F2.TUCCM_SUM IS NOT NULL AND f1.tuccm is NOT null AND F2.TUCCM_SUM=f1.tuccm THEN 'OK - Ambos Preench'
        WHEN TRIM(UPPER(F5.NOME_GENERAL_SPECIFIC_PURPOSE)) &lt;&gt; 'GENERAL PURPOSE' AND F2.TUCCM_SUM IS NOT NULL then 'NOK JUST - Modelo diff de general &amp; tat com valor'
        WHEN TRIM(UPPER(F5.NOME_GENERAL_SPECIFIC_PURPOSE)) &lt;&gt; 'GENERAL PURPOSE' AND F2.TUCCM_SUM IS NULL then 'OK - Modelo diff de general &amp; tat null'
        WHEN F5.CHAVE_MODELO is null AND F2.TUCCM_SUM IS NOT NULL then 'NOK REVER - Sem cruz no modelo &amp; tat com valor'
        WHEN F5.CHAVE_MODELO is null AND F2.TUCCM_SUM IS NULL then 'OK REVER - Sem cruz no modelo &amp; tat null'
        WHEN F2.TUCCM_SUM IS NULL AND f1.tuccm IS not NULL AND F4.origem_alinhamentos='Nao Aplicavel' THEN 'OK - Martelo no template de null para 0 /Nao Aplic nos rácios'
        WHEN F2.TUCCM_SUM IS NOT NULL AND f1.tuccm=0 AND F4.origem_alinhamentos='Nao Aplicavel' AND F3.mitig_turnover_t_elig IS not NULL THEN 'OK - Martelo no template de null para 0 /Nao Aplic nos rácios'
        WHEN F2.TUCCM_SUM IS NULL AND f1.tuccm IS not NULL AND F4.origem_alinhamentos='MISS' AND F3.mitig_turnover_t_elig IS NULL AND F4.ccm_trnvr_ttl_elgbl IS NULL  THEN 'OK - Martelo no template de null para 0 /Miss nos rácios'
        WHEN F2.TUCCM_SUM IS NULL AND f1.tuccm IS not NULL AND F4.origem_alinhamentos IS NULL AND F3.mitig_turnover_t_elig IS NULL AND F4.ccm_trnvr_ttl_elgbl IS NULL  THEN 'OK REVER - Martelo no template de null para 0 /Sem cruz com NFIN'
        WHEN F2.TUCCM_SUM IS NULL AND f1.tuccm IS not NULL AND F4.origem_alinhamentos='MISS' AND F3.mitig_turnover_t_elig IS not NULL AND F4.ccm_trnvr_ttl_elgbl IS not NUll and F3.mitig_turnover_t_elig=F4.ccm_trnvr_ttl_elgbl THEN 'OK - Rácios igual, mas tático a null'
        WHEN F2.TUCCM_SUM=0 AND F3.mitig_turnover_t_elig IS NULL AND f1.tuccm IS NULL then 'OK - Martelo no tático de null para 0 no rácio'
        WHEN F2.TUCCM_SUM&lt;&gt;0 AND F3.mitig_turnover_t_elig IS NULL AND f1.tuccm IS NULL then 'OK - Martelo no tático de null para valor dif de 0'
        WHEN F2.TUCCM_SUM IS NOT NULL AND f1.tuccm is null and F1.contraparte in ('particulares','setor publico','bancos centrais') AND F4.origem_alinhamentos='Nao Aplicavel' then 'OK - Contraparte'
        WHEN F2.TUCCM_SUM IS NOT NULL AND f1.tuccm is null and F1.contraparte not in ('particulares','setor publico','bancos centrais') AND F4.origem_alinhamentos='Nao Aplicavel' then 'OK - Rever Contraparte'
        WHEN F2.TUCCM_SUM IS NOT NULL AND f1.tuccm is NOT null AND F2.TUCCM_SUM&lt;&gt;f1.tuccm and F1.AMOUNT=F2.AMOUNT AND F3.mitig_turnover_t_elig=F4.ccm_trnvr_ttl_elgbl THEN 'OK - Valores dif, mas amount e rácio igual (estranho)'
        WHEN F2.TUCCM_SUM IS NOT NULL AND f1.tuccm is NOT null AND F2.TUCCM_SUM&lt;&gt;f1.tuccm and F1.AMOUNT&lt;&gt;F2.AMOUNT AND F3.mitig_turnover_t_elig=F4.ccm_trnvr_ttl_elgbl THEN 'OK - Amount dif mas rácio igual'
        WHEN F1.tuccm IS NOT NULL AND F2.TUCCM_SUM IS NULL AND F3.mitig_turnover_t_elig IS not NULL AND F4.ccm_trnvr_ttl_elgbl IS not NUll and F3.mitig_turnover_t_elig=F4.ccm_trnvr_ttl_elgbl THEN 'Rever - Tatico não calcula valor, mas rácios são iguais'
        WHEN F1.tuccm IS NULL AND F2.TUCCM_SUM IS not NULL AND F3.mitig_turnover_t_elig IS not NULL AND F4.ccm_trnvr_ttl_elgbl IS not NUll and F3.mitig_turnover_t_elig=F4.ccm_trnvr_ttl_elgbl AND F1.AMOUNT=0 THEN 'NOK - Template deveria esta a 0 ao invés null'       
        WHEN F1.tuccm IS NULL AND F2.TUCCM_SUM IS not NULL AND F3.mitig_turnover_t_elig IS not NULL AND F4.ccm_trnvr_ttl_elgbl IS not NUll and F3.mitig_turnover_t_elig=F4.ccm_trnvr_ttl_elgbl AND F1.AMOUNT&gt;-1 AND F1.AMOUNT&lt;1 THEN 'NOK - Template deveria esta a calcular ao invés null /amount entre -1 e 1'
        WHEN F1.tuccm IS NULL AND F2.TUCCM_SUM IS not NULL AND F3.mitig_turnover_t_elig IS not NULL AND F4.ccm_trnvr_ttl_elgbl IS not NUll and F3.mitig_turnover_t_elig=F4.ccm_trnvr_ttl_elgbl AND F1.AMOUNT is not null THEN 'NOK - Template deveria esta a calcular ao invés null'
        WHEN F1.zcliente&lt;&gt;F2.ZCLIENTE THEN 'ZCLIENTE DIFERENTE'
        WHEN F4.origem_alinhamentos='MISS' AND F3.mitig_turnover_t_elig IS NOT NULL AND F1.zcliente IN ('8022798172','2311005416','7401979509','8018871435','9000935027','7400611826','5100010988','8007468170','8046310607','9000934958','5100260878','7401635387','8000605038','8003529681','5100270571','7400036674','5100261373','2661001994','2701003944','5100330284','7401411081','5100548837') THEN 'OK - Dif de metodologia'
        WHEN F1.zcliente='7401536276' THEN 'Rácio no Temp &amp; Tático, mas diferentes por metodologia'
        ELSE 'ANALISAR'
    END AS FLAG
    ,SUM(F1.tuccm) AS RACIO_TEMP
    ,SUM(F2.TUCCM_SUM) AS RACIO_TAT
    ,SUM(F1.AMOUNT) AS AMOUNT_TEMP
    ,SUM(F2.AMOUNT) AS AMOUNT_TAT
    ,count(*) as n 
FROM 
    (
    SELECT CONCAT(cempresa,cbalcao,cnumecta,zdeposit) AS CHAVE_TEMP
        ,concat(cempresa,cbalcao,cnumecta,zdeposit,instrumento_financeiro,carteira_contabilistica,contraparte) AS CHAVE_CRUZ_TEMP
        ,zcliente,instrumento_financeiro,carteira_contabilistica,contraparte,trant as tuccm,AMOUNT
    FROM bu_esg_work.ag07_temp_cto_gra_V2
    )F1
LEFT JOIN 
    (
    SELECT concat(CEMPRESA_CT,CBALCAO_CT,CNUMECTA_CT,ZDEPOSIT_CT) AS chave_TAT
        ,concat(cempresa_CT,cbalcao_CT,cnumecta_CT,zdeposit_CT,instrumento_financeiro,carteira_contabilistica,contraparte) AS CHAVE_CRUZ_TAT
        ,zcliente,instrumento_financeiro,carteira_contabilistica,contraparte
        ,sum(amount) AS AMOUNT
        ,sum(trant) AS TUCCM_SUM
    FROM bu_esg_work.pilar3_CCM_dez24_tabaux5
    GROUP BY 1,2,3,4,5,6
    )F2 ON F1.CHAVE_CRUZ_TEMP=F2.CHAVE_CRUZ_TAT
LEFT JOIN 
    (
    SELECT zcliente,mitig_turnover_transit_activity_alig as mitig_turnover_t_elig
    FROM bu_esg_work.Eligibity_racios_Dez24
    WHERE zcliente IS NOT NULL 
    )F3 ON F2.ZCLIENTE=F3.ZCLIENTE
LEFT JOIN 
    (
    SELECT ZCLIENTE,ccm_trnvr_trnstn_alignd as ccm_trnvr_ttl_elgbl,origem_alinhamentos
    FROM bu_esg_work.modesg_out_empr_info_nfin
    WHERE ref_date='2024-12-31'
    )F4 ON F1.zcliente=F4.ZCLIENTE
LEFT JOIN 
    (
    SELECT CONCAT(cempresa,cbalcao,cnumecta,zdeposit) AS CHAVE_MODELO,NOME_GENERAL_SPECIFIC_PURPOSE
    FROM BU_ESG_WORK.MODESG_OUT_SFICS_TAXON_EUROPEIA WHERE REF_DATE='${REF_DATE}'
    )F5 ON F1.CHAVE_TEMP=F5.CHAVE_MODELO
-- HAVING FLAG='NOK REVER - Sem cruz no modelo &amp; tat com valor'
group by 1  
;
</t>
  </si>
  <si>
    <t xml:space="preserve">
SELECT 
    CASE
        WHEN F2.CHAVE_CRUZ_TAT IS NULL then 'Sem cruzamento'
        WHEN F2.TUCCM_SUM IS NULL AND f1.tuccm is null then 'OK - Ambos NULL'
        WHEN F2.TUCCM_SUM IS NOT NULL AND f1.tuccm is NOT null AND F2.TUCCM_SUM=f1.tuccm THEN 'OK - Ambos Preench'
        WHEN TRIM(UPPER(F5.NOME_GENERAL_SPECIFIC_PURPOSE)) &lt;&gt; 'GENERAL PURPOSE' AND F2.TUCCM_SUM IS NOT NULL then 'NOK JUST - Modelo diff de general &amp; tat com valor'
        WHEN TRIM(UPPER(F5.NOME_GENERAL_SPECIFIC_PURPOSE)) &lt;&gt; 'GENERAL PURPOSE' AND F2.TUCCM_SUM IS NULL then 'OK - Modelo diff de general &amp; tat null'
        WHEN F5.CHAVE_MODELO is null AND F2.TUCCM_SUM IS NOT NULL then 'NOK REVER - Sem cruz no modelo &amp; tat com valor'
        WHEN F5.CHAVE_MODELO is null AND F2.TUCCM_SUM IS NULL then 'OK REVER - Sem cruz no modelo &amp; tat null'
        WHEN F2.TUCCM_SUM IS NULL AND f1.tuccm IS not NULL AND F4.origem_alinhamentos='Nao Aplicavel' THEN 'OK - Martelo no template de null para 0 /Nao Aplic nos rácios'
        WHEN F2.TUCCM_SUM IS NOT NULL AND f1.tuccm=0 AND F4.origem_alinhamentos='Nao Aplicavel' AND F3.mitig_turnover_t_elig IS not NULL THEN 'OK - Martelo no template de null para 0 /Nao Aplic nos rácios'
        WHEN F2.TUCCM_SUM IS NULL AND f1.tuccm IS not NULL AND F4.origem_alinhamentos='MISS' AND F3.mitig_turnover_t_elig IS NULL AND F4.ccm_trnvr_ttl_elgbl IS NULL  THEN 'OK - Martelo no template de null para 0 /Miss nos rácios'
        WHEN F2.TUCCM_SUM IS NULL AND f1.tuccm IS not NULL AND F4.origem_alinhamentos IS NULL AND F3.mitig_turnover_t_elig IS NULL AND F4.ccm_trnvr_ttl_elgbl IS NULL  THEN 'OK REVER - Martelo no template de null para 0 /Sem cruz com NFIN'
        WHEN F2.TUCCM_SUM IS NULL AND f1.tuccm IS not NULL AND F4.origem_alinhamentos='MISS' AND F3.mitig_turnover_t_elig IS not NULL AND F4.ccm_trnvr_ttl_elgbl IS not NUll and F3.mitig_turnover_t_elig=F4.ccm_trnvr_ttl_elgbl THEN 'OK - Rácios igual, mas tático a null'
        WHEN F2.TUCCM_SUM=0 AND F3.mitig_turnover_t_elig IS NULL AND f1.tuccm IS NULL then 'OK - Martelo no tático de null para 0 no rácio'
        WHEN F2.TUCCM_SUM&lt;&gt;0 AND F3.mitig_turnover_t_elig IS NULL AND f1.tuccm IS NULL then 'OK - Martelo no tático de null para valor dif de 0'
        WHEN F2.TUCCM_SUM IS NOT NULL AND f1.tuccm is null and F1.contraparte in ('particulares','setor publico','bancos centrais') AND F4.origem_alinhamentos='Nao Aplicavel' then 'OK - Contraparte'
        WHEN F2.TUCCM_SUM IS NOT NULL AND f1.tuccm is null and F1.contraparte not in ('particulares','setor publico','bancos centrais') AND F4.origem_alinhamentos='Nao Aplicavel' then 'OK - Rever Contraparte'
        WHEN F2.TUCCM_SUM IS NOT NULL AND f1.tuccm is NOT null AND F2.TUCCM_SUM&lt;&gt;f1.tuccm and F1.AMOUNT=F2.AMOUNT AND F3.mitig_turnover_t_elig=F4.ccm_trnvr_ttl_elgbl THEN 'OK - Valores dif, mas amount e rácio igual (estranho)'
        WHEN F2.TUCCM_SUM IS NOT NULL AND f1.tuccm is NOT null AND F2.TUCCM_SUM&lt;&gt;f1.tuccm and F1.AMOUNT&lt;&gt;F2.AMOUNT AND F3.mitig_turnover_t_elig=F4.ccm_trnvr_ttl_elgbl THEN 'OK - Amount dif mas rácio igual'
        WHEN F1.tuccm IS NOT NULL AND F2.TUCCM_SUM IS NULL AND F3.mitig_turnover_t_elig IS not NULL AND F4.ccm_trnvr_ttl_elgbl IS not NUll and F3.mitig_turnover_t_elig=F4.ccm_trnvr_ttl_elgbl THEN 'Rever - Tatico não calcula valor, mas rácios são iguais'
        WHEN F1.tuccm IS NULL AND F2.TUCCM_SUM IS not NULL AND F3.mitig_turnover_t_elig IS not NULL AND F4.ccm_trnvr_ttl_elgbl IS not NUll and F3.mitig_turnover_t_elig=F4.ccm_trnvr_ttl_elgbl AND F1.AMOUNT=0 THEN 'NOK - Template deveria esta a 0 ao invés null'       
        WHEN F1.tuccm IS NULL AND F2.TUCCM_SUM IS not NULL AND F3.mitig_turnover_t_elig IS not NULL AND F4.ccm_trnvr_ttl_elgbl IS not NUll and F3.mitig_turnover_t_elig=F4.ccm_trnvr_ttl_elgbl AND F1.AMOUNT&gt;-1 AND F1.AMOUNT&lt;1 THEN 'NOK - Template deveria esta a calcular ao invés null /amount entre -1 e 1'
        WHEN F1.tuccm IS NULL AND F2.TUCCM_SUM IS not NULL AND F3.mitig_turnover_t_elig IS not NULL AND F4.ccm_trnvr_ttl_elgbl IS not NUll and F3.mitig_turnover_t_elig=F4.ccm_trnvr_ttl_elgbl AND F1.AMOUNT is not null THEN 'NOK - Template deveria esta a calcular ao invés null'
        WHEN F1.zcliente&lt;&gt;F2.ZCLIENTE THEN 'ZCLIENTE DIFERENTE'
        WHEN F4.origem_alinhamentos='MISS' AND F3.mitig_turnover_t_elig IS NOT NULL AND F1.zcliente IN ('8022798172','2311005416','7401979509','8018871435','9000935027','7400611826','5100010988','8007468170','8046310607','9000934958','5100260878','7401635387','8000605038','8003529681','5100270571','7400036674','5100261373','2661001994','2701003944','5100330284','7401411081','5100548837') THEN 'OK - Dif de metodologia'
        WHEN F1.zcliente='7401536276' THEN 'Rácio no Temp &amp; Tático, mas diferentes por metodologia'
        ELSE 'ANALISAR'
    END AS FLAG
    ,SUM(F1.tuccm) AS RACIO_TEMP
    ,SUM(F2.TUCCM_SUM) AS RACIO_TAT
    ,SUM(F1.AMOUNT) AS AMOUNT_TEMP
    ,SUM(F2.AMOUNT) AS AMOUNT_TAT
    ,count(*) as n 
FROM 
    (
    SELECT CONCAT(cempresa,cbalcao,cnumecta,zdeposit) AS CHAVE_TEMP
        ,concat(cempresa,cbalcao,cnumecta,zdeposit,instrumento_financeiro,carteira_contabilistica,contraparte) AS CHAVE_CRUZ_TEMP
        ,zcliente,instrumento_financeiro,carteira_contabilistica,contraparte,etccm as tuccm,AMOUNT
    FROM bu_esg_work.ag07_temp_cto_gra_V2
    )F1
LEFT JOIN 
    (
    SELECT concat(CEMPRESA_CT,CBALCAO_CT,CNUMECTA_CT,ZDEPOSIT_CT) AS chave_TAT
        ,concat(cempresa_CT,cbalcao_CT,cnumecta_CT,zdeposit_CT,instrumento_financeiro,carteira_contabilistica,contraparte) AS CHAVE_CRUZ_TAT
        ,zcliente,instrumento_financeiro,carteira_contabilistica,contraparte
        ,sum(amount) AS AMOUNT
        ,sum(etccm) AS TUCCM_SUM
    FROM bu_esg_work.pilar3_CCM_dez24_tabaux5
    GROUP BY 1,2,3,4,5,6
    )F2 ON F1.CHAVE_CRUZ_TEMP=F2.CHAVE_CRUZ_TAT
LEFT JOIN 
    (
    SELECT zcliente,mitig_turnover_own_perf_alig as mitig_turnover_t_elig
    FROM bu_esg_work.Eligibity_racios_Dez24
    WHERE zcliente IS NOT NULL 
    )F3 ON F2.ZCLIENTE=F3.ZCLIENTE
LEFT JOIN 
    (
    SELECT ZCLIENTE,ccm_trnvr_own_prfrmnce_algnd as ccm_trnvr_ttl_elgbl,origem_alinhamentos
    FROM bu_esg_work.modesg_out_empr_info_nfin
    WHERE ref_date='2024-12-31'
    )F4 ON F1.zcliente=F4.ZCLIENTE
LEFT JOIN 
    (
    SELECT CONCAT(cempresa,cbalcao,cnumecta,zdeposit) AS CHAVE_MODELO,NOME_GENERAL_SPECIFIC_PURPOSE
    FROM BU_ESG_WORK.MODESG_OUT_SFICS_TAXON_EUROPEIA WHERE REF_DATE='${REF_DATE}'
    )F5 ON F1.CHAVE_TEMP=F5.CHAVE_MODELO
-- HAVING FLAG='NOK REVER - Sem cruz no modelo &amp; tat com valor'
group by 1  
;
</t>
  </si>
  <si>
    <t xml:space="preserve">
SELECT 
    CASE
        WHEN F2.CHAVE_CRUZ_TAT IS NULL then 'Sem cruzamento'
        WHEN F2.TUCCM_SUM IS NULL AND f1.tuccm is null then 'OK - Ambos NULL'
        WHEN F2.TUCCM_SUM IS NOT NULL AND f1.tuccm is NOT null AND F2.TUCCM_SUM=f1.tuccm THEN 'OK - Ambos Preench'
        WHEN TRIM(UPPER(F5.NOME_GENERAL_SPECIFIC_PURPOSE)) &lt;&gt; 'GENERAL PURPOSE' AND F2.TUCCM_SUM IS NOT NULL then 'NOK JUST - Modelo diff de general &amp; tat com valor'
        WHEN TRIM(UPPER(F5.NOME_GENERAL_SPECIFIC_PURPOSE)) &lt;&gt; 'GENERAL PURPOSE' AND F2.TUCCM_SUM IS NULL then 'OK - Modelo diff de general &amp; tat null'
        WHEN F5.CHAVE_MODELO is null AND F2.TUCCM_SUM IS NOT NULL then 'NOK REVER - Sem cruz no modelo &amp; tat com valor'
        WHEN F5.CHAVE_MODELO is null AND F2.TUCCM_SUM IS NULL then 'OK REVER - Sem cruz no modelo &amp; tat null'
        WHEN F2.TUCCM_SUM IS NULL AND f1.tuccm IS not NULL AND F4.origem_alinhamentos='Nao Aplicavel' THEN 'OK - Martelo no template de null para 0 /Nao Aplic nos rácios'
        WHEN F2.TUCCM_SUM IS NOT NULL AND f1.tuccm=0 AND F4.origem_alinhamentos='Nao Aplicavel' AND F3.mitig_turnover_t_elig IS not NULL THEN 'OK - Martelo no template de null para 0 /Nao Aplic nos rácios'
        WHEN F2.TUCCM_SUM IS NULL AND f1.tuccm IS not NULL AND F4.origem_alinhamentos='MISS' AND F3.mitig_turnover_t_elig IS NULL AND F4.ccm_trnvr_ttl_elgbl IS NULL  THEN 'OK - Martelo no template de null para 0 /Miss nos rácios'
        WHEN F2.TUCCM_SUM IS NULL AND f1.tuccm IS not NULL AND F4.origem_alinhamentos IS NULL AND F3.mitig_turnover_t_elig IS NULL AND F4.ccm_trnvr_ttl_elgbl IS NULL  THEN 'OK REVER - Martelo no template de null para 0 /Sem cruz com NFIN'
        WHEN F2.TUCCM_SUM IS NULL AND f1.tuccm IS not NULL AND F4.origem_alinhamentos='MISS' AND F3.mitig_turnover_t_elig IS not NULL AND F4.ccm_trnvr_ttl_elgbl IS not NUll and F3.mitig_turnover_t_elig=F4.ccm_trnvr_ttl_elgbl THEN 'OK - Rácios igual, mas tático a null'
        WHEN F2.TUCCM_SUM=0 AND F3.mitig_turnover_t_elig IS NULL AND f1.tuccm IS NULL then 'OK - Martelo no tático de null para 0 no rácio'
        WHEN F2.TUCCM_SUM&lt;&gt;0 AND F3.mitig_turnover_t_elig IS NULL AND f1.tuccm IS NULL then 'OK - Martelo no tático de null para valor dif de 0'
        WHEN F2.TUCCM_SUM IS NOT NULL AND f1.tuccm is null and F1.contraparte in ('particulares','setor publico','bancos centrais') AND F4.origem_alinhamentos='Nao Aplicavel' then 'OK - Contraparte'
        WHEN F2.TUCCM_SUM IS NOT NULL AND f1.tuccm is null and F1.contraparte not in ('particulares','setor publico','bancos centrais') AND F4.origem_alinhamentos='Nao Aplicavel' then 'OK - Rever Contraparte'
        WHEN F2.TUCCM_SUM IS NOT NULL AND f1.tuccm is NOT null AND F2.TUCCM_SUM&lt;&gt;f1.tuccm and F1.AMOUNT=F2.AMOUNT AND F3.mitig_turnover_t_elig=F4.ccm_trnvr_ttl_elgbl THEN 'OK - Valores dif, mas amount e rácio igual (estranho)'
        WHEN F2.TUCCM_SUM IS NOT NULL AND f1.tuccm is NOT null AND F2.TUCCM_SUM&lt;&gt;f1.tuccm and F1.AMOUNT&lt;&gt;F2.AMOUNT AND F3.mitig_turnover_t_elig=F4.ccm_trnvr_ttl_elgbl THEN 'OK - Amount dif mas rácio igual'
        WHEN F1.tuccm IS NOT NULL AND F2.TUCCM_SUM IS NULL AND F3.mitig_turnover_t_elig IS not NULL AND F4.ccm_trnvr_ttl_elgbl IS not NUll and F3.mitig_turnover_t_elig=F4.ccm_trnvr_ttl_elgbl THEN 'Rever - Tatico não calcula valor, mas rácios são iguais'
        WHEN F1.tuccm IS NULL AND F2.TUCCM_SUM IS not NULL AND F3.mitig_turnover_t_elig IS not NULL AND F4.ccm_trnvr_ttl_elgbl IS not NUll and F3.mitig_turnover_t_elig=F4.ccm_trnvr_ttl_elgbl AND F1.AMOUNT=0 THEN 'NOK - Template deveria esta a 0 ao invés null'       
        WHEN F1.tuccm IS NULL AND F2.TUCCM_SUM IS not NULL AND F3.mitig_turnover_t_elig IS not NULL AND F4.ccm_trnvr_ttl_elgbl IS not NUll and F3.mitig_turnover_t_elig=F4.ccm_trnvr_ttl_elgbl AND F1.AMOUNT&gt;-1 AND F1.AMOUNT&lt;1 THEN 'NOK - Template deveria esta a calcular ao invés null /amount entre -1 e 1'
        WHEN F1.tuccm IS NULL AND F2.TUCCM_SUM IS not NULL AND F3.mitig_turnover_t_elig IS not NULL AND F4.ccm_trnvr_ttl_elgbl IS not NUll and F3.mitig_turnover_t_elig=F4.ccm_trnvr_ttl_elgbl AND F1.AMOUNT is not null THEN 'NOK - Template deveria esta a calcular ao invés null'
        WHEN F1.zcliente&lt;&gt;F2.ZCLIENTE THEN 'ZCLIENTE DIFERENTE'
        WHEN F4.origem_alinhamentos='MISS' AND F3.mitig_turnover_t_elig IS NOT NULL AND F1.zcliente IN ('8022798172','2311005416','7401979509','8018871435','9000935027','7400611826','5100010988','8007468170','8046310607','9000934958','5100260878','7401635387','8000605038','8003529681','5100270571','7400036674','5100261373','2661001994','2701003944','5100330284','7401411081','5100548837') THEN 'OK - Dif de metodologia'
        WHEN F1.zcliente='7401536276' THEN 'Rácio no Temp &amp; Tático, mas diferentes por metodologia'
        ELSE 'ANALISAR'
    END AS FLAG
    ,SUM(F1.tuccm) AS RACIO_TEMP
    ,SUM(F2.TUCCM_SUM) AS RACIO_TAT
    ,SUM(F1.AMOUNT) AS AMOUNT_TEMP
    ,SUM(F2.AMOUNT) AS AMOUNT_TAT
    ,count(*) as n 
FROM 
    (
    SELECT CONCAT(cempresa,cbalcao,cnumecta,zdeposit) AS CHAVE_TEMP
        ,concat(cempresa,cbalcao,cnumecta,zdeposit,instrumento_financeiro,carteira_contabilistica,contraparte) AS CHAVE_CRUZ_TEMP
        ,zcliente,instrumento_financeiro,carteira_contabilistica,contraparte,entccm as tuccm,AMOUNT
    FROM bu_esg_work.ag07_temp_cto_gra_V2
    )F1
LEFT JOIN 
    (
    SELECT concat(CEMPRESA_CT,CBALCAO_CT,CNUMECTA_CT,ZDEPOSIT_CT) AS chave_TAT
        ,concat(cempresa_CT,cbalcao_CT,cnumecta_CT,zdeposit_CT,instrumento_financeiro,carteira_contabilistica,contraparte) AS CHAVE_CRUZ_TAT
        ,zcliente,instrumento_financeiro,carteira_contabilistica,contraparte
        ,sum(amount) AS AMOUNT
        ,sum(entccm) AS TUCCM_SUM
    FROM bu_esg_work.pilar3_CCM_dez24_tabaux5
    GROUP BY 1,2,3,4,5,6
    )F2 ON F1.CHAVE_CRUZ_TEMP=F2.CHAVE_CRUZ_TAT
LEFT JOIN 
    (
    SELECT zcliente,mitig_turnover_enab_alig as mitig_turnover_t_elig
    FROM bu_esg_work.Eligibity_racios_Dez24
    WHERE zcliente IS NOT NULL 
    )F3 ON F2.ZCLIENTE=F3.ZCLIENTE
LEFT JOIN 
    (
    SELECT ZCLIENTE,ccm_trnvr_enblng_algnd as ccm_trnvr_ttl_elgbl,origem_alinhamentos
    FROM bu_esg_work.modesg_out_empr_info_nfin
    WHERE ref_date='2024-12-31'
    )F4 ON F1.zcliente=F4.ZCLIENTE
LEFT JOIN 
    (
    SELECT CONCAT(cempresa,cbalcao,cnumecta,zdeposit) AS CHAVE_MODELO,NOME_GENERAL_SPECIFIC_PURPOSE
    FROM BU_ESG_WORK.MODESG_OUT_SFICS_TAXON_EUROPEIA WHERE REF_DATE='${REF_DATE}'
    )F5 ON F1.CHAVE_TEMP=F5.CHAVE_MODELO
-- HAVING FLAG='NOK REVER - Sem cruz no modelo &amp; tat com valor'
group by 1  
;
</t>
  </si>
  <si>
    <t>4.ENTCCM</t>
  </si>
  <si>
    <t>Rever - Tatico não calcula valor (não é general), mas rácios são iguais</t>
  </si>
  <si>
    <t>Diferença na marcação de General Purpose</t>
  </si>
  <si>
    <t>Diferença de metodologia</t>
  </si>
  <si>
    <t xml:space="preserve">SELECT 
    CASE
        WHEN F2.CHAVE_CRUZ_TAT IS NULL then 'Sem cruzamento'
        WHEN F2.TUCCM_SUM IS NULL AND f1.tuccm is null then 'OK - Ambos NULL'
        WHEN F2.TUCCM_SUM IS NOT NULL AND f1.tuccm is NOT null AND F2.TUCCM_SUM=f1.tuccm THEN 'OK - Ambos Preench'
        WHEN TRIM(UPPER(F5.NOME_GENERAL_SPECIFIC_PURPOSE)) &lt;&gt; 'GENERAL PURPOSE' AND F2.TUCCM_SUM IS NOT NULL then 'NOK JUST - Modelo diff de general &amp; tat com valor'
        WHEN TRIM(UPPER(F5.NOME_GENERAL_SPECIFIC_PURPOSE)) &lt;&gt; 'GENERAL PURPOSE' AND F2.TUCCM_SUM IS NULL then 'OK - Modelo diff de general &amp; tat null'
        WHEN F5.CHAVE_MODELO is null AND F2.TUCCM_SUM IS NOT NULL then 'NOK REVER - Sem cruz no modelo &amp; tat com valor'
        WHEN F5.CHAVE_MODELO is null AND F2.TUCCM_SUM IS NULL then 'OK REVER - Sem cruz no modelo &amp; tat null'
        WHEN F2.TUCCM_SUM IS NULL AND f1.tuccm IS not NULL AND F4.origem_alinhamentos='Nao Aplicavel' THEN 'OK - Martelo no template de null para 0 /Nao Aplic nos rácios'
        WHEN F2.TUCCM_SUM IS NOT NULL AND f1.tuccm=0 AND F4.origem_alinhamentos='Nao Aplicavel' AND F3.mitig_turnover_t_elig IS not NULL THEN 'OK - Martelo no template de null para 0 /Nao Aplic nos rácios'
        WHEN F2.TUCCM_SUM IS NULL AND f1.tuccm IS not NULL AND F4.origem_alinhamentos='MISS' AND F3.mitig_turnover_t_elig IS NULL AND F4.ccm_trnvr_ttl_elgbl IS NULL  THEN 'OK - Martelo no template de null para 0 /Miss nos rácios'
        WHEN F2.TUCCM_SUM IS NULL AND f1.tuccm IS not NULL AND F4.origem_alinhamentos IS NULL AND F3.mitig_turnover_t_elig IS NULL AND F4.ccm_trnvr_ttl_elgbl IS NULL  THEN 'OK REVER - Martelo no template de null para 0 /Sem cruz com NFIN'
        WHEN F2.TUCCM_SUM IS NULL AND f1.tuccm IS not NULL AND F4.origem_alinhamentos='MISS' AND F3.mitig_turnover_t_elig IS not NULL AND F4.ccm_trnvr_ttl_elgbl IS not NUll and F3.mitig_turnover_t_elig=F4.ccm_trnvr_ttl_elgbl THEN 'OK - Rácios igual, mas tático a null'
        WHEN F2.TUCCM_SUM=0 AND F3.mitig_turnover_t_elig IS NULL AND f1.tuccm IS NULL then 'OK - Martelo no tático de null para 0 no rácio'
        WHEN F2.TUCCM_SUM&lt;&gt;0 AND F3.mitig_turnover_t_elig IS NULL AND f1.tuccm IS NULL then 'OK - Martelo no tático de null para valor dif de 0'
        WHEN F2.TUCCM_SUM IS NOT NULL AND f1.tuccm is null and F1.contraparte in ('particulares','setor publico','bancos centrais') AND F4.origem_alinhamentos='Nao Aplicavel' then 'OK - Contraparte'
        WHEN F2.TUCCM_SUM IS NOT NULL AND f1.tuccm is null and F1.contraparte not in ('particulares','setor publico','bancos centrais') AND F4.origem_alinhamentos='Nao Aplicavel' then 'OK - Rever Contraparte'
        WHEN F2.TUCCM_SUM IS NOT NULL AND f1.tuccm is NOT null AND F2.TUCCM_SUM&lt;&gt;f1.tuccm and F1.AMOUNT=F2.AMOUNT AND F3.mitig_turnover_t_elig=F4.ccm_trnvr_ttl_elgbl THEN 'OK - Valores dif, mas amount e rácio igual (estranho)'
        WHEN F2.TUCCM_SUM IS NOT NULL AND f1.tuccm is NOT null AND F2.TUCCM_SUM&lt;&gt;f1.tuccm and F1.AMOUNT&lt;&gt;F2.AMOUNT AND F3.mitig_turnover_t_elig=F4.ccm_trnvr_ttl_elgbl THEN 'OK - Amount dif mas rácio igual'
        WHEN F1.tuccm IS NOT NULL AND F2.TUCCM_SUM IS NULL AND F3.mitig_turnover_t_elig IS not NULL AND F4.ccm_trnvr_ttl_elgbl IS not NUll and F3.mitig_turnover_t_elig=F4.ccm_trnvr_ttl_elgbl and f2.general_specific_purpose&lt;&gt;'GSPUR1' THEN 'Rever - Tatico não calcula valor (não é general), mas rácios são iguais'
        WHEN F1.tuccm IS NULL AND F2.TUCCM_SUM IS not NULL AND F3.mitig_turnover_t_elig IS not NULL AND F4.ccm_trnvr_ttl_elgbl IS not NUll and F3.mitig_turnover_t_elig=F4.ccm_trnvr_ttl_elgbl AND F1.AMOUNT=0 THEN 'NOK - Template deveria esta a 0 ao invés null'       
        WHEN F1.tuccm IS NULL AND F2.TUCCM_SUM IS not NULL AND F3.mitig_turnover_t_elig IS not NULL AND F4.ccm_trnvr_ttl_elgbl IS not NUll and F3.mitig_turnover_t_elig=F4.ccm_trnvr_ttl_elgbl AND F1.AMOUNT&gt;-1 AND F1.AMOUNT&lt;1 THEN 'NOK - Template deveria esta a calcular ao invés null /amount entre -1 e 1'
        WHEN F1.tuccm IS NULL AND F2.TUCCM_SUM IS not NULL AND F3.mitig_turnover_t_elig IS not NULL AND F4.ccm_trnvr_ttl_elgbl IS not NUll and F3.mitig_turnover_t_elig=F4.ccm_trnvr_ttl_elgbl AND F1.AMOUNT is not null THEN 'NOK - Template deveria esta a calcular ao invés null'
        WHEN F1.zcliente&lt;&gt;F2.ZCLIENTE THEN 'ZCLIENTE DIFERENTE'
        WHEN F4.origem_alinhamentos='MISS' AND F3.mitig_turnover_t_elig IS NOT NULL AND F1.zcliente IN ('8022798172','2311005416','7401979509','8018871435','9000935027','7400611826','5100010988','8007468170','8046310607','9000934958','5100260878','7401635387','8000605038','8003529681','5100270571','7400036674','5100261373','2661001994','2701003944','5100330284','7401411081','5100548837') THEN 'OK - Dif de metodologia'
        WHEN F1.zcliente='7401536276' THEN 'Rácio no Temp &amp; Tático, mas diferentes por metodologia'
        ELSE 'ANALISAR'
    END AS FLAG
    ,SUM(F1.tuccm) AS RACIO_TEMP
    ,SUM(F2.TUCCM_SUM) AS RACIO_TAT
    ,SUM(F1.AMOUNT) AS AMOUNT_TEMP
    ,SUM(F2.AMOUNT) AS AMOUNT_TAT
    ,count(*) as n 
FROM 
    (
    SELECT CONCAT(cempresa,cbalcao,cnumecta,zdeposit) AS CHAVE_TEMP
        ,concat(cempresa,cbalcao,cnumecta,zdeposit,instrumento_financeiro,carteira_contabilistica,contraparte) AS CHAVE_CRUZ_TEMP
        ,zcliente,instrumento_financeiro,carteira_contabilistica,contraparte,tuccm,AMOUNT
    FROM bu_esg_work.ag07_temp_cto_gra_V2
    )F1
LEFT JOIN 
    (
    SELECT concat(CEMPRESA_CT,CBALCAO_CT,CNUMECTA_CT,ZDEPOSIT_CT) AS chave_TAT
        ,concat(cempresa_CT,cbalcao_CT,cnumecta_CT,zdeposit_CT,instrumento_financeiro,carteira_contabilistica,contraparte) AS CHAVE_CRUZ_TAT
        ,zcliente,instrumento_financeiro,carteira_contabilistica,contraparte,general_specific_purpose
        ,sum(amount) AS AMOUNT
        ,sum(TUCCM) AS TUCCM_SUM
    FROM bu_esg_work.pilar3_CCM_dez24_tabaux5
    GROUP BY 1,2,3,4,5,6,7
    )F2 ON F1.CHAVE_CRUZ_TEMP=F2.CHAVE_CRUZ_TAT
LEFT JOIN 
    (
    SELECT zcliente,mitig_turnover_t_elig
    FROM bu_esg_work.Eligibity_racios_Dez24
    WHERE zcliente IS NOT NULL 
    )F3 ON F2.ZCLIENTE=F3.ZCLIENTE
LEFT JOIN 
    (
    SELECT ZCLIENTE,ccm_trnvr_ttl_elgbl,origem_alinhamentos
    FROM bu_esg_work.modesg_out_empr_info_nfin
    WHERE ref_date='2024-12-31'
    )F4 ON F1.zcliente=F4.ZCLIENTE
LEFT JOIN 
    (
    SELECT CONCAT(cempresa,cbalcao,cnumecta,zdeposit) AS CHAVE_MODELO,NOME_GENERAL_SPECIFIC_PURPOSE
    FROM BU_ESG_WORK.MODESG_OUT_SFICS_TAXON_EUROPEIA WHERE REF_DATE='${REF_DATE}'
    )F5 ON F1.CHAVE_TEMP=F5.CHAVE_MODELO
-- HAVING FLAG='Rever - Tatico não calcula valor, mas rácios são iguais'
group by 1  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</si>
</sst>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8" formatCode="#,##0\ &quot;€&quot;"/>
  </numFmts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4" fontId="0" fillId="0" borderId="0" xfId="0" applyNumberFormat="1"/>
    <xf numFmtId="0" fontId="0" fillId="0" borderId="1" xfId="0" applyBorder="1"/>
    <xf numFmtId="0" fontId="1" fillId="2" borderId="1" xfId="0" applyFont="1" applyFill="1" applyBorder="1"/>
    <xf numFmtId="3" fontId="0" fillId="0" borderId="1" xfId="0" applyNumberFormat="1" applyBorder="1"/>
    <xf numFmtId="3" fontId="0" fillId="0" borderId="0" xfId="0" applyNumberFormat="1"/>
    <xf numFmtId="168" fontId="0" fillId="0" borderId="1" xfId="0" applyNumberFormat="1" applyBorder="1"/>
    <xf numFmtId="168" fontId="0" fillId="0" borderId="0" xfId="0" applyNumberFormat="1"/>
    <xf numFmtId="0" fontId="1" fillId="3" borderId="1" xfId="0" applyFont="1" applyFill="1" applyBorder="1"/>
    <xf numFmtId="3" fontId="1" fillId="3" borderId="1" xfId="0" applyNumberFormat="1" applyFont="1" applyFill="1" applyBorder="1"/>
    <xf numFmtId="168" fontId="1" fillId="3" borderId="1" xfId="0" applyNumberFormat="1" applyFont="1" applyFill="1" applyBorder="1"/>
    <xf numFmtId="0" fontId="0" fillId="0" borderId="0" xfId="0" applyAlignment="1"/>
    <xf numFmtId="0" fontId="2" fillId="0" borderId="0" xfId="0" applyFont="1"/>
    <xf numFmtId="0" fontId="0" fillId="4" borderId="1" xfId="0" applyFill="1" applyBorder="1"/>
    <xf numFmtId="3" fontId="0" fillId="4" borderId="1" xfId="0" applyNumberFormat="1" applyFill="1" applyBorder="1"/>
    <xf numFmtId="168" fontId="0" fillId="4" borderId="1" xfId="0" applyNumberFormat="1" applyFill="1" applyBorder="1"/>
    <xf numFmtId="0" fontId="0" fillId="4" borderId="0" xfId="0" applyFill="1"/>
    <xf numFmtId="0" fontId="0" fillId="5" borderId="1" xfId="0" applyFill="1" applyBorder="1"/>
    <xf numFmtId="3" fontId="0" fillId="5" borderId="1" xfId="0" applyNumberFormat="1" applyFill="1" applyBorder="1"/>
    <xf numFmtId="168" fontId="0" fillId="5" borderId="1" xfId="0" applyNumberFormat="1" applyFill="1" applyBorder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63"/>
  <sheetViews>
    <sheetView showGridLines="0" tabSelected="1" workbookViewId="0">
      <selection activeCell="E14" sqref="E14"/>
    </sheetView>
  </sheetViews>
  <sheetFormatPr defaultRowHeight="15" x14ac:dyDescent="0.25"/>
  <cols>
    <col min="1" max="1" width="3.7109375" customWidth="1"/>
    <col min="2" max="2" width="61.5703125" bestFit="1" customWidth="1"/>
    <col min="3" max="4" width="15" bestFit="1" customWidth="1"/>
    <col min="5" max="6" width="17.5703125" bestFit="1" customWidth="1"/>
    <col min="7" max="7" width="8" bestFit="1" customWidth="1"/>
    <col min="8" max="8" width="3.7109375" customWidth="1"/>
    <col min="10" max="10" width="9.5703125" bestFit="1" customWidth="1"/>
    <col min="11" max="11" width="12.28515625" bestFit="1" customWidth="1"/>
  </cols>
  <sheetData>
    <row r="2" spans="2:12" x14ac:dyDescent="0.25">
      <c r="B2" s="12" t="s">
        <v>19</v>
      </c>
    </row>
    <row r="4" spans="2:12" x14ac:dyDescent="0.25">
      <c r="B4" s="3" t="s">
        <v>0</v>
      </c>
      <c r="C4" s="3" t="s">
        <v>1</v>
      </c>
      <c r="D4" s="3" t="s">
        <v>2</v>
      </c>
      <c r="E4" s="3" t="s">
        <v>3</v>
      </c>
      <c r="F4" s="3" t="s">
        <v>4</v>
      </c>
      <c r="G4" s="3" t="s">
        <v>5</v>
      </c>
      <c r="I4" s="11" t="s">
        <v>29</v>
      </c>
    </row>
    <row r="5" spans="2:12" x14ac:dyDescent="0.25">
      <c r="B5" s="13" t="s">
        <v>9</v>
      </c>
      <c r="C5" s="14" t="s">
        <v>7</v>
      </c>
      <c r="D5" s="14">
        <v>46498.837726769998</v>
      </c>
      <c r="E5" s="15">
        <v>1334464.33</v>
      </c>
      <c r="F5" s="15">
        <v>1334464.33</v>
      </c>
      <c r="G5" s="13">
        <v>10</v>
      </c>
    </row>
    <row r="6" spans="2:12" x14ac:dyDescent="0.25">
      <c r="B6" s="13" t="s">
        <v>11</v>
      </c>
      <c r="C6" s="14" t="s">
        <v>7</v>
      </c>
      <c r="D6" s="14">
        <v>32979281.418437202</v>
      </c>
      <c r="E6" s="15">
        <v>172601111.41999999</v>
      </c>
      <c r="F6" s="15">
        <v>172601111.41999999</v>
      </c>
      <c r="G6" s="13">
        <v>65</v>
      </c>
      <c r="I6" s="16"/>
      <c r="J6" s="5">
        <f>+SUM(C15)-SUM(D5:D6)</f>
        <v>-8191765.5477802716</v>
      </c>
      <c r="K6" s="7">
        <f>+SUM(F5:F6)+F15</f>
        <v>275133021.47106802</v>
      </c>
      <c r="L6" t="s">
        <v>27</v>
      </c>
    </row>
    <row r="7" spans="2:12" x14ac:dyDescent="0.25">
      <c r="B7" s="2" t="s">
        <v>16</v>
      </c>
      <c r="C7" s="4" t="s">
        <v>7</v>
      </c>
      <c r="D7" s="4" t="s">
        <v>7</v>
      </c>
      <c r="E7" s="6">
        <v>7575142966.9700003</v>
      </c>
      <c r="F7" s="6">
        <v>7575142718.6100101</v>
      </c>
      <c r="G7" s="2">
        <v>49381</v>
      </c>
      <c r="I7" s="20"/>
      <c r="J7" s="5">
        <f>+C14-SUM(D10,D14)</f>
        <v>-125073.0955896496</v>
      </c>
      <c r="K7" s="7">
        <f>+F10+F14</f>
        <v>1034857.39573</v>
      </c>
      <c r="L7" t="s">
        <v>28</v>
      </c>
    </row>
    <row r="8" spans="2:12" x14ac:dyDescent="0.25">
      <c r="B8" s="2" t="s">
        <v>15</v>
      </c>
      <c r="C8" s="4">
        <v>1203143281.38134</v>
      </c>
      <c r="D8" s="4">
        <v>1203143281.38134</v>
      </c>
      <c r="E8" s="6">
        <v>8640232996.4367104</v>
      </c>
      <c r="F8" s="6">
        <v>8640232995.2656307</v>
      </c>
      <c r="G8" s="2">
        <v>31270</v>
      </c>
    </row>
    <row r="9" spans="2:12" x14ac:dyDescent="0.25">
      <c r="B9" s="2" t="s">
        <v>17</v>
      </c>
      <c r="C9" s="4">
        <v>702.75054072</v>
      </c>
      <c r="D9" s="4">
        <v>702.74843246837702</v>
      </c>
      <c r="E9" s="6">
        <v>181027.96</v>
      </c>
      <c r="F9" s="6">
        <v>181027.41691612001</v>
      </c>
      <c r="G9" s="2">
        <v>1</v>
      </c>
    </row>
    <row r="10" spans="2:12" x14ac:dyDescent="0.25">
      <c r="B10" s="17" t="s">
        <v>13</v>
      </c>
      <c r="C10" s="18">
        <v>0</v>
      </c>
      <c r="D10" s="18">
        <v>132395.805911281</v>
      </c>
      <c r="E10" s="19">
        <v>656911.05654899997</v>
      </c>
      <c r="F10" s="19">
        <v>656911.05654899997</v>
      </c>
      <c r="G10" s="17">
        <v>90</v>
      </c>
    </row>
    <row r="11" spans="2:12" x14ac:dyDescent="0.25">
      <c r="B11" s="2" t="s">
        <v>10</v>
      </c>
      <c r="C11" s="4">
        <v>0</v>
      </c>
      <c r="D11" s="4" t="s">
        <v>7</v>
      </c>
      <c r="E11" s="6">
        <v>9786610494.2510509</v>
      </c>
      <c r="F11" s="6">
        <v>9786608765.9974308</v>
      </c>
      <c r="G11" s="2">
        <v>368795</v>
      </c>
    </row>
    <row r="12" spans="2:12" x14ac:dyDescent="0.25">
      <c r="B12" s="2" t="s">
        <v>8</v>
      </c>
      <c r="C12" s="4">
        <v>0</v>
      </c>
      <c r="D12" s="4">
        <v>1.4695199999999999</v>
      </c>
      <c r="E12" s="6">
        <v>30903554856.093498</v>
      </c>
      <c r="F12" s="6">
        <v>30903554467.5522</v>
      </c>
      <c r="G12" s="2">
        <v>1474585</v>
      </c>
    </row>
    <row r="13" spans="2:12" x14ac:dyDescent="0.25">
      <c r="B13" s="2" t="s">
        <v>6</v>
      </c>
      <c r="C13" s="4">
        <v>0</v>
      </c>
      <c r="D13" s="4" t="s">
        <v>7</v>
      </c>
      <c r="E13" s="6">
        <v>3085.06</v>
      </c>
      <c r="F13" s="6">
        <v>3085.06</v>
      </c>
      <c r="G13" s="2">
        <v>12</v>
      </c>
    </row>
    <row r="14" spans="2:12" x14ac:dyDescent="0.25">
      <c r="B14" s="17" t="s">
        <v>14</v>
      </c>
      <c r="C14" s="18">
        <v>102090.48719323199</v>
      </c>
      <c r="D14" s="18">
        <v>94767.776871600596</v>
      </c>
      <c r="E14" s="19">
        <v>377946.33918100002</v>
      </c>
      <c r="F14" s="19">
        <v>377946.33918100002</v>
      </c>
      <c r="G14" s="17">
        <v>1</v>
      </c>
    </row>
    <row r="15" spans="2:12" x14ac:dyDescent="0.25">
      <c r="B15" s="13" t="s">
        <v>26</v>
      </c>
      <c r="C15" s="14">
        <v>24834014.708383702</v>
      </c>
      <c r="D15" s="14" t="s">
        <v>7</v>
      </c>
      <c r="E15" s="15">
        <v>101197445.72106799</v>
      </c>
      <c r="F15" s="15">
        <v>101197445.72106799</v>
      </c>
      <c r="G15" s="13">
        <v>8720</v>
      </c>
    </row>
    <row r="16" spans="2:12" x14ac:dyDescent="0.25">
      <c r="B16" s="8" t="s">
        <v>18</v>
      </c>
      <c r="C16" s="9">
        <f>+SUM(C5:C15)</f>
        <v>1228080089.3274579</v>
      </c>
      <c r="D16" s="9">
        <f>+SUM(D5:D15)</f>
        <v>1236396929.4382396</v>
      </c>
      <c r="E16" s="10">
        <f>+SUM(E5:E15)</f>
        <v>57181893305.638054</v>
      </c>
      <c r="F16" s="10">
        <f>+SUM(F5:F15)</f>
        <v>57181890938.768982</v>
      </c>
      <c r="G16" s="8">
        <f>+SUM(G5:G15)</f>
        <v>1932930</v>
      </c>
    </row>
    <row r="17" spans="2:9" x14ac:dyDescent="0.25">
      <c r="C17" s="5">
        <f>+C16-D16</f>
        <v>-8316840.1107816696</v>
      </c>
      <c r="D17" s="5"/>
      <c r="E17" s="7">
        <f>+E16-F16</f>
        <v>2366.8690719604492</v>
      </c>
      <c r="F17" s="7"/>
    </row>
    <row r="19" spans="2:9" x14ac:dyDescent="0.25">
      <c r="B19" s="12" t="s">
        <v>20</v>
      </c>
      <c r="I19" s="11" t="s">
        <v>23</v>
      </c>
    </row>
    <row r="21" spans="2:9" x14ac:dyDescent="0.25">
      <c r="B21" t="s">
        <v>0</v>
      </c>
      <c r="C21" t="s">
        <v>1</v>
      </c>
      <c r="D21" t="s">
        <v>2</v>
      </c>
      <c r="E21" t="s">
        <v>3</v>
      </c>
      <c r="F21" t="s">
        <v>4</v>
      </c>
      <c r="G21" t="s">
        <v>5</v>
      </c>
    </row>
    <row r="22" spans="2:9" x14ac:dyDescent="0.25">
      <c r="B22" t="s">
        <v>9</v>
      </c>
      <c r="C22" t="s">
        <v>7</v>
      </c>
      <c r="D22">
        <v>3119.4862480100001</v>
      </c>
      <c r="E22">
        <v>1334464.33</v>
      </c>
      <c r="F22">
        <v>1334464.33</v>
      </c>
      <c r="G22">
        <v>10</v>
      </c>
    </row>
    <row r="23" spans="2:9" x14ac:dyDescent="0.25">
      <c r="B23" t="s">
        <v>11</v>
      </c>
      <c r="C23" t="s">
        <v>7</v>
      </c>
      <c r="D23">
        <v>2468377.91125665</v>
      </c>
      <c r="E23">
        <v>172601111.41999999</v>
      </c>
      <c r="F23">
        <v>172601111.41999999</v>
      </c>
      <c r="G23">
        <v>65</v>
      </c>
    </row>
    <row r="24" spans="2:9" x14ac:dyDescent="0.25">
      <c r="B24" t="s">
        <v>16</v>
      </c>
      <c r="C24" t="s">
        <v>7</v>
      </c>
      <c r="D24" t="s">
        <v>7</v>
      </c>
      <c r="E24">
        <v>7575142966.9700003</v>
      </c>
      <c r="F24">
        <v>7575142718.6100101</v>
      </c>
      <c r="G24">
        <v>49381</v>
      </c>
    </row>
    <row r="25" spans="2:9" x14ac:dyDescent="0.25">
      <c r="B25" t="s">
        <v>15</v>
      </c>
      <c r="C25">
        <v>156512794.290104</v>
      </c>
      <c r="D25">
        <v>156512794.290104</v>
      </c>
      <c r="E25">
        <v>8640499859.4167099</v>
      </c>
      <c r="F25">
        <v>8640499858.2456303</v>
      </c>
      <c r="G25">
        <v>31276</v>
      </c>
    </row>
    <row r="26" spans="2:9" x14ac:dyDescent="0.25">
      <c r="B26" t="s">
        <v>17</v>
      </c>
      <c r="C26">
        <v>702.75054072</v>
      </c>
      <c r="D26">
        <v>702.74843246837702</v>
      </c>
      <c r="E26">
        <v>181027.96</v>
      </c>
      <c r="F26">
        <v>181027.41691612001</v>
      </c>
      <c r="G26">
        <v>1</v>
      </c>
    </row>
    <row r="27" spans="2:9" x14ac:dyDescent="0.25">
      <c r="B27" t="s">
        <v>13</v>
      </c>
      <c r="C27">
        <v>0</v>
      </c>
      <c r="D27">
        <v>6443.3558464908201</v>
      </c>
      <c r="E27">
        <v>390048.07654899999</v>
      </c>
      <c r="F27">
        <v>390048.07654899999</v>
      </c>
      <c r="G27">
        <v>84</v>
      </c>
    </row>
    <row r="28" spans="2:9" x14ac:dyDescent="0.25">
      <c r="B28" t="s">
        <v>10</v>
      </c>
      <c r="C28">
        <v>0</v>
      </c>
      <c r="D28" t="s">
        <v>7</v>
      </c>
      <c r="E28">
        <v>9786610494.2510509</v>
      </c>
      <c r="F28">
        <v>9786608765.9974308</v>
      </c>
      <c r="G28">
        <v>368795</v>
      </c>
    </row>
    <row r="29" spans="2:9" x14ac:dyDescent="0.25">
      <c r="B29" t="s">
        <v>8</v>
      </c>
      <c r="C29">
        <v>0</v>
      </c>
      <c r="D29">
        <v>0.11856</v>
      </c>
      <c r="E29">
        <v>30903554856.093498</v>
      </c>
      <c r="F29">
        <v>30903554467.5522</v>
      </c>
      <c r="G29">
        <v>1474585</v>
      </c>
    </row>
    <row r="30" spans="2:9" x14ac:dyDescent="0.25">
      <c r="B30" t="s">
        <v>6</v>
      </c>
      <c r="C30">
        <v>0</v>
      </c>
      <c r="D30" t="s">
        <v>7</v>
      </c>
      <c r="E30">
        <v>3085.06</v>
      </c>
      <c r="F30">
        <v>3085.06</v>
      </c>
      <c r="G30">
        <v>12</v>
      </c>
    </row>
    <row r="31" spans="2:9" x14ac:dyDescent="0.25">
      <c r="B31" t="s">
        <v>14</v>
      </c>
      <c r="C31">
        <v>11191.3690494885</v>
      </c>
      <c r="D31">
        <v>1415.03109389366</v>
      </c>
      <c r="E31">
        <v>377946.33918100002</v>
      </c>
      <c r="F31">
        <v>377946.33918100002</v>
      </c>
      <c r="G31">
        <v>1</v>
      </c>
    </row>
    <row r="32" spans="2:9" x14ac:dyDescent="0.25">
      <c r="B32" t="s">
        <v>12</v>
      </c>
      <c r="C32">
        <v>6929488.4030822404</v>
      </c>
      <c r="D32" t="s">
        <v>7</v>
      </c>
      <c r="E32">
        <v>101197445.72106799</v>
      </c>
      <c r="F32">
        <v>101197445.72106799</v>
      </c>
      <c r="G32">
        <v>8720</v>
      </c>
    </row>
    <row r="33" spans="2:9" x14ac:dyDescent="0.25">
      <c r="C33">
        <f>+SUM(C22:C32)</f>
        <v>163454176.81277648</v>
      </c>
      <c r="D33">
        <f t="shared" ref="D33:F33" si="0">+SUM(D22:D32)</f>
        <v>158992852.94154149</v>
      </c>
      <c r="E33">
        <f t="shared" si="0"/>
        <v>57181893305.638054</v>
      </c>
      <c r="F33">
        <f t="shared" si="0"/>
        <v>57181890938.768982</v>
      </c>
    </row>
    <row r="34" spans="2:9" x14ac:dyDescent="0.25">
      <c r="C34" s="1">
        <f>+C33-D33</f>
        <v>4461323.8712349832</v>
      </c>
    </row>
    <row r="35" spans="2:9" x14ac:dyDescent="0.25">
      <c r="B35" s="12" t="s">
        <v>21</v>
      </c>
      <c r="I35" s="11" t="s">
        <v>22</v>
      </c>
    </row>
    <row r="37" spans="2:9" x14ac:dyDescent="0.25">
      <c r="B37" t="s">
        <v>0</v>
      </c>
      <c r="C37" t="s">
        <v>1</v>
      </c>
      <c r="D37" t="s">
        <v>2</v>
      </c>
      <c r="E37" t="s">
        <v>3</v>
      </c>
      <c r="F37" t="s">
        <v>4</v>
      </c>
      <c r="G37" t="s">
        <v>5</v>
      </c>
    </row>
    <row r="38" spans="2:9" x14ac:dyDescent="0.25">
      <c r="B38" t="s">
        <v>9</v>
      </c>
      <c r="C38" t="s">
        <v>7</v>
      </c>
      <c r="D38">
        <v>0</v>
      </c>
      <c r="E38">
        <v>1334464.33</v>
      </c>
      <c r="F38">
        <v>1334464.33</v>
      </c>
      <c r="G38">
        <v>10</v>
      </c>
    </row>
    <row r="39" spans="2:9" x14ac:dyDescent="0.25">
      <c r="B39" t="s">
        <v>11</v>
      </c>
      <c r="C39" t="s">
        <v>7</v>
      </c>
      <c r="D39">
        <v>0</v>
      </c>
      <c r="E39">
        <v>172601111.41999999</v>
      </c>
      <c r="F39">
        <v>172601111.41999999</v>
      </c>
      <c r="G39">
        <v>65</v>
      </c>
    </row>
    <row r="40" spans="2:9" x14ac:dyDescent="0.25">
      <c r="B40" t="s">
        <v>16</v>
      </c>
      <c r="C40" t="s">
        <v>7</v>
      </c>
      <c r="D40" t="s">
        <v>7</v>
      </c>
      <c r="E40">
        <v>7575142966.9700003</v>
      </c>
      <c r="F40">
        <v>7575142718.6100101</v>
      </c>
      <c r="G40">
        <v>49381</v>
      </c>
    </row>
    <row r="41" spans="2:9" x14ac:dyDescent="0.25">
      <c r="B41" t="s">
        <v>15</v>
      </c>
      <c r="C41">
        <v>170065.00893084699</v>
      </c>
      <c r="D41">
        <v>170065.00893084699</v>
      </c>
      <c r="E41">
        <v>8641376071.1624393</v>
      </c>
      <c r="F41">
        <v>8641376069.4482803</v>
      </c>
      <c r="G41">
        <v>31279</v>
      </c>
    </row>
    <row r="42" spans="2:9" x14ac:dyDescent="0.25">
      <c r="B42" t="s">
        <v>13</v>
      </c>
      <c r="C42">
        <v>0</v>
      </c>
      <c r="D42" t="s">
        <v>7</v>
      </c>
      <c r="E42">
        <v>72810.63</v>
      </c>
      <c r="F42">
        <v>72810.63</v>
      </c>
      <c r="G42">
        <v>83</v>
      </c>
    </row>
    <row r="43" spans="2:9" x14ac:dyDescent="0.25">
      <c r="B43" t="s">
        <v>10</v>
      </c>
      <c r="C43">
        <v>0</v>
      </c>
      <c r="D43" t="s">
        <v>7</v>
      </c>
      <c r="E43">
        <v>9786610494.2510509</v>
      </c>
      <c r="F43">
        <v>9786608765.9974308</v>
      </c>
      <c r="G43">
        <v>368795</v>
      </c>
    </row>
    <row r="44" spans="2:9" x14ac:dyDescent="0.25">
      <c r="B44" t="s">
        <v>8</v>
      </c>
      <c r="C44">
        <v>0</v>
      </c>
      <c r="D44">
        <v>6.2399999999999999E-3</v>
      </c>
      <c r="E44">
        <v>30903554856.093498</v>
      </c>
      <c r="F44">
        <v>30903554467.5522</v>
      </c>
      <c r="G44">
        <v>1474585</v>
      </c>
    </row>
    <row r="45" spans="2:9" x14ac:dyDescent="0.25">
      <c r="B45" t="s">
        <v>6</v>
      </c>
      <c r="C45">
        <v>0</v>
      </c>
      <c r="D45" t="s">
        <v>7</v>
      </c>
      <c r="E45">
        <v>3085.06</v>
      </c>
      <c r="F45">
        <v>3085.06</v>
      </c>
      <c r="G45">
        <v>12</v>
      </c>
    </row>
    <row r="46" spans="2:9" x14ac:dyDescent="0.25">
      <c r="B46" t="s">
        <v>12</v>
      </c>
      <c r="C46">
        <v>44785.765276140097</v>
      </c>
      <c r="D46" t="s">
        <v>7</v>
      </c>
      <c r="E46">
        <v>101197445.72106799</v>
      </c>
      <c r="F46">
        <v>101197445.72106799</v>
      </c>
      <c r="G46">
        <v>8720</v>
      </c>
    </row>
    <row r="47" spans="2:9" x14ac:dyDescent="0.25">
      <c r="C47">
        <f>+SUM(C38:C46)</f>
        <v>214850.77420698709</v>
      </c>
      <c r="D47">
        <f t="shared" ref="D47:F47" si="1">+SUM(D38:D46)</f>
        <v>170065.01517084698</v>
      </c>
      <c r="E47">
        <f t="shared" si="1"/>
        <v>57181893305.638054</v>
      </c>
      <c r="F47">
        <f t="shared" si="1"/>
        <v>57181890938.76899</v>
      </c>
    </row>
    <row r="48" spans="2:9" x14ac:dyDescent="0.25">
      <c r="C48" s="1">
        <f>+C47-D47</f>
        <v>44785.759036140109</v>
      </c>
    </row>
    <row r="50" spans="2:9" x14ac:dyDescent="0.25">
      <c r="B50" s="12" t="s">
        <v>25</v>
      </c>
      <c r="I50" s="11" t="s">
        <v>24</v>
      </c>
    </row>
    <row r="52" spans="2:9" x14ac:dyDescent="0.25">
      <c r="B52" t="s">
        <v>0</v>
      </c>
      <c r="C52" t="s">
        <v>1</v>
      </c>
      <c r="D52" t="s">
        <v>2</v>
      </c>
      <c r="E52" t="s">
        <v>3</v>
      </c>
      <c r="F52" t="s">
        <v>4</v>
      </c>
      <c r="G52" t="s">
        <v>5</v>
      </c>
    </row>
    <row r="53" spans="2:9" x14ac:dyDescent="0.25">
      <c r="B53" t="s">
        <v>9</v>
      </c>
      <c r="C53" t="s">
        <v>7</v>
      </c>
      <c r="D53">
        <v>0</v>
      </c>
      <c r="E53">
        <v>1334464.33</v>
      </c>
      <c r="F53">
        <v>1334464.33</v>
      </c>
      <c r="G53">
        <v>10</v>
      </c>
    </row>
    <row r="54" spans="2:9" x14ac:dyDescent="0.25">
      <c r="B54" t="s">
        <v>11</v>
      </c>
      <c r="C54" t="s">
        <v>7</v>
      </c>
      <c r="D54">
        <v>225717.69732508299</v>
      </c>
      <c r="E54">
        <v>172601111.41999999</v>
      </c>
      <c r="F54">
        <v>172601111.41999999</v>
      </c>
      <c r="G54">
        <v>65</v>
      </c>
    </row>
    <row r="55" spans="2:9" x14ac:dyDescent="0.25">
      <c r="B55" t="s">
        <v>16</v>
      </c>
      <c r="C55" t="s">
        <v>7</v>
      </c>
      <c r="D55" t="s">
        <v>7</v>
      </c>
      <c r="E55">
        <v>7575142966.9700003</v>
      </c>
      <c r="F55">
        <v>7575142718.6100101</v>
      </c>
      <c r="G55">
        <v>49381</v>
      </c>
    </row>
    <row r="56" spans="2:9" x14ac:dyDescent="0.25">
      <c r="B56" t="s">
        <v>15</v>
      </c>
      <c r="C56">
        <v>281025308.80557102</v>
      </c>
      <c r="D56">
        <v>281025308.80557102</v>
      </c>
      <c r="E56">
        <v>8641376070.4724407</v>
      </c>
      <c r="F56">
        <v>8641376068.7582798</v>
      </c>
      <c r="G56">
        <v>31278</v>
      </c>
    </row>
    <row r="57" spans="2:9" x14ac:dyDescent="0.25">
      <c r="B57" t="s">
        <v>13</v>
      </c>
      <c r="C57">
        <v>0</v>
      </c>
      <c r="D57">
        <v>7.1967000000000003E-2</v>
      </c>
      <c r="E57">
        <v>72811.320000000007</v>
      </c>
      <c r="F57">
        <v>72811.320000000007</v>
      </c>
      <c r="G57">
        <v>84</v>
      </c>
    </row>
    <row r="58" spans="2:9" x14ac:dyDescent="0.25">
      <c r="B58" t="s">
        <v>10</v>
      </c>
      <c r="C58">
        <v>0</v>
      </c>
      <c r="D58" t="s">
        <v>7</v>
      </c>
      <c r="E58">
        <v>9786610494.2510509</v>
      </c>
      <c r="F58">
        <v>9786608765.9974308</v>
      </c>
      <c r="G58">
        <v>368795</v>
      </c>
    </row>
    <row r="59" spans="2:9" x14ac:dyDescent="0.25">
      <c r="B59" t="s">
        <v>8</v>
      </c>
      <c r="C59">
        <v>0</v>
      </c>
      <c r="D59">
        <v>0.56159999999999999</v>
      </c>
      <c r="E59">
        <v>30903554856.093498</v>
      </c>
      <c r="F59">
        <v>30903554467.5522</v>
      </c>
      <c r="G59">
        <v>1474585</v>
      </c>
    </row>
    <row r="60" spans="2:9" x14ac:dyDescent="0.25">
      <c r="B60" t="s">
        <v>6</v>
      </c>
      <c r="C60">
        <v>0</v>
      </c>
      <c r="D60" t="s">
        <v>7</v>
      </c>
      <c r="E60">
        <v>3085.06</v>
      </c>
      <c r="F60">
        <v>3085.06</v>
      </c>
      <c r="G60">
        <v>12</v>
      </c>
    </row>
    <row r="61" spans="2:9" x14ac:dyDescent="0.25">
      <c r="B61" t="s">
        <v>12</v>
      </c>
      <c r="C61">
        <v>8801543.6463735308</v>
      </c>
      <c r="D61" t="s">
        <v>7</v>
      </c>
      <c r="E61">
        <v>101197445.72106799</v>
      </c>
      <c r="F61">
        <v>101197445.72106799</v>
      </c>
      <c r="G61">
        <v>8720</v>
      </c>
    </row>
    <row r="62" spans="2:9" x14ac:dyDescent="0.25">
      <c r="C62">
        <f>+SUM(C53:C61)</f>
        <v>289826852.45194453</v>
      </c>
      <c r="D62">
        <f t="shared" ref="D62:F62" si="2">+SUM(D53:D61)</f>
        <v>281251027.13646317</v>
      </c>
      <c r="E62">
        <f t="shared" si="2"/>
        <v>57181893305.638054</v>
      </c>
      <c r="F62">
        <f t="shared" si="2"/>
        <v>57181890938.76899</v>
      </c>
    </row>
    <row r="63" spans="2:9" x14ac:dyDescent="0.25">
      <c r="C63" s="1">
        <f>+C62-D62</f>
        <v>8575825.3154813647</v>
      </c>
    </row>
  </sheetData>
  <autoFilter ref="B52:G61">
    <sortState ref="B53:G61">
      <sortCondition ref="B52:B61"/>
    </sortState>
  </autoFilter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CB2EC0B2B90E8438FD7BC14926F993E" ma:contentTypeVersion="4" ma:contentTypeDescription="Create a new document." ma:contentTypeScope="" ma:versionID="a801877317c22008161799475e5acc2a">
  <xsd:schema xmlns:xsd="http://www.w3.org/2001/XMLSchema" xmlns:xs="http://www.w3.org/2001/XMLSchema" xmlns:p="http://schemas.microsoft.com/office/2006/metadata/properties" xmlns:ns2="572bdb13-c576-4166-8827-65186753b8b5" targetNamespace="http://schemas.microsoft.com/office/2006/metadata/properties" ma:root="true" ma:fieldsID="7508d97b502dca93bb7741c221dcb803" ns2:_="">
    <xsd:import namespace="572bdb13-c576-4166-8827-65186753b8b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2bdb13-c576-4166-8827-65186753b8b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33B5A2B-745F-4B78-BB8E-C360FD2A2CC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72bdb13-c576-4166-8827-65186753b8b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CD60B73-90C3-49BE-95CC-AE06852CA94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6DC874E-393E-4B7A-9E52-54AC3E8BBB4D}">
  <ds:schemaRefs>
    <ds:schemaRef ds:uri="http://purl.org/dc/dcmitype/"/>
    <ds:schemaRef ds:uri="http://www.w3.org/XML/1998/namespace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572bdb13-c576-4166-8827-65186753b8b5"/>
    <ds:schemaRef ds:uri="http://schemas.openxmlformats.org/package/2006/metadata/core-properties"/>
    <ds:schemaRef ds:uri="http://schemas.microsoft.com/office/2006/metadata/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Banco Santander Portugal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Hélder Filipe Felicidade Fernandes</dc:creator>
  <cp:lastModifiedBy>Hélder Filipe Felicidade Fernandes</cp:lastModifiedBy>
  <dcterms:created xsi:type="dcterms:W3CDTF">2025-06-27T17:14:24Z</dcterms:created>
  <dcterms:modified xsi:type="dcterms:W3CDTF">2025-06-28T09:04:37Z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1b88ec2-a72b-4523-9e84-0458a1764731_Enabled">
    <vt:lpwstr>true</vt:lpwstr>
  </property>
  <property fmtid="{D5CDD505-2E9C-101B-9397-08002B2CF9AE}" pid="3" name="MSIP_Label_41b88ec2-a72b-4523-9e84-0458a1764731_SetDate">
    <vt:lpwstr>2025-06-28T09:01:13Z</vt:lpwstr>
  </property>
  <property fmtid="{D5CDD505-2E9C-101B-9397-08002B2CF9AE}" pid="4" name="MSIP_Label_41b88ec2-a72b-4523-9e84-0458a1764731_Method">
    <vt:lpwstr>Privileged</vt:lpwstr>
  </property>
  <property fmtid="{D5CDD505-2E9C-101B-9397-08002B2CF9AE}" pid="5" name="MSIP_Label_41b88ec2-a72b-4523-9e84-0458a1764731_Name">
    <vt:lpwstr>Public O365</vt:lpwstr>
  </property>
  <property fmtid="{D5CDD505-2E9C-101B-9397-08002B2CF9AE}" pid="6" name="MSIP_Label_41b88ec2-a72b-4523-9e84-0458a1764731_SiteId">
    <vt:lpwstr>35595a02-4d6d-44ac-99e1-f9ab4cd872db</vt:lpwstr>
  </property>
  <property fmtid="{D5CDD505-2E9C-101B-9397-08002B2CF9AE}" pid="7" name="MSIP_Label_41b88ec2-a72b-4523-9e84-0458a1764731_ActionId">
    <vt:lpwstr>d3f7256b-583c-4590-8847-3b2bac2a2470</vt:lpwstr>
  </property>
  <property fmtid="{D5CDD505-2E9C-101B-9397-08002B2CF9AE}" pid="8" name="MSIP_Label_41b88ec2-a72b-4523-9e84-0458a1764731_ContentBits">
    <vt:lpwstr>0</vt:lpwstr>
  </property>
  <property fmtid="{D5CDD505-2E9C-101B-9397-08002B2CF9AE}" pid="9" name="ContentTypeId">
    <vt:lpwstr>0x010100FCB2EC0B2B90E8438FD7BC14926F993E</vt:lpwstr>
  </property>
</Properties>
</file>