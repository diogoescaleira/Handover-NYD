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 activeTab="1"/>
  </bookViews>
  <sheets>
    <sheet name="Comparativos granulares_R01" sheetId="18" r:id="rId1"/>
    <sheet name="Comparativos granulares_R04" sheetId="14" r:id="rId2"/>
    <sheet name="Variação Absoluta" sheetId="1" r:id="rId3"/>
    <sheet name="Input &gt;&gt;" sheetId="13" r:id="rId4"/>
    <sheet name="Paralelo" sheetId="17" r:id="rId5"/>
    <sheet name="Dez24" sheetId="16" r:id="rId6"/>
  </sheets>
  <externalReferences>
    <externalReference r:id="rId7"/>
  </externalReferences>
  <definedNames>
    <definedName name="_xlnm._FilterDatabase" localSheetId="0" hidden="1">'Comparativos granulares_R01'!$B$8:$E$9</definedName>
    <definedName name="_xlnm._FilterDatabase" localSheetId="1" hidden="1">'Comparativos granulares_R04'!$B$8:$E$9</definedName>
    <definedName name="_xlnm._FilterDatabase" localSheetId="5" hidden="1">'Dez24'!$A$2:$S$64</definedName>
    <definedName name="_xlnm._FilterDatabase" localSheetId="4" hidden="1">Paralelo!$A$2:$S$64</definedName>
    <definedName name="BM" localSheetId="0">#REF!</definedName>
    <definedName name="BM" localSheetId="1">#REF!</definedName>
    <definedName name="BM" localSheetId="5">#REF!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1" l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S64" i="1"/>
  <c r="P64" i="1"/>
  <c r="M64" i="1"/>
  <c r="J64" i="1"/>
  <c r="G64" i="1"/>
  <c r="D64" i="1"/>
  <c r="S63" i="1"/>
  <c r="P63" i="1"/>
  <c r="M63" i="1"/>
  <c r="J63" i="1"/>
  <c r="G63" i="1"/>
  <c r="D63" i="1"/>
  <c r="S62" i="1"/>
  <c r="P62" i="1"/>
  <c r="M62" i="1"/>
  <c r="J62" i="1"/>
  <c r="G62" i="1"/>
  <c r="D62" i="1"/>
  <c r="S61" i="1"/>
  <c r="P61" i="1"/>
  <c r="M61" i="1"/>
  <c r="J61" i="1"/>
  <c r="G61" i="1"/>
  <c r="D61" i="1"/>
  <c r="S60" i="1"/>
  <c r="P60" i="1"/>
  <c r="M60" i="1"/>
  <c r="J60" i="1"/>
  <c r="G60" i="1"/>
  <c r="D60" i="1"/>
  <c r="S59" i="1"/>
  <c r="P59" i="1"/>
  <c r="M59" i="1"/>
  <c r="J59" i="1"/>
  <c r="G59" i="1"/>
  <c r="D59" i="1"/>
  <c r="S58" i="1"/>
  <c r="P58" i="1"/>
  <c r="M58" i="1"/>
  <c r="J58" i="1"/>
  <c r="G58" i="1"/>
  <c r="D58" i="1"/>
  <c r="S57" i="1"/>
  <c r="P57" i="1"/>
  <c r="M57" i="1"/>
  <c r="J57" i="1"/>
  <c r="G57" i="1"/>
  <c r="D57" i="1"/>
  <c r="S56" i="1"/>
  <c r="P56" i="1"/>
  <c r="M56" i="1"/>
  <c r="J56" i="1"/>
  <c r="G56" i="1"/>
  <c r="D56" i="1"/>
  <c r="S55" i="1"/>
  <c r="P55" i="1"/>
  <c r="M55" i="1"/>
  <c r="J55" i="1"/>
  <c r="G55" i="1"/>
  <c r="D55" i="1"/>
  <c r="S54" i="1"/>
  <c r="P54" i="1"/>
  <c r="M54" i="1"/>
  <c r="J54" i="1"/>
  <c r="G54" i="1"/>
  <c r="D54" i="1"/>
  <c r="S53" i="1"/>
  <c r="P53" i="1"/>
  <c r="M53" i="1"/>
  <c r="J53" i="1"/>
  <c r="G53" i="1"/>
  <c r="D53" i="1"/>
  <c r="S52" i="1"/>
  <c r="P52" i="1"/>
  <c r="M52" i="1"/>
  <c r="J52" i="1"/>
  <c r="G52" i="1"/>
  <c r="D52" i="1"/>
  <c r="S51" i="1"/>
  <c r="P51" i="1"/>
  <c r="M51" i="1"/>
  <c r="J51" i="1"/>
  <c r="G51" i="1"/>
  <c r="D51" i="1"/>
  <c r="S50" i="1"/>
  <c r="P50" i="1"/>
  <c r="M50" i="1"/>
  <c r="J50" i="1"/>
  <c r="G50" i="1"/>
  <c r="D50" i="1"/>
  <c r="S49" i="1"/>
  <c r="P49" i="1"/>
  <c r="M49" i="1"/>
  <c r="J49" i="1"/>
  <c r="G49" i="1"/>
  <c r="D49" i="1"/>
  <c r="S48" i="1"/>
  <c r="P48" i="1"/>
  <c r="M48" i="1"/>
  <c r="J48" i="1"/>
  <c r="G48" i="1"/>
  <c r="D48" i="1"/>
  <c r="S47" i="1"/>
  <c r="P47" i="1"/>
  <c r="M47" i="1"/>
  <c r="J47" i="1"/>
  <c r="G47" i="1"/>
  <c r="D47" i="1"/>
  <c r="S46" i="1"/>
  <c r="P46" i="1"/>
  <c r="M46" i="1"/>
  <c r="J46" i="1"/>
  <c r="G46" i="1"/>
  <c r="D46" i="1"/>
  <c r="S45" i="1"/>
  <c r="P45" i="1"/>
  <c r="M45" i="1"/>
  <c r="J45" i="1"/>
  <c r="G45" i="1"/>
  <c r="D45" i="1"/>
  <c r="S44" i="1"/>
  <c r="P44" i="1"/>
  <c r="M44" i="1"/>
  <c r="J44" i="1"/>
  <c r="G44" i="1"/>
  <c r="D44" i="1"/>
  <c r="S43" i="1"/>
  <c r="P43" i="1"/>
  <c r="M43" i="1"/>
  <c r="J43" i="1"/>
  <c r="G43" i="1"/>
  <c r="D43" i="1"/>
  <c r="S42" i="1"/>
  <c r="P42" i="1"/>
  <c r="M42" i="1"/>
  <c r="J42" i="1"/>
  <c r="G42" i="1"/>
  <c r="D42" i="1"/>
  <c r="S41" i="1"/>
  <c r="P41" i="1"/>
  <c r="M41" i="1"/>
  <c r="J41" i="1"/>
  <c r="G41" i="1"/>
  <c r="D41" i="1"/>
  <c r="S40" i="1"/>
  <c r="P40" i="1"/>
  <c r="M40" i="1"/>
  <c r="J40" i="1"/>
  <c r="G40" i="1"/>
  <c r="D40" i="1"/>
  <c r="S39" i="1"/>
  <c r="P39" i="1"/>
  <c r="M39" i="1"/>
  <c r="J39" i="1"/>
  <c r="G39" i="1"/>
  <c r="D39" i="1"/>
  <c r="S38" i="1"/>
  <c r="P38" i="1"/>
  <c r="M38" i="1"/>
  <c r="J38" i="1"/>
  <c r="G38" i="1"/>
  <c r="D38" i="1"/>
  <c r="S37" i="1"/>
  <c r="P37" i="1"/>
  <c r="M37" i="1"/>
  <c r="J37" i="1"/>
  <c r="G37" i="1"/>
  <c r="D37" i="1"/>
  <c r="S36" i="1"/>
  <c r="P36" i="1"/>
  <c r="M36" i="1"/>
  <c r="J36" i="1"/>
  <c r="G36" i="1"/>
  <c r="D36" i="1"/>
  <c r="S35" i="1"/>
  <c r="P35" i="1"/>
  <c r="M35" i="1"/>
  <c r="J35" i="1"/>
  <c r="G35" i="1"/>
  <c r="D35" i="1"/>
  <c r="S34" i="1"/>
  <c r="P34" i="1"/>
  <c r="M34" i="1"/>
  <c r="J34" i="1"/>
  <c r="G34" i="1"/>
  <c r="D34" i="1"/>
  <c r="S33" i="1"/>
  <c r="P33" i="1"/>
  <c r="M33" i="1"/>
  <c r="J33" i="1"/>
  <c r="G33" i="1"/>
  <c r="D33" i="1"/>
  <c r="S32" i="1"/>
  <c r="P32" i="1"/>
  <c r="M32" i="1"/>
  <c r="J32" i="1"/>
  <c r="G32" i="1"/>
  <c r="D32" i="1"/>
  <c r="S31" i="1"/>
  <c r="P31" i="1"/>
  <c r="M31" i="1"/>
  <c r="J31" i="1"/>
  <c r="G31" i="1"/>
  <c r="D31" i="1"/>
  <c r="S30" i="1"/>
  <c r="P30" i="1"/>
  <c r="M30" i="1"/>
  <c r="J30" i="1"/>
  <c r="G30" i="1"/>
  <c r="D30" i="1"/>
  <c r="S29" i="1"/>
  <c r="P29" i="1"/>
  <c r="M29" i="1"/>
  <c r="J29" i="1"/>
  <c r="G29" i="1"/>
  <c r="D29" i="1"/>
  <c r="S28" i="1"/>
  <c r="P28" i="1"/>
  <c r="M28" i="1"/>
  <c r="J28" i="1"/>
  <c r="G28" i="1"/>
  <c r="D28" i="1"/>
  <c r="S27" i="1"/>
  <c r="P27" i="1"/>
  <c r="M27" i="1"/>
  <c r="J27" i="1"/>
  <c r="G27" i="1"/>
  <c r="D27" i="1"/>
  <c r="S26" i="1"/>
  <c r="P26" i="1"/>
  <c r="M26" i="1"/>
  <c r="J26" i="1"/>
  <c r="G26" i="1"/>
  <c r="D26" i="1"/>
  <c r="S25" i="1"/>
  <c r="P25" i="1"/>
  <c r="M25" i="1"/>
  <c r="J25" i="1"/>
  <c r="G25" i="1"/>
  <c r="D25" i="1"/>
  <c r="S24" i="1"/>
  <c r="P24" i="1"/>
  <c r="M24" i="1"/>
  <c r="J24" i="1"/>
  <c r="G24" i="1"/>
  <c r="D24" i="1"/>
  <c r="S23" i="1"/>
  <c r="P23" i="1"/>
  <c r="M23" i="1"/>
  <c r="J23" i="1"/>
  <c r="G23" i="1"/>
  <c r="D23" i="1"/>
  <c r="S22" i="1"/>
  <c r="P22" i="1"/>
  <c r="M22" i="1"/>
  <c r="J22" i="1"/>
  <c r="G22" i="1"/>
  <c r="D22" i="1"/>
  <c r="S21" i="1"/>
  <c r="P21" i="1"/>
  <c r="M21" i="1"/>
  <c r="J21" i="1"/>
  <c r="G21" i="1"/>
  <c r="D21" i="1"/>
  <c r="S20" i="1"/>
  <c r="P20" i="1"/>
  <c r="M20" i="1"/>
  <c r="J20" i="1"/>
  <c r="G20" i="1"/>
  <c r="D20" i="1"/>
  <c r="S19" i="1"/>
  <c r="P19" i="1"/>
  <c r="M19" i="1"/>
  <c r="J19" i="1"/>
  <c r="G19" i="1"/>
  <c r="D19" i="1"/>
  <c r="S18" i="1"/>
  <c r="P18" i="1"/>
  <c r="M18" i="1"/>
  <c r="J18" i="1"/>
  <c r="G18" i="1"/>
  <c r="D18" i="1"/>
  <c r="S17" i="1"/>
  <c r="P17" i="1"/>
  <c r="M17" i="1"/>
  <c r="J17" i="1"/>
  <c r="G17" i="1"/>
  <c r="D17" i="1"/>
  <c r="S16" i="1"/>
  <c r="P16" i="1"/>
  <c r="M16" i="1"/>
  <c r="J16" i="1"/>
  <c r="G16" i="1"/>
  <c r="D16" i="1"/>
  <c r="S15" i="1"/>
  <c r="P15" i="1"/>
  <c r="M15" i="1"/>
  <c r="J15" i="1"/>
  <c r="G15" i="1"/>
  <c r="D15" i="1"/>
  <c r="S14" i="1"/>
  <c r="P14" i="1"/>
  <c r="M14" i="1"/>
  <c r="J14" i="1"/>
  <c r="G14" i="1"/>
  <c r="D14" i="1"/>
  <c r="S13" i="1"/>
  <c r="P13" i="1"/>
  <c r="M13" i="1"/>
  <c r="J13" i="1"/>
  <c r="G13" i="1"/>
  <c r="D13" i="1"/>
  <c r="S12" i="1"/>
  <c r="P12" i="1"/>
  <c r="M12" i="1"/>
  <c r="J12" i="1"/>
  <c r="G12" i="1"/>
  <c r="D12" i="1"/>
  <c r="S11" i="1"/>
  <c r="P11" i="1"/>
  <c r="M11" i="1"/>
  <c r="J11" i="1"/>
  <c r="G11" i="1"/>
  <c r="D11" i="1"/>
  <c r="K64" i="1" l="1"/>
  <c r="K63" i="1"/>
  <c r="K6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T11" i="1" l="1"/>
  <c r="N11" i="1"/>
  <c r="K11" i="1"/>
  <c r="Q11" i="1"/>
  <c r="T14" i="1" l="1"/>
  <c r="T34" i="1"/>
  <c r="T50" i="1"/>
  <c r="T58" i="1"/>
  <c r="T62" i="1"/>
  <c r="H15" i="1"/>
  <c r="H23" i="1"/>
  <c r="H31" i="1"/>
  <c r="H39" i="1"/>
  <c r="H47" i="1"/>
  <c r="H55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T18" i="1"/>
  <c r="T22" i="1"/>
  <c r="T26" i="1"/>
  <c r="T30" i="1"/>
  <c r="T38" i="1"/>
  <c r="T42" i="1"/>
  <c r="T46" i="1"/>
  <c r="T54" i="1"/>
  <c r="N34" i="1"/>
  <c r="E11" i="1"/>
  <c r="E19" i="1"/>
  <c r="E27" i="1"/>
  <c r="E35" i="1"/>
  <c r="E43" i="1"/>
  <c r="E51" i="1"/>
  <c r="E59" i="1"/>
  <c r="N42" i="1"/>
  <c r="N62" i="1"/>
  <c r="N30" i="1"/>
  <c r="N38" i="1"/>
  <c r="E14" i="1"/>
  <c r="E30" i="1"/>
  <c r="E38" i="1"/>
  <c r="E54" i="1"/>
  <c r="Q14" i="1"/>
  <c r="Q22" i="1"/>
  <c r="Q38" i="1"/>
  <c r="Q46" i="1"/>
  <c r="Q54" i="1"/>
  <c r="Q62" i="1"/>
  <c r="N46" i="1"/>
  <c r="E22" i="1"/>
  <c r="E46" i="1"/>
  <c r="E62" i="1"/>
  <c r="Q30" i="1"/>
  <c r="H12" i="1"/>
  <c r="H20" i="1"/>
  <c r="H28" i="1"/>
  <c r="H36" i="1"/>
  <c r="H44" i="1"/>
  <c r="H52" i="1"/>
  <c r="H60" i="1"/>
  <c r="Q19" i="1"/>
  <c r="Q27" i="1"/>
  <c r="Q35" i="1"/>
  <c r="Q43" i="1"/>
  <c r="Q51" i="1"/>
  <c r="Q59" i="1"/>
  <c r="E12" i="1"/>
  <c r="E28" i="1"/>
  <c r="E36" i="1"/>
  <c r="E44" i="1"/>
  <c r="E52" i="1"/>
  <c r="E60" i="1"/>
  <c r="Q12" i="1"/>
  <c r="Q20" i="1"/>
  <c r="Q28" i="1"/>
  <c r="Q36" i="1"/>
  <c r="Q44" i="1"/>
  <c r="Q52" i="1"/>
  <c r="Q60" i="1"/>
  <c r="E20" i="1"/>
  <c r="E13" i="1"/>
  <c r="E21" i="1"/>
  <c r="E29" i="1"/>
  <c r="E37" i="1"/>
  <c r="E45" i="1"/>
  <c r="E53" i="1"/>
  <c r="E61" i="1"/>
  <c r="N63" i="1"/>
  <c r="Q13" i="1"/>
  <c r="Q21" i="1"/>
  <c r="Q29" i="1"/>
  <c r="Q37" i="1"/>
  <c r="Q45" i="1"/>
  <c r="Q53" i="1"/>
  <c r="Q61" i="1"/>
  <c r="E15" i="1"/>
  <c r="E23" i="1"/>
  <c r="E31" i="1"/>
  <c r="E39" i="1"/>
  <c r="E47" i="1"/>
  <c r="E55" i="1"/>
  <c r="E63" i="1"/>
  <c r="Q15" i="1"/>
  <c r="Q23" i="1"/>
  <c r="Q31" i="1"/>
  <c r="Q39" i="1"/>
  <c r="Q47" i="1"/>
  <c r="Q55" i="1"/>
  <c r="Q63" i="1"/>
  <c r="H21" i="1"/>
  <c r="H37" i="1"/>
  <c r="H61" i="1"/>
  <c r="N19" i="1"/>
  <c r="N35" i="1"/>
  <c r="N47" i="1"/>
  <c r="N59" i="1"/>
  <c r="T17" i="1"/>
  <c r="T29" i="1"/>
  <c r="T37" i="1"/>
  <c r="T53" i="1"/>
  <c r="T61" i="1"/>
  <c r="H14" i="1"/>
  <c r="H22" i="1"/>
  <c r="H30" i="1"/>
  <c r="H38" i="1"/>
  <c r="H46" i="1"/>
  <c r="H54" i="1"/>
  <c r="H13" i="1"/>
  <c r="N39" i="1"/>
  <c r="N64" i="1"/>
  <c r="H62" i="1"/>
  <c r="H24" i="1"/>
  <c r="H32" i="1"/>
  <c r="H40" i="1"/>
  <c r="H48" i="1"/>
  <c r="H56" i="1"/>
  <c r="H29" i="1"/>
  <c r="H45" i="1"/>
  <c r="N15" i="1"/>
  <c r="N23" i="1"/>
  <c r="N43" i="1"/>
  <c r="N55" i="1"/>
  <c r="T13" i="1"/>
  <c r="T21" i="1"/>
  <c r="T25" i="1"/>
  <c r="T33" i="1"/>
  <c r="T41" i="1"/>
  <c r="T57" i="1"/>
  <c r="H16" i="1"/>
  <c r="E16" i="1"/>
  <c r="E24" i="1"/>
  <c r="E32" i="1"/>
  <c r="E40" i="1"/>
  <c r="E48" i="1"/>
  <c r="E56" i="1"/>
  <c r="E64" i="1"/>
  <c r="H63" i="1"/>
  <c r="H17" i="1"/>
  <c r="H25" i="1"/>
  <c r="H33" i="1"/>
  <c r="H41" i="1"/>
  <c r="H49" i="1"/>
  <c r="H57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Q16" i="1"/>
  <c r="Q24" i="1"/>
  <c r="Q32" i="1"/>
  <c r="Q40" i="1"/>
  <c r="Q48" i="1"/>
  <c r="Q56" i="1"/>
  <c r="Q64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N27" i="1"/>
  <c r="T49" i="1"/>
  <c r="E17" i="1"/>
  <c r="E25" i="1"/>
  <c r="E33" i="1"/>
  <c r="E41" i="1"/>
  <c r="E49" i="1"/>
  <c r="E57" i="1"/>
  <c r="H64" i="1"/>
  <c r="H18" i="1"/>
  <c r="H26" i="1"/>
  <c r="H34" i="1"/>
  <c r="H42" i="1"/>
  <c r="H50" i="1"/>
  <c r="H58" i="1"/>
  <c r="Q17" i="1"/>
  <c r="Q25" i="1"/>
  <c r="Q33" i="1"/>
  <c r="Q41" i="1"/>
  <c r="Q49" i="1"/>
  <c r="Q57" i="1"/>
  <c r="H53" i="1"/>
  <c r="N31" i="1"/>
  <c r="N51" i="1"/>
  <c r="T45" i="1"/>
  <c r="E18" i="1"/>
  <c r="E26" i="1"/>
  <c r="E34" i="1"/>
  <c r="E42" i="1"/>
  <c r="E50" i="1"/>
  <c r="E58" i="1"/>
  <c r="H11" i="1"/>
  <c r="H19" i="1"/>
  <c r="H27" i="1"/>
  <c r="H35" i="1"/>
  <c r="H43" i="1"/>
  <c r="H51" i="1"/>
  <c r="H59" i="1"/>
  <c r="N14" i="1"/>
  <c r="N18" i="1"/>
  <c r="N22" i="1"/>
  <c r="N26" i="1"/>
  <c r="N50" i="1"/>
  <c r="N54" i="1"/>
  <c r="N58" i="1"/>
  <c r="Q18" i="1"/>
  <c r="Q26" i="1"/>
  <c r="Q34" i="1"/>
  <c r="Q42" i="1"/>
  <c r="Q50" i="1"/>
  <c r="Q5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</calcChain>
</file>

<file path=xl/sharedStrings.xml><?xml version="1.0" encoding="utf-8"?>
<sst xmlns="http://schemas.openxmlformats.org/spreadsheetml/2006/main" count="326" uniqueCount="146">
  <si>
    <t>∆</t>
  </si>
  <si>
    <t xml:space="preserve">Exposição </t>
  </si>
  <si>
    <t>NACEs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</si>
  <si>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</si>
  <si>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</si>
  <si>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</si>
  <si>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</si>
  <si>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</si>
  <si>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</si>
  <si>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</si>
  <si>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</si>
  <si>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</si>
  <si>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</si>
  <si>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</si>
  <si>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</si>
  <si>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</si>
  <si>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</si>
  <si>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</si>
  <si>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</si>
  <si>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</si>
  <si>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</si>
  <si>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</si>
  <si>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</si>
  <si>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</si>
  <si>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</si>
  <si>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</si>
  <si>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</si>
  <si>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</si>
  <si>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</si>
  <si>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</si>
  <si>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</si>
  <si>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</si>
  <si>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</si>
  <si>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</si>
  <si>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</si>
  <si>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</si>
  <si>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</si>
  <si>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</si>
  <si>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</si>
  <si>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</si>
  <si>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</si>
  <si>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</si>
  <si>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</si>
  <si>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</si>
  <si>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</si>
  <si>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</si>
  <si>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</si>
  <si>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</si>
  <si>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</si>
  <si>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</si>
  <si>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</si>
  <si>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</si>
  <si>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</si>
  <si>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</si>
  <si>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</si>
  <si>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</si>
  <si>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</si>
  <si>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Sector/subsector</t>
  </si>
  <si>
    <t>GHG financed emissions (scope 1, scope 2 and scope 3 emissions of the counterparty) (in tons of CO2 equivalent)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</si>
  <si>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</si>
  <si>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</si>
  <si>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</si>
  <si>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Dez24 Estrutural</t>
  </si>
  <si>
    <t>Dez24 Tático</t>
  </si>
  <si>
    <t>Métrica</t>
  </si>
  <si>
    <t>Casuística</t>
  </si>
  <si>
    <t>Δ Montante vs Tático Dez24</t>
  </si>
  <si>
    <t xml:space="preserve"> </t>
  </si>
  <si>
    <t>Alteração da reclassificação do código NACE</t>
  </si>
  <si>
    <t>Cod_nace_esg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</si>
  <si>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</si>
  <si>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</si>
  <si>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</si>
  <si>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</si>
  <si>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</si>
  <si>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</si>
  <si>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</si>
  <si>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M</t>
  </si>
  <si>
    <t>L</t>
  </si>
  <si>
    <t>K</t>
  </si>
  <si>
    <t>H</t>
  </si>
  <si>
    <t>F</t>
  </si>
  <si>
    <t>D</t>
  </si>
  <si>
    <t>Coverage of portfolio with use of proxies (according to PCAF) (in %)</t>
  </si>
  <si>
    <t>Template 1: Banking book - Climate Change transition risk: Interest income of exposures by sector and emissions</t>
  </si>
  <si>
    <t>EU1</t>
  </si>
  <si>
    <t>EU2</t>
  </si>
  <si>
    <t>EU area</t>
  </si>
  <si>
    <t>Non-EU area</t>
  </si>
  <si>
    <t>Gross carrying amount (thousand euro)</t>
  </si>
  <si>
    <t>Gross interest income (thousand euro)</t>
  </si>
  <si>
    <t>Gross fee and commission income (thousand euro)</t>
  </si>
  <si>
    <t>Of which Scope 1 financed emissions</t>
  </si>
  <si>
    <t>Of which Scope 2 financed emissions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</si>
  <si>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</si>
  <si>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</si>
  <si>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</si>
  <si>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</si>
  <si>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</si>
  <si>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</si>
  <si>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</si>
  <si>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</si>
  <si>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</si>
  <si>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</si>
  <si>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A</t>
  </si>
  <si>
    <t>C</t>
  </si>
  <si>
    <t>G</t>
  </si>
  <si>
    <t>Exposures to other sectors (NACE codes J, M - S)</t>
  </si>
  <si>
    <t>Exposição R01</t>
  </si>
  <si>
    <t>Exposição R04</t>
  </si>
  <si>
    <t>Exposição</t>
  </si>
  <si>
    <t>Antes era L agora é A</t>
  </si>
  <si>
    <t>Antes era L agora é C</t>
  </si>
  <si>
    <t>Antes era A agora é C</t>
  </si>
  <si>
    <t>Antes era G agora é C</t>
  </si>
  <si>
    <t>Antes era I agora é D</t>
  </si>
  <si>
    <t>Antes era M agora é F</t>
  </si>
  <si>
    <t>Antes era E agora é F</t>
  </si>
  <si>
    <t>Antes era G agora é F</t>
  </si>
  <si>
    <t>Antes era L agora é F</t>
  </si>
  <si>
    <t>Antes era A agora é G</t>
  </si>
  <si>
    <t>Antes era I agora é G</t>
  </si>
  <si>
    <t>Antes era C agora é G</t>
  </si>
  <si>
    <t>Antes era S agora é H</t>
  </si>
  <si>
    <t>Antes era F agora é J</t>
  </si>
  <si>
    <t>Antes era Q agora é K</t>
  </si>
  <si>
    <t>Antes era N agora é K</t>
  </si>
  <si>
    <t>Antes era C agora é K</t>
  </si>
  <si>
    <t>Antes era I agora é K</t>
  </si>
  <si>
    <t>Antes era G agora é K</t>
  </si>
  <si>
    <t>Antes era H agora é K</t>
  </si>
  <si>
    <t>Antes era J agora é K</t>
  </si>
  <si>
    <t>Antes era S agora é K</t>
  </si>
  <si>
    <t>Antes era A agora é K</t>
  </si>
  <si>
    <t>Antes era L agora é K</t>
  </si>
  <si>
    <t>Antes era D agora é K</t>
  </si>
  <si>
    <t>Antes era M agora é K</t>
  </si>
  <si>
    <t>Antes era H agora é L</t>
  </si>
  <si>
    <t>Antes era F agora é L</t>
  </si>
  <si>
    <t>Antes era H agora é M</t>
  </si>
  <si>
    <t>Antes era G agora é M</t>
  </si>
  <si>
    <t>Antes era C agora é M</t>
  </si>
  <si>
    <t>Antes era N agora é M</t>
  </si>
  <si>
    <t>Antes era S agora é vazio</t>
  </si>
  <si>
    <t>J</t>
  </si>
  <si>
    <t>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</si>
</sst>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1" fillId="6" borderId="8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0" fillId="0" borderId="1" xfId="0" applyNumberFormat="1" applyFont="1" applyBorder="1"/>
    <xf numFmtId="0" fontId="0" fillId="0" borderId="1" xfId="0" applyFont="1" applyBorder="1" applyAlignment="1">
      <alignment wrapText="1"/>
    </xf>
    <xf numFmtId="17" fontId="3" fillId="5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18" fillId="4" borderId="11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8" fillId="4" borderId="13" xfId="0" applyFont="1" applyFill="1" applyBorder="1" applyAlignment="1">
      <alignment horizontal="center"/>
    </xf>
    <xf numFmtId="0" fontId="20" fillId="0" borderId="14" xfId="0" applyFont="1" applyBorder="1"/>
    <xf numFmtId="4" fontId="20" fillId="0" borderId="15" xfId="0" applyNumberFormat="1" applyFont="1" applyBorder="1"/>
    <xf numFmtId="4" fontId="20" fillId="0" borderId="17" xfId="0" applyNumberFormat="1" applyFont="1" applyBorder="1"/>
    <xf numFmtId="0" fontId="19" fillId="0" borderId="0" xfId="0" applyFont="1" applyBorder="1" applyAlignment="1">
      <alignment horizontal="left" vertical="center"/>
    </xf>
    <xf numFmtId="0" fontId="20" fillId="0" borderId="0" xfId="0" applyFont="1" applyBorder="1"/>
    <xf numFmtId="4" fontId="20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0" borderId="1" xfId="0" applyNumberFormat="1" applyFont="1" applyFill="1" applyBorder="1"/>
    <xf numFmtId="4" fontId="3" fillId="0" borderId="1" xfId="0" applyNumberFormat="1" applyFont="1" applyFill="1" applyBorder="1"/>
    <xf numFmtId="0" fontId="19" fillId="0" borderId="18" xfId="0" applyFont="1" applyBorder="1" applyAlignment="1">
      <alignment vertical="center"/>
    </xf>
    <xf numFmtId="0" fontId="20" fillId="0" borderId="16" xfId="0" applyFont="1" applyBorder="1" applyAlignment="1">
      <alignment horizontal="left" indent="1"/>
    </xf>
    <xf numFmtId="4" fontId="20" fillId="0" borderId="20" xfId="0" applyNumberFormat="1" applyFont="1" applyBorder="1"/>
    <xf numFmtId="0" fontId="20" fillId="0" borderId="19" xfId="0" applyFont="1" applyBorder="1" applyAlignment="1">
      <alignment horizontal="left" indent="1"/>
    </xf>
    <xf numFmtId="0" fontId="19" fillId="0" borderId="18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165" fontId="0" fillId="0" borderId="0" xfId="0" applyNumberFormat="1"/>
    <xf numFmtId="0" fontId="8" fillId="6" borderId="3" xfId="0" applyFont="1" applyFill="1" applyBorder="1" applyAlignment="1">
      <alignment horizontal="left" vertical="center"/>
    </xf>
    <xf numFmtId="165" fontId="8" fillId="6" borderId="0" xfId="0" applyNumberFormat="1" applyFont="1" applyFill="1"/>
    <xf numFmtId="1" fontId="0" fillId="0" borderId="0" xfId="0" applyNumberFormat="1"/>
    <xf numFmtId="0" fontId="12" fillId="6" borderId="3" xfId="0" applyFont="1" applyFill="1" applyBorder="1" applyAlignment="1">
      <alignment horizontal="left" vertical="center" indent="2"/>
    </xf>
    <xf numFmtId="0" fontId="14" fillId="6" borderId="3" xfId="0" applyFont="1" applyFill="1" applyBorder="1" applyAlignment="1">
      <alignment horizontal="left" vertical="center"/>
    </xf>
    <xf numFmtId="3" fontId="0" fillId="0" borderId="0" xfId="0" applyNumberFormat="1"/>
    <xf numFmtId="0" fontId="8" fillId="6" borderId="0" xfId="0" applyFont="1" applyFill="1" applyAlignment="1">
      <alignment vertical="center" wrapText="1"/>
    </xf>
    <xf numFmtId="9" fontId="10" fillId="0" borderId="3" xfId="1" applyFont="1" applyFill="1" applyBorder="1" applyAlignment="1" applyProtection="1">
      <alignment horizontal="right"/>
      <protection locked="0"/>
    </xf>
    <xf numFmtId="9" fontId="10" fillId="0" borderId="3" xfId="1" applyFont="1" applyFill="1" applyBorder="1"/>
    <xf numFmtId="4" fontId="10" fillId="0" borderId="3" xfId="3" applyNumberFormat="1" applyFont="1" applyFill="1" applyBorder="1" applyAlignment="1" applyProtection="1">
      <alignment horizontal="right" vertical="center" wrapText="1"/>
    </xf>
    <xf numFmtId="4" fontId="8" fillId="0" borderId="3" xfId="3" applyNumberFormat="1" applyFont="1" applyFill="1" applyBorder="1" applyAlignment="1" applyProtection="1">
      <alignment horizontal="right" vertical="center"/>
    </xf>
    <xf numFmtId="4" fontId="8" fillId="0" borderId="3" xfId="3" applyNumberFormat="1" applyFont="1" applyFill="1" applyBorder="1" applyAlignment="1" applyProtection="1">
      <alignment horizontal="right" vertical="center"/>
      <protection locked="0"/>
    </xf>
    <xf numFmtId="4" fontId="12" fillId="0" borderId="3" xfId="3" applyNumberFormat="1" applyFont="1" applyFill="1" applyBorder="1" applyAlignment="1" applyProtection="1">
      <alignment vertical="center"/>
      <protection locked="0"/>
    </xf>
    <xf numFmtId="4" fontId="21" fillId="0" borderId="3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/>
    <xf numFmtId="4" fontId="10" fillId="0" borderId="3" xfId="0" applyNumberFormat="1" applyFont="1" applyFill="1" applyBorder="1"/>
    <xf numFmtId="4" fontId="10" fillId="0" borderId="3" xfId="3" applyNumberFormat="1" applyFont="1" applyFill="1" applyBorder="1" applyProtection="1"/>
    <xf numFmtId="0" fontId="8" fillId="0" borderId="0" xfId="0" applyFont="1" applyFill="1"/>
    <xf numFmtId="0" fontId="0" fillId="0" borderId="0" xfId="0" applyFill="1"/>
    <xf numFmtId="165" fontId="8" fillId="0" borderId="0" xfId="0" applyNumberFormat="1" applyFont="1" applyFill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/>
    <xf numFmtId="4" fontId="0" fillId="0" borderId="0" xfId="0" applyNumberFormat="1" applyFill="1" applyBorder="1"/>
    <xf numFmtId="0" fontId="19" fillId="0" borderId="26" xfId="0" applyFont="1" applyBorder="1" applyAlignment="1">
      <alignment horizontal="center" vertical="center"/>
    </xf>
    <xf numFmtId="4" fontId="6" fillId="2" borderId="0" xfId="2" applyNumberFormat="1" applyFont="1" applyFill="1" applyAlignment="1">
      <alignment horizontal="centerContinuous" vertical="center"/>
    </xf>
  </cellXfs>
  <cellStyles count="4">
    <cellStyle name="Comma" xfId="3" builtinId="3"/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S_ESG_Pilar_III_STE_Mapa_Dezembro_2024_v0.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Input_Temp1"/>
      <sheetName val="Sheet4"/>
      <sheetName val="Imput_Temp1_Emissões"/>
      <sheetName val="1.CC Trans-BB. and II"/>
      <sheetName val="R01"/>
      <sheetName val="R04"/>
      <sheetName val="E-mail"/>
      <sheetName val="Análises Complementares --&gt;"/>
      <sheetName val="93vsSTE_Exclusivos"/>
      <sheetName val="93vsSTE_Comuns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66"/>
  <sheetViews>
    <sheetView showGridLines="0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2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31" customFormat="1" x14ac:dyDescent="0.3">
      <c r="E7" s="32"/>
    </row>
    <row r="8" spans="1:5" s="31" customFormat="1" x14ac:dyDescent="0.3">
      <c r="B8" s="33" t="s">
        <v>64</v>
      </c>
      <c r="C8" s="34" t="s">
        <v>65</v>
      </c>
      <c r="D8" s="35" t="s">
        <v>66</v>
      </c>
      <c r="E8" s="32"/>
    </row>
    <row r="9" spans="1:5" s="31" customFormat="1" x14ac:dyDescent="0.3">
      <c r="B9" s="46" t="s">
        <v>69</v>
      </c>
      <c r="C9" s="36" t="s">
        <v>68</v>
      </c>
      <c r="D9" s="37">
        <v>14634846.799999999</v>
      </c>
      <c r="E9" s="32"/>
    </row>
    <row r="10" spans="1:5" s="31" customFormat="1" x14ac:dyDescent="0.3">
      <c r="B10" s="52" t="s">
        <v>82</v>
      </c>
      <c r="C10" s="49" t="s">
        <v>70</v>
      </c>
      <c r="D10" s="48">
        <v>7919081.6799999997</v>
      </c>
      <c r="E10" s="32"/>
    </row>
    <row r="11" spans="1:5" s="31" customFormat="1" x14ac:dyDescent="0.3">
      <c r="B11" s="53"/>
      <c r="C11" s="49" t="s">
        <v>71</v>
      </c>
      <c r="D11" s="48">
        <v>195750.68</v>
      </c>
      <c r="E11" s="32"/>
    </row>
    <row r="12" spans="1:5" s="31" customFormat="1" x14ac:dyDescent="0.3">
      <c r="B12" s="50" t="s">
        <v>81</v>
      </c>
      <c r="C12" s="49" t="s">
        <v>72</v>
      </c>
      <c r="D12" s="48">
        <v>-100477.12</v>
      </c>
      <c r="E12" s="32"/>
    </row>
    <row r="13" spans="1:5" s="31" customFormat="1" x14ac:dyDescent="0.3">
      <c r="B13" s="52" t="s">
        <v>80</v>
      </c>
      <c r="C13" s="49" t="s">
        <v>74</v>
      </c>
      <c r="D13" s="48">
        <v>3138023.41</v>
      </c>
      <c r="E13" s="32"/>
    </row>
    <row r="14" spans="1:5" s="31" customFormat="1" x14ac:dyDescent="0.3">
      <c r="B14" s="53"/>
      <c r="C14" s="49" t="s">
        <v>73</v>
      </c>
      <c r="D14" s="48">
        <v>604591.52</v>
      </c>
      <c r="E14" s="32"/>
    </row>
    <row r="15" spans="1:5" s="31" customFormat="1" x14ac:dyDescent="0.3">
      <c r="B15" s="52" t="s">
        <v>79</v>
      </c>
      <c r="C15" s="49" t="s">
        <v>125</v>
      </c>
      <c r="D15" s="48">
        <v>20657.3</v>
      </c>
      <c r="E15" s="32"/>
    </row>
    <row r="16" spans="1:5" s="31" customFormat="1" x14ac:dyDescent="0.3">
      <c r="B16" s="54"/>
      <c r="C16" s="49" t="s">
        <v>129</v>
      </c>
      <c r="D16" s="48">
        <v>183.45</v>
      </c>
      <c r="E16" s="32"/>
    </row>
    <row r="17" spans="1:5" s="31" customFormat="1" x14ac:dyDescent="0.3">
      <c r="B17" s="54"/>
      <c r="C17" s="49" t="s">
        <v>132</v>
      </c>
      <c r="D17" s="48">
        <v>7106.64</v>
      </c>
      <c r="E17" s="32"/>
    </row>
    <row r="18" spans="1:5" s="31" customFormat="1" x14ac:dyDescent="0.3">
      <c r="B18" s="53"/>
      <c r="C18" s="49" t="s">
        <v>75</v>
      </c>
      <c r="D18" s="48">
        <v>104970</v>
      </c>
      <c r="E18" s="32"/>
    </row>
    <row r="19" spans="1:5" s="31" customFormat="1" x14ac:dyDescent="0.3">
      <c r="B19" s="99" t="s">
        <v>78</v>
      </c>
      <c r="C19" s="47" t="s">
        <v>76</v>
      </c>
      <c r="D19" s="38">
        <v>2744959.24</v>
      </c>
      <c r="E19" s="32"/>
    </row>
    <row r="20" spans="1:5" s="31" customFormat="1" x14ac:dyDescent="0.3">
      <c r="B20" s="39"/>
      <c r="C20" s="40"/>
      <c r="D20" s="41"/>
      <c r="E20" s="32"/>
    </row>
    <row r="21" spans="1:5" s="31" customFormat="1" hidden="1" x14ac:dyDescent="0.3">
      <c r="B21" s="39"/>
      <c r="C21" s="40"/>
      <c r="D21" s="41"/>
      <c r="E21" s="32"/>
    </row>
    <row r="22" spans="1:5" s="31" customFormat="1" hidden="1" x14ac:dyDescent="0.3">
      <c r="B22" s="39"/>
      <c r="C22" s="40"/>
      <c r="D22" s="41"/>
      <c r="E22" s="32"/>
    </row>
    <row r="23" spans="1:5" s="31" customFormat="1" hidden="1" x14ac:dyDescent="0.3">
      <c r="B23" s="39"/>
      <c r="C23" s="40"/>
      <c r="D23" s="41"/>
      <c r="E23" s="32"/>
    </row>
    <row r="24" spans="1:5" s="31" customFormat="1" hidden="1" x14ac:dyDescent="0.3">
      <c r="B24" s="39"/>
      <c r="C24" s="40"/>
      <c r="D24" s="41"/>
      <c r="E24" s="32"/>
    </row>
    <row r="25" spans="1:5" s="31" customFormat="1" hidden="1" x14ac:dyDescent="0.3">
      <c r="B25" s="39"/>
      <c r="C25" s="40"/>
      <c r="D25" s="41"/>
      <c r="E25" s="32"/>
    </row>
    <row r="26" spans="1:5" s="31" customFormat="1" hidden="1" x14ac:dyDescent="0.3">
      <c r="B26" s="39"/>
      <c r="C26" s="40"/>
      <c r="D26" s="41"/>
      <c r="E26" s="32"/>
    </row>
    <row r="27" spans="1:5" s="31" customFormat="1" hidden="1" x14ac:dyDescent="0.3">
      <c r="B27" s="39"/>
      <c r="C27" s="40"/>
      <c r="D27" s="41"/>
      <c r="E27" s="32"/>
    </row>
    <row r="28" spans="1:5" s="31" customFormat="1" hidden="1" x14ac:dyDescent="0.3">
      <c r="B28" s="39"/>
      <c r="C28" s="40"/>
      <c r="D28" s="41"/>
      <c r="E28" s="32"/>
    </row>
    <row r="29" spans="1:5" s="31" customFormat="1" hidden="1" x14ac:dyDescent="0.3">
      <c r="B29" s="39"/>
      <c r="C29" s="40"/>
      <c r="D29" s="41"/>
      <c r="E29" s="32"/>
    </row>
    <row r="30" spans="1:5" hidden="1" x14ac:dyDescent="0.3">
      <c r="A30" t="s">
        <v>67</v>
      </c>
      <c r="B30" s="42"/>
      <c r="C30" s="42"/>
      <c r="D30" s="43"/>
    </row>
    <row r="31" spans="1:5" ht="14.4" hidden="1" customHeight="1" x14ac:dyDescent="0.3"/>
    <row r="32" spans="1:5" ht="14.4" hidden="1" customHeight="1" x14ac:dyDescent="0.3"/>
    <row r="33" ht="14.4" hidden="1" customHeight="1" x14ac:dyDescent="0.3"/>
    <row r="34" ht="14.4" hidden="1" customHeight="1" x14ac:dyDescent="0.3"/>
    <row r="35" ht="14.4" hidden="1" customHeight="1" x14ac:dyDescent="0.3"/>
    <row r="36" ht="14.4" hidden="1" customHeight="1" x14ac:dyDescent="0.3"/>
    <row r="37" ht="14.4" hidden="1" customHeight="1" x14ac:dyDescent="0.3"/>
    <row r="38" ht="14.4" hidden="1" customHeight="1" x14ac:dyDescent="0.3"/>
    <row r="39" ht="14.4" hidden="1" customHeight="1" x14ac:dyDescent="0.3"/>
    <row r="40" ht="14.4" hidden="1" customHeight="1" x14ac:dyDescent="0.3"/>
    <row r="41" ht="14.4" hidden="1" customHeight="1" x14ac:dyDescent="0.3"/>
    <row r="42" ht="14.4" hidden="1" customHeight="1" x14ac:dyDescent="0.3"/>
    <row r="43" ht="14.4" hidden="1" customHeight="1" x14ac:dyDescent="0.3"/>
    <row r="44" ht="14.4" hidden="1" customHeight="1" x14ac:dyDescent="0.3"/>
    <row r="45" ht="14.4" hidden="1" customHeight="1" x14ac:dyDescent="0.3"/>
    <row r="46" ht="14.4" hidden="1" customHeight="1" x14ac:dyDescent="0.3"/>
    <row r="47" ht="14.4" hidden="1" customHeight="1" x14ac:dyDescent="0.3"/>
    <row r="48" ht="14.4" hidden="1" customHeight="1" x14ac:dyDescent="0.3"/>
    <row r="49" ht="14.4" hidden="1" customHeight="1" x14ac:dyDescent="0.3"/>
    <row r="50" ht="14.4" hidden="1" customHeight="1" x14ac:dyDescent="0.3"/>
    <row r="51" ht="14.4" hidden="1" customHeight="1" x14ac:dyDescent="0.3"/>
    <row r="52" ht="14.4" hidden="1" customHeight="1" x14ac:dyDescent="0.3"/>
    <row r="53" ht="14.4" hidden="1" customHeight="1" x14ac:dyDescent="0.3"/>
    <row r="54" ht="14.4" hidden="1" customHeight="1" x14ac:dyDescent="0.3"/>
    <row r="55" ht="14.4" hidden="1" customHeight="1" x14ac:dyDescent="0.3"/>
    <row r="56" ht="14.4" hidden="1" customHeight="1" x14ac:dyDescent="0.3"/>
    <row r="57" ht="14.4" hidden="1" customHeight="1" x14ac:dyDescent="0.3"/>
    <row r="58" ht="14.4" hidden="1" customHeight="1" x14ac:dyDescent="0.3"/>
    <row r="59" ht="14.4" hidden="1" customHeight="1" x14ac:dyDescent="0.3"/>
    <row r="60" ht="14.4" hidden="1" customHeight="1" x14ac:dyDescent="0.3"/>
    <row r="61" ht="14.4" hidden="1" customHeight="1" x14ac:dyDescent="0.3"/>
    <row r="62" ht="14.4" hidden="1" customHeight="1" x14ac:dyDescent="0.3"/>
    <row r="63" ht="14.4" hidden="1" customHeight="1" x14ac:dyDescent="0.3"/>
    <row r="64" ht="14.4" hidden="1" customHeight="1" x14ac:dyDescent="0.3"/>
    <row r="65" ht="14.4" hidden="1" customHeight="1" x14ac:dyDescent="0.3"/>
    <row r="66" ht="14.4" hidden="1" customHeight="1" x14ac:dyDescent="0.3"/>
  </sheetData>
  <mergeCells count="3">
    <mergeCell ref="B10:B11"/>
    <mergeCell ref="B13:B14"/>
    <mergeCell ref="B15:B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2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100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31" customFormat="1" x14ac:dyDescent="0.3">
      <c r="E7" s="32"/>
    </row>
    <row r="8" spans="1:5" s="31" customFormat="1" x14ac:dyDescent="0.3">
      <c r="B8" s="33" t="s">
        <v>64</v>
      </c>
      <c r="C8" s="34" t="s">
        <v>65</v>
      </c>
      <c r="D8" s="35" t="s">
        <v>66</v>
      </c>
      <c r="E8" s="32"/>
    </row>
    <row r="9" spans="1:5" s="31" customFormat="1" x14ac:dyDescent="0.3">
      <c r="B9" s="46" t="s">
        <v>69</v>
      </c>
      <c r="C9" s="36" t="s">
        <v>68</v>
      </c>
      <c r="D9" s="37">
        <v>1673043.1600000004</v>
      </c>
      <c r="E9" s="32"/>
    </row>
    <row r="10" spans="1:5" s="31" customFormat="1" x14ac:dyDescent="0.3">
      <c r="B10" s="50" t="s">
        <v>104</v>
      </c>
      <c r="C10" s="49" t="s">
        <v>111</v>
      </c>
      <c r="D10" s="48">
        <v>397.09</v>
      </c>
      <c r="E10" s="32"/>
    </row>
    <row r="11" spans="1:5" s="31" customFormat="1" x14ac:dyDescent="0.3">
      <c r="B11" s="52" t="s">
        <v>105</v>
      </c>
      <c r="C11" s="49" t="s">
        <v>112</v>
      </c>
      <c r="D11" s="48">
        <v>189.6</v>
      </c>
      <c r="E11" s="32"/>
    </row>
    <row r="12" spans="1:5" s="31" customFormat="1" x14ac:dyDescent="0.3">
      <c r="B12" s="54"/>
      <c r="C12" s="49" t="s">
        <v>113</v>
      </c>
      <c r="D12" s="48">
        <v>142.9</v>
      </c>
      <c r="E12" s="32"/>
    </row>
    <row r="13" spans="1:5" s="31" customFormat="1" x14ac:dyDescent="0.3">
      <c r="B13" s="53"/>
      <c r="C13" s="49" t="s">
        <v>114</v>
      </c>
      <c r="D13" s="48">
        <v>1885.77</v>
      </c>
      <c r="E13" s="32"/>
    </row>
    <row r="14" spans="1:5" s="31" customFormat="1" x14ac:dyDescent="0.3">
      <c r="B14" s="52" t="s">
        <v>82</v>
      </c>
      <c r="C14" s="49" t="s">
        <v>70</v>
      </c>
      <c r="D14" s="48">
        <v>17560.900000000001</v>
      </c>
      <c r="E14" s="32"/>
    </row>
    <row r="15" spans="1:5" s="31" customFormat="1" x14ac:dyDescent="0.3">
      <c r="B15" s="54"/>
      <c r="C15" s="49" t="s">
        <v>71</v>
      </c>
      <c r="D15" s="48">
        <v>785.37</v>
      </c>
      <c r="E15" s="32"/>
    </row>
    <row r="16" spans="1:5" s="31" customFormat="1" x14ac:dyDescent="0.3">
      <c r="B16" s="53"/>
      <c r="C16" s="49" t="s">
        <v>115</v>
      </c>
      <c r="D16" s="48">
        <v>14568.24</v>
      </c>
      <c r="E16" s="32"/>
    </row>
    <row r="17" spans="2:5" s="31" customFormat="1" x14ac:dyDescent="0.3">
      <c r="B17" s="52" t="s">
        <v>81</v>
      </c>
      <c r="C17" s="49" t="s">
        <v>116</v>
      </c>
      <c r="D17" s="48">
        <v>496.75</v>
      </c>
      <c r="E17" s="32"/>
    </row>
    <row r="18" spans="2:5" s="31" customFormat="1" x14ac:dyDescent="0.3">
      <c r="B18" s="54"/>
      <c r="C18" s="49" t="s">
        <v>72</v>
      </c>
      <c r="D18" s="48">
        <v>0</v>
      </c>
      <c r="E18" s="32"/>
    </row>
    <row r="19" spans="2:5" s="31" customFormat="1" x14ac:dyDescent="0.3">
      <c r="B19" s="54"/>
      <c r="C19" s="49" t="s">
        <v>117</v>
      </c>
      <c r="D19" s="48">
        <v>204</v>
      </c>
      <c r="E19" s="32"/>
    </row>
    <row r="20" spans="2:5" s="31" customFormat="1" x14ac:dyDescent="0.3">
      <c r="B20" s="54"/>
      <c r="C20" s="49" t="s">
        <v>118</v>
      </c>
      <c r="D20" s="48">
        <v>137.66</v>
      </c>
      <c r="E20" s="32"/>
    </row>
    <row r="21" spans="2:5" s="31" customFormat="1" x14ac:dyDescent="0.3">
      <c r="B21" s="53"/>
      <c r="C21" s="49" t="s">
        <v>119</v>
      </c>
      <c r="D21" s="48">
        <v>485.1</v>
      </c>
      <c r="E21" s="32"/>
    </row>
    <row r="22" spans="2:5" s="31" customFormat="1" x14ac:dyDescent="0.3">
      <c r="B22" s="52" t="s">
        <v>106</v>
      </c>
      <c r="C22" s="49" t="s">
        <v>120</v>
      </c>
      <c r="D22" s="48">
        <v>207.38</v>
      </c>
      <c r="E22" s="32"/>
    </row>
    <row r="23" spans="2:5" s="31" customFormat="1" x14ac:dyDescent="0.3">
      <c r="B23" s="54"/>
      <c r="C23" s="49" t="s">
        <v>121</v>
      </c>
      <c r="D23" s="48">
        <v>110.6</v>
      </c>
      <c r="E23" s="32"/>
    </row>
    <row r="24" spans="2:5" s="31" customFormat="1" x14ac:dyDescent="0.3">
      <c r="B24" s="53"/>
      <c r="C24" s="49" t="s">
        <v>122</v>
      </c>
      <c r="D24" s="48">
        <v>1271.53</v>
      </c>
      <c r="E24" s="32"/>
    </row>
    <row r="25" spans="2:5" s="31" customFormat="1" x14ac:dyDescent="0.3">
      <c r="B25" s="52" t="s">
        <v>80</v>
      </c>
      <c r="C25" s="49" t="s">
        <v>123</v>
      </c>
      <c r="D25" s="48">
        <v>2007.77</v>
      </c>
      <c r="E25" s="32"/>
    </row>
    <row r="26" spans="2:5" s="31" customFormat="1" x14ac:dyDescent="0.3">
      <c r="B26" s="53"/>
      <c r="C26" s="49" t="s">
        <v>74</v>
      </c>
      <c r="D26" s="48">
        <v>205033.53</v>
      </c>
      <c r="E26" s="32"/>
    </row>
    <row r="27" spans="2:5" s="31" customFormat="1" x14ac:dyDescent="0.3">
      <c r="B27" s="50" t="s">
        <v>144</v>
      </c>
      <c r="C27" s="49" t="s">
        <v>124</v>
      </c>
      <c r="D27" s="48">
        <v>668.6</v>
      </c>
      <c r="E27" s="32"/>
    </row>
    <row r="28" spans="2:5" s="31" customFormat="1" x14ac:dyDescent="0.3">
      <c r="B28" s="52" t="s">
        <v>79</v>
      </c>
      <c r="C28" s="49" t="s">
        <v>125</v>
      </c>
      <c r="D28" s="48">
        <v>1204.01</v>
      </c>
      <c r="E28" s="32"/>
    </row>
    <row r="29" spans="2:5" s="31" customFormat="1" x14ac:dyDescent="0.3">
      <c r="B29" s="54"/>
      <c r="C29" s="49" t="s">
        <v>126</v>
      </c>
      <c r="D29" s="48">
        <v>26640.97</v>
      </c>
      <c r="E29" s="32"/>
    </row>
    <row r="30" spans="2:5" s="31" customFormat="1" x14ac:dyDescent="0.3">
      <c r="B30" s="54"/>
      <c r="C30" s="49" t="s">
        <v>127</v>
      </c>
      <c r="D30" s="48">
        <v>18712.54</v>
      </c>
      <c r="E30" s="32"/>
    </row>
    <row r="31" spans="2:5" s="31" customFormat="1" x14ac:dyDescent="0.3">
      <c r="B31" s="54"/>
      <c r="C31" s="49" t="s">
        <v>128</v>
      </c>
      <c r="D31" s="48">
        <v>282.39999999999998</v>
      </c>
      <c r="E31" s="32"/>
    </row>
    <row r="32" spans="2:5" s="31" customFormat="1" x14ac:dyDescent="0.3">
      <c r="B32" s="54"/>
      <c r="C32" s="49" t="s">
        <v>129</v>
      </c>
      <c r="D32" s="48">
        <v>348.88</v>
      </c>
      <c r="E32" s="32"/>
    </row>
    <row r="33" spans="2:5" s="31" customFormat="1" x14ac:dyDescent="0.3">
      <c r="B33" s="54"/>
      <c r="C33" s="49" t="s">
        <v>130</v>
      </c>
      <c r="D33" s="48">
        <v>351.5</v>
      </c>
      <c r="E33" s="32"/>
    </row>
    <row r="34" spans="2:5" s="31" customFormat="1" x14ac:dyDescent="0.3">
      <c r="B34" s="54"/>
      <c r="C34" s="49" t="s">
        <v>133</v>
      </c>
      <c r="D34" s="48">
        <v>575.11</v>
      </c>
      <c r="E34" s="32"/>
    </row>
    <row r="35" spans="2:5" s="31" customFormat="1" x14ac:dyDescent="0.3">
      <c r="B35" s="54"/>
      <c r="C35" s="49" t="s">
        <v>131</v>
      </c>
      <c r="D35" s="48">
        <v>692.26</v>
      </c>
      <c r="E35" s="32"/>
    </row>
    <row r="36" spans="2:5" s="31" customFormat="1" x14ac:dyDescent="0.3">
      <c r="B36" s="54"/>
      <c r="C36" s="49" t="s">
        <v>132</v>
      </c>
      <c r="D36" s="48">
        <v>34145.29</v>
      </c>
      <c r="E36" s="32"/>
    </row>
    <row r="37" spans="2:5" s="31" customFormat="1" x14ac:dyDescent="0.3">
      <c r="B37" s="54"/>
      <c r="C37" s="49" t="s">
        <v>75</v>
      </c>
      <c r="D37" s="48">
        <v>5325.19</v>
      </c>
      <c r="E37" s="32"/>
    </row>
    <row r="38" spans="2:5" s="31" customFormat="1" x14ac:dyDescent="0.3">
      <c r="B38" s="54"/>
      <c r="C38" s="49" t="s">
        <v>135</v>
      </c>
      <c r="D38" s="48">
        <v>0</v>
      </c>
      <c r="E38" s="32"/>
    </row>
    <row r="39" spans="2:5" s="31" customFormat="1" x14ac:dyDescent="0.3">
      <c r="B39" s="54"/>
      <c r="C39" s="49" t="s">
        <v>136</v>
      </c>
      <c r="D39" s="48">
        <v>2090.84</v>
      </c>
      <c r="E39" s="32"/>
    </row>
    <row r="40" spans="2:5" s="31" customFormat="1" x14ac:dyDescent="0.3">
      <c r="B40" s="54"/>
      <c r="C40" s="49" t="s">
        <v>134</v>
      </c>
      <c r="D40" s="48">
        <v>6031.39</v>
      </c>
      <c r="E40" s="32"/>
    </row>
    <row r="41" spans="2:5" s="31" customFormat="1" x14ac:dyDescent="0.3">
      <c r="B41" s="52" t="s">
        <v>78</v>
      </c>
      <c r="C41" s="49" t="s">
        <v>137</v>
      </c>
      <c r="D41" s="48">
        <v>189.6</v>
      </c>
      <c r="E41" s="32"/>
    </row>
    <row r="42" spans="2:5" s="31" customFormat="1" x14ac:dyDescent="0.3">
      <c r="B42" s="54"/>
      <c r="C42" s="49" t="s">
        <v>76</v>
      </c>
      <c r="D42" s="48">
        <v>1015630.08</v>
      </c>
      <c r="E42" s="32"/>
    </row>
    <row r="43" spans="2:5" s="31" customFormat="1" x14ac:dyDescent="0.3">
      <c r="B43" s="53"/>
      <c r="C43" s="49" t="s">
        <v>138</v>
      </c>
      <c r="D43" s="48">
        <v>123803.54</v>
      </c>
      <c r="E43" s="32"/>
    </row>
    <row r="44" spans="2:5" s="31" customFormat="1" x14ac:dyDescent="0.3">
      <c r="B44" s="52" t="s">
        <v>77</v>
      </c>
      <c r="C44" s="49" t="s">
        <v>139</v>
      </c>
      <c r="D44" s="48">
        <v>187978.83</v>
      </c>
      <c r="E44" s="32"/>
    </row>
    <row r="45" spans="2:5" s="31" customFormat="1" x14ac:dyDescent="0.3">
      <c r="B45" s="54"/>
      <c r="C45" s="49" t="s">
        <v>140</v>
      </c>
      <c r="D45" s="48">
        <v>160.08000000000001</v>
      </c>
      <c r="E45" s="32"/>
    </row>
    <row r="46" spans="2:5" s="31" customFormat="1" x14ac:dyDescent="0.3">
      <c r="B46" s="54"/>
      <c r="C46" s="49" t="s">
        <v>141</v>
      </c>
      <c r="D46" s="48">
        <v>189.6</v>
      </c>
      <c r="E46" s="32"/>
    </row>
    <row r="47" spans="2:5" s="31" customFormat="1" x14ac:dyDescent="0.3">
      <c r="B47" s="53"/>
      <c r="C47" s="49" t="s">
        <v>142</v>
      </c>
      <c r="D47" s="48">
        <v>688.3</v>
      </c>
      <c r="E47" s="32"/>
    </row>
    <row r="48" spans="2:5" s="31" customFormat="1" x14ac:dyDescent="0.3">
      <c r="B48" s="99" t="s">
        <v>145</v>
      </c>
      <c r="C48" s="47" t="s">
        <v>143</v>
      </c>
      <c r="D48" s="38">
        <v>1849.96</v>
      </c>
      <c r="E48" s="32"/>
    </row>
    <row r="49" spans="1:5" s="31" customFormat="1" x14ac:dyDescent="0.3">
      <c r="B49" s="39"/>
      <c r="C49" s="40"/>
      <c r="D49" s="41"/>
      <c r="E49" s="32"/>
    </row>
    <row r="50" spans="1:5" s="31" customFormat="1" hidden="1" x14ac:dyDescent="0.3">
      <c r="B50" s="39"/>
      <c r="C50" s="40"/>
      <c r="D50" s="41"/>
      <c r="E50" s="32"/>
    </row>
    <row r="51" spans="1:5" s="31" customFormat="1" hidden="1" x14ac:dyDescent="0.3">
      <c r="B51" s="39"/>
      <c r="C51" s="40"/>
      <c r="D51" s="41"/>
      <c r="E51" s="32"/>
    </row>
    <row r="52" spans="1:5" s="31" customFormat="1" hidden="1" x14ac:dyDescent="0.3">
      <c r="B52" s="39"/>
      <c r="C52" s="40"/>
      <c r="D52" s="41"/>
      <c r="E52" s="32"/>
    </row>
    <row r="53" spans="1:5" s="31" customFormat="1" hidden="1" x14ac:dyDescent="0.3">
      <c r="B53" s="39"/>
      <c r="C53" s="40"/>
      <c r="D53" s="41"/>
      <c r="E53" s="32"/>
    </row>
    <row r="54" spans="1:5" s="31" customFormat="1" hidden="1" x14ac:dyDescent="0.3">
      <c r="B54" s="39"/>
      <c r="C54" s="40"/>
      <c r="D54" s="41"/>
      <c r="E54" s="32"/>
    </row>
    <row r="55" spans="1:5" s="31" customFormat="1" hidden="1" x14ac:dyDescent="0.3">
      <c r="B55" s="39"/>
      <c r="C55" s="40"/>
      <c r="D55" s="41"/>
      <c r="E55" s="32"/>
    </row>
    <row r="56" spans="1:5" s="31" customFormat="1" hidden="1" x14ac:dyDescent="0.3">
      <c r="B56" s="39"/>
      <c r="C56" s="40"/>
      <c r="D56" s="41"/>
      <c r="E56" s="32"/>
    </row>
    <row r="57" spans="1:5" s="31" customFormat="1" hidden="1" x14ac:dyDescent="0.3">
      <c r="B57" s="39"/>
      <c r="C57" s="40"/>
      <c r="D57" s="41"/>
      <c r="E57" s="32"/>
    </row>
    <row r="58" spans="1:5" s="31" customFormat="1" hidden="1" x14ac:dyDescent="0.3">
      <c r="B58" s="39"/>
      <c r="C58" s="40"/>
      <c r="D58" s="41"/>
      <c r="E58" s="32"/>
    </row>
    <row r="59" spans="1:5" hidden="1" x14ac:dyDescent="0.3">
      <c r="A59" t="s">
        <v>67</v>
      </c>
      <c r="B59" s="42"/>
      <c r="C59" s="42"/>
      <c r="D59" s="43"/>
    </row>
    <row r="60" spans="1:5" ht="14.4" hidden="1" customHeight="1" x14ac:dyDescent="0.3"/>
    <row r="61" spans="1:5" ht="14.4" hidden="1" customHeight="1" x14ac:dyDescent="0.3"/>
    <row r="62" spans="1:5" ht="14.4" hidden="1" customHeight="1" x14ac:dyDescent="0.3"/>
    <row r="63" spans="1:5" ht="14.4" hidden="1" customHeight="1" x14ac:dyDescent="0.3"/>
    <row r="64" spans="1:5" ht="14.4" hidden="1" customHeight="1" x14ac:dyDescent="0.3"/>
    <row r="65" ht="14.4" hidden="1" customHeight="1" x14ac:dyDescent="0.3"/>
    <row r="66" ht="14.4" hidden="1" customHeight="1" x14ac:dyDescent="0.3"/>
  </sheetData>
  <mergeCells count="8">
    <mergeCell ref="B25:B26"/>
    <mergeCell ref="B28:B40"/>
    <mergeCell ref="B41:B43"/>
    <mergeCell ref="B44:B47"/>
    <mergeCell ref="B17:B21"/>
    <mergeCell ref="B22:B24"/>
    <mergeCell ref="B11:B13"/>
    <mergeCell ref="B14:B1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65"/>
  <sheetViews>
    <sheetView showGridLines="0" zoomScale="90" zoomScaleNormal="90" workbookViewId="0">
      <pane xSplit="2" ySplit="10" topLeftCell="C11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4" width="17.6640625" bestFit="1" customWidth="1"/>
    <col min="5" max="5" width="15.5546875" bestFit="1" customWidth="1"/>
    <col min="6" max="6" width="15.77734375" bestFit="1" customWidth="1"/>
    <col min="7" max="7" width="14.88671875" bestFit="1" customWidth="1"/>
    <col min="8" max="8" width="13.21875" bestFit="1" customWidth="1"/>
    <col min="9" max="9" width="15.77734375" bestFit="1" customWidth="1"/>
    <col min="10" max="10" width="14.88671875" bestFit="1" customWidth="1"/>
    <col min="11" max="11" width="13.21875" bestFit="1" customWidth="1"/>
    <col min="12" max="12" width="15.77734375" bestFit="1" customWidth="1"/>
    <col min="13" max="13" width="12.5546875" bestFit="1" customWidth="1"/>
    <col min="14" max="14" width="13.6640625" bestFit="1" customWidth="1"/>
    <col min="15" max="15" width="15.77734375" bestFit="1" customWidth="1"/>
    <col min="16" max="16" width="12.5546875" bestFit="1" customWidth="1"/>
    <col min="17" max="17" width="10.6640625" customWidth="1"/>
    <col min="18" max="18" width="15.77734375" bestFit="1" customWidth="1"/>
    <col min="19" max="19" width="12.33203125" bestFit="1" customWidth="1"/>
    <col min="20" max="20" width="11.109375" customWidth="1"/>
    <col min="21" max="21" width="3.6640625" customWidth="1"/>
    <col min="43" max="16384" width="9.109375" hidden="1"/>
  </cols>
  <sheetData>
    <row r="1" spans="1:2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/>
    <row r="8" spans="1:21" x14ac:dyDescent="0.3">
      <c r="C8" s="6" t="s">
        <v>85</v>
      </c>
      <c r="D8" s="7"/>
      <c r="E8" s="7"/>
      <c r="F8" s="7"/>
      <c r="G8" s="7"/>
      <c r="H8" s="7"/>
      <c r="I8" s="7"/>
      <c r="J8" s="7"/>
      <c r="K8" s="7"/>
      <c r="L8" s="6" t="s">
        <v>86</v>
      </c>
      <c r="M8" s="6"/>
      <c r="N8" s="6"/>
      <c r="O8" s="6"/>
      <c r="P8" s="6"/>
      <c r="Q8" s="6"/>
      <c r="R8" s="6"/>
      <c r="S8" s="6"/>
      <c r="T8" s="6"/>
    </row>
    <row r="9" spans="1:21" x14ac:dyDescent="0.3">
      <c r="C9" s="27" t="s">
        <v>1</v>
      </c>
      <c r="D9" s="7"/>
      <c r="E9" s="7"/>
      <c r="F9" s="27" t="s">
        <v>108</v>
      </c>
      <c r="G9" s="7"/>
      <c r="H9" s="7"/>
      <c r="I9" s="26" t="s">
        <v>109</v>
      </c>
      <c r="J9" s="7"/>
      <c r="K9" s="7"/>
      <c r="L9" s="26" t="s">
        <v>110</v>
      </c>
      <c r="M9" s="7"/>
      <c r="N9" s="7"/>
      <c r="O9" s="25" t="s">
        <v>108</v>
      </c>
      <c r="P9" s="7"/>
      <c r="Q9" s="7"/>
      <c r="R9" s="25" t="s">
        <v>109</v>
      </c>
      <c r="S9" s="7"/>
      <c r="T9" s="7"/>
    </row>
    <row r="10" spans="1:21" x14ac:dyDescent="0.3">
      <c r="B10" s="5" t="s">
        <v>2</v>
      </c>
      <c r="C10" s="30" t="s">
        <v>62</v>
      </c>
      <c r="D10" s="30" t="s">
        <v>63</v>
      </c>
      <c r="E10" s="20" t="s">
        <v>0</v>
      </c>
      <c r="F10" s="30" t="s">
        <v>62</v>
      </c>
      <c r="G10" s="30" t="s">
        <v>63</v>
      </c>
      <c r="H10" s="20" t="s">
        <v>0</v>
      </c>
      <c r="I10" s="30" t="s">
        <v>62</v>
      </c>
      <c r="J10" s="30" t="s">
        <v>63</v>
      </c>
      <c r="K10" s="20" t="s">
        <v>0</v>
      </c>
      <c r="L10" s="30" t="s">
        <v>62</v>
      </c>
      <c r="M10" s="30" t="s">
        <v>63</v>
      </c>
      <c r="N10" s="20" t="s">
        <v>0</v>
      </c>
      <c r="O10" s="30" t="s">
        <v>62</v>
      </c>
      <c r="P10" s="30" t="s">
        <v>63</v>
      </c>
      <c r="Q10" s="20" t="s">
        <v>0</v>
      </c>
      <c r="R10" s="30" t="s">
        <v>62</v>
      </c>
      <c r="S10" s="30" t="s">
        <v>63</v>
      </c>
      <c r="T10" s="20" t="s">
        <v>0</v>
      </c>
    </row>
    <row r="11" spans="1:21" x14ac:dyDescent="0.3">
      <c r="B11" s="21" t="s">
        <v>3</v>
      </c>
      <c r="C11" s="22">
        <f>Paralelo!D8</f>
        <v>331599460</v>
      </c>
      <c r="D11" s="22">
        <f>'Dez24'!D8</f>
        <v>331599441</v>
      </c>
      <c r="E11" s="22">
        <f>C11-D11</f>
        <v>19</v>
      </c>
      <c r="F11" s="22">
        <f>Paralelo!E8</f>
        <v>15687251</v>
      </c>
      <c r="G11" s="22">
        <f>'Dez24'!E8</f>
        <v>15710968</v>
      </c>
      <c r="H11" s="22">
        <f>F11-G11</f>
        <v>-23717</v>
      </c>
      <c r="I11" s="22">
        <f>Paralelo!F8</f>
        <v>2437101</v>
      </c>
      <c r="J11" s="22">
        <f>'Dez24'!F8</f>
        <v>2437629</v>
      </c>
      <c r="K11" s="22">
        <f>I11-J11</f>
        <v>-528</v>
      </c>
      <c r="L11" s="22">
        <f>Paralelo!J8</f>
        <v>0</v>
      </c>
      <c r="M11" s="22">
        <f>'Dez24'!J8</f>
        <v>0</v>
      </c>
      <c r="N11" s="22">
        <f>L11-M11</f>
        <v>0</v>
      </c>
      <c r="O11" s="22">
        <f>Paralelo!K8</f>
        <v>0</v>
      </c>
      <c r="P11" s="22">
        <f>'Dez24'!K8</f>
        <v>0</v>
      </c>
      <c r="Q11" s="22">
        <f>O11-P11</f>
        <v>0</v>
      </c>
      <c r="R11" s="22">
        <f>Paralelo!L8</f>
        <v>297</v>
      </c>
      <c r="S11" s="22">
        <f>'Dez24'!L8</f>
        <v>297</v>
      </c>
      <c r="T11" s="22">
        <f>R11-S11</f>
        <v>0</v>
      </c>
    </row>
    <row r="12" spans="1:21" x14ac:dyDescent="0.3">
      <c r="B12" s="21" t="s">
        <v>4</v>
      </c>
      <c r="C12" s="22">
        <f>Paralelo!D9</f>
        <v>14172404</v>
      </c>
      <c r="D12" s="22">
        <f>'Dez24'!D9</f>
        <v>14172372</v>
      </c>
      <c r="E12" s="22">
        <f t="shared" ref="E12:E64" si="0">C12-D12</f>
        <v>32</v>
      </c>
      <c r="F12" s="22">
        <f>Paralelo!E9</f>
        <v>752507</v>
      </c>
      <c r="G12" s="22">
        <f>'Dez24'!E9</f>
        <v>754361</v>
      </c>
      <c r="H12" s="22">
        <f t="shared" ref="H12:H64" si="1">F12-G12</f>
        <v>-1854</v>
      </c>
      <c r="I12" s="22">
        <f>Paralelo!F9</f>
        <v>446416</v>
      </c>
      <c r="J12" s="22">
        <f>'Dez24'!F9</f>
        <v>446416</v>
      </c>
      <c r="K12" s="22">
        <f t="shared" ref="K12:K64" si="2">I12-J12</f>
        <v>0</v>
      </c>
      <c r="L12" s="22">
        <f>Paralelo!J9</f>
        <v>0</v>
      </c>
      <c r="M12" s="22">
        <f>'Dez24'!J9</f>
        <v>0</v>
      </c>
      <c r="N12" s="22">
        <f t="shared" ref="N12:N64" si="3">L12-M12</f>
        <v>0</v>
      </c>
      <c r="O12" s="22">
        <f>Paralelo!K9</f>
        <v>0</v>
      </c>
      <c r="P12" s="22">
        <f>'Dez24'!K9</f>
        <v>0</v>
      </c>
      <c r="Q12" s="22">
        <f t="shared" ref="Q12:Q64" si="4">O12-P12</f>
        <v>0</v>
      </c>
      <c r="R12" s="22">
        <f>Paralelo!L9</f>
        <v>6028</v>
      </c>
      <c r="S12" s="22">
        <f>'Dez24'!L9</f>
        <v>6028</v>
      </c>
      <c r="T12" s="22">
        <f t="shared" ref="T12:T64" si="5">R12-S12</f>
        <v>0</v>
      </c>
    </row>
    <row r="13" spans="1:21" hidden="1" outlineLevel="1" x14ac:dyDescent="0.3">
      <c r="B13" s="29" t="s">
        <v>5</v>
      </c>
      <c r="C13" s="28">
        <f>Paralelo!D10</f>
        <v>0</v>
      </c>
      <c r="D13" s="28">
        <f>'Dez24'!D10</f>
        <v>0</v>
      </c>
      <c r="E13" s="28">
        <f t="shared" si="0"/>
        <v>0</v>
      </c>
      <c r="F13" s="28">
        <f>Paralelo!E10</f>
        <v>0</v>
      </c>
      <c r="G13" s="28">
        <f>'Dez24'!E10</f>
        <v>0</v>
      </c>
      <c r="H13" s="28">
        <f t="shared" si="1"/>
        <v>0</v>
      </c>
      <c r="I13" s="28">
        <f>Paralelo!F10</f>
        <v>0</v>
      </c>
      <c r="J13" s="28">
        <f>'Dez24'!F10</f>
        <v>0</v>
      </c>
      <c r="K13" s="28">
        <f t="shared" si="2"/>
        <v>0</v>
      </c>
      <c r="L13" s="28">
        <f>Paralelo!J10</f>
        <v>0</v>
      </c>
      <c r="M13" s="28">
        <f>'Dez24'!J10</f>
        <v>0</v>
      </c>
      <c r="N13" s="28">
        <f t="shared" si="3"/>
        <v>0</v>
      </c>
      <c r="O13" s="28">
        <f>Paralelo!K10</f>
        <v>0</v>
      </c>
      <c r="P13" s="28">
        <f>'Dez24'!K10</f>
        <v>0</v>
      </c>
      <c r="Q13" s="28">
        <f t="shared" si="4"/>
        <v>0</v>
      </c>
      <c r="R13" s="28">
        <f>Paralelo!L10</f>
        <v>0</v>
      </c>
      <c r="S13" s="28">
        <f>'Dez24'!L10</f>
        <v>0</v>
      </c>
      <c r="T13" s="28">
        <f t="shared" si="5"/>
        <v>0</v>
      </c>
    </row>
    <row r="14" spans="1:21" hidden="1" outlineLevel="1" x14ac:dyDescent="0.3">
      <c r="B14" s="29" t="s">
        <v>6</v>
      </c>
      <c r="C14" s="28">
        <f>Paralelo!D11</f>
        <v>0</v>
      </c>
      <c r="D14" s="28">
        <f>'Dez24'!D11</f>
        <v>0</v>
      </c>
      <c r="E14" s="28">
        <f t="shared" si="0"/>
        <v>0</v>
      </c>
      <c r="F14" s="28">
        <f>Paralelo!E11</f>
        <v>0</v>
      </c>
      <c r="G14" s="28">
        <f>'Dez24'!E11</f>
        <v>0</v>
      </c>
      <c r="H14" s="28">
        <f t="shared" si="1"/>
        <v>0</v>
      </c>
      <c r="I14" s="28">
        <f>Paralelo!F11</f>
        <v>190</v>
      </c>
      <c r="J14" s="28">
        <f>'Dez24'!F11</f>
        <v>190</v>
      </c>
      <c r="K14" s="28">
        <f t="shared" si="2"/>
        <v>0</v>
      </c>
      <c r="L14" s="28">
        <f>Paralelo!J11</f>
        <v>0</v>
      </c>
      <c r="M14" s="28">
        <f>'Dez24'!J11</f>
        <v>0</v>
      </c>
      <c r="N14" s="28">
        <f t="shared" si="3"/>
        <v>0</v>
      </c>
      <c r="O14" s="28">
        <f>Paralelo!K11</f>
        <v>0</v>
      </c>
      <c r="P14" s="28">
        <f>'Dez24'!K11</f>
        <v>0</v>
      </c>
      <c r="Q14" s="28">
        <f t="shared" si="4"/>
        <v>0</v>
      </c>
      <c r="R14" s="28">
        <f>Paralelo!L11</f>
        <v>6028</v>
      </c>
      <c r="S14" s="28">
        <f>'Dez24'!L11</f>
        <v>6028</v>
      </c>
      <c r="T14" s="28">
        <f t="shared" si="5"/>
        <v>0</v>
      </c>
    </row>
    <row r="15" spans="1:21" hidden="1" outlineLevel="1" x14ac:dyDescent="0.3">
      <c r="B15" s="29" t="s">
        <v>7</v>
      </c>
      <c r="C15" s="28">
        <f>Paralelo!D12</f>
        <v>141472</v>
      </c>
      <c r="D15" s="28">
        <f>'Dez24'!D12</f>
        <v>141471</v>
      </c>
      <c r="E15" s="28">
        <f t="shared" si="0"/>
        <v>1</v>
      </c>
      <c r="F15" s="28">
        <f>Paralelo!E12</f>
        <v>34428</v>
      </c>
      <c r="G15" s="28">
        <f>'Dez24'!E12</f>
        <v>34264</v>
      </c>
      <c r="H15" s="28">
        <f t="shared" si="1"/>
        <v>164</v>
      </c>
      <c r="I15" s="28">
        <f>Paralelo!F12</f>
        <v>41958</v>
      </c>
      <c r="J15" s="28">
        <f>'Dez24'!F12</f>
        <v>41958</v>
      </c>
      <c r="K15" s="28">
        <f t="shared" si="2"/>
        <v>0</v>
      </c>
      <c r="L15" s="28">
        <f>Paralelo!J12</f>
        <v>0</v>
      </c>
      <c r="M15" s="28">
        <f>'Dez24'!J12</f>
        <v>0</v>
      </c>
      <c r="N15" s="28">
        <f t="shared" si="3"/>
        <v>0</v>
      </c>
      <c r="O15" s="28">
        <f>Paralelo!K12</f>
        <v>0</v>
      </c>
      <c r="P15" s="28">
        <f>'Dez24'!K12</f>
        <v>0</v>
      </c>
      <c r="Q15" s="28">
        <f t="shared" si="4"/>
        <v>0</v>
      </c>
      <c r="R15" s="28">
        <f>Paralelo!L12</f>
        <v>0</v>
      </c>
      <c r="S15" s="28">
        <f>'Dez24'!L12</f>
        <v>0</v>
      </c>
      <c r="T15" s="28">
        <f t="shared" si="5"/>
        <v>0</v>
      </c>
    </row>
    <row r="16" spans="1:21" hidden="1" outlineLevel="1" x14ac:dyDescent="0.3">
      <c r="B16" s="29" t="s">
        <v>8</v>
      </c>
      <c r="C16" s="28">
        <f>Paralelo!D13</f>
        <v>13954368</v>
      </c>
      <c r="D16" s="28">
        <f>'Dez24'!D13</f>
        <v>13954338</v>
      </c>
      <c r="E16" s="28">
        <f t="shared" si="0"/>
        <v>30</v>
      </c>
      <c r="F16" s="28">
        <f>Paralelo!E13</f>
        <v>707631</v>
      </c>
      <c r="G16" s="28">
        <f>'Dez24'!E13</f>
        <v>709641</v>
      </c>
      <c r="H16" s="28">
        <f t="shared" si="1"/>
        <v>-2010</v>
      </c>
      <c r="I16" s="28">
        <f>Paralelo!F13</f>
        <v>400421</v>
      </c>
      <c r="J16" s="28">
        <f>'Dez24'!F13</f>
        <v>400421</v>
      </c>
      <c r="K16" s="28">
        <f t="shared" si="2"/>
        <v>0</v>
      </c>
      <c r="L16" s="28">
        <f>Paralelo!J13</f>
        <v>0</v>
      </c>
      <c r="M16" s="28">
        <f>'Dez24'!J13</f>
        <v>0</v>
      </c>
      <c r="N16" s="28">
        <f t="shared" si="3"/>
        <v>0</v>
      </c>
      <c r="O16" s="28">
        <f>Paralelo!K13</f>
        <v>0</v>
      </c>
      <c r="P16" s="28">
        <f>'Dez24'!K13</f>
        <v>0</v>
      </c>
      <c r="Q16" s="28">
        <f t="shared" si="4"/>
        <v>0</v>
      </c>
      <c r="R16" s="28">
        <f>Paralelo!L13</f>
        <v>0</v>
      </c>
      <c r="S16" s="28">
        <f>'Dez24'!L13</f>
        <v>0</v>
      </c>
      <c r="T16" s="28">
        <f t="shared" si="5"/>
        <v>0</v>
      </c>
    </row>
    <row r="17" spans="2:20" hidden="1" outlineLevel="1" x14ac:dyDescent="0.3">
      <c r="B17" s="29" t="s">
        <v>9</v>
      </c>
      <c r="C17" s="28">
        <f>Paralelo!D14</f>
        <v>76564</v>
      </c>
      <c r="D17" s="28">
        <f>'Dez24'!D14</f>
        <v>76563</v>
      </c>
      <c r="E17" s="28">
        <f t="shared" si="0"/>
        <v>1</v>
      </c>
      <c r="F17" s="28">
        <f>Paralelo!E14</f>
        <v>10448</v>
      </c>
      <c r="G17" s="28">
        <f>'Dez24'!E14</f>
        <v>10456</v>
      </c>
      <c r="H17" s="28">
        <f t="shared" si="1"/>
        <v>-8</v>
      </c>
      <c r="I17" s="28">
        <f>Paralelo!F14</f>
        <v>3847</v>
      </c>
      <c r="J17" s="28">
        <f>'Dez24'!F14</f>
        <v>3847</v>
      </c>
      <c r="K17" s="28">
        <f t="shared" si="2"/>
        <v>0</v>
      </c>
      <c r="L17" s="28">
        <f>Paralelo!J14</f>
        <v>0</v>
      </c>
      <c r="M17" s="28">
        <f>'Dez24'!J14</f>
        <v>0</v>
      </c>
      <c r="N17" s="28">
        <f t="shared" si="3"/>
        <v>0</v>
      </c>
      <c r="O17" s="28">
        <f>Paralelo!K14</f>
        <v>0</v>
      </c>
      <c r="P17" s="28">
        <f>'Dez24'!K14</f>
        <v>0</v>
      </c>
      <c r="Q17" s="28">
        <f t="shared" si="4"/>
        <v>0</v>
      </c>
      <c r="R17" s="28">
        <f>Paralelo!L14</f>
        <v>0</v>
      </c>
      <c r="S17" s="28">
        <f>'Dez24'!L14</f>
        <v>0</v>
      </c>
      <c r="T17" s="28">
        <f t="shared" si="5"/>
        <v>0</v>
      </c>
    </row>
    <row r="18" spans="2:20" collapsed="1" x14ac:dyDescent="0.3">
      <c r="B18" s="21" t="s">
        <v>10</v>
      </c>
      <c r="C18" s="22">
        <f>Paralelo!D15</f>
        <v>2162719946</v>
      </c>
      <c r="D18" s="22">
        <f>'Dez24'!D15</f>
        <v>2220273775</v>
      </c>
      <c r="E18" s="22">
        <f t="shared" si="0"/>
        <v>-57553829</v>
      </c>
      <c r="F18" s="22">
        <f>Paralelo!E15</f>
        <v>111890711</v>
      </c>
      <c r="G18" s="22">
        <f>'Dez24'!E15</f>
        <v>115470868</v>
      </c>
      <c r="H18" s="22">
        <f t="shared" si="1"/>
        <v>-3580157</v>
      </c>
      <c r="I18" s="22">
        <f>Paralelo!F15</f>
        <v>17581811</v>
      </c>
      <c r="J18" s="22">
        <f>'Dez24'!F15</f>
        <v>17804799</v>
      </c>
      <c r="K18" s="22">
        <f t="shared" si="2"/>
        <v>-222988</v>
      </c>
      <c r="L18" s="22">
        <f>Paralelo!J15</f>
        <v>0</v>
      </c>
      <c r="M18" s="22">
        <f>'Dez24'!J15</f>
        <v>0</v>
      </c>
      <c r="N18" s="22">
        <f t="shared" si="3"/>
        <v>0</v>
      </c>
      <c r="O18" s="22">
        <f>Paralelo!K15</f>
        <v>261587</v>
      </c>
      <c r="P18" s="22">
        <f>'Dez24'!K15</f>
        <v>261587</v>
      </c>
      <c r="Q18" s="22">
        <f t="shared" si="4"/>
        <v>0</v>
      </c>
      <c r="R18" s="22">
        <f>Paralelo!L15</f>
        <v>39804</v>
      </c>
      <c r="S18" s="22">
        <f>'Dez24'!L15</f>
        <v>39804</v>
      </c>
      <c r="T18" s="45">
        <f t="shared" si="5"/>
        <v>0</v>
      </c>
    </row>
    <row r="19" spans="2:20" hidden="1" outlineLevel="1" x14ac:dyDescent="0.3">
      <c r="B19" s="29" t="s">
        <v>11</v>
      </c>
      <c r="C19" s="28">
        <f>Paralelo!D16</f>
        <v>336423701</v>
      </c>
      <c r="D19" s="28">
        <f>'Dez24'!D16</f>
        <v>336423698</v>
      </c>
      <c r="E19" s="28">
        <f t="shared" si="0"/>
        <v>3</v>
      </c>
      <c r="F19" s="28">
        <f>Paralelo!E16</f>
        <v>15965449</v>
      </c>
      <c r="G19" s="28">
        <f>'Dez24'!E16</f>
        <v>16021606</v>
      </c>
      <c r="H19" s="28">
        <f t="shared" si="1"/>
        <v>-56157</v>
      </c>
      <c r="I19" s="28">
        <f>Paralelo!F16</f>
        <v>2211995</v>
      </c>
      <c r="J19" s="28">
        <f>'Dez24'!F16</f>
        <v>2209965</v>
      </c>
      <c r="K19" s="28">
        <f t="shared" si="2"/>
        <v>2030</v>
      </c>
      <c r="L19" s="28">
        <f>Paralelo!J16</f>
        <v>0</v>
      </c>
      <c r="M19" s="28">
        <f>'Dez24'!J16</f>
        <v>0</v>
      </c>
      <c r="N19" s="28">
        <f t="shared" si="3"/>
        <v>0</v>
      </c>
      <c r="O19" s="28">
        <f>Paralelo!K16</f>
        <v>194616</v>
      </c>
      <c r="P19" s="28">
        <f>'Dez24'!K16</f>
        <v>194616</v>
      </c>
      <c r="Q19" s="28">
        <f t="shared" si="4"/>
        <v>0</v>
      </c>
      <c r="R19" s="28">
        <f>Paralelo!L16</f>
        <v>1899</v>
      </c>
      <c r="S19" s="28">
        <f>'Dez24'!L16</f>
        <v>1899</v>
      </c>
      <c r="T19" s="44">
        <f t="shared" si="5"/>
        <v>0</v>
      </c>
    </row>
    <row r="20" spans="2:20" hidden="1" outlineLevel="1" x14ac:dyDescent="0.3">
      <c r="B20" s="29" t="s">
        <v>12</v>
      </c>
      <c r="C20" s="28">
        <f>Paralelo!D17</f>
        <v>217522093</v>
      </c>
      <c r="D20" s="28">
        <f>'Dez24'!D17</f>
        <v>217522088</v>
      </c>
      <c r="E20" s="28">
        <f t="shared" si="0"/>
        <v>5</v>
      </c>
      <c r="F20" s="28">
        <f>Paralelo!E17</f>
        <v>10741445</v>
      </c>
      <c r="G20" s="28">
        <f>'Dez24'!E17</f>
        <v>10764705</v>
      </c>
      <c r="H20" s="28">
        <f t="shared" si="1"/>
        <v>-23260</v>
      </c>
      <c r="I20" s="28">
        <f>Paralelo!F17</f>
        <v>1264338</v>
      </c>
      <c r="J20" s="28">
        <f>'Dez24'!F17</f>
        <v>1264338</v>
      </c>
      <c r="K20" s="28">
        <f t="shared" si="2"/>
        <v>0</v>
      </c>
      <c r="L20" s="28">
        <f>Paralelo!J17</f>
        <v>0</v>
      </c>
      <c r="M20" s="28">
        <f>'Dez24'!J17</f>
        <v>0</v>
      </c>
      <c r="N20" s="28">
        <f t="shared" si="3"/>
        <v>0</v>
      </c>
      <c r="O20" s="28">
        <f>Paralelo!K17</f>
        <v>0</v>
      </c>
      <c r="P20" s="28">
        <f>'Dez24'!K17</f>
        <v>0</v>
      </c>
      <c r="Q20" s="28">
        <f t="shared" si="4"/>
        <v>0</v>
      </c>
      <c r="R20" s="28">
        <f>Paralelo!L17</f>
        <v>0</v>
      </c>
      <c r="S20" s="28">
        <f>'Dez24'!L17</f>
        <v>0</v>
      </c>
      <c r="T20" s="44">
        <f t="shared" si="5"/>
        <v>0</v>
      </c>
    </row>
    <row r="21" spans="2:20" hidden="1" outlineLevel="1" x14ac:dyDescent="0.3">
      <c r="B21" s="29" t="s">
        <v>13</v>
      </c>
      <c r="C21" s="28">
        <f>Paralelo!D18</f>
        <v>2924771</v>
      </c>
      <c r="D21" s="28">
        <f>'Dez24'!D18</f>
        <v>2924771</v>
      </c>
      <c r="E21" s="28">
        <f t="shared" si="0"/>
        <v>0</v>
      </c>
      <c r="F21" s="28">
        <f>Paralelo!E18</f>
        <v>128825</v>
      </c>
      <c r="G21" s="28">
        <f>'Dez24'!E18</f>
        <v>128825</v>
      </c>
      <c r="H21" s="28">
        <f t="shared" si="1"/>
        <v>0</v>
      </c>
      <c r="I21" s="28">
        <f>Paralelo!F18</f>
        <v>15487</v>
      </c>
      <c r="J21" s="28">
        <f>'Dez24'!F18</f>
        <v>15487</v>
      </c>
      <c r="K21" s="28">
        <f t="shared" si="2"/>
        <v>0</v>
      </c>
      <c r="L21" s="28">
        <f>Paralelo!J18</f>
        <v>0</v>
      </c>
      <c r="M21" s="28">
        <f>'Dez24'!J18</f>
        <v>0</v>
      </c>
      <c r="N21" s="28">
        <f t="shared" si="3"/>
        <v>0</v>
      </c>
      <c r="O21" s="28">
        <f>Paralelo!K18</f>
        <v>0</v>
      </c>
      <c r="P21" s="28">
        <f>'Dez24'!K18</f>
        <v>0</v>
      </c>
      <c r="Q21" s="28">
        <f t="shared" si="4"/>
        <v>0</v>
      </c>
      <c r="R21" s="28">
        <f>Paralelo!L18</f>
        <v>0</v>
      </c>
      <c r="S21" s="28">
        <f>'Dez24'!L18</f>
        <v>0</v>
      </c>
      <c r="T21" s="44">
        <f t="shared" si="5"/>
        <v>0</v>
      </c>
    </row>
    <row r="22" spans="2:20" hidden="1" outlineLevel="1" x14ac:dyDescent="0.3">
      <c r="B22" s="29" t="s">
        <v>14</v>
      </c>
      <c r="C22" s="28">
        <f>Paralelo!D19</f>
        <v>112288974</v>
      </c>
      <c r="D22" s="28">
        <f>'Dez24'!D19</f>
        <v>112288971</v>
      </c>
      <c r="E22" s="28">
        <f t="shared" si="0"/>
        <v>3</v>
      </c>
      <c r="F22" s="28">
        <f>Paralelo!E19</f>
        <v>5711850</v>
      </c>
      <c r="G22" s="28">
        <f>'Dez24'!E19</f>
        <v>5728198</v>
      </c>
      <c r="H22" s="28">
        <f t="shared" si="1"/>
        <v>-16348</v>
      </c>
      <c r="I22" s="28">
        <f>Paralelo!F19</f>
        <v>854236</v>
      </c>
      <c r="J22" s="28">
        <f>'Dez24'!F19</f>
        <v>854047</v>
      </c>
      <c r="K22" s="28">
        <f t="shared" si="2"/>
        <v>189</v>
      </c>
      <c r="L22" s="28">
        <f>Paralelo!J19</f>
        <v>0</v>
      </c>
      <c r="M22" s="28">
        <f>'Dez24'!J19</f>
        <v>0</v>
      </c>
      <c r="N22" s="28">
        <f t="shared" si="3"/>
        <v>0</v>
      </c>
      <c r="O22" s="28">
        <f>Paralelo!K19</f>
        <v>0</v>
      </c>
      <c r="P22" s="28">
        <f>'Dez24'!K19</f>
        <v>0</v>
      </c>
      <c r="Q22" s="28">
        <f t="shared" si="4"/>
        <v>0</v>
      </c>
      <c r="R22" s="28">
        <f>Paralelo!L19</f>
        <v>0</v>
      </c>
      <c r="S22" s="28">
        <f>'Dez24'!L19</f>
        <v>0</v>
      </c>
      <c r="T22" s="44">
        <f t="shared" si="5"/>
        <v>0</v>
      </c>
    </row>
    <row r="23" spans="2:20" hidden="1" outlineLevel="1" x14ac:dyDescent="0.3">
      <c r="B23" s="29" t="s">
        <v>15</v>
      </c>
      <c r="C23" s="28">
        <f>Paralelo!D20</f>
        <v>94341450</v>
      </c>
      <c r="D23" s="28">
        <f>'Dez24'!D20</f>
        <v>94342483</v>
      </c>
      <c r="E23" s="28">
        <f t="shared" si="0"/>
        <v>-1033</v>
      </c>
      <c r="F23" s="28">
        <f>Paralelo!E20</f>
        <v>5217641</v>
      </c>
      <c r="G23" s="28">
        <f>'Dez24'!E20</f>
        <v>5241816</v>
      </c>
      <c r="H23" s="28">
        <f t="shared" si="1"/>
        <v>-24175</v>
      </c>
      <c r="I23" s="28">
        <f>Paralelo!F20</f>
        <v>1145580</v>
      </c>
      <c r="J23" s="28">
        <f>'Dez24'!F20</f>
        <v>1145580</v>
      </c>
      <c r="K23" s="28">
        <f t="shared" si="2"/>
        <v>0</v>
      </c>
      <c r="L23" s="28">
        <f>Paralelo!J20</f>
        <v>0</v>
      </c>
      <c r="M23" s="28">
        <f>'Dez24'!J20</f>
        <v>0</v>
      </c>
      <c r="N23" s="28">
        <f t="shared" si="3"/>
        <v>0</v>
      </c>
      <c r="O23" s="28">
        <f>Paralelo!K20</f>
        <v>0</v>
      </c>
      <c r="P23" s="28">
        <f>'Dez24'!K20</f>
        <v>0</v>
      </c>
      <c r="Q23" s="28">
        <f t="shared" si="4"/>
        <v>0</v>
      </c>
      <c r="R23" s="28">
        <f>Paralelo!L20</f>
        <v>0</v>
      </c>
      <c r="S23" s="28">
        <f>'Dez24'!L20</f>
        <v>0</v>
      </c>
      <c r="T23" s="44">
        <f t="shared" si="5"/>
        <v>0</v>
      </c>
    </row>
    <row r="24" spans="2:20" hidden="1" outlineLevel="1" x14ac:dyDescent="0.3">
      <c r="B24" s="29" t="s">
        <v>16</v>
      </c>
      <c r="C24" s="28">
        <f>Paralelo!D21</f>
        <v>50416475</v>
      </c>
      <c r="D24" s="28">
        <f>'Dez24'!D21</f>
        <v>50416471</v>
      </c>
      <c r="E24" s="28">
        <f t="shared" si="0"/>
        <v>4</v>
      </c>
      <c r="F24" s="28">
        <f>Paralelo!E21</f>
        <v>2945548</v>
      </c>
      <c r="G24" s="28">
        <f>'Dez24'!E21</f>
        <v>2963402</v>
      </c>
      <c r="H24" s="28">
        <f t="shared" si="1"/>
        <v>-17854</v>
      </c>
      <c r="I24" s="28">
        <f>Paralelo!F21</f>
        <v>592018</v>
      </c>
      <c r="J24" s="28">
        <f>'Dez24'!F21</f>
        <v>592018</v>
      </c>
      <c r="K24" s="28">
        <f t="shared" si="2"/>
        <v>0</v>
      </c>
      <c r="L24" s="28">
        <f>Paralelo!J21</f>
        <v>0</v>
      </c>
      <c r="M24" s="28">
        <f>'Dez24'!J21</f>
        <v>0</v>
      </c>
      <c r="N24" s="28">
        <f t="shared" si="3"/>
        <v>0</v>
      </c>
      <c r="O24" s="28">
        <f>Paralelo!K21</f>
        <v>0</v>
      </c>
      <c r="P24" s="28">
        <f>'Dez24'!K21</f>
        <v>0</v>
      </c>
      <c r="Q24" s="28">
        <f t="shared" si="4"/>
        <v>0</v>
      </c>
      <c r="R24" s="28">
        <f>Paralelo!L21</f>
        <v>96</v>
      </c>
      <c r="S24" s="28">
        <f>'Dez24'!L21</f>
        <v>96</v>
      </c>
      <c r="T24" s="44">
        <f t="shared" si="5"/>
        <v>0</v>
      </c>
    </row>
    <row r="25" spans="2:20" ht="28.8" hidden="1" outlineLevel="1" x14ac:dyDescent="0.3">
      <c r="B25" s="29" t="s">
        <v>17</v>
      </c>
      <c r="C25" s="28">
        <f>Paralelo!D22</f>
        <v>113903358</v>
      </c>
      <c r="D25" s="28">
        <f>'Dez24'!D22</f>
        <v>113903358</v>
      </c>
      <c r="E25" s="28">
        <f t="shared" si="0"/>
        <v>0</v>
      </c>
      <c r="F25" s="28">
        <f>Paralelo!E22</f>
        <v>6292561</v>
      </c>
      <c r="G25" s="28">
        <f>'Dez24'!E22</f>
        <v>6325662</v>
      </c>
      <c r="H25" s="28">
        <f t="shared" si="1"/>
        <v>-33101</v>
      </c>
      <c r="I25" s="28">
        <f>Paralelo!F22</f>
        <v>781672</v>
      </c>
      <c r="J25" s="28">
        <f>'Dez24'!F22</f>
        <v>781672</v>
      </c>
      <c r="K25" s="28">
        <f t="shared" si="2"/>
        <v>0</v>
      </c>
      <c r="L25" s="28">
        <f>Paralelo!J22</f>
        <v>0</v>
      </c>
      <c r="M25" s="28">
        <f>'Dez24'!J22</f>
        <v>0</v>
      </c>
      <c r="N25" s="28">
        <f t="shared" si="3"/>
        <v>0</v>
      </c>
      <c r="O25" s="28">
        <f>Paralelo!K22</f>
        <v>0</v>
      </c>
      <c r="P25" s="28">
        <f>'Dez24'!K22</f>
        <v>0</v>
      </c>
      <c r="Q25" s="28">
        <f t="shared" si="4"/>
        <v>0</v>
      </c>
      <c r="R25" s="28">
        <f>Paralelo!L22</f>
        <v>0</v>
      </c>
      <c r="S25" s="28">
        <f>'Dez24'!L22</f>
        <v>0</v>
      </c>
      <c r="T25" s="44">
        <f t="shared" si="5"/>
        <v>0</v>
      </c>
    </row>
    <row r="26" spans="2:20" hidden="1" outlineLevel="1" x14ac:dyDescent="0.3">
      <c r="B26" s="29" t="s">
        <v>18</v>
      </c>
      <c r="C26" s="28">
        <f>Paralelo!D23</f>
        <v>145662162</v>
      </c>
      <c r="D26" s="28">
        <f>'Dez24'!D23</f>
        <v>145662163</v>
      </c>
      <c r="E26" s="28">
        <f t="shared" si="0"/>
        <v>-1</v>
      </c>
      <c r="F26" s="28">
        <f>Paralelo!E23</f>
        <v>6119507</v>
      </c>
      <c r="G26" s="28">
        <f>'Dez24'!E23</f>
        <v>6146861</v>
      </c>
      <c r="H26" s="28">
        <f t="shared" si="1"/>
        <v>-27354</v>
      </c>
      <c r="I26" s="28">
        <f>Paralelo!F23</f>
        <v>276084</v>
      </c>
      <c r="J26" s="28">
        <f>'Dez24'!F23</f>
        <v>276427</v>
      </c>
      <c r="K26" s="28">
        <f t="shared" si="2"/>
        <v>-343</v>
      </c>
      <c r="L26" s="28">
        <f>Paralelo!J23</f>
        <v>0</v>
      </c>
      <c r="M26" s="28">
        <f>'Dez24'!J23</f>
        <v>0</v>
      </c>
      <c r="N26" s="28">
        <f t="shared" si="3"/>
        <v>0</v>
      </c>
      <c r="O26" s="28">
        <f>Paralelo!K23</f>
        <v>0</v>
      </c>
      <c r="P26" s="28">
        <f>'Dez24'!K23</f>
        <v>0</v>
      </c>
      <c r="Q26" s="28">
        <f t="shared" si="4"/>
        <v>0</v>
      </c>
      <c r="R26" s="28">
        <f>Paralelo!L23</f>
        <v>0</v>
      </c>
      <c r="S26" s="28">
        <f>'Dez24'!L23</f>
        <v>0</v>
      </c>
      <c r="T26" s="44">
        <f t="shared" si="5"/>
        <v>0</v>
      </c>
    </row>
    <row r="27" spans="2:20" hidden="1" outlineLevel="1" x14ac:dyDescent="0.3">
      <c r="B27" s="29" t="s">
        <v>19</v>
      </c>
      <c r="C27" s="28">
        <f>Paralelo!D24</f>
        <v>29940097</v>
      </c>
      <c r="D27" s="28">
        <f>'Dez24'!D24</f>
        <v>29940097</v>
      </c>
      <c r="E27" s="28">
        <f t="shared" si="0"/>
        <v>0</v>
      </c>
      <c r="F27" s="28">
        <f>Paralelo!E24</f>
        <v>1703042</v>
      </c>
      <c r="G27" s="28">
        <f>'Dez24'!E24</f>
        <v>1704678</v>
      </c>
      <c r="H27" s="28">
        <f t="shared" si="1"/>
        <v>-1636</v>
      </c>
      <c r="I27" s="28">
        <f>Paralelo!F24</f>
        <v>373107</v>
      </c>
      <c r="J27" s="28">
        <f>'Dez24'!F24</f>
        <v>373107</v>
      </c>
      <c r="K27" s="28">
        <f t="shared" si="2"/>
        <v>0</v>
      </c>
      <c r="L27" s="28">
        <f>Paralelo!J24</f>
        <v>0</v>
      </c>
      <c r="M27" s="28">
        <f>'Dez24'!J24</f>
        <v>0</v>
      </c>
      <c r="N27" s="28">
        <f t="shared" si="3"/>
        <v>0</v>
      </c>
      <c r="O27" s="28">
        <f>Paralelo!K24</f>
        <v>0</v>
      </c>
      <c r="P27" s="28">
        <f>'Dez24'!K24</f>
        <v>0</v>
      </c>
      <c r="Q27" s="28">
        <f t="shared" si="4"/>
        <v>0</v>
      </c>
      <c r="R27" s="28">
        <f>Paralelo!L24</f>
        <v>92</v>
      </c>
      <c r="S27" s="28">
        <f>'Dez24'!L24</f>
        <v>92</v>
      </c>
      <c r="T27" s="44">
        <f t="shared" si="5"/>
        <v>0</v>
      </c>
    </row>
    <row r="28" spans="2:20" hidden="1" outlineLevel="1" x14ac:dyDescent="0.3">
      <c r="B28" s="29" t="s">
        <v>20</v>
      </c>
      <c r="C28" s="28">
        <f>Paralelo!D25</f>
        <v>469050</v>
      </c>
      <c r="D28" s="28">
        <f>'Dez24'!D25</f>
        <v>469049</v>
      </c>
      <c r="E28" s="28">
        <f t="shared" si="0"/>
        <v>1</v>
      </c>
      <c r="F28" s="28">
        <f>Paralelo!E25</f>
        <v>3032724</v>
      </c>
      <c r="G28" s="28">
        <f>'Dez24'!E25</f>
        <v>3032779</v>
      </c>
      <c r="H28" s="28">
        <f t="shared" si="1"/>
        <v>-55</v>
      </c>
      <c r="I28" s="28">
        <f>Paralelo!F25</f>
        <v>426787</v>
      </c>
      <c r="J28" s="28">
        <f>'Dez24'!F25</f>
        <v>426787</v>
      </c>
      <c r="K28" s="28">
        <f t="shared" si="2"/>
        <v>0</v>
      </c>
      <c r="L28" s="28">
        <f>Paralelo!J25</f>
        <v>0</v>
      </c>
      <c r="M28" s="28">
        <f>'Dez24'!J25</f>
        <v>0</v>
      </c>
      <c r="N28" s="28">
        <f t="shared" si="3"/>
        <v>0</v>
      </c>
      <c r="O28" s="28">
        <f>Paralelo!K25</f>
        <v>0</v>
      </c>
      <c r="P28" s="28">
        <f>'Dez24'!K25</f>
        <v>0</v>
      </c>
      <c r="Q28" s="28">
        <f t="shared" si="4"/>
        <v>0</v>
      </c>
      <c r="R28" s="28">
        <f>Paralelo!L25</f>
        <v>0</v>
      </c>
      <c r="S28" s="28">
        <f>'Dez24'!L25</f>
        <v>0</v>
      </c>
      <c r="T28" s="44">
        <f t="shared" si="5"/>
        <v>0</v>
      </c>
    </row>
    <row r="29" spans="2:20" hidden="1" outlineLevel="1" x14ac:dyDescent="0.3">
      <c r="B29" s="29" t="s">
        <v>21</v>
      </c>
      <c r="C29" s="28">
        <f>Paralelo!D26</f>
        <v>103985032</v>
      </c>
      <c r="D29" s="28">
        <f>'Dez24'!D26</f>
        <v>103985036</v>
      </c>
      <c r="E29" s="28">
        <f t="shared" si="0"/>
        <v>-4</v>
      </c>
      <c r="F29" s="28">
        <f>Paralelo!E26</f>
        <v>5073302</v>
      </c>
      <c r="G29" s="28">
        <f>'Dez24'!E26</f>
        <v>5117818</v>
      </c>
      <c r="H29" s="28">
        <f t="shared" si="1"/>
        <v>-44516</v>
      </c>
      <c r="I29" s="28">
        <f>Paralelo!F26</f>
        <v>961891</v>
      </c>
      <c r="J29" s="28">
        <f>'Dez24'!F26</f>
        <v>961891</v>
      </c>
      <c r="K29" s="28">
        <f t="shared" si="2"/>
        <v>0</v>
      </c>
      <c r="L29" s="28">
        <f>Paralelo!J26</f>
        <v>0</v>
      </c>
      <c r="M29" s="28">
        <f>'Dez24'!J26</f>
        <v>0</v>
      </c>
      <c r="N29" s="28">
        <f t="shared" si="3"/>
        <v>0</v>
      </c>
      <c r="O29" s="28">
        <f>Paralelo!K26</f>
        <v>0</v>
      </c>
      <c r="P29" s="28">
        <f>'Dez24'!K26</f>
        <v>0</v>
      </c>
      <c r="Q29" s="28">
        <f t="shared" si="4"/>
        <v>0</v>
      </c>
      <c r="R29" s="28">
        <f>Paralelo!L26</f>
        <v>14013</v>
      </c>
      <c r="S29" s="28">
        <f>'Dez24'!L26</f>
        <v>14013</v>
      </c>
      <c r="T29" s="44">
        <f t="shared" si="5"/>
        <v>0</v>
      </c>
    </row>
    <row r="30" spans="2:20" hidden="1" outlineLevel="1" x14ac:dyDescent="0.3">
      <c r="B30" s="29" t="s">
        <v>22</v>
      </c>
      <c r="C30" s="28">
        <f>Paralelo!D27</f>
        <v>61623360</v>
      </c>
      <c r="D30" s="28">
        <f>'Dez24'!D27</f>
        <v>61623358</v>
      </c>
      <c r="E30" s="28">
        <f t="shared" si="0"/>
        <v>2</v>
      </c>
      <c r="F30" s="28">
        <f>Paralelo!E27</f>
        <v>3484046</v>
      </c>
      <c r="G30" s="28">
        <f>'Dez24'!E27</f>
        <v>3485471</v>
      </c>
      <c r="H30" s="28">
        <f t="shared" si="1"/>
        <v>-1425</v>
      </c>
      <c r="I30" s="28">
        <f>Paralelo!F27</f>
        <v>614764</v>
      </c>
      <c r="J30" s="28">
        <f>'Dez24'!F27</f>
        <v>615125</v>
      </c>
      <c r="K30" s="28">
        <f t="shared" si="2"/>
        <v>-361</v>
      </c>
      <c r="L30" s="28">
        <f>Paralelo!J27</f>
        <v>0</v>
      </c>
      <c r="M30" s="28">
        <f>'Dez24'!J27</f>
        <v>0</v>
      </c>
      <c r="N30" s="28">
        <f t="shared" si="3"/>
        <v>0</v>
      </c>
      <c r="O30" s="28">
        <f>Paralelo!K27</f>
        <v>0</v>
      </c>
      <c r="P30" s="28">
        <f>'Dez24'!K27</f>
        <v>0</v>
      </c>
      <c r="Q30" s="28">
        <f t="shared" si="4"/>
        <v>0</v>
      </c>
      <c r="R30" s="28">
        <f>Paralelo!L27</f>
        <v>0</v>
      </c>
      <c r="S30" s="28">
        <f>'Dez24'!L27</f>
        <v>0</v>
      </c>
      <c r="T30" s="44">
        <f t="shared" si="5"/>
        <v>0</v>
      </c>
    </row>
    <row r="31" spans="2:20" hidden="1" outlineLevel="1" x14ac:dyDescent="0.3">
      <c r="B31" s="29" t="s">
        <v>23</v>
      </c>
      <c r="C31" s="28">
        <f>Paralelo!D28</f>
        <v>92127607</v>
      </c>
      <c r="D31" s="28">
        <f>'Dez24'!D28</f>
        <v>92127605</v>
      </c>
      <c r="E31" s="28">
        <f t="shared" si="0"/>
        <v>2</v>
      </c>
      <c r="F31" s="28">
        <f>Paralelo!E28</f>
        <v>4701844</v>
      </c>
      <c r="G31" s="28">
        <f>'Dez24'!E28</f>
        <v>4728649</v>
      </c>
      <c r="H31" s="28">
        <f t="shared" si="1"/>
        <v>-26805</v>
      </c>
      <c r="I31" s="28">
        <f>Paralelo!F28</f>
        <v>767791</v>
      </c>
      <c r="J31" s="28">
        <f>'Dez24'!F28</f>
        <v>767980</v>
      </c>
      <c r="K31" s="28">
        <f t="shared" si="2"/>
        <v>-189</v>
      </c>
      <c r="L31" s="28">
        <f>Paralelo!J28</f>
        <v>0</v>
      </c>
      <c r="M31" s="28">
        <f>'Dez24'!J28</f>
        <v>0</v>
      </c>
      <c r="N31" s="28">
        <f t="shared" si="3"/>
        <v>0</v>
      </c>
      <c r="O31" s="28">
        <f>Paralelo!K28</f>
        <v>19131</v>
      </c>
      <c r="P31" s="28">
        <f>'Dez24'!K28</f>
        <v>19131</v>
      </c>
      <c r="Q31" s="28">
        <f t="shared" si="4"/>
        <v>0</v>
      </c>
      <c r="R31" s="28">
        <f>Paralelo!L28</f>
        <v>2880</v>
      </c>
      <c r="S31" s="28">
        <f>'Dez24'!L28</f>
        <v>2880</v>
      </c>
      <c r="T31" s="44">
        <f t="shared" si="5"/>
        <v>0</v>
      </c>
    </row>
    <row r="32" spans="2:20" hidden="1" outlineLevel="1" x14ac:dyDescent="0.3">
      <c r="B32" s="29" t="s">
        <v>24</v>
      </c>
      <c r="C32" s="28">
        <f>Paralelo!D29</f>
        <v>187956462</v>
      </c>
      <c r="D32" s="28">
        <f>'Dez24'!D29</f>
        <v>187956467</v>
      </c>
      <c r="E32" s="28">
        <f t="shared" si="0"/>
        <v>-5</v>
      </c>
      <c r="F32" s="28">
        <f>Paralelo!E29</f>
        <v>7571707</v>
      </c>
      <c r="G32" s="28">
        <f>'Dez24'!E29</f>
        <v>7611737</v>
      </c>
      <c r="H32" s="28">
        <f t="shared" si="1"/>
        <v>-40030</v>
      </c>
      <c r="I32" s="28">
        <f>Paralelo!F29</f>
        <v>1089117</v>
      </c>
      <c r="J32" s="28">
        <f>'Dez24'!F29</f>
        <v>1089117</v>
      </c>
      <c r="K32" s="28">
        <f t="shared" si="2"/>
        <v>0</v>
      </c>
      <c r="L32" s="28">
        <f>Paralelo!J29</f>
        <v>0</v>
      </c>
      <c r="M32" s="28">
        <f>'Dez24'!J29</f>
        <v>0</v>
      </c>
      <c r="N32" s="28">
        <f t="shared" si="3"/>
        <v>0</v>
      </c>
      <c r="O32" s="28">
        <f>Paralelo!K29</f>
        <v>0</v>
      </c>
      <c r="P32" s="28">
        <f>'Dez24'!K29</f>
        <v>0</v>
      </c>
      <c r="Q32" s="28">
        <f t="shared" si="4"/>
        <v>0</v>
      </c>
      <c r="R32" s="28">
        <f>Paralelo!L29</f>
        <v>0</v>
      </c>
      <c r="S32" s="28">
        <f>'Dez24'!L29</f>
        <v>0</v>
      </c>
      <c r="T32" s="44">
        <f t="shared" si="5"/>
        <v>0</v>
      </c>
    </row>
    <row r="33" spans="2:20" hidden="1" outlineLevel="1" x14ac:dyDescent="0.3">
      <c r="B33" s="29" t="s">
        <v>25</v>
      </c>
      <c r="C33" s="28">
        <f>Paralelo!D30</f>
        <v>20014637</v>
      </c>
      <c r="D33" s="28">
        <f>'Dez24'!D30</f>
        <v>20014635</v>
      </c>
      <c r="E33" s="28">
        <f t="shared" si="0"/>
        <v>2</v>
      </c>
      <c r="F33" s="28">
        <f>Paralelo!E30</f>
        <v>1021652</v>
      </c>
      <c r="G33" s="28">
        <f>'Dez24'!E30</f>
        <v>1025961</v>
      </c>
      <c r="H33" s="28">
        <f t="shared" si="1"/>
        <v>-4309</v>
      </c>
      <c r="I33" s="28">
        <f>Paralelo!F30</f>
        <v>323530</v>
      </c>
      <c r="J33" s="28">
        <f>'Dez24'!F30</f>
        <v>324459</v>
      </c>
      <c r="K33" s="28">
        <f t="shared" si="2"/>
        <v>-929</v>
      </c>
      <c r="L33" s="28">
        <f>Paralelo!J30</f>
        <v>0</v>
      </c>
      <c r="M33" s="28">
        <f>'Dez24'!J30</f>
        <v>0</v>
      </c>
      <c r="N33" s="28">
        <f t="shared" si="3"/>
        <v>0</v>
      </c>
      <c r="O33" s="28">
        <f>Paralelo!K30</f>
        <v>0</v>
      </c>
      <c r="P33" s="28">
        <f>'Dez24'!K30</f>
        <v>0</v>
      </c>
      <c r="Q33" s="28">
        <f t="shared" si="4"/>
        <v>0</v>
      </c>
      <c r="R33" s="28">
        <f>Paralelo!L30</f>
        <v>0</v>
      </c>
      <c r="S33" s="28">
        <f>'Dez24'!L30</f>
        <v>0</v>
      </c>
      <c r="T33" s="44">
        <f t="shared" si="5"/>
        <v>0</v>
      </c>
    </row>
    <row r="34" spans="2:20" hidden="1" outlineLevel="1" x14ac:dyDescent="0.3">
      <c r="B34" s="29" t="s">
        <v>26</v>
      </c>
      <c r="C34" s="28">
        <f>Paralelo!D31</f>
        <v>263853939</v>
      </c>
      <c r="D34" s="28">
        <f>'Dez24'!D31</f>
        <v>321406756</v>
      </c>
      <c r="E34" s="28">
        <f t="shared" si="0"/>
        <v>-57552817</v>
      </c>
      <c r="F34" s="28">
        <f>Paralelo!E31</f>
        <v>14488783</v>
      </c>
      <c r="G34" s="28">
        <f>'Dez24'!E31</f>
        <v>17725472</v>
      </c>
      <c r="H34" s="28">
        <f t="shared" si="1"/>
        <v>-3236689</v>
      </c>
      <c r="I34" s="28">
        <f>Paralelo!F31</f>
        <v>2387963</v>
      </c>
      <c r="J34" s="28">
        <f>'Dez24'!F31</f>
        <v>2593111</v>
      </c>
      <c r="K34" s="28">
        <f t="shared" si="2"/>
        <v>-205148</v>
      </c>
      <c r="L34" s="28">
        <f>Paralelo!J31</f>
        <v>0</v>
      </c>
      <c r="M34" s="28">
        <f>'Dez24'!J31</f>
        <v>0</v>
      </c>
      <c r="N34" s="28">
        <f t="shared" si="3"/>
        <v>0</v>
      </c>
      <c r="O34" s="28">
        <f>Paralelo!K31</f>
        <v>0</v>
      </c>
      <c r="P34" s="28">
        <f>'Dez24'!K31</f>
        <v>0</v>
      </c>
      <c r="Q34" s="28">
        <f t="shared" si="4"/>
        <v>0</v>
      </c>
      <c r="R34" s="28">
        <f>Paralelo!L31</f>
        <v>19635</v>
      </c>
      <c r="S34" s="28">
        <f>'Dez24'!L31</f>
        <v>19635</v>
      </c>
      <c r="T34" s="44">
        <f t="shared" si="5"/>
        <v>0</v>
      </c>
    </row>
    <row r="35" spans="2:20" hidden="1" outlineLevel="1" x14ac:dyDescent="0.3">
      <c r="B35" s="29" t="s">
        <v>27</v>
      </c>
      <c r="C35" s="28">
        <f>Paralelo!D32</f>
        <v>5055694</v>
      </c>
      <c r="D35" s="28">
        <f>'Dez24'!D32</f>
        <v>5055695</v>
      </c>
      <c r="E35" s="28">
        <f t="shared" si="0"/>
        <v>-1</v>
      </c>
      <c r="F35" s="28">
        <f>Paralelo!E32</f>
        <v>283967</v>
      </c>
      <c r="G35" s="28">
        <f>'Dez24'!E32</f>
        <v>284015</v>
      </c>
      <c r="H35" s="28">
        <f t="shared" si="1"/>
        <v>-48</v>
      </c>
      <c r="I35" s="28">
        <f>Paralelo!F32</f>
        <v>77355</v>
      </c>
      <c r="J35" s="28">
        <f>'Dez24'!F32</f>
        <v>77355</v>
      </c>
      <c r="K35" s="28">
        <f t="shared" si="2"/>
        <v>0</v>
      </c>
      <c r="L35" s="28">
        <f>Paralelo!J32</f>
        <v>0</v>
      </c>
      <c r="M35" s="28">
        <f>'Dez24'!J32</f>
        <v>0</v>
      </c>
      <c r="N35" s="28">
        <f t="shared" si="3"/>
        <v>0</v>
      </c>
      <c r="O35" s="28">
        <f>Paralelo!K32</f>
        <v>0</v>
      </c>
      <c r="P35" s="28">
        <f>'Dez24'!K32</f>
        <v>0</v>
      </c>
      <c r="Q35" s="28">
        <f t="shared" si="4"/>
        <v>0</v>
      </c>
      <c r="R35" s="28">
        <f>Paralelo!L32</f>
        <v>0</v>
      </c>
      <c r="S35" s="28">
        <f>'Dez24'!L32</f>
        <v>0</v>
      </c>
      <c r="T35" s="44">
        <f t="shared" si="5"/>
        <v>0</v>
      </c>
    </row>
    <row r="36" spans="2:20" hidden="1" outlineLevel="1" x14ac:dyDescent="0.3">
      <c r="B36" s="29" t="s">
        <v>28</v>
      </c>
      <c r="C36" s="28">
        <f>Paralelo!D33</f>
        <v>21132876</v>
      </c>
      <c r="D36" s="28">
        <f>'Dez24'!D33</f>
        <v>21132876</v>
      </c>
      <c r="E36" s="28">
        <f t="shared" si="0"/>
        <v>0</v>
      </c>
      <c r="F36" s="28">
        <f>Paralelo!E33</f>
        <v>1969392</v>
      </c>
      <c r="G36" s="28">
        <f>'Dez24'!E33</f>
        <v>1970982</v>
      </c>
      <c r="H36" s="28">
        <f t="shared" si="1"/>
        <v>-1590</v>
      </c>
      <c r="I36" s="28">
        <f>Paralelo!F33</f>
        <v>565224</v>
      </c>
      <c r="J36" s="28">
        <f>'Dez24'!F33</f>
        <v>583343</v>
      </c>
      <c r="K36" s="28">
        <f t="shared" si="2"/>
        <v>-18119</v>
      </c>
      <c r="L36" s="28">
        <f>Paralelo!J33</f>
        <v>0</v>
      </c>
      <c r="M36" s="28">
        <f>'Dez24'!J33</f>
        <v>0</v>
      </c>
      <c r="N36" s="28">
        <f t="shared" si="3"/>
        <v>0</v>
      </c>
      <c r="O36" s="28">
        <f>Paralelo!K33</f>
        <v>0</v>
      </c>
      <c r="P36" s="28">
        <f>'Dez24'!K33</f>
        <v>0</v>
      </c>
      <c r="Q36" s="28">
        <f t="shared" si="4"/>
        <v>0</v>
      </c>
      <c r="R36" s="28">
        <f>Paralelo!L33</f>
        <v>672</v>
      </c>
      <c r="S36" s="28">
        <f>'Dez24'!L33</f>
        <v>672</v>
      </c>
      <c r="T36" s="44">
        <f t="shared" si="5"/>
        <v>0</v>
      </c>
    </row>
    <row r="37" spans="2:20" hidden="1" outlineLevel="1" x14ac:dyDescent="0.3">
      <c r="B37" s="29" t="s">
        <v>29</v>
      </c>
      <c r="C37" s="28">
        <f>Paralelo!D34</f>
        <v>43651387</v>
      </c>
      <c r="D37" s="28">
        <f>'Dez24'!D34</f>
        <v>43651383</v>
      </c>
      <c r="E37" s="28">
        <f t="shared" si="0"/>
        <v>4</v>
      </c>
      <c r="F37" s="28">
        <f>Paralelo!E34</f>
        <v>2103471</v>
      </c>
      <c r="G37" s="28">
        <f>'Dez24'!E34</f>
        <v>2111043</v>
      </c>
      <c r="H37" s="28">
        <f t="shared" si="1"/>
        <v>-7572</v>
      </c>
      <c r="I37" s="28">
        <f>Paralelo!F34</f>
        <v>556553</v>
      </c>
      <c r="J37" s="28">
        <f>'Dez24'!F34</f>
        <v>556553</v>
      </c>
      <c r="K37" s="28">
        <f t="shared" si="2"/>
        <v>0</v>
      </c>
      <c r="L37" s="28">
        <f>Paralelo!J34</f>
        <v>0</v>
      </c>
      <c r="M37" s="28">
        <f>'Dez24'!J34</f>
        <v>0</v>
      </c>
      <c r="N37" s="28">
        <f t="shared" si="3"/>
        <v>0</v>
      </c>
      <c r="O37" s="28">
        <f>Paralelo!K34</f>
        <v>0</v>
      </c>
      <c r="P37" s="28">
        <f>'Dez24'!K34</f>
        <v>0</v>
      </c>
      <c r="Q37" s="28">
        <f t="shared" si="4"/>
        <v>0</v>
      </c>
      <c r="R37" s="28">
        <f>Paralelo!L34</f>
        <v>327</v>
      </c>
      <c r="S37" s="28">
        <f>'Dez24'!L34</f>
        <v>327</v>
      </c>
      <c r="T37" s="44">
        <f t="shared" si="5"/>
        <v>0</v>
      </c>
    </row>
    <row r="38" spans="2:20" hidden="1" outlineLevel="1" x14ac:dyDescent="0.3">
      <c r="B38" s="29" t="s">
        <v>30</v>
      </c>
      <c r="C38" s="28">
        <f>Paralelo!D35</f>
        <v>114760748</v>
      </c>
      <c r="D38" s="28">
        <f>'Dez24'!D35</f>
        <v>114760748</v>
      </c>
      <c r="E38" s="28">
        <f t="shared" si="0"/>
        <v>0</v>
      </c>
      <c r="F38" s="28">
        <f>Paralelo!E35</f>
        <v>5569735</v>
      </c>
      <c r="G38" s="28">
        <f>'Dez24'!E35</f>
        <v>5576862</v>
      </c>
      <c r="H38" s="28">
        <f t="shared" si="1"/>
        <v>-7127</v>
      </c>
      <c r="I38" s="28">
        <f>Paralelo!F35</f>
        <v>347875</v>
      </c>
      <c r="J38" s="28">
        <f>'Dez24'!F35</f>
        <v>347875</v>
      </c>
      <c r="K38" s="28">
        <f t="shared" si="2"/>
        <v>0</v>
      </c>
      <c r="L38" s="28">
        <f>Paralelo!J35</f>
        <v>0</v>
      </c>
      <c r="M38" s="28">
        <f>'Dez24'!J35</f>
        <v>0</v>
      </c>
      <c r="N38" s="28">
        <f t="shared" si="3"/>
        <v>0</v>
      </c>
      <c r="O38" s="28">
        <f>Paralelo!K35</f>
        <v>47840</v>
      </c>
      <c r="P38" s="28">
        <f>'Dez24'!K35</f>
        <v>47840</v>
      </c>
      <c r="Q38" s="28">
        <f t="shared" si="4"/>
        <v>0</v>
      </c>
      <c r="R38" s="28">
        <f>Paralelo!L35</f>
        <v>0</v>
      </c>
      <c r="S38" s="28">
        <f>'Dez24'!L35</f>
        <v>0</v>
      </c>
      <c r="T38" s="44">
        <f t="shared" si="5"/>
        <v>0</v>
      </c>
    </row>
    <row r="39" spans="2:20" hidden="1" outlineLevel="1" x14ac:dyDescent="0.3">
      <c r="B39" s="29" t="s">
        <v>31</v>
      </c>
      <c r="C39" s="28">
        <f>Paralelo!D36</f>
        <v>6776638</v>
      </c>
      <c r="D39" s="28">
        <f>'Dez24'!D36</f>
        <v>6776636</v>
      </c>
      <c r="E39" s="28">
        <f t="shared" si="0"/>
        <v>2</v>
      </c>
      <c r="F39" s="28">
        <f>Paralelo!E36</f>
        <v>232118</v>
      </c>
      <c r="G39" s="28">
        <f>'Dez24'!E36</f>
        <v>232325</v>
      </c>
      <c r="H39" s="28">
        <f t="shared" si="1"/>
        <v>-207</v>
      </c>
      <c r="I39" s="28">
        <f>Paralelo!F36</f>
        <v>133390</v>
      </c>
      <c r="J39" s="28">
        <f>'Dez24'!F36</f>
        <v>133390</v>
      </c>
      <c r="K39" s="28">
        <f t="shared" si="2"/>
        <v>0</v>
      </c>
      <c r="L39" s="28">
        <f>Paralelo!J36</f>
        <v>0</v>
      </c>
      <c r="M39" s="28">
        <f>'Dez24'!J36</f>
        <v>0</v>
      </c>
      <c r="N39" s="28">
        <f t="shared" si="3"/>
        <v>0</v>
      </c>
      <c r="O39" s="28">
        <f>Paralelo!K36</f>
        <v>0</v>
      </c>
      <c r="P39" s="28">
        <f>'Dez24'!K36</f>
        <v>0</v>
      </c>
      <c r="Q39" s="28">
        <f t="shared" si="4"/>
        <v>0</v>
      </c>
      <c r="R39" s="28">
        <f>Paralelo!L36</f>
        <v>0</v>
      </c>
      <c r="S39" s="28">
        <f>'Dez24'!L36</f>
        <v>0</v>
      </c>
      <c r="T39" s="44">
        <f t="shared" si="5"/>
        <v>0</v>
      </c>
    </row>
    <row r="40" spans="2:20" hidden="1" outlineLevel="1" x14ac:dyDescent="0.3">
      <c r="B40" s="29" t="s">
        <v>32</v>
      </c>
      <c r="C40" s="28">
        <f>Paralelo!D37</f>
        <v>70662107</v>
      </c>
      <c r="D40" s="28">
        <f>'Dez24'!D37</f>
        <v>70662107</v>
      </c>
      <c r="E40" s="28">
        <f t="shared" si="0"/>
        <v>0</v>
      </c>
      <c r="F40" s="28">
        <f>Paralelo!E37</f>
        <v>3437665</v>
      </c>
      <c r="G40" s="28">
        <f>'Dez24'!E37</f>
        <v>3441977</v>
      </c>
      <c r="H40" s="28">
        <f t="shared" si="1"/>
        <v>-4312</v>
      </c>
      <c r="I40" s="28">
        <f>Paralelo!F37</f>
        <v>741926</v>
      </c>
      <c r="J40" s="28">
        <f>'Dez24'!F37</f>
        <v>741926</v>
      </c>
      <c r="K40" s="28">
        <f t="shared" si="2"/>
        <v>0</v>
      </c>
      <c r="L40" s="28">
        <f>Paralelo!J37</f>
        <v>0</v>
      </c>
      <c r="M40" s="28">
        <f>'Dez24'!J37</f>
        <v>0</v>
      </c>
      <c r="N40" s="28">
        <f t="shared" si="3"/>
        <v>0</v>
      </c>
      <c r="O40" s="28">
        <f>Paralelo!K37</f>
        <v>0</v>
      </c>
      <c r="P40" s="28">
        <f>'Dez24'!K37</f>
        <v>0</v>
      </c>
      <c r="Q40" s="28">
        <f t="shared" si="4"/>
        <v>0</v>
      </c>
      <c r="R40" s="28">
        <f>Paralelo!L37</f>
        <v>0</v>
      </c>
      <c r="S40" s="28">
        <f>'Dez24'!L37</f>
        <v>0</v>
      </c>
      <c r="T40" s="44">
        <f t="shared" si="5"/>
        <v>0</v>
      </c>
    </row>
    <row r="41" spans="2:20" hidden="1" outlineLevel="1" x14ac:dyDescent="0.3">
      <c r="B41" s="29" t="s">
        <v>33</v>
      </c>
      <c r="C41" s="28">
        <f>Paralelo!D38</f>
        <v>26211628</v>
      </c>
      <c r="D41" s="28">
        <f>'Dez24'!D38</f>
        <v>26211627</v>
      </c>
      <c r="E41" s="28">
        <f t="shared" si="0"/>
        <v>1</v>
      </c>
      <c r="F41" s="28">
        <f>Paralelo!E38</f>
        <v>1429960</v>
      </c>
      <c r="G41" s="28">
        <f>'Dez24'!E38</f>
        <v>1431888</v>
      </c>
      <c r="H41" s="28">
        <f t="shared" si="1"/>
        <v>-1928</v>
      </c>
      <c r="I41" s="28">
        <f>Paralelo!F38</f>
        <v>387253</v>
      </c>
      <c r="J41" s="28">
        <f>'Dez24'!F38</f>
        <v>387253</v>
      </c>
      <c r="K41" s="28">
        <f t="shared" si="2"/>
        <v>0</v>
      </c>
      <c r="L41" s="28">
        <f>Paralelo!J38</f>
        <v>0</v>
      </c>
      <c r="M41" s="28">
        <f>'Dez24'!J38</f>
        <v>0</v>
      </c>
      <c r="N41" s="28">
        <f t="shared" si="3"/>
        <v>0</v>
      </c>
      <c r="O41" s="28">
        <f>Paralelo!K38</f>
        <v>0</v>
      </c>
      <c r="P41" s="28">
        <f>'Dez24'!K38</f>
        <v>0</v>
      </c>
      <c r="Q41" s="28">
        <f t="shared" si="4"/>
        <v>0</v>
      </c>
      <c r="R41" s="28">
        <f>Paralelo!L38</f>
        <v>0</v>
      </c>
      <c r="S41" s="28">
        <f>'Dez24'!L38</f>
        <v>0</v>
      </c>
      <c r="T41" s="44">
        <f t="shared" si="5"/>
        <v>0</v>
      </c>
    </row>
    <row r="42" spans="2:20" hidden="1" outlineLevel="1" x14ac:dyDescent="0.3">
      <c r="B42" s="29" t="s">
        <v>34</v>
      </c>
      <c r="C42" s="28">
        <f>Paralelo!D39</f>
        <v>41015699</v>
      </c>
      <c r="D42" s="28">
        <f>'Dez24'!D39</f>
        <v>41015697</v>
      </c>
      <c r="E42" s="28">
        <f t="shared" si="0"/>
        <v>2</v>
      </c>
      <c r="F42" s="28">
        <f>Paralelo!E39</f>
        <v>2664477</v>
      </c>
      <c r="G42" s="28">
        <f>'Dez24'!E39</f>
        <v>2668136</v>
      </c>
      <c r="H42" s="28">
        <f t="shared" si="1"/>
        <v>-3659</v>
      </c>
      <c r="I42" s="28">
        <f>Paralelo!F39</f>
        <v>685875</v>
      </c>
      <c r="J42" s="28">
        <f>'Dez24'!F39</f>
        <v>685993</v>
      </c>
      <c r="K42" s="28">
        <f t="shared" si="2"/>
        <v>-118</v>
      </c>
      <c r="L42" s="28">
        <f>Paralelo!J39</f>
        <v>0</v>
      </c>
      <c r="M42" s="28">
        <f>'Dez24'!J39</f>
        <v>0</v>
      </c>
      <c r="N42" s="28">
        <f t="shared" si="3"/>
        <v>0</v>
      </c>
      <c r="O42" s="28">
        <f>Paralelo!K39</f>
        <v>0</v>
      </c>
      <c r="P42" s="28">
        <f>'Dez24'!K39</f>
        <v>0</v>
      </c>
      <c r="Q42" s="28">
        <f t="shared" si="4"/>
        <v>0</v>
      </c>
      <c r="R42" s="28">
        <f>Paralelo!L39</f>
        <v>190</v>
      </c>
      <c r="S42" s="28">
        <f>'Dez24'!L39</f>
        <v>190</v>
      </c>
      <c r="T42" s="44">
        <f t="shared" si="5"/>
        <v>0</v>
      </c>
    </row>
    <row r="43" spans="2:20" collapsed="1" x14ac:dyDescent="0.3">
      <c r="B43" s="21" t="s">
        <v>35</v>
      </c>
      <c r="C43" s="22">
        <f>Paralelo!D40</f>
        <v>671415613</v>
      </c>
      <c r="D43" s="22">
        <f>'Dez24'!D40</f>
        <v>526822846</v>
      </c>
      <c r="E43" s="22">
        <f t="shared" si="0"/>
        <v>144592767</v>
      </c>
      <c r="F43" s="22">
        <f>Paralelo!E40</f>
        <v>21937191</v>
      </c>
      <c r="G43" s="22">
        <f>'Dez24'!E40</f>
        <v>13824782</v>
      </c>
      <c r="H43" s="22">
        <f t="shared" si="1"/>
        <v>8112409</v>
      </c>
      <c r="I43" s="22">
        <f>Paralelo!F40</f>
        <v>6872010</v>
      </c>
      <c r="J43" s="22">
        <f>'Dez24'!F40</f>
        <v>6839095</v>
      </c>
      <c r="K43" s="22">
        <f t="shared" si="2"/>
        <v>32915</v>
      </c>
      <c r="L43" s="22">
        <f>Paralelo!J40</f>
        <v>0</v>
      </c>
      <c r="M43" s="22">
        <f>'Dez24'!J40</f>
        <v>0</v>
      </c>
      <c r="N43" s="22">
        <f t="shared" si="3"/>
        <v>0</v>
      </c>
      <c r="O43" s="22">
        <f>Paralelo!K40</f>
        <v>0</v>
      </c>
      <c r="P43" s="22">
        <f>'Dez24'!K40</f>
        <v>0</v>
      </c>
      <c r="Q43" s="22">
        <f t="shared" si="4"/>
        <v>0</v>
      </c>
      <c r="R43" s="22">
        <f>Paralelo!L40</f>
        <v>0</v>
      </c>
      <c r="S43" s="22">
        <f>'Dez24'!L40</f>
        <v>0</v>
      </c>
      <c r="T43" s="45">
        <f t="shared" si="5"/>
        <v>0</v>
      </c>
    </row>
    <row r="44" spans="2:20" hidden="1" outlineLevel="1" x14ac:dyDescent="0.3">
      <c r="B44" s="29" t="s">
        <v>36</v>
      </c>
      <c r="C44" s="28">
        <f>Paralelo!D41</f>
        <v>670819486</v>
      </c>
      <c r="D44" s="28">
        <f>'Dez24'!D41</f>
        <v>526226720</v>
      </c>
      <c r="E44" s="28">
        <f t="shared" si="0"/>
        <v>144592766</v>
      </c>
      <c r="F44" s="28">
        <f>Paralelo!E41</f>
        <v>21908071</v>
      </c>
      <c r="G44" s="28">
        <f>'Dez24'!E41</f>
        <v>13795307</v>
      </c>
      <c r="H44" s="28">
        <f t="shared" si="1"/>
        <v>8112764</v>
      </c>
      <c r="I44" s="28">
        <f>Paralelo!F41</f>
        <v>6680220</v>
      </c>
      <c r="J44" s="28">
        <f>'Dez24'!F41</f>
        <v>6647305</v>
      </c>
      <c r="K44" s="28">
        <f t="shared" si="2"/>
        <v>32915</v>
      </c>
      <c r="L44" s="28">
        <f>Paralelo!J41</f>
        <v>0</v>
      </c>
      <c r="M44" s="28">
        <f>'Dez24'!J41</f>
        <v>0</v>
      </c>
      <c r="N44" s="28">
        <f t="shared" si="3"/>
        <v>0</v>
      </c>
      <c r="O44" s="28">
        <f>Paralelo!K41</f>
        <v>0</v>
      </c>
      <c r="P44" s="28">
        <f>'Dez24'!K41</f>
        <v>0</v>
      </c>
      <c r="Q44" s="28">
        <f t="shared" si="4"/>
        <v>0</v>
      </c>
      <c r="R44" s="28">
        <f>Paralelo!L41</f>
        <v>0</v>
      </c>
      <c r="S44" s="28">
        <f>'Dez24'!L41</f>
        <v>0</v>
      </c>
      <c r="T44" s="44">
        <f t="shared" si="5"/>
        <v>0</v>
      </c>
    </row>
    <row r="45" spans="2:20" hidden="1" outlineLevel="1" x14ac:dyDescent="0.3">
      <c r="B45" s="29" t="s">
        <v>37</v>
      </c>
      <c r="C45" s="28">
        <f>Paralelo!D42</f>
        <v>428357556</v>
      </c>
      <c r="D45" s="28">
        <f>'Dez24'!D42</f>
        <v>249275679</v>
      </c>
      <c r="E45" s="28">
        <f t="shared" si="0"/>
        <v>179081877</v>
      </c>
      <c r="F45" s="28">
        <f>Paralelo!E42</f>
        <v>20391800</v>
      </c>
      <c r="G45" s="28">
        <f>'Dez24'!E42</f>
        <v>10676128</v>
      </c>
      <c r="H45" s="28">
        <f t="shared" si="1"/>
        <v>9715672</v>
      </c>
      <c r="I45" s="28">
        <f>Paralelo!F42</f>
        <v>1026155</v>
      </c>
      <c r="J45" s="28">
        <f>'Dez24'!F42</f>
        <v>982342</v>
      </c>
      <c r="K45" s="28">
        <f t="shared" si="2"/>
        <v>43813</v>
      </c>
      <c r="L45" s="28">
        <f>Paralelo!J42</f>
        <v>0</v>
      </c>
      <c r="M45" s="28">
        <f>'Dez24'!J42</f>
        <v>0</v>
      </c>
      <c r="N45" s="28">
        <f t="shared" si="3"/>
        <v>0</v>
      </c>
      <c r="O45" s="28">
        <f>Paralelo!K42</f>
        <v>0</v>
      </c>
      <c r="P45" s="28">
        <f>'Dez24'!K42</f>
        <v>0</v>
      </c>
      <c r="Q45" s="28">
        <f t="shared" si="4"/>
        <v>0</v>
      </c>
      <c r="R45" s="28">
        <f>Paralelo!L42</f>
        <v>0</v>
      </c>
      <c r="S45" s="28">
        <f>'Dez24'!L42</f>
        <v>0</v>
      </c>
      <c r="T45" s="44">
        <f t="shared" si="5"/>
        <v>0</v>
      </c>
    </row>
    <row r="46" spans="2:20" ht="15" hidden="1" customHeight="1" outlineLevel="1" x14ac:dyDescent="0.3">
      <c r="B46" s="29" t="s">
        <v>38</v>
      </c>
      <c r="C46" s="28">
        <f>Paralelo!D43</f>
        <v>288148</v>
      </c>
      <c r="D46" s="28">
        <f>'Dez24'!D43</f>
        <v>288147</v>
      </c>
      <c r="E46" s="28">
        <f t="shared" si="0"/>
        <v>1</v>
      </c>
      <c r="F46" s="28">
        <f>Paralelo!E43</f>
        <v>11674</v>
      </c>
      <c r="G46" s="28">
        <f>'Dez24'!E43</f>
        <v>11983</v>
      </c>
      <c r="H46" s="28">
        <f t="shared" si="1"/>
        <v>-309</v>
      </c>
      <c r="I46" s="28">
        <f>Paralelo!F43</f>
        <v>155286</v>
      </c>
      <c r="J46" s="28">
        <f>'Dez24'!F43</f>
        <v>155286</v>
      </c>
      <c r="K46" s="28">
        <f t="shared" si="2"/>
        <v>0</v>
      </c>
      <c r="L46" s="28">
        <f>Paralelo!J43</f>
        <v>0</v>
      </c>
      <c r="M46" s="28">
        <f>'Dez24'!J43</f>
        <v>0</v>
      </c>
      <c r="N46" s="28">
        <f t="shared" si="3"/>
        <v>0</v>
      </c>
      <c r="O46" s="28">
        <f>Paralelo!K43</f>
        <v>0</v>
      </c>
      <c r="P46" s="28">
        <f>'Dez24'!K43</f>
        <v>0</v>
      </c>
      <c r="Q46" s="28">
        <f t="shared" si="4"/>
        <v>0</v>
      </c>
      <c r="R46" s="28">
        <f>Paralelo!L43</f>
        <v>0</v>
      </c>
      <c r="S46" s="28">
        <f>'Dez24'!L43</f>
        <v>0</v>
      </c>
      <c r="T46" s="44">
        <f t="shared" si="5"/>
        <v>0</v>
      </c>
    </row>
    <row r="47" spans="2:20" hidden="1" outlineLevel="1" x14ac:dyDescent="0.3">
      <c r="B47" s="29" t="s">
        <v>39</v>
      </c>
      <c r="C47" s="28">
        <f>Paralelo!D44</f>
        <v>307979</v>
      </c>
      <c r="D47" s="28">
        <f>'Dez24'!D44</f>
        <v>307979</v>
      </c>
      <c r="E47" s="28">
        <f t="shared" si="0"/>
        <v>0</v>
      </c>
      <c r="F47" s="28">
        <f>Paralelo!E44</f>
        <v>17446</v>
      </c>
      <c r="G47" s="28">
        <f>'Dez24'!E44</f>
        <v>17492</v>
      </c>
      <c r="H47" s="28">
        <f t="shared" si="1"/>
        <v>-46</v>
      </c>
      <c r="I47" s="28">
        <f>Paralelo!F44</f>
        <v>36504</v>
      </c>
      <c r="J47" s="28">
        <f>'Dez24'!F44</f>
        <v>36504</v>
      </c>
      <c r="K47" s="28">
        <f t="shared" si="2"/>
        <v>0</v>
      </c>
      <c r="L47" s="28">
        <f>Paralelo!J44</f>
        <v>0</v>
      </c>
      <c r="M47" s="28">
        <f>'Dez24'!J44</f>
        <v>0</v>
      </c>
      <c r="N47" s="28">
        <f t="shared" si="3"/>
        <v>0</v>
      </c>
      <c r="O47" s="28">
        <f>Paralelo!K44</f>
        <v>0</v>
      </c>
      <c r="P47" s="28">
        <f>'Dez24'!K44</f>
        <v>0</v>
      </c>
      <c r="Q47" s="28">
        <f t="shared" si="4"/>
        <v>0</v>
      </c>
      <c r="R47" s="28">
        <f>Paralelo!L44</f>
        <v>0</v>
      </c>
      <c r="S47" s="28">
        <f>'Dez24'!L44</f>
        <v>0</v>
      </c>
      <c r="T47" s="44">
        <f t="shared" si="5"/>
        <v>0</v>
      </c>
    </row>
    <row r="48" spans="2:20" ht="15" customHeight="1" collapsed="1" x14ac:dyDescent="0.3">
      <c r="B48" s="21" t="s">
        <v>40</v>
      </c>
      <c r="C48" s="22">
        <f>Paralelo!D45</f>
        <v>33931311</v>
      </c>
      <c r="D48" s="22">
        <f>'Dez24'!D45</f>
        <v>33931302</v>
      </c>
      <c r="E48" s="22">
        <f t="shared" si="0"/>
        <v>9</v>
      </c>
      <c r="F48" s="22">
        <f>Paralelo!E45</f>
        <v>2468479</v>
      </c>
      <c r="G48" s="22">
        <f>'Dez24'!E45</f>
        <v>2473301</v>
      </c>
      <c r="H48" s="22">
        <f t="shared" si="1"/>
        <v>-4822</v>
      </c>
      <c r="I48" s="22">
        <f>Paralelo!F45</f>
        <v>1221467</v>
      </c>
      <c r="J48" s="22">
        <f>'Dez24'!F45</f>
        <v>1221671</v>
      </c>
      <c r="K48" s="22">
        <f t="shared" si="2"/>
        <v>-204</v>
      </c>
      <c r="L48" s="22">
        <f>Paralelo!J45</f>
        <v>0</v>
      </c>
      <c r="M48" s="22">
        <f>'Dez24'!J45</f>
        <v>0</v>
      </c>
      <c r="N48" s="22">
        <f t="shared" si="3"/>
        <v>0</v>
      </c>
      <c r="O48" s="22">
        <f>Paralelo!K45</f>
        <v>0</v>
      </c>
      <c r="P48" s="22">
        <f>'Dez24'!K45</f>
        <v>0</v>
      </c>
      <c r="Q48" s="22">
        <f t="shared" si="4"/>
        <v>0</v>
      </c>
      <c r="R48" s="22">
        <f>Paralelo!L45</f>
        <v>442</v>
      </c>
      <c r="S48" s="22">
        <f>'Dez24'!L45</f>
        <v>442</v>
      </c>
      <c r="T48" s="45">
        <f t="shared" si="5"/>
        <v>0</v>
      </c>
    </row>
    <row r="49" spans="2:20" x14ac:dyDescent="0.3">
      <c r="B49" s="21" t="s">
        <v>41</v>
      </c>
      <c r="C49" s="22">
        <f>Paralelo!D46</f>
        <v>1068520996</v>
      </c>
      <c r="D49" s="22">
        <f>'Dez24'!D46</f>
        <v>1044252695</v>
      </c>
      <c r="E49" s="22">
        <f t="shared" si="0"/>
        <v>24268301</v>
      </c>
      <c r="F49" s="22">
        <f>Paralelo!E46</f>
        <v>58368800</v>
      </c>
      <c r="G49" s="22">
        <f>'Dez24'!E46</f>
        <v>58915479</v>
      </c>
      <c r="H49" s="22">
        <f t="shared" si="1"/>
        <v>-546679</v>
      </c>
      <c r="I49" s="22">
        <f>Paralelo!F46</f>
        <v>14928042</v>
      </c>
      <c r="J49" s="22">
        <f>'Dez24'!F46</f>
        <v>15057300</v>
      </c>
      <c r="K49" s="22">
        <f t="shared" si="2"/>
        <v>-129258</v>
      </c>
      <c r="L49" s="22">
        <f>Paralelo!J46</f>
        <v>0</v>
      </c>
      <c r="M49" s="22">
        <f>'Dez24'!J46</f>
        <v>0</v>
      </c>
      <c r="N49" s="22">
        <f t="shared" si="3"/>
        <v>0</v>
      </c>
      <c r="O49" s="22">
        <f>Paralelo!K46</f>
        <v>21</v>
      </c>
      <c r="P49" s="22">
        <f>'Dez24'!K46</f>
        <v>21</v>
      </c>
      <c r="Q49" s="22">
        <f t="shared" si="4"/>
        <v>0</v>
      </c>
      <c r="R49" s="22">
        <f>Paralelo!L46</f>
        <v>6616</v>
      </c>
      <c r="S49" s="22">
        <f>'Dez24'!L46</f>
        <v>6616</v>
      </c>
      <c r="T49" s="45">
        <f t="shared" si="5"/>
        <v>0</v>
      </c>
    </row>
    <row r="50" spans="2:20" hidden="1" outlineLevel="1" x14ac:dyDescent="0.3">
      <c r="B50" s="23" t="s">
        <v>42</v>
      </c>
      <c r="C50" s="24">
        <f>Paralelo!D47</f>
        <v>747599561</v>
      </c>
      <c r="D50" s="24">
        <f>'Dez24'!D47</f>
        <v>723331260</v>
      </c>
      <c r="E50" s="22">
        <f t="shared" si="0"/>
        <v>24268301</v>
      </c>
      <c r="F50" s="24">
        <f>Paralelo!E47</f>
        <v>38463489</v>
      </c>
      <c r="G50" s="24">
        <f>'Dez24'!E47</f>
        <v>38947964</v>
      </c>
      <c r="H50" s="22">
        <f t="shared" si="1"/>
        <v>-484475</v>
      </c>
      <c r="I50" s="22">
        <f>Paralelo!F47</f>
        <v>8200612</v>
      </c>
      <c r="J50" s="22">
        <f>'Dez24'!F47</f>
        <v>8329891</v>
      </c>
      <c r="K50" s="22">
        <f t="shared" si="2"/>
        <v>-129279</v>
      </c>
      <c r="L50" s="24">
        <f>Paralelo!J47</f>
        <v>0</v>
      </c>
      <c r="M50" s="24">
        <f>'Dez24'!J47</f>
        <v>0</v>
      </c>
      <c r="N50" s="22">
        <f t="shared" si="3"/>
        <v>0</v>
      </c>
      <c r="O50" s="24">
        <f>Paralelo!K47</f>
        <v>0</v>
      </c>
      <c r="P50" s="24">
        <f>'Dez24'!K47</f>
        <v>0</v>
      </c>
      <c r="Q50" s="22">
        <f t="shared" si="4"/>
        <v>0</v>
      </c>
      <c r="R50" s="24">
        <f>Paralelo!L47</f>
        <v>3737</v>
      </c>
      <c r="S50" s="24">
        <f>'Dez24'!L47</f>
        <v>3737</v>
      </c>
      <c r="T50" s="45">
        <f t="shared" si="5"/>
        <v>0</v>
      </c>
    </row>
    <row r="51" spans="2:20" hidden="1" outlineLevel="1" x14ac:dyDescent="0.3">
      <c r="B51" s="23" t="s">
        <v>43</v>
      </c>
      <c r="C51" s="24">
        <f>Paralelo!D48</f>
        <v>165331341</v>
      </c>
      <c r="D51" s="24">
        <f>'Dez24'!D48</f>
        <v>165331343</v>
      </c>
      <c r="E51" s="22">
        <f t="shared" si="0"/>
        <v>-2</v>
      </c>
      <c r="F51" s="24">
        <f>Paralelo!E48</f>
        <v>10291503</v>
      </c>
      <c r="G51" s="24">
        <f>'Dez24'!E48</f>
        <v>10320268</v>
      </c>
      <c r="H51" s="22">
        <f t="shared" si="1"/>
        <v>-28765</v>
      </c>
      <c r="I51" s="22">
        <f>Paralelo!F48</f>
        <v>2490073</v>
      </c>
      <c r="J51" s="22">
        <f>'Dez24'!F48</f>
        <v>2490741</v>
      </c>
      <c r="K51" s="22">
        <f t="shared" si="2"/>
        <v>-668</v>
      </c>
      <c r="L51" s="24">
        <f>Paralelo!J48</f>
        <v>0</v>
      </c>
      <c r="M51" s="24">
        <f>'Dez24'!J48</f>
        <v>0</v>
      </c>
      <c r="N51" s="22">
        <f t="shared" si="3"/>
        <v>0</v>
      </c>
      <c r="O51" s="24">
        <f>Paralelo!K48</f>
        <v>21</v>
      </c>
      <c r="P51" s="24">
        <f>'Dez24'!K48</f>
        <v>21</v>
      </c>
      <c r="Q51" s="22">
        <f t="shared" si="4"/>
        <v>0</v>
      </c>
      <c r="R51" s="24">
        <f>Paralelo!L48</f>
        <v>2788</v>
      </c>
      <c r="S51" s="24">
        <f>'Dez24'!L48</f>
        <v>2788</v>
      </c>
      <c r="T51" s="45">
        <f t="shared" si="5"/>
        <v>0</v>
      </c>
    </row>
    <row r="52" spans="2:20" hidden="1" outlineLevel="1" x14ac:dyDescent="0.3">
      <c r="B52" s="23" t="s">
        <v>44</v>
      </c>
      <c r="C52" s="24">
        <f>Paralelo!D49</f>
        <v>155590094</v>
      </c>
      <c r="D52" s="24">
        <f>'Dez24'!D49</f>
        <v>155590092</v>
      </c>
      <c r="E52" s="22">
        <f t="shared" si="0"/>
        <v>2</v>
      </c>
      <c r="F52" s="24">
        <f>Paralelo!E49</f>
        <v>9613808</v>
      </c>
      <c r="G52" s="24">
        <f>'Dez24'!E49</f>
        <v>9647247</v>
      </c>
      <c r="H52" s="22">
        <f t="shared" si="1"/>
        <v>-33439</v>
      </c>
      <c r="I52" s="22">
        <f>Paralelo!F49</f>
        <v>4237357</v>
      </c>
      <c r="J52" s="22">
        <f>'Dez24'!F49</f>
        <v>4236668</v>
      </c>
      <c r="K52" s="22">
        <f t="shared" si="2"/>
        <v>689</v>
      </c>
      <c r="L52" s="24">
        <f>Paralelo!J49</f>
        <v>0</v>
      </c>
      <c r="M52" s="24">
        <f>'Dez24'!J49</f>
        <v>0</v>
      </c>
      <c r="N52" s="22">
        <f t="shared" si="3"/>
        <v>0</v>
      </c>
      <c r="O52" s="24">
        <f>Paralelo!K49</f>
        <v>0</v>
      </c>
      <c r="P52" s="24">
        <f>'Dez24'!K49</f>
        <v>0</v>
      </c>
      <c r="Q52" s="22">
        <f t="shared" si="4"/>
        <v>0</v>
      </c>
      <c r="R52" s="24">
        <f>Paralelo!L49</f>
        <v>91</v>
      </c>
      <c r="S52" s="24">
        <f>'Dez24'!L49</f>
        <v>91</v>
      </c>
      <c r="T52" s="45">
        <f t="shared" si="5"/>
        <v>0</v>
      </c>
    </row>
    <row r="53" spans="2:20" ht="15" customHeight="1" collapsed="1" x14ac:dyDescent="0.3">
      <c r="B53" s="21" t="s">
        <v>45</v>
      </c>
      <c r="C53" s="22">
        <f>Paralelo!D50</f>
        <v>2068783435</v>
      </c>
      <c r="D53" s="22">
        <f>'Dez24'!D50</f>
        <v>2068892863</v>
      </c>
      <c r="E53" s="22">
        <f t="shared" si="0"/>
        <v>-109428</v>
      </c>
      <c r="F53" s="22">
        <f>Paralelo!E50</f>
        <v>94791231</v>
      </c>
      <c r="G53" s="22">
        <f>'Dez24'!E50</f>
        <v>95130754</v>
      </c>
      <c r="H53" s="22">
        <f t="shared" si="1"/>
        <v>-339523</v>
      </c>
      <c r="I53" s="22">
        <f>Paralelo!F50</f>
        <v>33962641</v>
      </c>
      <c r="J53" s="22">
        <f>'Dez24'!F50</f>
        <v>33963585</v>
      </c>
      <c r="K53" s="22">
        <f t="shared" si="2"/>
        <v>-944</v>
      </c>
      <c r="L53" s="22">
        <f>Paralelo!J50</f>
        <v>0</v>
      </c>
      <c r="M53" s="22">
        <f>'Dez24'!J50</f>
        <v>0</v>
      </c>
      <c r="N53" s="22">
        <f t="shared" si="3"/>
        <v>0</v>
      </c>
      <c r="O53" s="22">
        <f>Paralelo!K50</f>
        <v>88355</v>
      </c>
      <c r="P53" s="22">
        <f>'Dez24'!K50</f>
        <v>89018</v>
      </c>
      <c r="Q53" s="22">
        <f t="shared" si="4"/>
        <v>-663</v>
      </c>
      <c r="R53" s="22">
        <f>Paralelo!L50</f>
        <v>94596</v>
      </c>
      <c r="S53" s="22">
        <f>'Dez24'!L50</f>
        <v>94596</v>
      </c>
      <c r="T53" s="45">
        <f t="shared" si="5"/>
        <v>0</v>
      </c>
    </row>
    <row r="54" spans="2:20" x14ac:dyDescent="0.3">
      <c r="B54" s="21" t="s">
        <v>46</v>
      </c>
      <c r="C54" s="22">
        <f>Paralelo!D51</f>
        <v>786885139</v>
      </c>
      <c r="D54" s="22">
        <f>'Dez24'!D51</f>
        <v>721820275</v>
      </c>
      <c r="E54" s="22">
        <f t="shared" si="0"/>
        <v>65064864</v>
      </c>
      <c r="F54" s="22">
        <f>Paralelo!E51</f>
        <v>33750801</v>
      </c>
      <c r="G54" s="22">
        <f>'Dez24'!E51</f>
        <v>30065586</v>
      </c>
      <c r="H54" s="22">
        <f t="shared" si="1"/>
        <v>3685215</v>
      </c>
      <c r="I54" s="22">
        <f>Paralelo!F51</f>
        <v>6199261</v>
      </c>
      <c r="J54" s="22">
        <f>'Dez24'!F51</f>
        <v>6180536</v>
      </c>
      <c r="K54" s="22">
        <f t="shared" si="2"/>
        <v>18725</v>
      </c>
      <c r="L54" s="22">
        <f>Paralelo!J51</f>
        <v>0</v>
      </c>
      <c r="M54" s="22">
        <f>'Dez24'!J51</f>
        <v>0</v>
      </c>
      <c r="N54" s="22">
        <f t="shared" si="3"/>
        <v>0</v>
      </c>
      <c r="O54" s="22">
        <f>Paralelo!K51</f>
        <v>2060</v>
      </c>
      <c r="P54" s="22">
        <f>'Dez24'!K51</f>
        <v>2060</v>
      </c>
      <c r="Q54" s="22">
        <f t="shared" si="4"/>
        <v>0</v>
      </c>
      <c r="R54" s="22">
        <f>Paralelo!L51</f>
        <v>18434</v>
      </c>
      <c r="S54" s="22">
        <f>'Dez24'!L51</f>
        <v>18638</v>
      </c>
      <c r="T54" s="45">
        <f t="shared" si="5"/>
        <v>-204</v>
      </c>
    </row>
    <row r="55" spans="2:20" hidden="1" outlineLevel="1" x14ac:dyDescent="0.3">
      <c r="B55" s="23" t="s">
        <v>47</v>
      </c>
      <c r="C55" s="24">
        <f>Paralelo!D52</f>
        <v>313695010</v>
      </c>
      <c r="D55" s="24">
        <f>'Dez24'!D52</f>
        <v>313695010</v>
      </c>
      <c r="E55" s="22">
        <f t="shared" si="0"/>
        <v>0</v>
      </c>
      <c r="F55" s="24">
        <f>Paralelo!E52</f>
        <v>15160671</v>
      </c>
      <c r="G55" s="24">
        <f>'Dez24'!E52</f>
        <v>15181512</v>
      </c>
      <c r="H55" s="22">
        <f t="shared" si="1"/>
        <v>-20841</v>
      </c>
      <c r="I55" s="22">
        <f>Paralelo!F52</f>
        <v>4118458</v>
      </c>
      <c r="J55" s="22">
        <f>'Dez24'!F52</f>
        <v>4302831</v>
      </c>
      <c r="K55" s="22">
        <f t="shared" si="2"/>
        <v>-184373</v>
      </c>
      <c r="L55" s="24">
        <f>Paralelo!J52</f>
        <v>0</v>
      </c>
      <c r="M55" s="24">
        <f>'Dez24'!J52</f>
        <v>0</v>
      </c>
      <c r="N55" s="22">
        <f t="shared" si="3"/>
        <v>0</v>
      </c>
      <c r="O55" s="24">
        <f>Paralelo!K52</f>
        <v>2060</v>
      </c>
      <c r="P55" s="24">
        <f>'Dez24'!K52</f>
        <v>2060</v>
      </c>
      <c r="Q55" s="22">
        <f t="shared" si="4"/>
        <v>0</v>
      </c>
      <c r="R55" s="24">
        <f>Paralelo!L52</f>
        <v>3746</v>
      </c>
      <c r="S55" s="24">
        <f>'Dez24'!L52</f>
        <v>3746</v>
      </c>
      <c r="T55" s="45">
        <f t="shared" si="5"/>
        <v>0</v>
      </c>
    </row>
    <row r="56" spans="2:20" hidden="1" outlineLevel="1" x14ac:dyDescent="0.3">
      <c r="B56" s="23" t="s">
        <v>48</v>
      </c>
      <c r="C56" s="24">
        <f>Paralelo!D53</f>
        <v>3390241</v>
      </c>
      <c r="D56" s="24">
        <f>'Dez24'!D53</f>
        <v>3390241</v>
      </c>
      <c r="E56" s="22">
        <f t="shared" si="0"/>
        <v>0</v>
      </c>
      <c r="F56" s="24">
        <f>Paralelo!E53</f>
        <v>305609</v>
      </c>
      <c r="G56" s="24">
        <f>'Dez24'!E53</f>
        <v>305656</v>
      </c>
      <c r="H56" s="22">
        <f t="shared" si="1"/>
        <v>-47</v>
      </c>
      <c r="I56" s="22">
        <f>Paralelo!F53</f>
        <v>92146</v>
      </c>
      <c r="J56" s="22">
        <f>'Dez24'!F53</f>
        <v>92340</v>
      </c>
      <c r="K56" s="22">
        <f t="shared" si="2"/>
        <v>-194</v>
      </c>
      <c r="L56" s="24">
        <f>Paralelo!J53</f>
        <v>0</v>
      </c>
      <c r="M56" s="24">
        <f>'Dez24'!J53</f>
        <v>0</v>
      </c>
      <c r="N56" s="22">
        <f t="shared" si="3"/>
        <v>0</v>
      </c>
      <c r="O56" s="24">
        <f>Paralelo!K53</f>
        <v>0</v>
      </c>
      <c r="P56" s="24">
        <f>'Dez24'!K53</f>
        <v>0</v>
      </c>
      <c r="Q56" s="22">
        <f t="shared" si="4"/>
        <v>0</v>
      </c>
      <c r="R56" s="24">
        <f>Paralelo!L53</f>
        <v>304</v>
      </c>
      <c r="S56" s="24">
        <f>'Dez24'!L53</f>
        <v>304</v>
      </c>
      <c r="T56" s="45">
        <f t="shared" si="5"/>
        <v>0</v>
      </c>
    </row>
    <row r="57" spans="2:20" hidden="1" outlineLevel="1" x14ac:dyDescent="0.3">
      <c r="B57" s="23" t="s">
        <v>49</v>
      </c>
      <c r="C57" s="24">
        <f>Paralelo!D54</f>
        <v>21513591</v>
      </c>
      <c r="D57" s="24">
        <f>'Dez24'!D54</f>
        <v>13993457</v>
      </c>
      <c r="E57" s="22">
        <f t="shared" si="0"/>
        <v>7520134</v>
      </c>
      <c r="F57" s="24">
        <f>Paralelo!E54</f>
        <v>1380813</v>
      </c>
      <c r="G57" s="24">
        <f>'Dez24'!E54</f>
        <v>776204</v>
      </c>
      <c r="H57" s="22">
        <f t="shared" si="1"/>
        <v>604609</v>
      </c>
      <c r="I57" s="22">
        <f>Paralelo!F54</f>
        <v>95453</v>
      </c>
      <c r="J57" s="22">
        <f>'Dez24'!F54</f>
        <v>95453</v>
      </c>
      <c r="K57" s="22">
        <f t="shared" si="2"/>
        <v>0</v>
      </c>
      <c r="L57" s="24">
        <f>Paralelo!J54</f>
        <v>0</v>
      </c>
      <c r="M57" s="24">
        <f>'Dez24'!J54</f>
        <v>0</v>
      </c>
      <c r="N57" s="22">
        <f t="shared" si="3"/>
        <v>0</v>
      </c>
      <c r="O57" s="24">
        <f>Paralelo!K54</f>
        <v>0</v>
      </c>
      <c r="P57" s="24">
        <f>'Dez24'!K54</f>
        <v>0</v>
      </c>
      <c r="Q57" s="22">
        <f t="shared" si="4"/>
        <v>0</v>
      </c>
      <c r="R57" s="24">
        <f>Paralelo!L54</f>
        <v>423</v>
      </c>
      <c r="S57" s="24">
        <f>'Dez24'!L54</f>
        <v>423</v>
      </c>
      <c r="T57" s="45">
        <f t="shared" si="5"/>
        <v>0</v>
      </c>
    </row>
    <row r="58" spans="2:20" hidden="1" outlineLevel="1" x14ac:dyDescent="0.3">
      <c r="B58" s="23" t="s">
        <v>50</v>
      </c>
      <c r="C58" s="24">
        <f>Paralelo!D55</f>
        <v>445860172</v>
      </c>
      <c r="D58" s="24">
        <f>'Dez24'!D55</f>
        <v>388315441</v>
      </c>
      <c r="E58" s="22">
        <f t="shared" si="0"/>
        <v>57544731</v>
      </c>
      <c r="F58" s="24">
        <f>Paralelo!E55</f>
        <v>16705004</v>
      </c>
      <c r="G58" s="24">
        <f>'Dez24'!E55</f>
        <v>13603510</v>
      </c>
      <c r="H58" s="22">
        <f t="shared" si="1"/>
        <v>3101494</v>
      </c>
      <c r="I58" s="22">
        <f>Paralelo!F55</f>
        <v>1602693</v>
      </c>
      <c r="J58" s="22">
        <f>'Dez24'!F55</f>
        <v>1399401</v>
      </c>
      <c r="K58" s="22">
        <f t="shared" si="2"/>
        <v>203292</v>
      </c>
      <c r="L58" s="24">
        <f>Paralelo!J55</f>
        <v>0</v>
      </c>
      <c r="M58" s="24">
        <f>'Dez24'!J55</f>
        <v>0</v>
      </c>
      <c r="N58" s="22">
        <f t="shared" si="3"/>
        <v>0</v>
      </c>
      <c r="O58" s="24">
        <f>Paralelo!K55</f>
        <v>0</v>
      </c>
      <c r="P58" s="24">
        <f>'Dez24'!K55</f>
        <v>0</v>
      </c>
      <c r="Q58" s="22">
        <f t="shared" si="4"/>
        <v>0</v>
      </c>
      <c r="R58" s="24">
        <f>Paralelo!L55</f>
        <v>13961</v>
      </c>
      <c r="S58" s="24">
        <f>'Dez24'!L55</f>
        <v>14165</v>
      </c>
      <c r="T58" s="45">
        <f t="shared" si="5"/>
        <v>-204</v>
      </c>
    </row>
    <row r="59" spans="2:20" hidden="1" outlineLevel="1" x14ac:dyDescent="0.3">
      <c r="B59" s="23" t="s">
        <v>51</v>
      </c>
      <c r="C59" s="24">
        <f>Paralelo!D56</f>
        <v>2426125</v>
      </c>
      <c r="D59" s="24">
        <f>'Dez24'!D56</f>
        <v>2426126</v>
      </c>
      <c r="E59" s="22">
        <f t="shared" si="0"/>
        <v>-1</v>
      </c>
      <c r="F59" s="24">
        <f>Paralelo!E56</f>
        <v>198704</v>
      </c>
      <c r="G59" s="24">
        <f>'Dez24'!E56</f>
        <v>198704</v>
      </c>
      <c r="H59" s="22">
        <f t="shared" si="1"/>
        <v>0</v>
      </c>
      <c r="I59" s="22">
        <f>Paralelo!F56</f>
        <v>290511</v>
      </c>
      <c r="J59" s="22">
        <f>'Dez24'!F56</f>
        <v>290511</v>
      </c>
      <c r="K59" s="22">
        <f t="shared" si="2"/>
        <v>0</v>
      </c>
      <c r="L59" s="24">
        <f>Paralelo!J56</f>
        <v>0</v>
      </c>
      <c r="M59" s="24">
        <f>'Dez24'!J56</f>
        <v>0</v>
      </c>
      <c r="N59" s="22">
        <f t="shared" si="3"/>
        <v>0</v>
      </c>
      <c r="O59" s="24">
        <f>Paralelo!K56</f>
        <v>0</v>
      </c>
      <c r="P59" s="24">
        <f>'Dez24'!K56</f>
        <v>0</v>
      </c>
      <c r="Q59" s="22">
        <f t="shared" si="4"/>
        <v>0</v>
      </c>
      <c r="R59" s="24">
        <f>Paralelo!L56</f>
        <v>0</v>
      </c>
      <c r="S59" s="24">
        <f>'Dez24'!L56</f>
        <v>0</v>
      </c>
      <c r="T59" s="45">
        <f t="shared" si="5"/>
        <v>0</v>
      </c>
    </row>
    <row r="60" spans="2:20" collapsed="1" x14ac:dyDescent="0.3">
      <c r="B60" s="21" t="s">
        <v>52</v>
      </c>
      <c r="C60" s="22">
        <f>Paralelo!D57</f>
        <v>1110460504</v>
      </c>
      <c r="D60" s="22">
        <f>'Dez24'!D57</f>
        <v>1192716831</v>
      </c>
      <c r="E60" s="22">
        <f t="shared" si="0"/>
        <v>-82256327</v>
      </c>
      <c r="F60" s="22">
        <f>Paralelo!E57</f>
        <v>54634715</v>
      </c>
      <c r="G60" s="22">
        <f>'Dez24'!E57</f>
        <v>57354780</v>
      </c>
      <c r="H60" s="22">
        <f t="shared" si="1"/>
        <v>-2720065</v>
      </c>
      <c r="I60" s="22">
        <f>Paralelo!F57</f>
        <v>12489708</v>
      </c>
      <c r="J60" s="22">
        <f>'Dez24'!F57</f>
        <v>13520301</v>
      </c>
      <c r="K60" s="22">
        <f t="shared" si="2"/>
        <v>-1030593</v>
      </c>
      <c r="L60" s="22">
        <f>Paralelo!J57</f>
        <v>0</v>
      </c>
      <c r="M60" s="22">
        <f>'Dez24'!J57</f>
        <v>0</v>
      </c>
      <c r="N60" s="22">
        <f t="shared" si="3"/>
        <v>0</v>
      </c>
      <c r="O60" s="22">
        <f>Paralelo!K57</f>
        <v>0</v>
      </c>
      <c r="P60" s="22">
        <f>'Dez24'!K57</f>
        <v>0</v>
      </c>
      <c r="Q60" s="22">
        <f t="shared" si="4"/>
        <v>0</v>
      </c>
      <c r="R60" s="22">
        <f>Paralelo!L57</f>
        <v>5688</v>
      </c>
      <c r="S60" s="22">
        <f>'Dez24'!L57</f>
        <v>5688</v>
      </c>
      <c r="T60" s="45">
        <f t="shared" si="5"/>
        <v>0</v>
      </c>
    </row>
    <row r="61" spans="2:20" x14ac:dyDescent="0.3">
      <c r="B61" s="21" t="s">
        <v>53</v>
      </c>
      <c r="C61" s="22">
        <f>Paralelo!D58</f>
        <v>1166127334</v>
      </c>
      <c r="D61" s="22">
        <f>'Dez24'!D58</f>
        <v>1116120857</v>
      </c>
      <c r="E61" s="22">
        <f t="shared" si="0"/>
        <v>50006477</v>
      </c>
      <c r="F61" s="22">
        <f>Paralelo!E58</f>
        <v>59513748</v>
      </c>
      <c r="G61" s="22">
        <f>'Dez24'!E58</f>
        <v>56882565</v>
      </c>
      <c r="H61" s="22">
        <f t="shared" si="1"/>
        <v>2631183</v>
      </c>
      <c r="I61" s="22">
        <f>Paralelo!F58</f>
        <v>11305686</v>
      </c>
      <c r="J61" s="22">
        <f>'Dez24'!F58</f>
        <v>10173166</v>
      </c>
      <c r="K61" s="22">
        <f t="shared" si="2"/>
        <v>1132520</v>
      </c>
      <c r="L61" s="22">
        <f>Paralelo!J58</f>
        <v>0</v>
      </c>
      <c r="M61" s="22">
        <f>'Dez24'!J58</f>
        <v>0</v>
      </c>
      <c r="N61" s="22">
        <f t="shared" si="3"/>
        <v>0</v>
      </c>
      <c r="O61" s="22">
        <f>Paralelo!K58</f>
        <v>3054</v>
      </c>
      <c r="P61" s="22">
        <f>'Dez24'!K58</f>
        <v>3054</v>
      </c>
      <c r="Q61" s="22">
        <f t="shared" si="4"/>
        <v>0</v>
      </c>
      <c r="R61" s="22">
        <f>Paralelo!L58</f>
        <v>3410</v>
      </c>
      <c r="S61" s="22">
        <f>'Dez24'!L58</f>
        <v>3410</v>
      </c>
      <c r="T61" s="45">
        <f t="shared" si="5"/>
        <v>0</v>
      </c>
    </row>
    <row r="62" spans="2:20" x14ac:dyDescent="0.3">
      <c r="B62" s="21" t="s">
        <v>54</v>
      </c>
      <c r="C62" s="22">
        <f>Paralelo!D60</f>
        <v>8716736</v>
      </c>
      <c r="D62" s="22">
        <f>'Dez24'!D60</f>
        <v>4114667</v>
      </c>
      <c r="E62" s="22">
        <f t="shared" si="0"/>
        <v>4602069</v>
      </c>
      <c r="F62" s="22">
        <f>Paralelo!E60</f>
        <v>205346</v>
      </c>
      <c r="G62" s="22">
        <f>'Dez24'!E60</f>
        <v>72508</v>
      </c>
      <c r="H62" s="22">
        <f t="shared" si="1"/>
        <v>132838</v>
      </c>
      <c r="I62" s="22">
        <f>Paralelo!F60</f>
        <v>798598</v>
      </c>
      <c r="J62" s="22">
        <f>'Dez24'!F60</f>
        <v>704794</v>
      </c>
      <c r="K62" s="22">
        <f t="shared" si="2"/>
        <v>93804</v>
      </c>
      <c r="L62" s="22">
        <f>Paralelo!J60</f>
        <v>0</v>
      </c>
      <c r="M62" s="22">
        <f>'Dez24'!J60</f>
        <v>0</v>
      </c>
      <c r="N62" s="22">
        <f t="shared" si="3"/>
        <v>0</v>
      </c>
      <c r="O62" s="22">
        <f>Paralelo!K60</f>
        <v>331</v>
      </c>
      <c r="P62" s="22">
        <f>'Dez24'!K60</f>
        <v>324</v>
      </c>
      <c r="Q62" s="22">
        <f t="shared" si="4"/>
        <v>7</v>
      </c>
      <c r="R62" s="22">
        <f>Paralelo!L60</f>
        <v>84610</v>
      </c>
      <c r="S62" s="22">
        <f>'Dez24'!L60</f>
        <v>82015</v>
      </c>
      <c r="T62" s="45">
        <f t="shared" si="5"/>
        <v>2595</v>
      </c>
    </row>
    <row r="63" spans="2:20" x14ac:dyDescent="0.3">
      <c r="B63" s="21" t="s">
        <v>55</v>
      </c>
      <c r="C63" s="22">
        <f>Paralelo!D61</f>
        <v>2818570812</v>
      </c>
      <c r="D63" s="22">
        <f>'Dez24'!D61</f>
        <v>2967217545</v>
      </c>
      <c r="E63" s="22">
        <f t="shared" si="0"/>
        <v>-148646733</v>
      </c>
      <c r="F63" s="22">
        <f>Paralelo!E61</f>
        <v>118059432</v>
      </c>
      <c r="G63" s="22">
        <f>'Dez24'!E61</f>
        <v>126885534</v>
      </c>
      <c r="H63" s="22">
        <f t="shared" si="1"/>
        <v>-8826102</v>
      </c>
      <c r="I63" s="22">
        <f>Paralelo!F61</f>
        <v>37490429</v>
      </c>
      <c r="J63" s="22">
        <f>'Dez24'!F61</f>
        <v>37385637</v>
      </c>
      <c r="K63" s="22">
        <f t="shared" si="2"/>
        <v>104792</v>
      </c>
      <c r="L63" s="22">
        <f>Paralelo!J61</f>
        <v>0</v>
      </c>
      <c r="M63" s="22">
        <f>'Dez24'!J61</f>
        <v>0</v>
      </c>
      <c r="N63" s="22">
        <f t="shared" si="3"/>
        <v>0</v>
      </c>
      <c r="O63" s="22">
        <f>Paralelo!K61</f>
        <v>1208567</v>
      </c>
      <c r="P63" s="22">
        <f>'Dez24'!K61</f>
        <v>1208772</v>
      </c>
      <c r="Q63" s="22">
        <f t="shared" si="4"/>
        <v>-205</v>
      </c>
      <c r="R63" s="22">
        <f>Paralelo!L61</f>
        <v>44423</v>
      </c>
      <c r="S63" s="22">
        <f>'Dez24'!L61</f>
        <v>46907</v>
      </c>
      <c r="T63" s="45">
        <f t="shared" si="5"/>
        <v>-2484</v>
      </c>
    </row>
    <row r="64" spans="2:20" x14ac:dyDescent="0.3">
      <c r="B64" s="21" t="s">
        <v>56</v>
      </c>
      <c r="C64" s="22">
        <f>Paralelo!D62</f>
        <v>12241903690</v>
      </c>
      <c r="D64" s="22">
        <f>'Dez24'!D62</f>
        <v>12241935469</v>
      </c>
      <c r="E64" s="22">
        <f t="shared" si="0"/>
        <v>-31779</v>
      </c>
      <c r="F64" s="22">
        <f>Paralelo!E62</f>
        <v>572060212</v>
      </c>
      <c r="G64" s="22">
        <f>'Dez24'!E62</f>
        <v>573541486</v>
      </c>
      <c r="H64" s="22">
        <f t="shared" si="1"/>
        <v>-1481274</v>
      </c>
      <c r="I64" s="22">
        <f>Paralelo!F62</f>
        <v>145733170</v>
      </c>
      <c r="J64" s="22">
        <f>'Dez24'!F62</f>
        <v>145734929</v>
      </c>
      <c r="K64" s="22">
        <f t="shared" si="2"/>
        <v>-1759</v>
      </c>
      <c r="L64" s="22">
        <f>Paralelo!J62</f>
        <v>0</v>
      </c>
      <c r="M64" s="22">
        <f>'Dez24'!J62</f>
        <v>0</v>
      </c>
      <c r="N64" s="22">
        <f t="shared" si="3"/>
        <v>0</v>
      </c>
      <c r="O64" s="22">
        <f>Paralelo!K62</f>
        <v>1563975</v>
      </c>
      <c r="P64" s="22">
        <f>'Dez24'!K62</f>
        <v>1564836</v>
      </c>
      <c r="Q64" s="22">
        <f t="shared" si="4"/>
        <v>-861</v>
      </c>
      <c r="R64" s="22">
        <f>Paralelo!L62</f>
        <v>304348</v>
      </c>
      <c r="S64" s="22">
        <f>'Dez24'!L62</f>
        <v>304441</v>
      </c>
      <c r="T64" s="22">
        <f t="shared" si="5"/>
        <v>-93</v>
      </c>
    </row>
    <row r="65" spans="3:20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6"/>
  <sheetViews>
    <sheetView showGridLines="0" zoomScale="70" zoomScaleNormal="70" workbookViewId="0"/>
  </sheetViews>
  <sheetFormatPr defaultRowHeight="14.4" x14ac:dyDescent="0.3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33203125" customWidth="1"/>
    <col min="16" max="16" width="15.33203125" bestFit="1" customWidth="1"/>
    <col min="17" max="17" width="15.88671875" customWidth="1"/>
    <col min="18" max="18" width="10.88671875" bestFit="1" customWidth="1"/>
    <col min="21" max="21" width="13.5546875" bestFit="1" customWidth="1"/>
    <col min="22" max="22" width="13.109375" bestFit="1" customWidth="1"/>
  </cols>
  <sheetData>
    <row r="1" spans="1:2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 x14ac:dyDescent="0.3">
      <c r="A2" s="8"/>
      <c r="B2" s="8"/>
      <c r="C2" s="9" t="s">
        <v>84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 x14ac:dyDescent="0.3">
      <c r="A3" s="8"/>
      <c r="B3" s="8"/>
      <c r="C3" s="57" t="s">
        <v>57</v>
      </c>
      <c r="D3" s="58" t="s">
        <v>87</v>
      </c>
      <c r="E3" s="59"/>
      <c r="F3" s="59"/>
      <c r="G3" s="59"/>
      <c r="H3" s="59"/>
      <c r="I3" s="59"/>
      <c r="J3" s="60" t="s">
        <v>88</v>
      </c>
      <c r="K3" s="60"/>
      <c r="L3" s="60"/>
      <c r="M3" s="60"/>
      <c r="N3" s="60"/>
      <c r="O3" s="60"/>
      <c r="P3" s="8"/>
    </row>
    <row r="4" spans="1:27" ht="55.2" x14ac:dyDescent="0.3">
      <c r="A4" s="8"/>
      <c r="B4" s="8"/>
      <c r="C4" s="61"/>
      <c r="D4" s="51" t="s">
        <v>89</v>
      </c>
      <c r="E4" s="51" t="s">
        <v>90</v>
      </c>
      <c r="F4" s="51" t="s">
        <v>91</v>
      </c>
      <c r="G4" s="55" t="s">
        <v>58</v>
      </c>
      <c r="H4" s="56"/>
      <c r="I4" s="56"/>
      <c r="J4" s="62" t="s">
        <v>89</v>
      </c>
      <c r="K4" s="62" t="s">
        <v>90</v>
      </c>
      <c r="L4" s="62" t="s">
        <v>91</v>
      </c>
      <c r="M4" s="63" t="s">
        <v>58</v>
      </c>
      <c r="N4" s="64"/>
      <c r="O4" s="64"/>
      <c r="P4" s="8"/>
      <c r="Q4" s="94"/>
      <c r="R4" s="94"/>
    </row>
    <row r="5" spans="1:27" ht="41.4" x14ac:dyDescent="0.3">
      <c r="A5" s="8"/>
      <c r="B5" s="8"/>
      <c r="C5" s="61"/>
      <c r="D5" s="10"/>
      <c r="E5" s="11"/>
      <c r="F5" s="11"/>
      <c r="G5" s="16"/>
      <c r="H5" s="17" t="s">
        <v>92</v>
      </c>
      <c r="I5" s="17" t="s">
        <v>93</v>
      </c>
      <c r="J5" s="65"/>
      <c r="K5" s="66"/>
      <c r="L5" s="67"/>
      <c r="M5" s="68"/>
      <c r="N5" s="69" t="s">
        <v>92</v>
      </c>
      <c r="O5" s="70" t="s">
        <v>93</v>
      </c>
      <c r="P5" s="91"/>
      <c r="Q5" s="95"/>
      <c r="R5" s="95"/>
    </row>
    <row r="6" spans="1:27" x14ac:dyDescent="0.3">
      <c r="A6" s="8"/>
      <c r="B6" s="8"/>
      <c r="C6" s="61"/>
      <c r="D6" s="71" t="s">
        <v>94</v>
      </c>
      <c r="E6" s="71" t="s">
        <v>95</v>
      </c>
      <c r="F6" s="71" t="s">
        <v>96</v>
      </c>
      <c r="G6" s="71" t="s">
        <v>97</v>
      </c>
      <c r="H6" s="71" t="s">
        <v>98</v>
      </c>
      <c r="I6" s="71" t="s">
        <v>99</v>
      </c>
      <c r="J6" s="71" t="s">
        <v>100</v>
      </c>
      <c r="K6" s="71" t="s">
        <v>101</v>
      </c>
      <c r="L6" s="71" t="s">
        <v>102</v>
      </c>
      <c r="M6" s="71" t="s">
        <v>103</v>
      </c>
      <c r="N6" s="71">
        <v>110</v>
      </c>
      <c r="O6" s="71">
        <v>120</v>
      </c>
      <c r="P6" s="91"/>
      <c r="Q6" s="95"/>
      <c r="R6" s="95"/>
    </row>
    <row r="7" spans="1:27" x14ac:dyDescent="0.3">
      <c r="A7" s="8"/>
      <c r="B7" s="12">
        <v>1</v>
      </c>
      <c r="C7" s="72" t="s">
        <v>59</v>
      </c>
      <c r="D7" s="83">
        <v>9414616142</v>
      </c>
      <c r="E7" s="83">
        <v>453795434</v>
      </c>
      <c r="F7" s="83">
        <v>107444143</v>
      </c>
      <c r="G7" s="83">
        <v>84082430</v>
      </c>
      <c r="H7" s="83">
        <v>60855478</v>
      </c>
      <c r="I7" s="83">
        <v>3210961</v>
      </c>
      <c r="J7" s="83"/>
      <c r="K7" s="83">
        <v>355077</v>
      </c>
      <c r="L7" s="83">
        <v>175315</v>
      </c>
      <c r="M7" s="83">
        <v>496768</v>
      </c>
      <c r="N7" s="83">
        <v>21276</v>
      </c>
      <c r="O7" s="83">
        <v>78667</v>
      </c>
      <c r="P7" s="91"/>
      <c r="Q7" s="96"/>
      <c r="R7" s="96"/>
      <c r="U7" s="73"/>
      <c r="V7" s="73"/>
      <c r="W7" s="73"/>
    </row>
    <row r="8" spans="1:27" x14ac:dyDescent="0.3">
      <c r="A8" s="8"/>
      <c r="B8" s="12">
        <v>2</v>
      </c>
      <c r="C8" s="74" t="s">
        <v>3</v>
      </c>
      <c r="D8" s="84">
        <v>331599460</v>
      </c>
      <c r="E8" s="85">
        <v>15687251</v>
      </c>
      <c r="F8" s="85">
        <v>2437101</v>
      </c>
      <c r="G8" s="86">
        <v>2659813</v>
      </c>
      <c r="H8" s="86">
        <v>2289670</v>
      </c>
      <c r="I8" s="86">
        <v>70365</v>
      </c>
      <c r="J8" s="84"/>
      <c r="K8" s="85">
        <v>0</v>
      </c>
      <c r="L8" s="85">
        <v>297</v>
      </c>
      <c r="M8" s="86">
        <v>0</v>
      </c>
      <c r="N8" s="86">
        <v>0</v>
      </c>
      <c r="O8" s="86">
        <v>0</v>
      </c>
      <c r="P8" s="93"/>
      <c r="Q8" s="97"/>
      <c r="R8" s="97"/>
      <c r="S8" s="73"/>
      <c r="U8" s="73"/>
      <c r="V8" s="73"/>
      <c r="W8" s="73"/>
      <c r="Y8" s="76"/>
      <c r="Z8" s="76"/>
      <c r="AA8" s="76"/>
    </row>
    <row r="9" spans="1:27" x14ac:dyDescent="0.3">
      <c r="A9" s="8"/>
      <c r="B9" s="12">
        <v>3</v>
      </c>
      <c r="C9" s="74" t="s">
        <v>4</v>
      </c>
      <c r="D9" s="84">
        <v>14172404</v>
      </c>
      <c r="E9" s="85">
        <v>752507</v>
      </c>
      <c r="F9" s="85">
        <v>446416</v>
      </c>
      <c r="G9" s="86">
        <v>441276</v>
      </c>
      <c r="H9" s="86">
        <v>412784</v>
      </c>
      <c r="I9" s="86">
        <v>22041</v>
      </c>
      <c r="J9" s="84"/>
      <c r="K9" s="85">
        <v>0</v>
      </c>
      <c r="L9" s="85">
        <v>6028</v>
      </c>
      <c r="M9" s="86">
        <v>0</v>
      </c>
      <c r="N9" s="86">
        <v>0</v>
      </c>
      <c r="O9" s="86">
        <v>0</v>
      </c>
      <c r="P9" s="93"/>
      <c r="Q9" s="98"/>
      <c r="R9" s="98"/>
      <c r="S9" s="73"/>
      <c r="U9" s="73"/>
      <c r="V9" s="73"/>
      <c r="W9" s="73"/>
      <c r="Y9" s="76"/>
      <c r="Z9" s="76"/>
      <c r="AA9" s="76"/>
    </row>
    <row r="10" spans="1:27" x14ac:dyDescent="0.3">
      <c r="A10" s="8"/>
      <c r="B10" s="12">
        <v>4</v>
      </c>
      <c r="C10" s="77" t="s">
        <v>5</v>
      </c>
      <c r="D10" s="84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4"/>
      <c r="K10" s="85">
        <v>0</v>
      </c>
      <c r="L10" s="85">
        <v>0</v>
      </c>
      <c r="M10" s="86">
        <v>0</v>
      </c>
      <c r="N10" s="86">
        <v>0</v>
      </c>
      <c r="O10" s="86">
        <v>0</v>
      </c>
      <c r="P10" s="93"/>
      <c r="Q10" s="95"/>
      <c r="R10" s="95"/>
      <c r="S10" s="73"/>
      <c r="U10" s="73"/>
      <c r="V10" s="73"/>
      <c r="W10" s="73"/>
      <c r="Y10" s="76"/>
      <c r="Z10" s="76"/>
      <c r="AA10" s="76"/>
    </row>
    <row r="11" spans="1:27" x14ac:dyDescent="0.3">
      <c r="A11" s="8"/>
      <c r="B11" s="12">
        <v>5</v>
      </c>
      <c r="C11" s="77" t="s">
        <v>6</v>
      </c>
      <c r="D11" s="84">
        <v>0</v>
      </c>
      <c r="E11" s="86">
        <v>0</v>
      </c>
      <c r="F11" s="85">
        <v>190</v>
      </c>
      <c r="G11" s="86">
        <v>0</v>
      </c>
      <c r="H11" s="86">
        <v>0</v>
      </c>
      <c r="I11" s="86">
        <v>0</v>
      </c>
      <c r="J11" s="84"/>
      <c r="K11" s="85">
        <v>0</v>
      </c>
      <c r="L11" s="85">
        <v>6028</v>
      </c>
      <c r="M11" s="86">
        <v>0</v>
      </c>
      <c r="N11" s="86">
        <v>0</v>
      </c>
      <c r="O11" s="86">
        <v>0</v>
      </c>
      <c r="P11" s="93"/>
      <c r="Q11" s="95"/>
      <c r="R11" s="95"/>
      <c r="S11" s="73"/>
      <c r="U11" s="73"/>
      <c r="V11" s="73"/>
      <c r="W11" s="73"/>
      <c r="Y11" s="76"/>
      <c r="Z11" s="76"/>
      <c r="AA11" s="76"/>
    </row>
    <row r="12" spans="1:27" x14ac:dyDescent="0.3">
      <c r="A12" s="8"/>
      <c r="B12" s="12">
        <v>6</v>
      </c>
      <c r="C12" s="77" t="s">
        <v>7</v>
      </c>
      <c r="D12" s="84">
        <v>141472</v>
      </c>
      <c r="E12" s="85">
        <v>34428</v>
      </c>
      <c r="F12" s="85">
        <v>41958</v>
      </c>
      <c r="G12" s="86">
        <v>87</v>
      </c>
      <c r="H12" s="86">
        <v>49</v>
      </c>
      <c r="I12" s="86">
        <v>6</v>
      </c>
      <c r="J12" s="84"/>
      <c r="K12" s="85">
        <v>0</v>
      </c>
      <c r="L12" s="85">
        <v>0</v>
      </c>
      <c r="M12" s="86">
        <v>0</v>
      </c>
      <c r="N12" s="86">
        <v>0</v>
      </c>
      <c r="O12" s="86">
        <v>0</v>
      </c>
      <c r="P12" s="93"/>
      <c r="Q12" s="92"/>
      <c r="R12" s="92"/>
      <c r="S12" s="73"/>
      <c r="U12" s="73"/>
      <c r="V12" s="73"/>
      <c r="W12" s="73"/>
      <c r="Y12" s="76"/>
      <c r="Z12" s="76"/>
      <c r="AA12" s="76"/>
    </row>
    <row r="13" spans="1:27" x14ac:dyDescent="0.3">
      <c r="A13" s="8"/>
      <c r="B13" s="12">
        <v>7</v>
      </c>
      <c r="C13" s="77" t="s">
        <v>8</v>
      </c>
      <c r="D13" s="84">
        <v>13954368</v>
      </c>
      <c r="E13" s="85">
        <v>707631</v>
      </c>
      <c r="F13" s="85">
        <v>400421</v>
      </c>
      <c r="G13" s="86">
        <v>441139</v>
      </c>
      <c r="H13" s="86">
        <v>412706</v>
      </c>
      <c r="I13" s="86">
        <v>22032</v>
      </c>
      <c r="J13" s="84"/>
      <c r="K13" s="85">
        <v>0</v>
      </c>
      <c r="L13" s="85">
        <v>0</v>
      </c>
      <c r="M13" s="86">
        <v>0</v>
      </c>
      <c r="N13" s="86">
        <v>0</v>
      </c>
      <c r="O13" s="86">
        <v>0</v>
      </c>
      <c r="P13" s="75"/>
      <c r="S13" s="73"/>
      <c r="U13" s="73"/>
      <c r="V13" s="73"/>
      <c r="W13" s="73"/>
      <c r="Y13" s="76"/>
      <c r="Z13" s="76"/>
      <c r="AA13" s="76"/>
    </row>
    <row r="14" spans="1:27" x14ac:dyDescent="0.3">
      <c r="A14" s="8"/>
      <c r="B14" s="12">
        <v>8</v>
      </c>
      <c r="C14" s="77" t="s">
        <v>9</v>
      </c>
      <c r="D14" s="84">
        <v>76564</v>
      </c>
      <c r="E14" s="85">
        <v>10448</v>
      </c>
      <c r="F14" s="85">
        <v>3847</v>
      </c>
      <c r="G14" s="86">
        <v>50</v>
      </c>
      <c r="H14" s="86">
        <v>28</v>
      </c>
      <c r="I14" s="86">
        <v>3</v>
      </c>
      <c r="J14" s="84"/>
      <c r="K14" s="85">
        <v>0</v>
      </c>
      <c r="L14" s="85">
        <v>0</v>
      </c>
      <c r="M14" s="86">
        <v>0</v>
      </c>
      <c r="N14" s="86">
        <v>0</v>
      </c>
      <c r="O14" s="86">
        <v>0</v>
      </c>
      <c r="P14" s="75"/>
      <c r="S14" s="73"/>
      <c r="U14" s="73"/>
      <c r="V14" s="73"/>
      <c r="W14" s="73"/>
      <c r="Y14" s="76"/>
      <c r="Z14" s="76"/>
      <c r="AA14" s="76"/>
    </row>
    <row r="15" spans="1:27" x14ac:dyDescent="0.3">
      <c r="A15" s="8"/>
      <c r="B15" s="12">
        <v>9</v>
      </c>
      <c r="C15" s="74" t="s">
        <v>10</v>
      </c>
      <c r="D15" s="84">
        <v>2162719946</v>
      </c>
      <c r="E15" s="85">
        <v>111890711</v>
      </c>
      <c r="F15" s="85">
        <v>17581811</v>
      </c>
      <c r="G15" s="86">
        <v>6930193</v>
      </c>
      <c r="H15" s="86">
        <v>3700751</v>
      </c>
      <c r="I15" s="86">
        <v>435977</v>
      </c>
      <c r="J15" s="84"/>
      <c r="K15" s="85">
        <v>261587</v>
      </c>
      <c r="L15" s="85">
        <v>39804</v>
      </c>
      <c r="M15" s="86">
        <v>496738</v>
      </c>
      <c r="N15" s="86">
        <v>21271</v>
      </c>
      <c r="O15" s="86">
        <v>78661</v>
      </c>
      <c r="P15" s="75"/>
      <c r="S15" s="73"/>
      <c r="U15" s="73"/>
      <c r="V15" s="73"/>
      <c r="W15" s="73"/>
      <c r="Y15" s="76"/>
      <c r="Z15" s="76"/>
      <c r="AA15" s="76"/>
    </row>
    <row r="16" spans="1:27" x14ac:dyDescent="0.3">
      <c r="A16" s="8"/>
      <c r="B16" s="12">
        <v>10</v>
      </c>
      <c r="C16" s="77" t="s">
        <v>11</v>
      </c>
      <c r="D16" s="84">
        <v>336423701</v>
      </c>
      <c r="E16" s="85">
        <v>15965449</v>
      </c>
      <c r="F16" s="85">
        <v>2211995</v>
      </c>
      <c r="G16" s="86">
        <v>2102666</v>
      </c>
      <c r="H16" s="86">
        <v>574252</v>
      </c>
      <c r="I16" s="86">
        <v>96073</v>
      </c>
      <c r="J16" s="84"/>
      <c r="K16" s="85">
        <v>194616</v>
      </c>
      <c r="L16" s="85">
        <v>1899</v>
      </c>
      <c r="M16" s="86">
        <v>493383</v>
      </c>
      <c r="N16" s="86">
        <v>21252</v>
      </c>
      <c r="O16" s="86">
        <v>78645</v>
      </c>
      <c r="P16" s="75"/>
      <c r="S16" s="73"/>
      <c r="U16" s="73"/>
      <c r="V16" s="73"/>
      <c r="W16" s="73"/>
      <c r="Y16" s="76"/>
      <c r="Z16" s="76"/>
      <c r="AA16" s="76"/>
    </row>
    <row r="17" spans="1:27" x14ac:dyDescent="0.3">
      <c r="A17" s="8"/>
      <c r="B17" s="12">
        <v>11</v>
      </c>
      <c r="C17" s="77" t="s">
        <v>12</v>
      </c>
      <c r="D17" s="84">
        <v>217522093</v>
      </c>
      <c r="E17" s="85">
        <v>10741445</v>
      </c>
      <c r="F17" s="85">
        <v>1264338</v>
      </c>
      <c r="G17" s="86">
        <v>99889</v>
      </c>
      <c r="H17" s="86">
        <v>39064</v>
      </c>
      <c r="I17" s="86">
        <v>4861</v>
      </c>
      <c r="J17" s="84"/>
      <c r="K17" s="85">
        <v>0</v>
      </c>
      <c r="L17" s="85">
        <v>0</v>
      </c>
      <c r="M17" s="86">
        <v>0</v>
      </c>
      <c r="N17" s="86">
        <v>0</v>
      </c>
      <c r="O17" s="86">
        <v>0</v>
      </c>
      <c r="P17" s="75"/>
      <c r="S17" s="73"/>
      <c r="U17" s="73"/>
      <c r="V17" s="73"/>
      <c r="W17" s="73"/>
      <c r="Y17" s="76"/>
      <c r="Z17" s="76"/>
      <c r="AA17" s="76"/>
    </row>
    <row r="18" spans="1:27" x14ac:dyDescent="0.3">
      <c r="A18" s="8"/>
      <c r="B18" s="12">
        <v>12</v>
      </c>
      <c r="C18" s="77" t="s">
        <v>13</v>
      </c>
      <c r="D18" s="84">
        <v>2924771</v>
      </c>
      <c r="E18" s="85">
        <v>128825</v>
      </c>
      <c r="F18" s="85">
        <v>15487</v>
      </c>
      <c r="G18" s="86">
        <v>82692</v>
      </c>
      <c r="H18" s="86">
        <v>5963</v>
      </c>
      <c r="I18" s="86">
        <v>4055</v>
      </c>
      <c r="J18" s="84"/>
      <c r="K18" s="85">
        <v>0</v>
      </c>
      <c r="L18" s="85">
        <v>0</v>
      </c>
      <c r="M18" s="86">
        <v>0</v>
      </c>
      <c r="N18" s="86">
        <v>0</v>
      </c>
      <c r="O18" s="86">
        <v>0</v>
      </c>
      <c r="P18" s="75"/>
      <c r="S18" s="73"/>
      <c r="U18" s="73"/>
      <c r="V18" s="73"/>
      <c r="W18" s="73"/>
      <c r="Y18" s="76"/>
      <c r="Z18" s="76"/>
      <c r="AA18" s="76"/>
    </row>
    <row r="19" spans="1:27" x14ac:dyDescent="0.3">
      <c r="A19" s="8"/>
      <c r="B19" s="12">
        <v>13</v>
      </c>
      <c r="C19" s="77" t="s">
        <v>14</v>
      </c>
      <c r="D19" s="84">
        <v>112288974</v>
      </c>
      <c r="E19" s="85">
        <v>5711850</v>
      </c>
      <c r="F19" s="85">
        <v>854236</v>
      </c>
      <c r="G19" s="86">
        <v>168845</v>
      </c>
      <c r="H19" s="86">
        <v>94256</v>
      </c>
      <c r="I19" s="86">
        <v>23504</v>
      </c>
      <c r="J19" s="84"/>
      <c r="K19" s="85">
        <v>0</v>
      </c>
      <c r="L19" s="85">
        <v>0</v>
      </c>
      <c r="M19" s="86">
        <v>0</v>
      </c>
      <c r="N19" s="86">
        <v>0</v>
      </c>
      <c r="O19" s="86">
        <v>0</v>
      </c>
      <c r="P19" s="75"/>
      <c r="S19" s="73"/>
      <c r="U19" s="73"/>
      <c r="V19" s="73"/>
      <c r="W19" s="73"/>
      <c r="Y19" s="76"/>
      <c r="Z19" s="76"/>
      <c r="AA19" s="76"/>
    </row>
    <row r="20" spans="1:27" x14ac:dyDescent="0.3">
      <c r="A20" s="8"/>
      <c r="B20" s="12">
        <v>14</v>
      </c>
      <c r="C20" s="77" t="s">
        <v>15</v>
      </c>
      <c r="D20" s="84">
        <v>94341450</v>
      </c>
      <c r="E20" s="85">
        <v>5217641</v>
      </c>
      <c r="F20" s="85">
        <v>1145580</v>
      </c>
      <c r="G20" s="86">
        <v>240507</v>
      </c>
      <c r="H20" s="86">
        <v>66883</v>
      </c>
      <c r="I20" s="86">
        <v>47732</v>
      </c>
      <c r="J20" s="84"/>
      <c r="K20" s="85">
        <v>0</v>
      </c>
      <c r="L20" s="85">
        <v>0</v>
      </c>
      <c r="M20" s="86">
        <v>0</v>
      </c>
      <c r="N20" s="86">
        <v>0</v>
      </c>
      <c r="O20" s="86">
        <v>0</v>
      </c>
      <c r="P20" s="75"/>
      <c r="S20" s="73"/>
      <c r="U20" s="73"/>
      <c r="V20" s="73"/>
      <c r="W20" s="73"/>
      <c r="Y20" s="76"/>
      <c r="Z20" s="76"/>
      <c r="AA20" s="76"/>
    </row>
    <row r="21" spans="1:27" x14ac:dyDescent="0.3">
      <c r="A21" s="8"/>
      <c r="B21" s="12">
        <v>15</v>
      </c>
      <c r="C21" s="77" t="s">
        <v>16</v>
      </c>
      <c r="D21" s="84">
        <v>50416475</v>
      </c>
      <c r="E21" s="85">
        <v>2945548</v>
      </c>
      <c r="F21" s="85">
        <v>592018</v>
      </c>
      <c r="G21" s="86">
        <v>75816</v>
      </c>
      <c r="H21" s="86">
        <v>28010</v>
      </c>
      <c r="I21" s="86">
        <v>17402</v>
      </c>
      <c r="J21" s="84"/>
      <c r="K21" s="85">
        <v>0</v>
      </c>
      <c r="L21" s="85">
        <v>96</v>
      </c>
      <c r="M21" s="86">
        <v>0</v>
      </c>
      <c r="N21" s="86">
        <v>0</v>
      </c>
      <c r="O21" s="86">
        <v>0</v>
      </c>
      <c r="P21" s="75"/>
      <c r="S21" s="73"/>
      <c r="U21" s="73"/>
      <c r="V21" s="73"/>
      <c r="W21" s="73"/>
      <c r="Y21" s="76"/>
      <c r="Z21" s="76"/>
      <c r="AA21" s="76"/>
    </row>
    <row r="22" spans="1:27" x14ac:dyDescent="0.3">
      <c r="A22" s="8"/>
      <c r="B22" s="12">
        <v>16</v>
      </c>
      <c r="C22" s="77" t="s">
        <v>17</v>
      </c>
      <c r="D22" s="84">
        <v>113903358</v>
      </c>
      <c r="E22" s="85">
        <v>6292561</v>
      </c>
      <c r="F22" s="85">
        <v>781672</v>
      </c>
      <c r="G22" s="86">
        <v>270956</v>
      </c>
      <c r="H22" s="86">
        <v>199055</v>
      </c>
      <c r="I22" s="86">
        <v>20519</v>
      </c>
      <c r="J22" s="84"/>
      <c r="K22" s="85">
        <v>0</v>
      </c>
      <c r="L22" s="85">
        <v>0</v>
      </c>
      <c r="M22" s="86">
        <v>0</v>
      </c>
      <c r="N22" s="86">
        <v>0</v>
      </c>
      <c r="O22" s="86">
        <v>0</v>
      </c>
      <c r="P22" s="75"/>
      <c r="S22" s="73"/>
      <c r="U22" s="73"/>
      <c r="V22" s="73"/>
      <c r="W22" s="73"/>
      <c r="Y22" s="76"/>
      <c r="Z22" s="76"/>
      <c r="AA22" s="76"/>
    </row>
    <row r="23" spans="1:27" x14ac:dyDescent="0.3">
      <c r="A23" s="8"/>
      <c r="B23" s="12">
        <v>17</v>
      </c>
      <c r="C23" s="77" t="s">
        <v>18</v>
      </c>
      <c r="D23" s="84">
        <v>145662162</v>
      </c>
      <c r="E23" s="85">
        <v>6119507</v>
      </c>
      <c r="F23" s="85">
        <v>276084</v>
      </c>
      <c r="G23" s="86">
        <v>143888</v>
      </c>
      <c r="H23" s="86">
        <v>73389</v>
      </c>
      <c r="I23" s="86">
        <v>19733</v>
      </c>
      <c r="J23" s="84"/>
      <c r="K23" s="85">
        <v>0</v>
      </c>
      <c r="L23" s="85">
        <v>0</v>
      </c>
      <c r="M23" s="86">
        <v>0</v>
      </c>
      <c r="N23" s="86">
        <v>0</v>
      </c>
      <c r="O23" s="86">
        <v>0</v>
      </c>
      <c r="P23" s="75"/>
      <c r="S23" s="73"/>
      <c r="U23" s="73"/>
      <c r="V23" s="73"/>
      <c r="W23" s="73"/>
      <c r="Y23" s="76"/>
      <c r="Z23" s="76"/>
      <c r="AA23" s="76"/>
    </row>
    <row r="24" spans="1:27" x14ac:dyDescent="0.3">
      <c r="A24" s="8"/>
      <c r="B24" s="12">
        <v>18</v>
      </c>
      <c r="C24" s="77" t="s">
        <v>19</v>
      </c>
      <c r="D24" s="84">
        <v>29940097</v>
      </c>
      <c r="E24" s="85">
        <v>1703042</v>
      </c>
      <c r="F24" s="85">
        <v>373107</v>
      </c>
      <c r="G24" s="86">
        <v>53160</v>
      </c>
      <c r="H24" s="86">
        <v>30340</v>
      </c>
      <c r="I24" s="86">
        <v>10411</v>
      </c>
      <c r="J24" s="84"/>
      <c r="K24" s="85">
        <v>0</v>
      </c>
      <c r="L24" s="85">
        <v>92</v>
      </c>
      <c r="M24" s="86">
        <v>0</v>
      </c>
      <c r="N24" s="86">
        <v>0</v>
      </c>
      <c r="O24" s="86">
        <v>0</v>
      </c>
      <c r="P24" s="75"/>
      <c r="S24" s="73"/>
      <c r="U24" s="73"/>
      <c r="V24" s="73"/>
      <c r="W24" s="73"/>
      <c r="Y24" s="76"/>
      <c r="Z24" s="76"/>
      <c r="AA24" s="76"/>
    </row>
    <row r="25" spans="1:27" x14ac:dyDescent="0.3">
      <c r="A25" s="8"/>
      <c r="B25" s="12">
        <v>19</v>
      </c>
      <c r="C25" s="77" t="s">
        <v>20</v>
      </c>
      <c r="D25" s="84">
        <v>469050</v>
      </c>
      <c r="E25" s="85">
        <v>3032724</v>
      </c>
      <c r="F25" s="85">
        <v>426787</v>
      </c>
      <c r="G25" s="86">
        <v>947</v>
      </c>
      <c r="H25" s="86">
        <v>329</v>
      </c>
      <c r="I25" s="86">
        <v>66</v>
      </c>
      <c r="J25" s="84"/>
      <c r="K25" s="85">
        <v>0</v>
      </c>
      <c r="L25" s="85">
        <v>0</v>
      </c>
      <c r="M25" s="86">
        <v>0</v>
      </c>
      <c r="N25" s="86">
        <v>0</v>
      </c>
      <c r="O25" s="86">
        <v>0</v>
      </c>
      <c r="P25" s="75"/>
      <c r="S25" s="73"/>
      <c r="U25" s="73"/>
      <c r="V25" s="73"/>
      <c r="W25" s="73"/>
      <c r="Y25" s="76"/>
      <c r="Z25" s="76"/>
      <c r="AA25" s="76"/>
    </row>
    <row r="26" spans="1:27" x14ac:dyDescent="0.3">
      <c r="A26" s="8"/>
      <c r="B26" s="12">
        <v>20</v>
      </c>
      <c r="C26" s="77" t="s">
        <v>21</v>
      </c>
      <c r="D26" s="84">
        <v>103985032</v>
      </c>
      <c r="E26" s="85">
        <v>5073302</v>
      </c>
      <c r="F26" s="85">
        <v>961891</v>
      </c>
      <c r="G26" s="86">
        <v>161990</v>
      </c>
      <c r="H26" s="86">
        <v>80348</v>
      </c>
      <c r="I26" s="86">
        <v>16413</v>
      </c>
      <c r="J26" s="84"/>
      <c r="K26" s="85">
        <v>0</v>
      </c>
      <c r="L26" s="85">
        <v>14013</v>
      </c>
      <c r="M26" s="86">
        <v>0</v>
      </c>
      <c r="N26" s="86">
        <v>0</v>
      </c>
      <c r="O26" s="86">
        <v>0</v>
      </c>
      <c r="P26" s="75"/>
      <c r="S26" s="73"/>
      <c r="U26" s="73"/>
      <c r="V26" s="73"/>
      <c r="W26" s="73"/>
      <c r="Y26" s="76"/>
      <c r="Z26" s="76"/>
      <c r="AA26" s="76"/>
    </row>
    <row r="27" spans="1:27" x14ac:dyDescent="0.3">
      <c r="A27" s="8"/>
      <c r="B27" s="12">
        <v>21</v>
      </c>
      <c r="C27" s="77" t="s">
        <v>22</v>
      </c>
      <c r="D27" s="84">
        <v>61623360</v>
      </c>
      <c r="E27" s="85">
        <v>3484046</v>
      </c>
      <c r="F27" s="85">
        <v>614764</v>
      </c>
      <c r="G27" s="86">
        <v>40913</v>
      </c>
      <c r="H27" s="86">
        <v>15330</v>
      </c>
      <c r="I27" s="86">
        <v>4739</v>
      </c>
      <c r="J27" s="84"/>
      <c r="K27" s="85">
        <v>0</v>
      </c>
      <c r="L27" s="85">
        <v>0</v>
      </c>
      <c r="M27" s="86">
        <v>0</v>
      </c>
      <c r="N27" s="86">
        <v>0</v>
      </c>
      <c r="O27" s="86">
        <v>0</v>
      </c>
      <c r="P27" s="75"/>
      <c r="S27" s="73"/>
      <c r="U27" s="73"/>
      <c r="V27" s="73"/>
      <c r="W27" s="73"/>
      <c r="Y27" s="76"/>
      <c r="Z27" s="76"/>
      <c r="AA27" s="76"/>
    </row>
    <row r="28" spans="1:27" x14ac:dyDescent="0.3">
      <c r="A28" s="8"/>
      <c r="B28" s="12">
        <v>22</v>
      </c>
      <c r="C28" s="77" t="s">
        <v>23</v>
      </c>
      <c r="D28" s="84">
        <v>92127607</v>
      </c>
      <c r="E28" s="85">
        <v>4701844</v>
      </c>
      <c r="F28" s="85">
        <v>767791</v>
      </c>
      <c r="G28" s="86">
        <v>134371</v>
      </c>
      <c r="H28" s="86">
        <v>57951</v>
      </c>
      <c r="I28" s="86">
        <v>16836</v>
      </c>
      <c r="J28" s="84"/>
      <c r="K28" s="85">
        <v>19131</v>
      </c>
      <c r="L28" s="85">
        <v>2880</v>
      </c>
      <c r="M28" s="86">
        <v>0</v>
      </c>
      <c r="N28" s="86">
        <v>0</v>
      </c>
      <c r="O28" s="86">
        <v>0</v>
      </c>
      <c r="P28" s="75"/>
      <c r="S28" s="73"/>
      <c r="U28" s="73"/>
      <c r="V28" s="73"/>
      <c r="W28" s="73"/>
      <c r="Y28" s="76"/>
      <c r="Z28" s="76"/>
      <c r="AA28" s="76"/>
    </row>
    <row r="29" spans="1:27" x14ac:dyDescent="0.3">
      <c r="A29" s="8"/>
      <c r="B29" s="12">
        <v>23</v>
      </c>
      <c r="C29" s="77" t="s">
        <v>24</v>
      </c>
      <c r="D29" s="84">
        <v>187956462</v>
      </c>
      <c r="E29" s="85">
        <v>7571707</v>
      </c>
      <c r="F29" s="85">
        <v>1089117</v>
      </c>
      <c r="G29" s="86">
        <v>1392262</v>
      </c>
      <c r="H29" s="86">
        <v>1292826</v>
      </c>
      <c r="I29" s="86">
        <v>18847</v>
      </c>
      <c r="J29" s="84"/>
      <c r="K29" s="85">
        <v>0</v>
      </c>
      <c r="L29" s="85">
        <v>0</v>
      </c>
      <c r="M29" s="86">
        <v>0</v>
      </c>
      <c r="N29" s="86">
        <v>0</v>
      </c>
      <c r="O29" s="86">
        <v>0</v>
      </c>
      <c r="P29" s="75"/>
      <c r="S29" s="73"/>
      <c r="U29" s="73"/>
      <c r="V29" s="73"/>
      <c r="W29" s="73"/>
      <c r="Y29" s="76"/>
      <c r="Z29" s="76"/>
      <c r="AA29" s="76"/>
    </row>
    <row r="30" spans="1:27" x14ac:dyDescent="0.3">
      <c r="A30" s="8"/>
      <c r="B30" s="12">
        <v>24</v>
      </c>
      <c r="C30" s="77" t="s">
        <v>25</v>
      </c>
      <c r="D30" s="84">
        <v>20014637</v>
      </c>
      <c r="E30" s="85">
        <v>1021652</v>
      </c>
      <c r="F30" s="85">
        <v>323530</v>
      </c>
      <c r="G30" s="86">
        <v>47850</v>
      </c>
      <c r="H30" s="86">
        <v>18816</v>
      </c>
      <c r="I30" s="86">
        <v>2573</v>
      </c>
      <c r="J30" s="84"/>
      <c r="K30" s="85">
        <v>0</v>
      </c>
      <c r="L30" s="85">
        <v>0</v>
      </c>
      <c r="M30" s="86">
        <v>0</v>
      </c>
      <c r="N30" s="86">
        <v>0</v>
      </c>
      <c r="O30" s="86">
        <v>0</v>
      </c>
      <c r="P30" s="75"/>
      <c r="S30" s="73"/>
      <c r="U30" s="73"/>
      <c r="V30" s="73"/>
      <c r="W30" s="73"/>
      <c r="Y30" s="76"/>
      <c r="Z30" s="76"/>
      <c r="AA30" s="76"/>
    </row>
    <row r="31" spans="1:27" x14ac:dyDescent="0.3">
      <c r="A31" s="8"/>
      <c r="B31" s="12">
        <v>25</v>
      </c>
      <c r="C31" s="77" t="s">
        <v>26</v>
      </c>
      <c r="D31" s="84">
        <v>263853939</v>
      </c>
      <c r="E31" s="85">
        <v>14488783</v>
      </c>
      <c r="F31" s="85">
        <v>2387963</v>
      </c>
      <c r="G31" s="86">
        <v>689075</v>
      </c>
      <c r="H31" s="86">
        <v>456668</v>
      </c>
      <c r="I31" s="86">
        <v>46889</v>
      </c>
      <c r="J31" s="84"/>
      <c r="K31" s="85">
        <v>0</v>
      </c>
      <c r="L31" s="85">
        <v>19635</v>
      </c>
      <c r="M31" s="86">
        <v>10</v>
      </c>
      <c r="N31" s="86">
        <v>1</v>
      </c>
      <c r="O31" s="86">
        <v>1</v>
      </c>
      <c r="P31" s="75"/>
      <c r="S31" s="73"/>
      <c r="U31" s="73"/>
      <c r="V31" s="73"/>
      <c r="W31" s="73"/>
      <c r="Y31" s="76"/>
      <c r="Z31" s="76"/>
      <c r="AA31" s="76"/>
    </row>
    <row r="32" spans="1:27" x14ac:dyDescent="0.3">
      <c r="A32" s="8"/>
      <c r="B32" s="12">
        <v>26</v>
      </c>
      <c r="C32" s="77" t="s">
        <v>27</v>
      </c>
      <c r="D32" s="84">
        <v>5055694</v>
      </c>
      <c r="E32" s="85">
        <v>283967</v>
      </c>
      <c r="F32" s="85">
        <v>77355</v>
      </c>
      <c r="G32" s="86">
        <v>13030</v>
      </c>
      <c r="H32" s="86">
        <v>5866</v>
      </c>
      <c r="I32" s="86">
        <v>5635</v>
      </c>
      <c r="J32" s="84"/>
      <c r="K32" s="85">
        <v>0</v>
      </c>
      <c r="L32" s="85">
        <v>0</v>
      </c>
      <c r="M32" s="86">
        <v>0</v>
      </c>
      <c r="N32" s="86">
        <v>0</v>
      </c>
      <c r="O32" s="86">
        <v>0</v>
      </c>
      <c r="P32" s="75"/>
      <c r="S32" s="73"/>
      <c r="U32" s="73"/>
      <c r="V32" s="73"/>
      <c r="W32" s="73"/>
      <c r="Y32" s="76"/>
      <c r="Z32" s="76"/>
      <c r="AA32" s="76"/>
    </row>
    <row r="33" spans="1:27" x14ac:dyDescent="0.3">
      <c r="A33" s="8"/>
      <c r="B33" s="12">
        <v>27</v>
      </c>
      <c r="C33" s="77" t="s">
        <v>28</v>
      </c>
      <c r="D33" s="84">
        <v>21132876</v>
      </c>
      <c r="E33" s="85">
        <v>1969392</v>
      </c>
      <c r="F33" s="85">
        <v>565224</v>
      </c>
      <c r="G33" s="86">
        <v>35046</v>
      </c>
      <c r="H33" s="86">
        <v>19374</v>
      </c>
      <c r="I33" s="86">
        <v>4749</v>
      </c>
      <c r="J33" s="84"/>
      <c r="K33" s="85">
        <v>0</v>
      </c>
      <c r="L33" s="85">
        <v>672</v>
      </c>
      <c r="M33" s="86">
        <v>0</v>
      </c>
      <c r="N33" s="86">
        <v>0</v>
      </c>
      <c r="O33" s="86">
        <v>0</v>
      </c>
      <c r="P33" s="75"/>
      <c r="S33" s="73"/>
      <c r="U33" s="73"/>
      <c r="V33" s="73"/>
      <c r="W33" s="73"/>
      <c r="Y33" s="76"/>
      <c r="Z33" s="76"/>
      <c r="AA33" s="76"/>
    </row>
    <row r="34" spans="1:27" x14ac:dyDescent="0.3">
      <c r="A34" s="8"/>
      <c r="B34" s="12">
        <v>28</v>
      </c>
      <c r="C34" s="77" t="s">
        <v>29</v>
      </c>
      <c r="D34" s="84">
        <v>43651387</v>
      </c>
      <c r="E34" s="85">
        <v>2103471</v>
      </c>
      <c r="F34" s="85">
        <v>556553</v>
      </c>
      <c r="G34" s="86">
        <v>183888</v>
      </c>
      <c r="H34" s="86">
        <v>150413</v>
      </c>
      <c r="I34" s="86">
        <v>16930</v>
      </c>
      <c r="J34" s="84"/>
      <c r="K34" s="85">
        <v>0</v>
      </c>
      <c r="L34" s="85">
        <v>327</v>
      </c>
      <c r="M34" s="86">
        <v>0</v>
      </c>
      <c r="N34" s="86">
        <v>0</v>
      </c>
      <c r="O34" s="86">
        <v>0</v>
      </c>
      <c r="P34" s="75"/>
      <c r="S34" s="73"/>
      <c r="U34" s="73"/>
      <c r="V34" s="73"/>
      <c r="W34" s="73"/>
      <c r="Y34" s="76"/>
      <c r="Z34" s="76"/>
      <c r="AA34" s="76"/>
    </row>
    <row r="35" spans="1:27" x14ac:dyDescent="0.3">
      <c r="A35" s="8"/>
      <c r="B35" s="12">
        <v>29</v>
      </c>
      <c r="C35" s="77" t="s">
        <v>30</v>
      </c>
      <c r="D35" s="84">
        <v>114760748</v>
      </c>
      <c r="E35" s="85">
        <v>5569735</v>
      </c>
      <c r="F35" s="85">
        <v>347875</v>
      </c>
      <c r="G35" s="86">
        <v>466149</v>
      </c>
      <c r="H35" s="86">
        <v>75404</v>
      </c>
      <c r="I35" s="86">
        <v>11242</v>
      </c>
      <c r="J35" s="84"/>
      <c r="K35" s="85">
        <v>47840</v>
      </c>
      <c r="L35" s="85">
        <v>0</v>
      </c>
      <c r="M35" s="86">
        <v>3346</v>
      </c>
      <c r="N35" s="86">
        <v>18</v>
      </c>
      <c r="O35" s="86">
        <v>15</v>
      </c>
      <c r="P35" s="75"/>
      <c r="S35" s="73"/>
      <c r="U35" s="73"/>
      <c r="V35" s="73"/>
      <c r="W35" s="73"/>
      <c r="Y35" s="76"/>
      <c r="Z35" s="76"/>
      <c r="AA35" s="76"/>
    </row>
    <row r="36" spans="1:27" x14ac:dyDescent="0.3">
      <c r="A36" s="8"/>
      <c r="B36" s="12">
        <v>30</v>
      </c>
      <c r="C36" s="77" t="s">
        <v>31</v>
      </c>
      <c r="D36" s="84">
        <v>6776638</v>
      </c>
      <c r="E36" s="85">
        <v>232118</v>
      </c>
      <c r="F36" s="85">
        <v>133390</v>
      </c>
      <c r="G36" s="86">
        <v>6037</v>
      </c>
      <c r="H36" s="86">
        <v>905</v>
      </c>
      <c r="I36" s="86">
        <v>1478</v>
      </c>
      <c r="J36" s="84"/>
      <c r="K36" s="85">
        <v>0</v>
      </c>
      <c r="L36" s="85">
        <v>0</v>
      </c>
      <c r="M36" s="86">
        <v>0</v>
      </c>
      <c r="N36" s="86">
        <v>0</v>
      </c>
      <c r="O36" s="86">
        <v>0</v>
      </c>
      <c r="P36" s="75"/>
      <c r="S36" s="73"/>
      <c r="U36" s="73"/>
      <c r="V36" s="73"/>
      <c r="W36" s="73"/>
      <c r="Y36" s="76"/>
      <c r="Z36" s="76"/>
      <c r="AA36" s="76"/>
    </row>
    <row r="37" spans="1:27" x14ac:dyDescent="0.3">
      <c r="A37" s="8"/>
      <c r="B37" s="12">
        <v>31</v>
      </c>
      <c r="C37" s="77" t="s">
        <v>32</v>
      </c>
      <c r="D37" s="84">
        <v>70662107</v>
      </c>
      <c r="E37" s="85">
        <v>3437665</v>
      </c>
      <c r="F37" s="85">
        <v>741926</v>
      </c>
      <c r="G37" s="86">
        <v>208307</v>
      </c>
      <c r="H37" s="86">
        <v>156392</v>
      </c>
      <c r="I37" s="86">
        <v>27765</v>
      </c>
      <c r="J37" s="84"/>
      <c r="K37" s="85">
        <v>0</v>
      </c>
      <c r="L37" s="85">
        <v>0</v>
      </c>
      <c r="M37" s="86">
        <v>0</v>
      </c>
      <c r="N37" s="86">
        <v>0</v>
      </c>
      <c r="O37" s="86">
        <v>0</v>
      </c>
      <c r="P37" s="75"/>
      <c r="S37" s="73"/>
      <c r="U37" s="73"/>
      <c r="V37" s="73"/>
      <c r="W37" s="73"/>
      <c r="Y37" s="76"/>
      <c r="Z37" s="76"/>
      <c r="AA37" s="76"/>
    </row>
    <row r="38" spans="1:27" x14ac:dyDescent="0.3">
      <c r="A38" s="8"/>
      <c r="B38" s="12">
        <v>32</v>
      </c>
      <c r="C38" s="77" t="s">
        <v>33</v>
      </c>
      <c r="D38" s="84">
        <v>26211628</v>
      </c>
      <c r="E38" s="85">
        <v>1429960</v>
      </c>
      <c r="F38" s="85">
        <v>387253</v>
      </c>
      <c r="G38" s="86">
        <v>47036</v>
      </c>
      <c r="H38" s="86">
        <v>30671</v>
      </c>
      <c r="I38" s="86">
        <v>6741</v>
      </c>
      <c r="J38" s="84"/>
      <c r="K38" s="85">
        <v>0</v>
      </c>
      <c r="L38" s="85">
        <v>0</v>
      </c>
      <c r="M38" s="86">
        <v>0</v>
      </c>
      <c r="N38" s="86">
        <v>0</v>
      </c>
      <c r="O38" s="86">
        <v>0</v>
      </c>
      <c r="P38" s="75"/>
      <c r="S38" s="73"/>
      <c r="U38" s="73"/>
      <c r="V38" s="73"/>
      <c r="W38" s="73"/>
      <c r="Y38" s="76"/>
      <c r="Z38" s="76"/>
      <c r="AA38" s="76"/>
    </row>
    <row r="39" spans="1:27" x14ac:dyDescent="0.3">
      <c r="A39" s="8"/>
      <c r="B39" s="12">
        <v>33</v>
      </c>
      <c r="C39" s="77" t="s">
        <v>34</v>
      </c>
      <c r="D39" s="84">
        <v>41015699</v>
      </c>
      <c r="E39" s="85">
        <v>2664477</v>
      </c>
      <c r="F39" s="85">
        <v>685875</v>
      </c>
      <c r="G39" s="86">
        <v>264874</v>
      </c>
      <c r="H39" s="86">
        <v>228244</v>
      </c>
      <c r="I39" s="86">
        <v>10782</v>
      </c>
      <c r="J39" s="84"/>
      <c r="K39" s="85">
        <v>0</v>
      </c>
      <c r="L39" s="85">
        <v>190</v>
      </c>
      <c r="M39" s="86">
        <v>0</v>
      </c>
      <c r="N39" s="86">
        <v>0</v>
      </c>
      <c r="O39" s="86">
        <v>0</v>
      </c>
      <c r="P39" s="75"/>
      <c r="S39" s="73"/>
      <c r="U39" s="73"/>
      <c r="V39" s="73"/>
      <c r="W39" s="73"/>
      <c r="Y39" s="76"/>
      <c r="Z39" s="76"/>
      <c r="AA39" s="76"/>
    </row>
    <row r="40" spans="1:27" x14ac:dyDescent="0.3">
      <c r="A40" s="8"/>
      <c r="B40" s="12">
        <v>34</v>
      </c>
      <c r="C40" s="74" t="s">
        <v>35</v>
      </c>
      <c r="D40" s="84">
        <v>671415613</v>
      </c>
      <c r="E40" s="85">
        <v>21937191</v>
      </c>
      <c r="F40" s="85">
        <v>6872010</v>
      </c>
      <c r="G40" s="86">
        <v>2321262</v>
      </c>
      <c r="H40" s="86">
        <v>1589516</v>
      </c>
      <c r="I40" s="86">
        <v>71556</v>
      </c>
      <c r="J40" s="84"/>
      <c r="K40" s="85">
        <v>0</v>
      </c>
      <c r="L40" s="85">
        <v>0</v>
      </c>
      <c r="M40" s="86">
        <v>0</v>
      </c>
      <c r="N40" s="86">
        <v>0</v>
      </c>
      <c r="O40" s="86">
        <v>0</v>
      </c>
      <c r="P40" s="75"/>
      <c r="S40" s="73"/>
      <c r="U40" s="73"/>
      <c r="V40" s="73"/>
      <c r="W40" s="73"/>
      <c r="Y40" s="76"/>
      <c r="Z40" s="76"/>
      <c r="AA40" s="76"/>
    </row>
    <row r="41" spans="1:27" x14ac:dyDescent="0.3">
      <c r="A41" s="8"/>
      <c r="B41" s="12">
        <v>35</v>
      </c>
      <c r="C41" s="77" t="s">
        <v>36</v>
      </c>
      <c r="D41" s="84">
        <v>670819486</v>
      </c>
      <c r="E41" s="85">
        <v>21908071</v>
      </c>
      <c r="F41" s="85">
        <v>6680220</v>
      </c>
      <c r="G41" s="86">
        <v>2315510</v>
      </c>
      <c r="H41" s="86">
        <v>1584086</v>
      </c>
      <c r="I41" s="86">
        <v>71510</v>
      </c>
      <c r="J41" s="84"/>
      <c r="K41" s="85">
        <v>0</v>
      </c>
      <c r="L41" s="85">
        <v>0</v>
      </c>
      <c r="M41" s="86">
        <v>0</v>
      </c>
      <c r="N41" s="86">
        <v>0</v>
      </c>
      <c r="O41" s="86">
        <v>0</v>
      </c>
      <c r="P41" s="75"/>
      <c r="S41" s="73"/>
      <c r="U41" s="73"/>
      <c r="V41" s="73"/>
      <c r="W41" s="73"/>
      <c r="Y41" s="76"/>
      <c r="Z41" s="76"/>
      <c r="AA41" s="76"/>
    </row>
    <row r="42" spans="1:27" x14ac:dyDescent="0.3">
      <c r="A42" s="8"/>
      <c r="B42" s="12">
        <v>36</v>
      </c>
      <c r="C42" s="77" t="s">
        <v>37</v>
      </c>
      <c r="D42" s="84">
        <v>428357556</v>
      </c>
      <c r="E42" s="85">
        <v>20391800</v>
      </c>
      <c r="F42" s="85">
        <v>1026155</v>
      </c>
      <c r="G42" s="86">
        <v>252581</v>
      </c>
      <c r="H42" s="86">
        <v>61476</v>
      </c>
      <c r="I42" s="86">
        <v>12717</v>
      </c>
      <c r="J42" s="84"/>
      <c r="K42" s="85">
        <v>0</v>
      </c>
      <c r="L42" s="85">
        <v>0</v>
      </c>
      <c r="M42" s="86">
        <v>0</v>
      </c>
      <c r="N42" s="86">
        <v>0</v>
      </c>
      <c r="O42" s="86">
        <v>0</v>
      </c>
      <c r="P42" s="75"/>
      <c r="S42" s="73"/>
      <c r="U42" s="73"/>
      <c r="V42" s="73"/>
      <c r="W42" s="73"/>
      <c r="Y42" s="76"/>
      <c r="Z42" s="76"/>
      <c r="AA42" s="76"/>
    </row>
    <row r="43" spans="1:27" x14ac:dyDescent="0.3">
      <c r="A43" s="8"/>
      <c r="B43" s="12">
        <v>37</v>
      </c>
      <c r="C43" s="77" t="s">
        <v>38</v>
      </c>
      <c r="D43" s="84">
        <v>288148</v>
      </c>
      <c r="E43" s="85">
        <v>11674</v>
      </c>
      <c r="F43" s="85">
        <v>155286</v>
      </c>
      <c r="G43" s="86">
        <v>1436</v>
      </c>
      <c r="H43" s="86">
        <v>1235</v>
      </c>
      <c r="I43" s="86">
        <v>22</v>
      </c>
      <c r="J43" s="84"/>
      <c r="K43" s="85">
        <v>0</v>
      </c>
      <c r="L43" s="85">
        <v>0</v>
      </c>
      <c r="M43" s="86">
        <v>0</v>
      </c>
      <c r="N43" s="86">
        <v>0</v>
      </c>
      <c r="O43" s="86">
        <v>0</v>
      </c>
      <c r="P43" s="75"/>
      <c r="S43" s="73"/>
      <c r="U43" s="73"/>
      <c r="V43" s="73"/>
      <c r="W43" s="73"/>
      <c r="Y43" s="76"/>
      <c r="Z43" s="76"/>
      <c r="AA43" s="76"/>
    </row>
    <row r="44" spans="1:27" x14ac:dyDescent="0.3">
      <c r="A44" s="8"/>
      <c r="B44" s="12">
        <v>38</v>
      </c>
      <c r="C44" s="77" t="s">
        <v>39</v>
      </c>
      <c r="D44" s="84">
        <v>307979</v>
      </c>
      <c r="E44" s="85">
        <v>17446</v>
      </c>
      <c r="F44" s="85">
        <v>36504</v>
      </c>
      <c r="G44" s="86">
        <v>4316</v>
      </c>
      <c r="H44" s="86">
        <v>4195</v>
      </c>
      <c r="I44" s="86">
        <v>24</v>
      </c>
      <c r="J44" s="84"/>
      <c r="K44" s="85">
        <v>0</v>
      </c>
      <c r="L44" s="85">
        <v>0</v>
      </c>
      <c r="M44" s="86">
        <v>0</v>
      </c>
      <c r="N44" s="86">
        <v>0</v>
      </c>
      <c r="O44" s="86">
        <v>0</v>
      </c>
      <c r="P44" s="75"/>
      <c r="S44" s="73"/>
      <c r="U44" s="73"/>
      <c r="V44" s="73"/>
      <c r="W44" s="73"/>
      <c r="Y44" s="76"/>
      <c r="Z44" s="76"/>
      <c r="AA44" s="76"/>
    </row>
    <row r="45" spans="1:27" x14ac:dyDescent="0.3">
      <c r="A45" s="8"/>
      <c r="B45" s="12">
        <v>39</v>
      </c>
      <c r="C45" s="74" t="s">
        <v>40</v>
      </c>
      <c r="D45" s="84">
        <v>33931311</v>
      </c>
      <c r="E45" s="85">
        <v>2468479</v>
      </c>
      <c r="F45" s="85">
        <v>1221467</v>
      </c>
      <c r="G45" s="86">
        <v>250255</v>
      </c>
      <c r="H45" s="86">
        <v>236525</v>
      </c>
      <c r="I45" s="86">
        <v>2608</v>
      </c>
      <c r="J45" s="84"/>
      <c r="K45" s="85">
        <v>0</v>
      </c>
      <c r="L45" s="85">
        <v>442</v>
      </c>
      <c r="M45" s="86">
        <v>0</v>
      </c>
      <c r="N45" s="86">
        <v>0</v>
      </c>
      <c r="O45" s="86">
        <v>0</v>
      </c>
      <c r="P45" s="75"/>
      <c r="S45" s="73"/>
      <c r="U45" s="73"/>
      <c r="V45" s="73"/>
      <c r="W45" s="73"/>
      <c r="Y45" s="76"/>
      <c r="Z45" s="76"/>
      <c r="AA45" s="76"/>
    </row>
    <row r="46" spans="1:27" x14ac:dyDescent="0.3">
      <c r="A46" s="8"/>
      <c r="B46" s="12">
        <v>40</v>
      </c>
      <c r="C46" s="74" t="s">
        <v>41</v>
      </c>
      <c r="D46" s="84">
        <v>1068520996</v>
      </c>
      <c r="E46" s="85">
        <v>58368800</v>
      </c>
      <c r="F46" s="85">
        <v>14928042</v>
      </c>
      <c r="G46" s="86">
        <v>5205955</v>
      </c>
      <c r="H46" s="86">
        <v>4457769</v>
      </c>
      <c r="I46" s="86">
        <v>188201</v>
      </c>
      <c r="J46" s="84"/>
      <c r="K46" s="85">
        <v>21</v>
      </c>
      <c r="L46" s="85">
        <v>6616</v>
      </c>
      <c r="M46" s="86">
        <v>0</v>
      </c>
      <c r="N46" s="86">
        <v>0</v>
      </c>
      <c r="O46" s="86">
        <v>0</v>
      </c>
      <c r="P46" s="75"/>
      <c r="S46" s="73"/>
      <c r="U46" s="73"/>
      <c r="V46" s="73"/>
      <c r="W46" s="73"/>
      <c r="Y46" s="76"/>
      <c r="Z46" s="76"/>
      <c r="AA46" s="76"/>
    </row>
    <row r="47" spans="1:27" x14ac:dyDescent="0.3">
      <c r="A47" s="8"/>
      <c r="B47" s="12">
        <v>41</v>
      </c>
      <c r="C47" s="77" t="s">
        <v>42</v>
      </c>
      <c r="D47" s="84">
        <v>747599561</v>
      </c>
      <c r="E47" s="85">
        <v>38463489</v>
      </c>
      <c r="F47" s="85">
        <v>8200612</v>
      </c>
      <c r="G47" s="86">
        <v>2264515</v>
      </c>
      <c r="H47" s="86">
        <v>1782790</v>
      </c>
      <c r="I47" s="86">
        <v>106137</v>
      </c>
      <c r="J47" s="84"/>
      <c r="K47" s="85">
        <v>0</v>
      </c>
      <c r="L47" s="85">
        <v>3737</v>
      </c>
      <c r="M47" s="86">
        <v>0</v>
      </c>
      <c r="N47" s="86">
        <v>0</v>
      </c>
      <c r="O47" s="86">
        <v>0</v>
      </c>
      <c r="P47" s="75"/>
      <c r="S47" s="73"/>
      <c r="U47" s="73"/>
      <c r="V47" s="73"/>
      <c r="W47" s="73"/>
      <c r="Y47" s="76"/>
      <c r="Z47" s="76"/>
      <c r="AA47" s="76"/>
    </row>
    <row r="48" spans="1:27" x14ac:dyDescent="0.3">
      <c r="A48" s="8"/>
      <c r="B48" s="12">
        <v>42</v>
      </c>
      <c r="C48" s="77" t="s">
        <v>43</v>
      </c>
      <c r="D48" s="84">
        <v>165331341</v>
      </c>
      <c r="E48" s="85">
        <v>10291503</v>
      </c>
      <c r="F48" s="85">
        <v>2490073</v>
      </c>
      <c r="G48" s="86">
        <v>1133772</v>
      </c>
      <c r="H48" s="86">
        <v>1063206</v>
      </c>
      <c r="I48" s="86">
        <v>12026</v>
      </c>
      <c r="J48" s="84"/>
      <c r="K48" s="85">
        <v>21</v>
      </c>
      <c r="L48" s="85">
        <v>2788</v>
      </c>
      <c r="M48" s="86">
        <v>0</v>
      </c>
      <c r="N48" s="86">
        <v>0</v>
      </c>
      <c r="O48" s="86">
        <v>0</v>
      </c>
      <c r="P48" s="75"/>
      <c r="S48" s="73"/>
      <c r="U48" s="73"/>
      <c r="V48" s="73"/>
      <c r="W48" s="73"/>
      <c r="Y48" s="76"/>
      <c r="Z48" s="76"/>
      <c r="AA48" s="76"/>
    </row>
    <row r="49" spans="1:27" x14ac:dyDescent="0.3">
      <c r="A49" s="8"/>
      <c r="B49" s="12">
        <v>43</v>
      </c>
      <c r="C49" s="77" t="s">
        <v>44</v>
      </c>
      <c r="D49" s="84">
        <v>155590094</v>
      </c>
      <c r="E49" s="85">
        <v>9613808</v>
      </c>
      <c r="F49" s="85">
        <v>4237357</v>
      </c>
      <c r="G49" s="86">
        <v>1807667</v>
      </c>
      <c r="H49" s="86">
        <v>1611773</v>
      </c>
      <c r="I49" s="86">
        <v>70038</v>
      </c>
      <c r="J49" s="84"/>
      <c r="K49" s="85">
        <v>0</v>
      </c>
      <c r="L49" s="85">
        <v>91</v>
      </c>
      <c r="M49" s="86">
        <v>0</v>
      </c>
      <c r="N49" s="86">
        <v>0</v>
      </c>
      <c r="O49" s="86">
        <v>0</v>
      </c>
      <c r="P49" s="75"/>
      <c r="S49" s="73"/>
      <c r="U49" s="73"/>
      <c r="V49" s="73"/>
      <c r="W49" s="73"/>
      <c r="Y49" s="76"/>
      <c r="Z49" s="76"/>
      <c r="AA49" s="76"/>
    </row>
    <row r="50" spans="1:27" x14ac:dyDescent="0.3">
      <c r="A50" s="8"/>
      <c r="B50" s="12">
        <v>44</v>
      </c>
      <c r="C50" s="74" t="s">
        <v>45</v>
      </c>
      <c r="D50" s="84">
        <v>2068783435</v>
      </c>
      <c r="E50" s="85">
        <v>94791231</v>
      </c>
      <c r="F50" s="85">
        <v>33962641</v>
      </c>
      <c r="G50" s="86">
        <v>23934304</v>
      </c>
      <c r="H50" s="86">
        <v>7183667</v>
      </c>
      <c r="I50" s="86">
        <v>1884327</v>
      </c>
      <c r="J50" s="84"/>
      <c r="K50" s="85">
        <v>88355</v>
      </c>
      <c r="L50" s="85">
        <v>94596</v>
      </c>
      <c r="M50" s="86">
        <v>15</v>
      </c>
      <c r="N50" s="86">
        <v>3</v>
      </c>
      <c r="O50" s="86">
        <v>1</v>
      </c>
      <c r="P50" s="75"/>
      <c r="S50" s="73"/>
      <c r="U50" s="73"/>
      <c r="V50" s="73"/>
      <c r="W50" s="73"/>
      <c r="Y50" s="76"/>
      <c r="Z50" s="76"/>
      <c r="AA50" s="76"/>
    </row>
    <row r="51" spans="1:27" x14ac:dyDescent="0.3">
      <c r="A51" s="8"/>
      <c r="B51" s="12">
        <v>45</v>
      </c>
      <c r="C51" s="74" t="s">
        <v>46</v>
      </c>
      <c r="D51" s="84">
        <v>786885139</v>
      </c>
      <c r="E51" s="85">
        <v>33750801</v>
      </c>
      <c r="F51" s="85">
        <v>6199261</v>
      </c>
      <c r="G51" s="86">
        <v>41197388</v>
      </c>
      <c r="H51" s="86">
        <v>40422793</v>
      </c>
      <c r="I51" s="86">
        <v>174072</v>
      </c>
      <c r="J51" s="84"/>
      <c r="K51" s="85">
        <v>2060</v>
      </c>
      <c r="L51" s="85">
        <v>18434</v>
      </c>
      <c r="M51" s="86">
        <v>14</v>
      </c>
      <c r="N51" s="86">
        <v>2</v>
      </c>
      <c r="O51" s="86">
        <v>5</v>
      </c>
      <c r="P51" s="75"/>
      <c r="S51" s="73"/>
      <c r="U51" s="73"/>
      <c r="V51" s="73"/>
      <c r="W51" s="73"/>
      <c r="Y51" s="76"/>
      <c r="Z51" s="76"/>
      <c r="AA51" s="76"/>
    </row>
    <row r="52" spans="1:27" x14ac:dyDescent="0.3">
      <c r="A52" s="8"/>
      <c r="B52" s="12">
        <v>46</v>
      </c>
      <c r="C52" s="77" t="s">
        <v>47</v>
      </c>
      <c r="D52" s="84">
        <v>313695010</v>
      </c>
      <c r="E52" s="85">
        <v>15160671</v>
      </c>
      <c r="F52" s="85">
        <v>4118458</v>
      </c>
      <c r="G52" s="86">
        <v>39971959</v>
      </c>
      <c r="H52" s="86">
        <v>39661839</v>
      </c>
      <c r="I52" s="86">
        <v>141364</v>
      </c>
      <c r="J52" s="84"/>
      <c r="K52" s="85">
        <v>2060</v>
      </c>
      <c r="L52" s="85">
        <v>3746</v>
      </c>
      <c r="M52" s="86">
        <v>14</v>
      </c>
      <c r="N52" s="86">
        <v>2</v>
      </c>
      <c r="O52" s="86">
        <v>5</v>
      </c>
      <c r="P52" s="75"/>
      <c r="S52" s="73"/>
      <c r="U52" s="73"/>
      <c r="V52" s="73"/>
      <c r="W52" s="73"/>
      <c r="Y52" s="76"/>
      <c r="Z52" s="76"/>
      <c r="AA52" s="76"/>
    </row>
    <row r="53" spans="1:27" x14ac:dyDescent="0.3">
      <c r="A53" s="8"/>
      <c r="B53" s="12">
        <v>47</v>
      </c>
      <c r="C53" s="77" t="s">
        <v>48</v>
      </c>
      <c r="D53" s="84">
        <v>3390241</v>
      </c>
      <c r="E53" s="85">
        <v>305609</v>
      </c>
      <c r="F53" s="85">
        <v>92146</v>
      </c>
      <c r="G53" s="86">
        <v>4366</v>
      </c>
      <c r="H53" s="86">
        <v>1741</v>
      </c>
      <c r="I53" s="86">
        <v>991</v>
      </c>
      <c r="J53" s="84"/>
      <c r="K53" s="85">
        <v>0</v>
      </c>
      <c r="L53" s="85">
        <v>304</v>
      </c>
      <c r="M53" s="86">
        <v>0</v>
      </c>
      <c r="N53" s="86">
        <v>0</v>
      </c>
      <c r="O53" s="86">
        <v>0</v>
      </c>
      <c r="P53" s="75"/>
      <c r="S53" s="73"/>
      <c r="U53" s="73"/>
      <c r="V53" s="73"/>
      <c r="W53" s="73"/>
      <c r="Y53" s="76"/>
      <c r="Z53" s="76"/>
      <c r="AA53" s="76"/>
    </row>
    <row r="54" spans="1:27" x14ac:dyDescent="0.3">
      <c r="A54" s="8"/>
      <c r="B54" s="12">
        <v>48</v>
      </c>
      <c r="C54" s="77" t="s">
        <v>49</v>
      </c>
      <c r="D54" s="84">
        <v>21513591</v>
      </c>
      <c r="E54" s="85">
        <v>1380813</v>
      </c>
      <c r="F54" s="85">
        <v>95453</v>
      </c>
      <c r="G54" s="86">
        <v>8555</v>
      </c>
      <c r="H54" s="86">
        <v>3252</v>
      </c>
      <c r="I54" s="86">
        <v>234</v>
      </c>
      <c r="J54" s="84"/>
      <c r="K54" s="85">
        <v>0</v>
      </c>
      <c r="L54" s="85">
        <v>423</v>
      </c>
      <c r="M54" s="86">
        <v>0</v>
      </c>
      <c r="N54" s="86">
        <v>0</v>
      </c>
      <c r="O54" s="86">
        <v>0</v>
      </c>
      <c r="P54" s="75"/>
      <c r="S54" s="73"/>
      <c r="U54" s="73"/>
      <c r="V54" s="73"/>
      <c r="W54" s="73"/>
      <c r="Y54" s="76"/>
      <c r="Z54" s="76"/>
      <c r="AA54" s="76"/>
    </row>
    <row r="55" spans="1:27" x14ac:dyDescent="0.3">
      <c r="A55" s="8"/>
      <c r="B55" s="12">
        <v>49</v>
      </c>
      <c r="C55" s="77" t="s">
        <v>50</v>
      </c>
      <c r="D55" s="84">
        <v>445860172</v>
      </c>
      <c r="E55" s="85">
        <v>16705004</v>
      </c>
      <c r="F55" s="85">
        <v>1602693</v>
      </c>
      <c r="G55" s="86">
        <v>1176210</v>
      </c>
      <c r="H55" s="86">
        <v>724058</v>
      </c>
      <c r="I55" s="86">
        <v>28370</v>
      </c>
      <c r="J55" s="84"/>
      <c r="K55" s="85">
        <v>0</v>
      </c>
      <c r="L55" s="85">
        <v>13961</v>
      </c>
      <c r="M55" s="86">
        <v>0</v>
      </c>
      <c r="N55" s="86">
        <v>0</v>
      </c>
      <c r="O55" s="86">
        <v>0</v>
      </c>
      <c r="P55" s="75"/>
      <c r="S55" s="73"/>
      <c r="U55" s="73"/>
      <c r="V55" s="73"/>
      <c r="W55" s="73"/>
      <c r="Y55" s="76"/>
      <c r="Z55" s="76"/>
      <c r="AA55" s="76"/>
    </row>
    <row r="56" spans="1:27" x14ac:dyDescent="0.3">
      <c r="A56" s="8"/>
      <c r="B56" s="12">
        <v>50</v>
      </c>
      <c r="C56" s="77" t="s">
        <v>51</v>
      </c>
      <c r="D56" s="84">
        <v>2426125</v>
      </c>
      <c r="E56" s="85">
        <v>198704</v>
      </c>
      <c r="F56" s="85">
        <v>290511</v>
      </c>
      <c r="G56" s="86">
        <v>36299</v>
      </c>
      <c r="H56" s="86">
        <v>31903</v>
      </c>
      <c r="I56" s="86">
        <v>3113</v>
      </c>
      <c r="J56" s="84"/>
      <c r="K56" s="85">
        <v>0</v>
      </c>
      <c r="L56" s="85">
        <v>0</v>
      </c>
      <c r="M56" s="86">
        <v>0</v>
      </c>
      <c r="N56" s="86">
        <v>0</v>
      </c>
      <c r="O56" s="86">
        <v>0</v>
      </c>
      <c r="P56" s="75"/>
      <c r="S56" s="73"/>
      <c r="U56" s="73"/>
      <c r="V56" s="73"/>
      <c r="W56" s="73"/>
      <c r="Y56" s="76"/>
      <c r="Z56" s="76"/>
      <c r="AA56" s="76"/>
    </row>
    <row r="57" spans="1:27" x14ac:dyDescent="0.3">
      <c r="A57" s="8"/>
      <c r="B57" s="12">
        <v>51</v>
      </c>
      <c r="C57" s="13" t="s">
        <v>52</v>
      </c>
      <c r="D57" s="84">
        <v>1110460504</v>
      </c>
      <c r="E57" s="85">
        <v>54634715</v>
      </c>
      <c r="F57" s="85">
        <v>12489708</v>
      </c>
      <c r="G57" s="86">
        <v>690185</v>
      </c>
      <c r="H57" s="86">
        <v>309545</v>
      </c>
      <c r="I57" s="86">
        <v>208313</v>
      </c>
      <c r="J57" s="84"/>
      <c r="K57" s="85">
        <v>0</v>
      </c>
      <c r="L57" s="85">
        <v>5688</v>
      </c>
      <c r="M57" s="86">
        <v>0</v>
      </c>
      <c r="N57" s="86">
        <v>0</v>
      </c>
      <c r="O57" s="86">
        <v>0</v>
      </c>
      <c r="P57" s="75"/>
      <c r="S57" s="73"/>
      <c r="U57" s="73"/>
      <c r="V57" s="73"/>
      <c r="W57" s="73"/>
      <c r="Y57" s="76"/>
      <c r="Z57" s="76"/>
      <c r="AA57" s="76"/>
    </row>
    <row r="58" spans="1:27" x14ac:dyDescent="0.3">
      <c r="A58" s="8"/>
      <c r="B58" s="12">
        <v>52</v>
      </c>
      <c r="C58" s="74" t="s">
        <v>53</v>
      </c>
      <c r="D58" s="84">
        <v>1166127334</v>
      </c>
      <c r="E58" s="85">
        <v>59513748</v>
      </c>
      <c r="F58" s="85">
        <v>11305686</v>
      </c>
      <c r="G58" s="86">
        <v>451799</v>
      </c>
      <c r="H58" s="86">
        <v>252458</v>
      </c>
      <c r="I58" s="86">
        <v>153501</v>
      </c>
      <c r="J58" s="84"/>
      <c r="K58" s="85">
        <v>3054</v>
      </c>
      <c r="L58" s="85">
        <v>3410</v>
      </c>
      <c r="M58" s="86">
        <v>1</v>
      </c>
      <c r="N58" s="86">
        <v>0</v>
      </c>
      <c r="O58" s="86">
        <v>0</v>
      </c>
      <c r="P58" s="75"/>
      <c r="S58" s="73"/>
      <c r="U58" s="73"/>
      <c r="V58" s="73"/>
      <c r="W58" s="73"/>
      <c r="Y58" s="76"/>
      <c r="Z58" s="76"/>
      <c r="AA58" s="76"/>
    </row>
    <row r="59" spans="1:27" x14ac:dyDescent="0.3">
      <c r="A59" s="8"/>
      <c r="B59" s="12">
        <v>53</v>
      </c>
      <c r="C59" s="78" t="s">
        <v>60</v>
      </c>
      <c r="D59" s="83">
        <v>2827287548</v>
      </c>
      <c r="E59" s="83">
        <v>118264778</v>
      </c>
      <c r="F59" s="83">
        <v>38289027</v>
      </c>
      <c r="G59" s="87"/>
      <c r="H59" s="87"/>
      <c r="I59" s="87"/>
      <c r="J59" s="83"/>
      <c r="K59" s="83">
        <v>1208898</v>
      </c>
      <c r="L59" s="83">
        <v>129033</v>
      </c>
      <c r="M59" s="87"/>
      <c r="N59" s="87"/>
      <c r="O59" s="87"/>
      <c r="P59" s="75"/>
      <c r="S59" s="73"/>
      <c r="U59" s="19"/>
      <c r="V59" s="79"/>
    </row>
    <row r="60" spans="1:27" x14ac:dyDescent="0.3">
      <c r="A60" s="8"/>
      <c r="B60" s="12">
        <v>54</v>
      </c>
      <c r="C60" s="13" t="s">
        <v>54</v>
      </c>
      <c r="D60" s="84">
        <v>8716736</v>
      </c>
      <c r="E60" s="85">
        <v>205346</v>
      </c>
      <c r="F60" s="85">
        <v>798598</v>
      </c>
      <c r="G60" s="88"/>
      <c r="H60" s="88"/>
      <c r="I60" s="88"/>
      <c r="J60" s="84"/>
      <c r="K60" s="85">
        <v>331</v>
      </c>
      <c r="L60" s="85">
        <v>84610</v>
      </c>
      <c r="M60" s="88"/>
      <c r="N60" s="88"/>
      <c r="O60" s="88"/>
      <c r="P60" s="75"/>
      <c r="S60" s="73"/>
      <c r="U60" s="19"/>
      <c r="V60" s="79"/>
    </row>
    <row r="61" spans="1:27" x14ac:dyDescent="0.3">
      <c r="A61" s="8"/>
      <c r="B61" s="12">
        <v>55</v>
      </c>
      <c r="C61" s="13" t="s">
        <v>107</v>
      </c>
      <c r="D61" s="84">
        <v>2818570812</v>
      </c>
      <c r="E61" s="85">
        <v>118059432</v>
      </c>
      <c r="F61" s="85">
        <v>37490429</v>
      </c>
      <c r="G61" s="88"/>
      <c r="H61" s="88"/>
      <c r="I61" s="88"/>
      <c r="J61" s="84"/>
      <c r="K61" s="85">
        <v>1208567</v>
      </c>
      <c r="L61" s="85">
        <v>44423</v>
      </c>
      <c r="M61" s="88"/>
      <c r="N61" s="88"/>
      <c r="O61" s="88"/>
      <c r="P61" s="75"/>
      <c r="S61" s="73"/>
      <c r="U61" s="19"/>
      <c r="V61" s="79"/>
    </row>
    <row r="62" spans="1:27" x14ac:dyDescent="0.3">
      <c r="A62" s="8"/>
      <c r="B62" s="12">
        <v>56</v>
      </c>
      <c r="C62" s="78" t="s">
        <v>56</v>
      </c>
      <c r="D62" s="83">
        <v>12241903690</v>
      </c>
      <c r="E62" s="83">
        <v>572060212</v>
      </c>
      <c r="F62" s="83">
        <v>145733170</v>
      </c>
      <c r="G62" s="89"/>
      <c r="H62" s="89"/>
      <c r="I62" s="89"/>
      <c r="J62" s="83"/>
      <c r="K62" s="83">
        <v>1563975</v>
      </c>
      <c r="L62" s="83">
        <v>304348</v>
      </c>
      <c r="M62" s="89"/>
      <c r="N62" s="89"/>
      <c r="O62" s="89"/>
      <c r="P62" s="75"/>
      <c r="S62" s="73"/>
      <c r="U62" s="19"/>
      <c r="V62" s="79"/>
    </row>
    <row r="63" spans="1:27" x14ac:dyDescent="0.3">
      <c r="A63" s="8"/>
      <c r="B63" s="12">
        <v>57</v>
      </c>
      <c r="C63" s="72" t="s">
        <v>83</v>
      </c>
      <c r="D63" s="89"/>
      <c r="E63" s="90"/>
      <c r="F63" s="89"/>
      <c r="G63" s="81">
        <v>0.92599181195063662</v>
      </c>
      <c r="H63" s="82">
        <v>0.99254055765710891</v>
      </c>
      <c r="I63" s="82">
        <v>0.9974667297690083</v>
      </c>
      <c r="J63" s="82"/>
      <c r="K63" s="82"/>
      <c r="L63" s="82"/>
      <c r="M63" s="81">
        <v>1</v>
      </c>
      <c r="N63" s="82">
        <v>1</v>
      </c>
      <c r="O63" s="82">
        <v>1</v>
      </c>
      <c r="P63" s="75"/>
      <c r="S63" s="73"/>
    </row>
    <row r="64" spans="1:27" x14ac:dyDescent="0.3">
      <c r="A64" s="8"/>
      <c r="B64" s="8"/>
      <c r="C64" s="14" t="s">
        <v>61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75"/>
    </row>
    <row r="65" spans="1:16" x14ac:dyDescent="0.3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3">
      <c r="A66" s="8"/>
      <c r="B66" s="8"/>
      <c r="C66" s="8"/>
      <c r="D66" s="80"/>
      <c r="E66" s="80"/>
      <c r="F66" s="80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count="2">
    <dataValidation type="decimal" operator="greaterThanOrEqual" allowBlank="1" showInputMessage="1" showErrorMessage="1" error="Only numeric values" sqref="K60:L61 D60:F61 J60 D8:O58">
      <formula1>-1E+22</formula1>
    </dataValidation>
    <dataValidation type="decimal" allowBlank="1" showInputMessage="1" showErrorMessage="1" error="Input value should be between 0&lt;=X&lt;=1 formatted as percentage." sqref="G63 M63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66"/>
  <sheetViews>
    <sheetView showGridLines="0" zoomScale="70" zoomScaleNormal="70" workbookViewId="0"/>
  </sheetViews>
  <sheetFormatPr defaultRowHeight="14.4" x14ac:dyDescent="0.3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33203125" customWidth="1"/>
    <col min="16" max="16" width="15.33203125" bestFit="1" customWidth="1"/>
    <col min="17" max="17" width="15.88671875" customWidth="1"/>
    <col min="18" max="18" width="10.88671875" bestFit="1" customWidth="1"/>
    <col min="21" max="21" width="13.5546875" bestFit="1" customWidth="1"/>
    <col min="22" max="22" width="13.109375" bestFit="1" customWidth="1"/>
  </cols>
  <sheetData>
    <row r="1" spans="1:2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 x14ac:dyDescent="0.3">
      <c r="A2" s="8"/>
      <c r="B2" s="8"/>
      <c r="C2" s="9" t="s">
        <v>84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 x14ac:dyDescent="0.3">
      <c r="A3" s="8"/>
      <c r="B3" s="8"/>
      <c r="C3" s="57" t="s">
        <v>57</v>
      </c>
      <c r="D3" s="58" t="s">
        <v>87</v>
      </c>
      <c r="E3" s="59"/>
      <c r="F3" s="59"/>
      <c r="G3" s="59"/>
      <c r="H3" s="59"/>
      <c r="I3" s="59"/>
      <c r="J3" s="60" t="s">
        <v>88</v>
      </c>
      <c r="K3" s="60"/>
      <c r="L3" s="60"/>
      <c r="M3" s="60"/>
      <c r="N3" s="60"/>
      <c r="O3" s="60"/>
      <c r="P3" s="8"/>
    </row>
    <row r="4" spans="1:27" ht="55.2" x14ac:dyDescent="0.3">
      <c r="A4" s="8"/>
      <c r="B4" s="8"/>
      <c r="C4" s="61"/>
      <c r="D4" s="51" t="s">
        <v>89</v>
      </c>
      <c r="E4" s="51" t="s">
        <v>90</v>
      </c>
      <c r="F4" s="51" t="s">
        <v>91</v>
      </c>
      <c r="G4" s="55" t="s">
        <v>58</v>
      </c>
      <c r="H4" s="56"/>
      <c r="I4" s="56"/>
      <c r="J4" s="62" t="s">
        <v>89</v>
      </c>
      <c r="K4" s="62" t="s">
        <v>90</v>
      </c>
      <c r="L4" s="62" t="s">
        <v>91</v>
      </c>
      <c r="M4" s="63" t="s">
        <v>58</v>
      </c>
      <c r="N4" s="64"/>
      <c r="O4" s="64"/>
      <c r="P4" s="8"/>
      <c r="Q4" s="94"/>
      <c r="R4" s="94"/>
    </row>
    <row r="5" spans="1:27" ht="41.4" x14ac:dyDescent="0.3">
      <c r="A5" s="8"/>
      <c r="B5" s="8"/>
      <c r="C5" s="61"/>
      <c r="D5" s="10"/>
      <c r="E5" s="11"/>
      <c r="F5" s="11"/>
      <c r="G5" s="16"/>
      <c r="H5" s="17" t="s">
        <v>92</v>
      </c>
      <c r="I5" s="17" t="s">
        <v>93</v>
      </c>
      <c r="J5" s="65"/>
      <c r="K5" s="66"/>
      <c r="L5" s="67"/>
      <c r="M5" s="68"/>
      <c r="N5" s="69" t="s">
        <v>92</v>
      </c>
      <c r="O5" s="70" t="s">
        <v>93</v>
      </c>
      <c r="P5" s="91"/>
      <c r="Q5" s="95"/>
      <c r="R5" s="95"/>
    </row>
    <row r="6" spans="1:27" x14ac:dyDescent="0.3">
      <c r="A6" s="8"/>
      <c r="B6" s="8"/>
      <c r="C6" s="61"/>
      <c r="D6" s="71" t="s">
        <v>94</v>
      </c>
      <c r="E6" s="71" t="s">
        <v>95</v>
      </c>
      <c r="F6" s="71" t="s">
        <v>96</v>
      </c>
      <c r="G6" s="71" t="s">
        <v>97</v>
      </c>
      <c r="H6" s="71" t="s">
        <v>98</v>
      </c>
      <c r="I6" s="71" t="s">
        <v>99</v>
      </c>
      <c r="J6" s="71" t="s">
        <v>100</v>
      </c>
      <c r="K6" s="71" t="s">
        <v>101</v>
      </c>
      <c r="L6" s="71" t="s">
        <v>102</v>
      </c>
      <c r="M6" s="71" t="s">
        <v>103</v>
      </c>
      <c r="N6" s="71">
        <v>110</v>
      </c>
      <c r="O6" s="71">
        <v>120</v>
      </c>
      <c r="P6" s="91"/>
      <c r="Q6" s="95"/>
      <c r="R6" s="95"/>
    </row>
    <row r="7" spans="1:27" x14ac:dyDescent="0.3">
      <c r="A7" s="8"/>
      <c r="B7" s="12">
        <v>1</v>
      </c>
      <c r="C7" s="72" t="s">
        <v>59</v>
      </c>
      <c r="D7" s="83">
        <v>9270603257</v>
      </c>
      <c r="E7" s="83">
        <v>446583444</v>
      </c>
      <c r="F7" s="83">
        <v>107644498</v>
      </c>
      <c r="G7" s="83">
        <v>6501276.7199999988</v>
      </c>
      <c r="H7" s="83">
        <v>1874072.1700000004</v>
      </c>
      <c r="I7" s="83">
        <v>847793.4</v>
      </c>
      <c r="J7" s="83"/>
      <c r="K7" s="83">
        <v>355740</v>
      </c>
      <c r="L7" s="83">
        <v>175519</v>
      </c>
      <c r="M7" s="83">
        <v>9966.130000000001</v>
      </c>
      <c r="N7" s="83">
        <v>1284.27</v>
      </c>
      <c r="O7" s="83">
        <v>598.04</v>
      </c>
      <c r="P7" s="91"/>
      <c r="Q7" s="96"/>
      <c r="R7" s="96"/>
      <c r="U7" s="73"/>
      <c r="V7" s="73"/>
      <c r="W7" s="73"/>
    </row>
    <row r="8" spans="1:27" x14ac:dyDescent="0.3">
      <c r="A8" s="8"/>
      <c r="B8" s="12">
        <v>2</v>
      </c>
      <c r="C8" s="74" t="s">
        <v>3</v>
      </c>
      <c r="D8" s="84">
        <v>331599441</v>
      </c>
      <c r="E8" s="85">
        <v>15710968</v>
      </c>
      <c r="F8" s="85">
        <v>2437629</v>
      </c>
      <c r="G8" s="86">
        <v>378876.38999999996</v>
      </c>
      <c r="H8" s="86">
        <v>256251.37</v>
      </c>
      <c r="I8" s="86">
        <v>23088.039999999997</v>
      </c>
      <c r="J8" s="84"/>
      <c r="K8" s="85">
        <v>0</v>
      </c>
      <c r="L8" s="85">
        <v>297</v>
      </c>
      <c r="M8" s="86">
        <v>0.22000000000000003</v>
      </c>
      <c r="N8" s="86">
        <v>0.14000000000000001</v>
      </c>
      <c r="O8" s="86">
        <v>0.01</v>
      </c>
      <c r="P8" s="93"/>
      <c r="Q8" s="97"/>
      <c r="R8" s="97"/>
      <c r="S8" s="73"/>
      <c r="U8" s="73"/>
      <c r="V8" s="73"/>
      <c r="W8" s="73"/>
      <c r="Y8" s="76"/>
      <c r="Z8" s="76"/>
      <c r="AA8" s="76"/>
    </row>
    <row r="9" spans="1:27" x14ac:dyDescent="0.3">
      <c r="A9" s="8"/>
      <c r="B9" s="12">
        <v>3</v>
      </c>
      <c r="C9" s="74" t="s">
        <v>4</v>
      </c>
      <c r="D9" s="84">
        <v>14172372</v>
      </c>
      <c r="E9" s="85">
        <v>754361</v>
      </c>
      <c r="F9" s="85">
        <v>446416</v>
      </c>
      <c r="G9" s="86">
        <v>273035.17000000004</v>
      </c>
      <c r="H9" s="86">
        <v>49245.270000000004</v>
      </c>
      <c r="I9" s="86">
        <v>218132.31000000003</v>
      </c>
      <c r="J9" s="84"/>
      <c r="K9" s="85">
        <v>0</v>
      </c>
      <c r="L9" s="85">
        <v>6028</v>
      </c>
      <c r="M9" s="86">
        <v>0</v>
      </c>
      <c r="N9" s="86">
        <v>0</v>
      </c>
      <c r="O9" s="86">
        <v>0</v>
      </c>
      <c r="P9" s="93"/>
      <c r="Q9" s="98"/>
      <c r="R9" s="98"/>
      <c r="S9" s="73"/>
      <c r="U9" s="73"/>
      <c r="V9" s="73"/>
      <c r="W9" s="73"/>
      <c r="Y9" s="76"/>
      <c r="Z9" s="76"/>
      <c r="AA9" s="76"/>
    </row>
    <row r="10" spans="1:27" x14ac:dyDescent="0.3">
      <c r="A10" s="8"/>
      <c r="B10" s="12">
        <v>4</v>
      </c>
      <c r="C10" s="77" t="s">
        <v>5</v>
      </c>
      <c r="D10" s="84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4"/>
      <c r="K10" s="85">
        <v>0</v>
      </c>
      <c r="L10" s="85">
        <v>0</v>
      </c>
      <c r="M10" s="86">
        <v>0</v>
      </c>
      <c r="N10" s="86">
        <v>0</v>
      </c>
      <c r="O10" s="86">
        <v>0</v>
      </c>
      <c r="P10" s="93"/>
      <c r="Q10" s="95"/>
      <c r="R10" s="95"/>
      <c r="S10" s="73"/>
      <c r="U10" s="73"/>
      <c r="V10" s="73"/>
      <c r="W10" s="73"/>
      <c r="Y10" s="76"/>
      <c r="Z10" s="76"/>
      <c r="AA10" s="76"/>
    </row>
    <row r="11" spans="1:27" x14ac:dyDescent="0.3">
      <c r="A11" s="8"/>
      <c r="B11" s="12">
        <v>5</v>
      </c>
      <c r="C11" s="77" t="s">
        <v>6</v>
      </c>
      <c r="D11" s="84">
        <v>0</v>
      </c>
      <c r="E11" s="86">
        <v>0</v>
      </c>
      <c r="F11" s="85">
        <v>190</v>
      </c>
      <c r="G11" s="86">
        <v>0</v>
      </c>
      <c r="H11" s="86">
        <v>0</v>
      </c>
      <c r="I11" s="86">
        <v>0</v>
      </c>
      <c r="J11" s="84"/>
      <c r="K11" s="85">
        <v>0</v>
      </c>
      <c r="L11" s="85">
        <v>6028</v>
      </c>
      <c r="M11" s="86">
        <v>0</v>
      </c>
      <c r="N11" s="86">
        <v>0</v>
      </c>
      <c r="O11" s="86">
        <v>0</v>
      </c>
      <c r="P11" s="93"/>
      <c r="Q11" s="95"/>
      <c r="R11" s="95"/>
      <c r="S11" s="73"/>
      <c r="U11" s="73"/>
      <c r="V11" s="73"/>
      <c r="W11" s="73"/>
      <c r="Y11" s="76"/>
      <c r="Z11" s="76"/>
      <c r="AA11" s="76"/>
    </row>
    <row r="12" spans="1:27" x14ac:dyDescent="0.3">
      <c r="A12" s="8"/>
      <c r="B12" s="12">
        <v>6</v>
      </c>
      <c r="C12" s="77" t="s">
        <v>7</v>
      </c>
      <c r="D12" s="84">
        <v>141471</v>
      </c>
      <c r="E12" s="85">
        <v>34264</v>
      </c>
      <c r="F12" s="85">
        <v>41958</v>
      </c>
      <c r="G12" s="86">
        <v>87.08</v>
      </c>
      <c r="H12" s="86">
        <v>49.35</v>
      </c>
      <c r="I12" s="86">
        <v>5.9700000000000006</v>
      </c>
      <c r="J12" s="84"/>
      <c r="K12" s="85">
        <v>0</v>
      </c>
      <c r="L12" s="85">
        <v>0</v>
      </c>
      <c r="M12" s="86">
        <v>0</v>
      </c>
      <c r="N12" s="86">
        <v>0</v>
      </c>
      <c r="O12" s="86">
        <v>0</v>
      </c>
      <c r="P12" s="93"/>
      <c r="Q12" s="92"/>
      <c r="R12" s="92"/>
      <c r="S12" s="73"/>
      <c r="U12" s="73"/>
      <c r="V12" s="73"/>
      <c r="W12" s="73"/>
      <c r="Y12" s="76"/>
      <c r="Z12" s="76"/>
      <c r="AA12" s="76"/>
    </row>
    <row r="13" spans="1:27" x14ac:dyDescent="0.3">
      <c r="A13" s="8"/>
      <c r="B13" s="12">
        <v>7</v>
      </c>
      <c r="C13" s="77" t="s">
        <v>8</v>
      </c>
      <c r="D13" s="84">
        <v>13954338</v>
      </c>
      <c r="E13" s="85">
        <v>709641</v>
      </c>
      <c r="F13" s="85">
        <v>400421</v>
      </c>
      <c r="G13" s="86">
        <v>272898.29000000004</v>
      </c>
      <c r="H13" s="86">
        <v>49167.700000000004</v>
      </c>
      <c r="I13" s="86">
        <v>218122.92</v>
      </c>
      <c r="J13" s="84"/>
      <c r="K13" s="85">
        <v>0</v>
      </c>
      <c r="L13" s="85">
        <v>0</v>
      </c>
      <c r="M13" s="86">
        <v>0</v>
      </c>
      <c r="N13" s="86">
        <v>0</v>
      </c>
      <c r="O13" s="86">
        <v>0</v>
      </c>
      <c r="P13" s="75"/>
      <c r="S13" s="73"/>
      <c r="U13" s="73"/>
      <c r="V13" s="73"/>
      <c r="W13" s="73"/>
      <c r="Y13" s="76"/>
      <c r="Z13" s="76"/>
      <c r="AA13" s="76"/>
    </row>
    <row r="14" spans="1:27" x14ac:dyDescent="0.3">
      <c r="A14" s="8"/>
      <c r="B14" s="12">
        <v>8</v>
      </c>
      <c r="C14" s="77" t="s">
        <v>9</v>
      </c>
      <c r="D14" s="84">
        <v>76563</v>
      </c>
      <c r="E14" s="85">
        <v>10456</v>
      </c>
      <c r="F14" s="85">
        <v>3847</v>
      </c>
      <c r="G14" s="86">
        <v>49.8</v>
      </c>
      <c r="H14" s="86">
        <v>28.22</v>
      </c>
      <c r="I14" s="86">
        <v>3.419999999999999</v>
      </c>
      <c r="J14" s="84"/>
      <c r="K14" s="85">
        <v>0</v>
      </c>
      <c r="L14" s="85">
        <v>0</v>
      </c>
      <c r="M14" s="86">
        <v>0</v>
      </c>
      <c r="N14" s="86">
        <v>0</v>
      </c>
      <c r="O14" s="86">
        <v>0</v>
      </c>
      <c r="P14" s="75"/>
      <c r="S14" s="73"/>
      <c r="U14" s="73"/>
      <c r="V14" s="73"/>
      <c r="W14" s="73"/>
      <c r="Y14" s="76"/>
      <c r="Z14" s="76"/>
      <c r="AA14" s="76"/>
    </row>
    <row r="15" spans="1:27" x14ac:dyDescent="0.3">
      <c r="A15" s="8"/>
      <c r="B15" s="12">
        <v>9</v>
      </c>
      <c r="C15" s="74" t="s">
        <v>10</v>
      </c>
      <c r="D15" s="84">
        <v>2220273775</v>
      </c>
      <c r="E15" s="85">
        <v>115470868</v>
      </c>
      <c r="F15" s="85">
        <v>17804799</v>
      </c>
      <c r="G15" s="86">
        <v>1911948.7199999997</v>
      </c>
      <c r="H15" s="86">
        <v>406983.12000000005</v>
      </c>
      <c r="I15" s="86">
        <v>179222.32999999996</v>
      </c>
      <c r="J15" s="84"/>
      <c r="K15" s="85">
        <v>261587</v>
      </c>
      <c r="L15" s="85">
        <v>39804</v>
      </c>
      <c r="M15" s="86">
        <v>7203.04</v>
      </c>
      <c r="N15" s="86">
        <v>897.63</v>
      </c>
      <c r="O15" s="86">
        <v>428.06</v>
      </c>
      <c r="P15" s="75"/>
      <c r="S15" s="73"/>
      <c r="U15" s="73"/>
      <c r="V15" s="73"/>
      <c r="W15" s="73"/>
      <c r="Y15" s="76"/>
      <c r="Z15" s="76"/>
      <c r="AA15" s="76"/>
    </row>
    <row r="16" spans="1:27" x14ac:dyDescent="0.3">
      <c r="A16" s="8"/>
      <c r="B16" s="12">
        <v>10</v>
      </c>
      <c r="C16" s="77" t="s">
        <v>11</v>
      </c>
      <c r="D16" s="84">
        <v>336423698</v>
      </c>
      <c r="E16" s="85">
        <v>16021606</v>
      </c>
      <c r="F16" s="85">
        <v>2209965</v>
      </c>
      <c r="G16" s="86">
        <v>423462.03999999992</v>
      </c>
      <c r="H16" s="86">
        <v>34225.18</v>
      </c>
      <c r="I16" s="86">
        <v>23959.519999999993</v>
      </c>
      <c r="J16" s="84"/>
      <c r="K16" s="85">
        <v>194616</v>
      </c>
      <c r="L16" s="85">
        <v>1899</v>
      </c>
      <c r="M16" s="86">
        <v>1906.4699999999998</v>
      </c>
      <c r="N16" s="86">
        <v>82.11999999999999</v>
      </c>
      <c r="O16" s="86">
        <v>303.89</v>
      </c>
      <c r="P16" s="75"/>
      <c r="S16" s="73"/>
      <c r="U16" s="73"/>
      <c r="V16" s="73"/>
      <c r="W16" s="73"/>
      <c r="Y16" s="76"/>
      <c r="Z16" s="76"/>
      <c r="AA16" s="76"/>
    </row>
    <row r="17" spans="1:27" x14ac:dyDescent="0.3">
      <c r="A17" s="8"/>
      <c r="B17" s="12">
        <v>11</v>
      </c>
      <c r="C17" s="77" t="s">
        <v>12</v>
      </c>
      <c r="D17" s="84">
        <v>217522088</v>
      </c>
      <c r="E17" s="85">
        <v>10764705</v>
      </c>
      <c r="F17" s="85">
        <v>1264338</v>
      </c>
      <c r="G17" s="86">
        <v>105276.42</v>
      </c>
      <c r="H17" s="86">
        <v>7653.93</v>
      </c>
      <c r="I17" s="86">
        <v>5772.42</v>
      </c>
      <c r="J17" s="84"/>
      <c r="K17" s="85">
        <v>0</v>
      </c>
      <c r="L17" s="85">
        <v>0</v>
      </c>
      <c r="M17" s="86">
        <v>0</v>
      </c>
      <c r="N17" s="86">
        <v>0</v>
      </c>
      <c r="O17" s="86">
        <v>0</v>
      </c>
      <c r="P17" s="75"/>
      <c r="S17" s="73"/>
      <c r="U17" s="73"/>
      <c r="V17" s="73"/>
      <c r="W17" s="73"/>
      <c r="Y17" s="76"/>
      <c r="Z17" s="76"/>
      <c r="AA17" s="76"/>
    </row>
    <row r="18" spans="1:27" x14ac:dyDescent="0.3">
      <c r="A18" s="8"/>
      <c r="B18" s="12">
        <v>12</v>
      </c>
      <c r="C18" s="77" t="s">
        <v>13</v>
      </c>
      <c r="D18" s="84">
        <v>2924771</v>
      </c>
      <c r="E18" s="85">
        <v>128825</v>
      </c>
      <c r="F18" s="85">
        <v>15487</v>
      </c>
      <c r="G18" s="86">
        <v>7897.48</v>
      </c>
      <c r="H18" s="86">
        <v>569.53</v>
      </c>
      <c r="I18" s="86">
        <v>387.24</v>
      </c>
      <c r="J18" s="84"/>
      <c r="K18" s="85">
        <v>0</v>
      </c>
      <c r="L18" s="85">
        <v>0</v>
      </c>
      <c r="M18" s="86">
        <v>0</v>
      </c>
      <c r="N18" s="86">
        <v>0</v>
      </c>
      <c r="O18" s="86">
        <v>0</v>
      </c>
      <c r="P18" s="75"/>
      <c r="S18" s="73"/>
      <c r="U18" s="73"/>
      <c r="V18" s="73"/>
      <c r="W18" s="73"/>
      <c r="Y18" s="76"/>
      <c r="Z18" s="76"/>
      <c r="AA18" s="76"/>
    </row>
    <row r="19" spans="1:27" x14ac:dyDescent="0.3">
      <c r="A19" s="8"/>
      <c r="B19" s="12">
        <v>13</v>
      </c>
      <c r="C19" s="77" t="s">
        <v>14</v>
      </c>
      <c r="D19" s="84">
        <v>112288971</v>
      </c>
      <c r="E19" s="85">
        <v>5728198</v>
      </c>
      <c r="F19" s="85">
        <v>854047</v>
      </c>
      <c r="G19" s="86">
        <v>63527.9</v>
      </c>
      <c r="H19" s="86">
        <v>7344.95</v>
      </c>
      <c r="I19" s="86">
        <v>9044.6099999999988</v>
      </c>
      <c r="J19" s="84"/>
      <c r="K19" s="85">
        <v>0</v>
      </c>
      <c r="L19" s="85">
        <v>0</v>
      </c>
      <c r="M19" s="86">
        <v>0</v>
      </c>
      <c r="N19" s="86">
        <v>0</v>
      </c>
      <c r="O19" s="86">
        <v>0</v>
      </c>
      <c r="P19" s="75"/>
      <c r="S19" s="73"/>
      <c r="U19" s="73"/>
      <c r="V19" s="73"/>
      <c r="W19" s="73"/>
      <c r="Y19" s="76"/>
      <c r="Z19" s="76"/>
      <c r="AA19" s="76"/>
    </row>
    <row r="20" spans="1:27" x14ac:dyDescent="0.3">
      <c r="A20" s="8"/>
      <c r="B20" s="12">
        <v>14</v>
      </c>
      <c r="C20" s="77" t="s">
        <v>15</v>
      </c>
      <c r="D20" s="84">
        <v>94342483</v>
      </c>
      <c r="E20" s="85">
        <v>5241816</v>
      </c>
      <c r="F20" s="85">
        <v>1145580</v>
      </c>
      <c r="G20" s="86">
        <v>74411.909999999989</v>
      </c>
      <c r="H20" s="86">
        <v>12233.8</v>
      </c>
      <c r="I20" s="86">
        <v>15422.44</v>
      </c>
      <c r="J20" s="84"/>
      <c r="K20" s="85">
        <v>0</v>
      </c>
      <c r="L20" s="85">
        <v>0</v>
      </c>
      <c r="M20" s="86">
        <v>0</v>
      </c>
      <c r="N20" s="86">
        <v>0</v>
      </c>
      <c r="O20" s="86">
        <v>0</v>
      </c>
      <c r="P20" s="75"/>
      <c r="S20" s="73"/>
      <c r="U20" s="73"/>
      <c r="V20" s="73"/>
      <c r="W20" s="73"/>
      <c r="Y20" s="76"/>
      <c r="Z20" s="76"/>
      <c r="AA20" s="76"/>
    </row>
    <row r="21" spans="1:27" x14ac:dyDescent="0.3">
      <c r="A21" s="8"/>
      <c r="B21" s="12">
        <v>15</v>
      </c>
      <c r="C21" s="77" t="s">
        <v>16</v>
      </c>
      <c r="D21" s="84">
        <v>50416471</v>
      </c>
      <c r="E21" s="85">
        <v>2963402</v>
      </c>
      <c r="F21" s="85">
        <v>592018</v>
      </c>
      <c r="G21" s="86">
        <v>36693.269999999997</v>
      </c>
      <c r="H21" s="86">
        <v>4128.87</v>
      </c>
      <c r="I21" s="86">
        <v>7834.6200000000008</v>
      </c>
      <c r="J21" s="84"/>
      <c r="K21" s="85">
        <v>0</v>
      </c>
      <c r="L21" s="85">
        <v>96</v>
      </c>
      <c r="M21" s="86">
        <v>0</v>
      </c>
      <c r="N21" s="86">
        <v>0</v>
      </c>
      <c r="O21" s="86">
        <v>0</v>
      </c>
      <c r="P21" s="75"/>
      <c r="S21" s="73"/>
      <c r="U21" s="73"/>
      <c r="V21" s="73"/>
      <c r="W21" s="73"/>
      <c r="Y21" s="76"/>
      <c r="Z21" s="76"/>
      <c r="AA21" s="76"/>
    </row>
    <row r="22" spans="1:27" x14ac:dyDescent="0.3">
      <c r="A22" s="8"/>
      <c r="B22" s="12">
        <v>16</v>
      </c>
      <c r="C22" s="77" t="s">
        <v>17</v>
      </c>
      <c r="D22" s="84">
        <v>113903358</v>
      </c>
      <c r="E22" s="85">
        <v>6325662</v>
      </c>
      <c r="F22" s="85">
        <v>781672</v>
      </c>
      <c r="G22" s="86">
        <v>67864.450000000012</v>
      </c>
      <c r="H22" s="86">
        <v>12015.689999999999</v>
      </c>
      <c r="I22" s="86">
        <v>12037.680000000002</v>
      </c>
      <c r="J22" s="84"/>
      <c r="K22" s="85">
        <v>0</v>
      </c>
      <c r="L22" s="85">
        <v>0</v>
      </c>
      <c r="M22" s="86">
        <v>0</v>
      </c>
      <c r="N22" s="86">
        <v>0</v>
      </c>
      <c r="O22" s="86">
        <v>0</v>
      </c>
      <c r="P22" s="75"/>
      <c r="S22" s="73"/>
      <c r="U22" s="73"/>
      <c r="V22" s="73"/>
      <c r="W22" s="73"/>
      <c r="Y22" s="76"/>
      <c r="Z22" s="76"/>
      <c r="AA22" s="76"/>
    </row>
    <row r="23" spans="1:27" x14ac:dyDescent="0.3">
      <c r="A23" s="8"/>
      <c r="B23" s="12">
        <v>17</v>
      </c>
      <c r="C23" s="77" t="s">
        <v>18</v>
      </c>
      <c r="D23" s="84">
        <v>145662163</v>
      </c>
      <c r="E23" s="85">
        <v>6146861</v>
      </c>
      <c r="F23" s="85">
        <v>276427</v>
      </c>
      <c r="G23" s="86">
        <v>129122.93000000002</v>
      </c>
      <c r="H23" s="86">
        <v>63225.160000000011</v>
      </c>
      <c r="I23" s="86">
        <v>16629.230000000003</v>
      </c>
      <c r="J23" s="84"/>
      <c r="K23" s="85">
        <v>0</v>
      </c>
      <c r="L23" s="85">
        <v>0</v>
      </c>
      <c r="M23" s="86">
        <v>0</v>
      </c>
      <c r="N23" s="86">
        <v>0</v>
      </c>
      <c r="O23" s="86">
        <v>0</v>
      </c>
      <c r="P23" s="75"/>
      <c r="S23" s="73"/>
      <c r="U23" s="73"/>
      <c r="V23" s="73"/>
      <c r="W23" s="73"/>
      <c r="Y23" s="76"/>
      <c r="Z23" s="76"/>
      <c r="AA23" s="76"/>
    </row>
    <row r="24" spans="1:27" x14ac:dyDescent="0.3">
      <c r="A24" s="8"/>
      <c r="B24" s="12">
        <v>18</v>
      </c>
      <c r="C24" s="77" t="s">
        <v>19</v>
      </c>
      <c r="D24" s="84">
        <v>29940097</v>
      </c>
      <c r="E24" s="85">
        <v>1704678</v>
      </c>
      <c r="F24" s="85">
        <v>373107</v>
      </c>
      <c r="G24" s="86">
        <v>17852.62</v>
      </c>
      <c r="H24" s="86">
        <v>4134.26</v>
      </c>
      <c r="I24" s="86">
        <v>3730.83</v>
      </c>
      <c r="J24" s="84"/>
      <c r="K24" s="85">
        <v>0</v>
      </c>
      <c r="L24" s="85">
        <v>92</v>
      </c>
      <c r="M24" s="86">
        <v>0</v>
      </c>
      <c r="N24" s="86">
        <v>0</v>
      </c>
      <c r="O24" s="86">
        <v>0</v>
      </c>
      <c r="P24" s="75"/>
      <c r="S24" s="73"/>
      <c r="U24" s="73"/>
      <c r="V24" s="73"/>
      <c r="W24" s="73"/>
      <c r="Y24" s="76"/>
      <c r="Z24" s="76"/>
      <c r="AA24" s="76"/>
    </row>
    <row r="25" spans="1:27" x14ac:dyDescent="0.3">
      <c r="A25" s="8"/>
      <c r="B25" s="12">
        <v>19</v>
      </c>
      <c r="C25" s="77" t="s">
        <v>20</v>
      </c>
      <c r="D25" s="84">
        <v>469049</v>
      </c>
      <c r="E25" s="85">
        <v>3032779</v>
      </c>
      <c r="F25" s="85">
        <v>426787</v>
      </c>
      <c r="G25" s="86">
        <v>947.07999999999993</v>
      </c>
      <c r="H25" s="86">
        <v>329.34999999999997</v>
      </c>
      <c r="I25" s="86">
        <v>66.3</v>
      </c>
      <c r="J25" s="84"/>
      <c r="K25" s="85">
        <v>0</v>
      </c>
      <c r="L25" s="85">
        <v>0</v>
      </c>
      <c r="M25" s="86">
        <v>0</v>
      </c>
      <c r="N25" s="86">
        <v>0</v>
      </c>
      <c r="O25" s="86">
        <v>0</v>
      </c>
      <c r="P25" s="75"/>
      <c r="S25" s="73"/>
      <c r="U25" s="73"/>
      <c r="V25" s="73"/>
      <c r="W25" s="73"/>
      <c r="Y25" s="76"/>
      <c r="Z25" s="76"/>
      <c r="AA25" s="76"/>
    </row>
    <row r="26" spans="1:27" x14ac:dyDescent="0.3">
      <c r="A26" s="8"/>
      <c r="B26" s="12">
        <v>20</v>
      </c>
      <c r="C26" s="77" t="s">
        <v>21</v>
      </c>
      <c r="D26" s="84">
        <v>103985036</v>
      </c>
      <c r="E26" s="85">
        <v>5117818</v>
      </c>
      <c r="F26" s="85">
        <v>961891</v>
      </c>
      <c r="G26" s="86">
        <v>107535.78</v>
      </c>
      <c r="H26" s="86">
        <v>41268.800000000003</v>
      </c>
      <c r="I26" s="86">
        <v>10192.56</v>
      </c>
      <c r="J26" s="84"/>
      <c r="K26" s="85">
        <v>0</v>
      </c>
      <c r="L26" s="85">
        <v>14013</v>
      </c>
      <c r="M26" s="86">
        <v>0</v>
      </c>
      <c r="N26" s="86">
        <v>0</v>
      </c>
      <c r="O26" s="86">
        <v>0</v>
      </c>
      <c r="P26" s="75"/>
      <c r="S26" s="73"/>
      <c r="U26" s="73"/>
      <c r="V26" s="73"/>
      <c r="W26" s="73"/>
      <c r="Y26" s="76"/>
      <c r="Z26" s="76"/>
      <c r="AA26" s="76"/>
    </row>
    <row r="27" spans="1:27" x14ac:dyDescent="0.3">
      <c r="A27" s="8"/>
      <c r="B27" s="12">
        <v>21</v>
      </c>
      <c r="C27" s="77" t="s">
        <v>22</v>
      </c>
      <c r="D27" s="84">
        <v>61623358</v>
      </c>
      <c r="E27" s="85">
        <v>3485471</v>
      </c>
      <c r="F27" s="85">
        <v>615125</v>
      </c>
      <c r="G27" s="86">
        <v>39907.729999999996</v>
      </c>
      <c r="H27" s="86">
        <v>15138.8</v>
      </c>
      <c r="I27" s="86">
        <v>4936.17</v>
      </c>
      <c r="J27" s="84"/>
      <c r="K27" s="85">
        <v>0</v>
      </c>
      <c r="L27" s="85">
        <v>0</v>
      </c>
      <c r="M27" s="86">
        <v>0</v>
      </c>
      <c r="N27" s="86">
        <v>0</v>
      </c>
      <c r="O27" s="86">
        <v>0</v>
      </c>
      <c r="P27" s="75"/>
      <c r="S27" s="73"/>
      <c r="U27" s="73"/>
      <c r="V27" s="73"/>
      <c r="W27" s="73"/>
      <c r="Y27" s="76"/>
      <c r="Z27" s="76"/>
      <c r="AA27" s="76"/>
    </row>
    <row r="28" spans="1:27" x14ac:dyDescent="0.3">
      <c r="A28" s="8"/>
      <c r="B28" s="12">
        <v>22</v>
      </c>
      <c r="C28" s="77" t="s">
        <v>23</v>
      </c>
      <c r="D28" s="84">
        <v>92127605</v>
      </c>
      <c r="E28" s="85">
        <v>4728649</v>
      </c>
      <c r="F28" s="85">
        <v>767980</v>
      </c>
      <c r="G28" s="86">
        <v>88779.790000000008</v>
      </c>
      <c r="H28" s="86">
        <v>32826.78</v>
      </c>
      <c r="I28" s="86">
        <v>9244.66</v>
      </c>
      <c r="J28" s="84"/>
      <c r="K28" s="85">
        <v>19131</v>
      </c>
      <c r="L28" s="85">
        <v>2880</v>
      </c>
      <c r="M28" s="86">
        <v>1942.2500000000002</v>
      </c>
      <c r="N28" s="86">
        <v>795.91</v>
      </c>
      <c r="O28" s="86">
        <v>108.14</v>
      </c>
      <c r="P28" s="75"/>
      <c r="S28" s="73"/>
      <c r="U28" s="73"/>
      <c r="V28" s="73"/>
      <c r="W28" s="73"/>
      <c r="Y28" s="76"/>
      <c r="Z28" s="76"/>
      <c r="AA28" s="76"/>
    </row>
    <row r="29" spans="1:27" x14ac:dyDescent="0.3">
      <c r="A29" s="8"/>
      <c r="B29" s="12">
        <v>23</v>
      </c>
      <c r="C29" s="77" t="s">
        <v>24</v>
      </c>
      <c r="D29" s="84">
        <v>187956467</v>
      </c>
      <c r="E29" s="85">
        <v>7611737</v>
      </c>
      <c r="F29" s="85">
        <v>1089117</v>
      </c>
      <c r="G29" s="86">
        <v>129673.05</v>
      </c>
      <c r="H29" s="86">
        <v>47498.799999999988</v>
      </c>
      <c r="I29" s="86">
        <v>9851.0100000000039</v>
      </c>
      <c r="J29" s="84"/>
      <c r="K29" s="85">
        <v>0</v>
      </c>
      <c r="L29" s="85">
        <v>0</v>
      </c>
      <c r="M29" s="86">
        <v>0</v>
      </c>
      <c r="N29" s="86">
        <v>0</v>
      </c>
      <c r="O29" s="86">
        <v>0</v>
      </c>
      <c r="P29" s="75"/>
      <c r="S29" s="73"/>
      <c r="U29" s="73"/>
      <c r="V29" s="73"/>
      <c r="W29" s="73"/>
      <c r="Y29" s="76"/>
      <c r="Z29" s="76"/>
      <c r="AA29" s="76"/>
    </row>
    <row r="30" spans="1:27" x14ac:dyDescent="0.3">
      <c r="A30" s="8"/>
      <c r="B30" s="12">
        <v>24</v>
      </c>
      <c r="C30" s="77" t="s">
        <v>25</v>
      </c>
      <c r="D30" s="84">
        <v>20014635</v>
      </c>
      <c r="E30" s="85">
        <v>1025961</v>
      </c>
      <c r="F30" s="85">
        <v>324459</v>
      </c>
      <c r="G30" s="86">
        <v>25697.059999999998</v>
      </c>
      <c r="H30" s="86">
        <v>7956.8</v>
      </c>
      <c r="I30" s="86">
        <v>1430.62</v>
      </c>
      <c r="J30" s="84"/>
      <c r="K30" s="85">
        <v>0</v>
      </c>
      <c r="L30" s="85">
        <v>0</v>
      </c>
      <c r="M30" s="86">
        <v>0</v>
      </c>
      <c r="N30" s="86">
        <v>0</v>
      </c>
      <c r="O30" s="86">
        <v>0</v>
      </c>
      <c r="P30" s="75"/>
      <c r="S30" s="73"/>
      <c r="U30" s="73"/>
      <c r="V30" s="73"/>
      <c r="W30" s="73"/>
      <c r="Y30" s="76"/>
      <c r="Z30" s="76"/>
      <c r="AA30" s="76"/>
    </row>
    <row r="31" spans="1:27" x14ac:dyDescent="0.3">
      <c r="A31" s="8"/>
      <c r="B31" s="12">
        <v>25</v>
      </c>
      <c r="C31" s="77" t="s">
        <v>26</v>
      </c>
      <c r="D31" s="84">
        <v>321406756</v>
      </c>
      <c r="E31" s="85">
        <v>17725472</v>
      </c>
      <c r="F31" s="85">
        <v>2593111</v>
      </c>
      <c r="G31" s="86">
        <v>274303.31999999995</v>
      </c>
      <c r="H31" s="86">
        <v>70096.03</v>
      </c>
      <c r="I31" s="86">
        <v>24861.98</v>
      </c>
      <c r="J31" s="84"/>
      <c r="K31" s="85">
        <v>0</v>
      </c>
      <c r="L31" s="85">
        <v>19635</v>
      </c>
      <c r="M31" s="86">
        <v>8.77</v>
      </c>
      <c r="N31" s="86">
        <v>1.24</v>
      </c>
      <c r="O31" s="86">
        <v>1.32</v>
      </c>
      <c r="P31" s="75"/>
      <c r="S31" s="73"/>
      <c r="U31" s="73"/>
      <c r="V31" s="73"/>
      <c r="W31" s="73"/>
      <c r="Y31" s="76"/>
      <c r="Z31" s="76"/>
      <c r="AA31" s="76"/>
    </row>
    <row r="32" spans="1:27" x14ac:dyDescent="0.3">
      <c r="A32" s="8"/>
      <c r="B32" s="12">
        <v>26</v>
      </c>
      <c r="C32" s="77" t="s">
        <v>27</v>
      </c>
      <c r="D32" s="84">
        <v>5055695</v>
      </c>
      <c r="E32" s="85">
        <v>284015</v>
      </c>
      <c r="F32" s="85">
        <v>77355</v>
      </c>
      <c r="G32" s="86">
        <v>3595.94</v>
      </c>
      <c r="H32" s="86">
        <v>1178.07</v>
      </c>
      <c r="I32" s="86">
        <v>1093.29</v>
      </c>
      <c r="J32" s="84"/>
      <c r="K32" s="85">
        <v>0</v>
      </c>
      <c r="L32" s="85">
        <v>0</v>
      </c>
      <c r="M32" s="86">
        <v>0</v>
      </c>
      <c r="N32" s="86">
        <v>0</v>
      </c>
      <c r="O32" s="86">
        <v>0</v>
      </c>
      <c r="P32" s="75"/>
      <c r="S32" s="73"/>
      <c r="U32" s="73"/>
      <c r="V32" s="73"/>
      <c r="W32" s="73"/>
      <c r="Y32" s="76"/>
      <c r="Z32" s="76"/>
      <c r="AA32" s="76"/>
    </row>
    <row r="33" spans="1:27" x14ac:dyDescent="0.3">
      <c r="A33" s="8"/>
      <c r="B33" s="12">
        <v>27</v>
      </c>
      <c r="C33" s="77" t="s">
        <v>28</v>
      </c>
      <c r="D33" s="84">
        <v>21132876</v>
      </c>
      <c r="E33" s="85">
        <v>1970982</v>
      </c>
      <c r="F33" s="85">
        <v>583343</v>
      </c>
      <c r="G33" s="86">
        <v>12180.18</v>
      </c>
      <c r="H33" s="86">
        <v>1442.4</v>
      </c>
      <c r="I33" s="86">
        <v>933.80000000000007</v>
      </c>
      <c r="J33" s="84"/>
      <c r="K33" s="85">
        <v>0</v>
      </c>
      <c r="L33" s="85">
        <v>672</v>
      </c>
      <c r="M33" s="86">
        <v>0</v>
      </c>
      <c r="N33" s="86">
        <v>0</v>
      </c>
      <c r="O33" s="86">
        <v>0</v>
      </c>
      <c r="P33" s="75"/>
      <c r="S33" s="73"/>
      <c r="U33" s="73"/>
      <c r="V33" s="73"/>
      <c r="W33" s="73"/>
      <c r="Y33" s="76"/>
      <c r="Z33" s="76"/>
      <c r="AA33" s="76"/>
    </row>
    <row r="34" spans="1:27" x14ac:dyDescent="0.3">
      <c r="A34" s="8"/>
      <c r="B34" s="12">
        <v>28</v>
      </c>
      <c r="C34" s="77" t="s">
        <v>29</v>
      </c>
      <c r="D34" s="84">
        <v>43651383</v>
      </c>
      <c r="E34" s="85">
        <v>2111043</v>
      </c>
      <c r="F34" s="85">
        <v>556553</v>
      </c>
      <c r="G34" s="86">
        <v>30198.159999999996</v>
      </c>
      <c r="H34" s="86">
        <v>8922.08</v>
      </c>
      <c r="I34" s="86">
        <v>7565.7899999999991</v>
      </c>
      <c r="J34" s="84"/>
      <c r="K34" s="85">
        <v>0</v>
      </c>
      <c r="L34" s="85">
        <v>327</v>
      </c>
      <c r="M34" s="86">
        <v>0</v>
      </c>
      <c r="N34" s="86">
        <v>0</v>
      </c>
      <c r="O34" s="86">
        <v>0</v>
      </c>
      <c r="P34" s="75"/>
      <c r="S34" s="73"/>
      <c r="U34" s="73"/>
      <c r="V34" s="73"/>
      <c r="W34" s="73"/>
      <c r="Y34" s="76"/>
      <c r="Z34" s="76"/>
      <c r="AA34" s="76"/>
    </row>
    <row r="35" spans="1:27" x14ac:dyDescent="0.3">
      <c r="A35" s="8"/>
      <c r="B35" s="12">
        <v>29</v>
      </c>
      <c r="C35" s="77" t="s">
        <v>30</v>
      </c>
      <c r="D35" s="84">
        <v>114760748</v>
      </c>
      <c r="E35" s="85">
        <v>5576862</v>
      </c>
      <c r="F35" s="85">
        <v>347875</v>
      </c>
      <c r="G35" s="86">
        <v>184140.44</v>
      </c>
      <c r="H35" s="86">
        <v>7117.9999999999991</v>
      </c>
      <c r="I35" s="86">
        <v>2827.84</v>
      </c>
      <c r="J35" s="84"/>
      <c r="K35" s="85">
        <v>47840</v>
      </c>
      <c r="L35" s="85">
        <v>0</v>
      </c>
      <c r="M35" s="86">
        <v>3345.55</v>
      </c>
      <c r="N35" s="86">
        <v>18.36</v>
      </c>
      <c r="O35" s="86">
        <v>14.71</v>
      </c>
      <c r="P35" s="75"/>
      <c r="S35" s="73"/>
      <c r="U35" s="73"/>
      <c r="V35" s="73"/>
      <c r="W35" s="73"/>
      <c r="Y35" s="76"/>
      <c r="Z35" s="76"/>
      <c r="AA35" s="76"/>
    </row>
    <row r="36" spans="1:27" x14ac:dyDescent="0.3">
      <c r="A36" s="8"/>
      <c r="B36" s="12">
        <v>30</v>
      </c>
      <c r="C36" s="77" t="s">
        <v>31</v>
      </c>
      <c r="D36" s="84">
        <v>6776636</v>
      </c>
      <c r="E36" s="85">
        <v>232325</v>
      </c>
      <c r="F36" s="85">
        <v>133390</v>
      </c>
      <c r="G36" s="86">
        <v>3188.86</v>
      </c>
      <c r="H36" s="86">
        <v>217.2</v>
      </c>
      <c r="I36" s="86">
        <v>128.82000000000002</v>
      </c>
      <c r="J36" s="84"/>
      <c r="K36" s="85">
        <v>0</v>
      </c>
      <c r="L36" s="85">
        <v>0</v>
      </c>
      <c r="M36" s="86">
        <v>0</v>
      </c>
      <c r="N36" s="86">
        <v>0</v>
      </c>
      <c r="O36" s="86">
        <v>0</v>
      </c>
      <c r="P36" s="75"/>
      <c r="S36" s="73"/>
      <c r="U36" s="73"/>
      <c r="V36" s="73"/>
      <c r="W36" s="73"/>
      <c r="Y36" s="76"/>
      <c r="Z36" s="76"/>
      <c r="AA36" s="76"/>
    </row>
    <row r="37" spans="1:27" x14ac:dyDescent="0.3">
      <c r="A37" s="8"/>
      <c r="B37" s="12">
        <v>31</v>
      </c>
      <c r="C37" s="77" t="s">
        <v>32</v>
      </c>
      <c r="D37" s="84">
        <v>70662107</v>
      </c>
      <c r="E37" s="85">
        <v>3441977</v>
      </c>
      <c r="F37" s="85">
        <v>741926</v>
      </c>
      <c r="G37" s="86">
        <v>30259.71</v>
      </c>
      <c r="H37" s="86">
        <v>7495.9800000000005</v>
      </c>
      <c r="I37" s="86">
        <v>4071.9500000000003</v>
      </c>
      <c r="J37" s="84"/>
      <c r="K37" s="85">
        <v>0</v>
      </c>
      <c r="L37" s="85">
        <v>0</v>
      </c>
      <c r="M37" s="86">
        <v>0</v>
      </c>
      <c r="N37" s="86">
        <v>0</v>
      </c>
      <c r="O37" s="86">
        <v>0</v>
      </c>
      <c r="P37" s="75"/>
      <c r="S37" s="73"/>
      <c r="U37" s="73"/>
      <c r="V37" s="73"/>
      <c r="W37" s="73"/>
      <c r="Y37" s="76"/>
      <c r="Z37" s="76"/>
      <c r="AA37" s="76"/>
    </row>
    <row r="38" spans="1:27" x14ac:dyDescent="0.3">
      <c r="A38" s="8"/>
      <c r="B38" s="12">
        <v>32</v>
      </c>
      <c r="C38" s="77" t="s">
        <v>33</v>
      </c>
      <c r="D38" s="84">
        <v>26211627</v>
      </c>
      <c r="E38" s="85">
        <v>1431888</v>
      </c>
      <c r="F38" s="85">
        <v>387253</v>
      </c>
      <c r="G38" s="86">
        <v>9504.14</v>
      </c>
      <c r="H38" s="86">
        <v>1481.4</v>
      </c>
      <c r="I38" s="86">
        <v>772.39</v>
      </c>
      <c r="J38" s="84"/>
      <c r="K38" s="85">
        <v>0</v>
      </c>
      <c r="L38" s="85">
        <v>0</v>
      </c>
      <c r="M38" s="86">
        <v>0</v>
      </c>
      <c r="N38" s="86">
        <v>0</v>
      </c>
      <c r="O38" s="86">
        <v>0</v>
      </c>
      <c r="P38" s="75"/>
      <c r="S38" s="73"/>
      <c r="U38" s="73"/>
      <c r="V38" s="73"/>
      <c r="W38" s="73"/>
      <c r="Y38" s="76"/>
      <c r="Z38" s="76"/>
      <c r="AA38" s="76"/>
    </row>
    <row r="39" spans="1:27" x14ac:dyDescent="0.3">
      <c r="A39" s="8"/>
      <c r="B39" s="12">
        <v>33</v>
      </c>
      <c r="C39" s="77" t="s">
        <v>34</v>
      </c>
      <c r="D39" s="84">
        <v>41015697</v>
      </c>
      <c r="E39" s="85">
        <v>2668136</v>
      </c>
      <c r="F39" s="85">
        <v>685993</v>
      </c>
      <c r="G39" s="86">
        <v>45928.460000000006</v>
      </c>
      <c r="H39" s="86">
        <v>18481.259999999998</v>
      </c>
      <c r="I39" s="86">
        <v>6426.5600000000013</v>
      </c>
      <c r="J39" s="84"/>
      <c r="K39" s="85">
        <v>0</v>
      </c>
      <c r="L39" s="85">
        <v>190</v>
      </c>
      <c r="M39" s="86">
        <v>0</v>
      </c>
      <c r="N39" s="86">
        <v>0</v>
      </c>
      <c r="O39" s="86">
        <v>0</v>
      </c>
      <c r="P39" s="75"/>
      <c r="S39" s="73"/>
      <c r="U39" s="73"/>
      <c r="V39" s="73"/>
      <c r="W39" s="73"/>
      <c r="Y39" s="76"/>
      <c r="Z39" s="76"/>
      <c r="AA39" s="76"/>
    </row>
    <row r="40" spans="1:27" x14ac:dyDescent="0.3">
      <c r="A40" s="8"/>
      <c r="B40" s="12">
        <v>34</v>
      </c>
      <c r="C40" s="74" t="s">
        <v>35</v>
      </c>
      <c r="D40" s="84">
        <v>526822846</v>
      </c>
      <c r="E40" s="85">
        <v>13824782</v>
      </c>
      <c r="F40" s="85">
        <v>6839095</v>
      </c>
      <c r="G40" s="86">
        <v>354963.31</v>
      </c>
      <c r="H40" s="86">
        <v>184210.41999999998</v>
      </c>
      <c r="I40" s="86">
        <v>9257.3300000000017</v>
      </c>
      <c r="J40" s="84"/>
      <c r="K40" s="85">
        <v>0</v>
      </c>
      <c r="L40" s="85">
        <v>0</v>
      </c>
      <c r="M40" s="86">
        <v>0</v>
      </c>
      <c r="N40" s="86">
        <v>0</v>
      </c>
      <c r="O40" s="86">
        <v>0</v>
      </c>
      <c r="P40" s="75"/>
      <c r="S40" s="73"/>
      <c r="U40" s="73"/>
      <c r="V40" s="73"/>
      <c r="W40" s="73"/>
      <c r="Y40" s="76"/>
      <c r="Z40" s="76"/>
      <c r="AA40" s="76"/>
    </row>
    <row r="41" spans="1:27" x14ac:dyDescent="0.3">
      <c r="A41" s="8"/>
      <c r="B41" s="12">
        <v>35</v>
      </c>
      <c r="C41" s="77" t="s">
        <v>36</v>
      </c>
      <c r="D41" s="84">
        <v>526226720</v>
      </c>
      <c r="E41" s="85">
        <v>13795307</v>
      </c>
      <c r="F41" s="85">
        <v>6647305</v>
      </c>
      <c r="G41" s="86">
        <v>353825.93000000005</v>
      </c>
      <c r="H41" s="86">
        <v>183373.46000000002</v>
      </c>
      <c r="I41" s="86">
        <v>9216.380000000001</v>
      </c>
      <c r="J41" s="84"/>
      <c r="K41" s="85">
        <v>0</v>
      </c>
      <c r="L41" s="85">
        <v>0</v>
      </c>
      <c r="M41" s="86">
        <v>0</v>
      </c>
      <c r="N41" s="86">
        <v>0</v>
      </c>
      <c r="O41" s="86">
        <v>0</v>
      </c>
      <c r="P41" s="75"/>
      <c r="S41" s="73"/>
      <c r="U41" s="73"/>
      <c r="V41" s="73"/>
      <c r="W41" s="73"/>
      <c r="Y41" s="76"/>
      <c r="Z41" s="76"/>
      <c r="AA41" s="76"/>
    </row>
    <row r="42" spans="1:27" x14ac:dyDescent="0.3">
      <c r="A42" s="8"/>
      <c r="B42" s="12">
        <v>36</v>
      </c>
      <c r="C42" s="77" t="s">
        <v>37</v>
      </c>
      <c r="D42" s="84">
        <v>249275679</v>
      </c>
      <c r="E42" s="85">
        <v>10676128</v>
      </c>
      <c r="F42" s="85">
        <v>982342</v>
      </c>
      <c r="G42" s="86">
        <v>102860.59999999999</v>
      </c>
      <c r="H42" s="86">
        <v>25344.78</v>
      </c>
      <c r="I42" s="86">
        <v>2451.6999999999998</v>
      </c>
      <c r="J42" s="84"/>
      <c r="K42" s="85">
        <v>0</v>
      </c>
      <c r="L42" s="85">
        <v>0</v>
      </c>
      <c r="M42" s="86">
        <v>0</v>
      </c>
      <c r="N42" s="86">
        <v>0</v>
      </c>
      <c r="O42" s="86">
        <v>0</v>
      </c>
      <c r="P42" s="75"/>
      <c r="S42" s="73"/>
      <c r="U42" s="73"/>
      <c r="V42" s="73"/>
      <c r="W42" s="73"/>
      <c r="Y42" s="76"/>
      <c r="Z42" s="76"/>
      <c r="AA42" s="76"/>
    </row>
    <row r="43" spans="1:27" x14ac:dyDescent="0.3">
      <c r="A43" s="8"/>
      <c r="B43" s="12">
        <v>37</v>
      </c>
      <c r="C43" s="77" t="s">
        <v>38</v>
      </c>
      <c r="D43" s="84">
        <v>288147</v>
      </c>
      <c r="E43" s="85">
        <v>11983</v>
      </c>
      <c r="F43" s="85">
        <v>155286</v>
      </c>
      <c r="G43" s="86">
        <v>777.48</v>
      </c>
      <c r="H43" s="86">
        <v>576.6</v>
      </c>
      <c r="I43" s="86">
        <v>21.69</v>
      </c>
      <c r="J43" s="84"/>
      <c r="K43" s="85">
        <v>0</v>
      </c>
      <c r="L43" s="85">
        <v>0</v>
      </c>
      <c r="M43" s="86">
        <v>0</v>
      </c>
      <c r="N43" s="86">
        <v>0</v>
      </c>
      <c r="O43" s="86">
        <v>0</v>
      </c>
      <c r="P43" s="75"/>
      <c r="S43" s="73"/>
      <c r="U43" s="73"/>
      <c r="V43" s="73"/>
      <c r="W43" s="73"/>
      <c r="Y43" s="76"/>
      <c r="Z43" s="76"/>
      <c r="AA43" s="76"/>
    </row>
    <row r="44" spans="1:27" x14ac:dyDescent="0.3">
      <c r="A44" s="8"/>
      <c r="B44" s="12">
        <v>38</v>
      </c>
      <c r="C44" s="77" t="s">
        <v>39</v>
      </c>
      <c r="D44" s="84">
        <v>307979</v>
      </c>
      <c r="E44" s="85">
        <v>17492</v>
      </c>
      <c r="F44" s="85">
        <v>36504</v>
      </c>
      <c r="G44" s="86">
        <v>359.9</v>
      </c>
      <c r="H44" s="86">
        <v>260.36</v>
      </c>
      <c r="I44" s="86">
        <v>19.260000000000002</v>
      </c>
      <c r="J44" s="84"/>
      <c r="K44" s="85">
        <v>0</v>
      </c>
      <c r="L44" s="85">
        <v>0</v>
      </c>
      <c r="M44" s="86">
        <v>0</v>
      </c>
      <c r="N44" s="86">
        <v>0</v>
      </c>
      <c r="O44" s="86">
        <v>0</v>
      </c>
      <c r="P44" s="75"/>
      <c r="S44" s="73"/>
      <c r="U44" s="73"/>
      <c r="V44" s="73"/>
      <c r="W44" s="73"/>
      <c r="Y44" s="76"/>
      <c r="Z44" s="76"/>
      <c r="AA44" s="76"/>
    </row>
    <row r="45" spans="1:27" x14ac:dyDescent="0.3">
      <c r="A45" s="8"/>
      <c r="B45" s="12">
        <v>39</v>
      </c>
      <c r="C45" s="74" t="s">
        <v>40</v>
      </c>
      <c r="D45" s="84">
        <v>33931302</v>
      </c>
      <c r="E45" s="85">
        <v>2473301</v>
      </c>
      <c r="F45" s="85">
        <v>1221671</v>
      </c>
      <c r="G45" s="86">
        <v>21198.54</v>
      </c>
      <c r="H45" s="86">
        <v>9893.0400000000009</v>
      </c>
      <c r="I45" s="86">
        <v>1779.03</v>
      </c>
      <c r="J45" s="84"/>
      <c r="K45" s="85">
        <v>0</v>
      </c>
      <c r="L45" s="85">
        <v>442</v>
      </c>
      <c r="M45" s="86">
        <v>0</v>
      </c>
      <c r="N45" s="86">
        <v>0</v>
      </c>
      <c r="O45" s="86">
        <v>0</v>
      </c>
      <c r="P45" s="75"/>
      <c r="S45" s="73"/>
      <c r="U45" s="73"/>
      <c r="V45" s="73"/>
      <c r="W45" s="73"/>
      <c r="Y45" s="76"/>
      <c r="Z45" s="76"/>
      <c r="AA45" s="76"/>
    </row>
    <row r="46" spans="1:27" x14ac:dyDescent="0.3">
      <c r="A46" s="8"/>
      <c r="B46" s="12">
        <v>40</v>
      </c>
      <c r="C46" s="74" t="s">
        <v>41</v>
      </c>
      <c r="D46" s="84">
        <v>1044252695</v>
      </c>
      <c r="E46" s="85">
        <v>58915479</v>
      </c>
      <c r="F46" s="85">
        <v>15057300</v>
      </c>
      <c r="G46" s="86">
        <v>480020.32</v>
      </c>
      <c r="H46" s="86">
        <v>128034.85000000002</v>
      </c>
      <c r="I46" s="86">
        <v>60712.439999999995</v>
      </c>
      <c r="J46" s="84"/>
      <c r="K46" s="85">
        <v>21</v>
      </c>
      <c r="L46" s="85">
        <v>6616</v>
      </c>
      <c r="M46" s="86">
        <v>0.15000000000000002</v>
      </c>
      <c r="N46" s="86">
        <v>0.01</v>
      </c>
      <c r="O46" s="86">
        <v>0</v>
      </c>
      <c r="P46" s="75"/>
      <c r="S46" s="73"/>
      <c r="U46" s="73"/>
      <c r="V46" s="73"/>
      <c r="W46" s="73"/>
      <c r="Y46" s="76"/>
      <c r="Z46" s="76"/>
      <c r="AA46" s="76"/>
    </row>
    <row r="47" spans="1:27" x14ac:dyDescent="0.3">
      <c r="A47" s="8"/>
      <c r="B47" s="12">
        <v>41</v>
      </c>
      <c r="C47" s="77" t="s">
        <v>42</v>
      </c>
      <c r="D47" s="84">
        <v>723331260</v>
      </c>
      <c r="E47" s="85">
        <v>38947964</v>
      </c>
      <c r="F47" s="85">
        <v>8329891</v>
      </c>
      <c r="G47" s="86">
        <v>261820.78000000003</v>
      </c>
      <c r="H47" s="86">
        <v>75428.520000000019</v>
      </c>
      <c r="I47" s="86">
        <v>40006.39</v>
      </c>
      <c r="J47" s="84"/>
      <c r="K47" s="85">
        <v>0</v>
      </c>
      <c r="L47" s="85">
        <v>3737</v>
      </c>
      <c r="M47" s="86">
        <v>0</v>
      </c>
      <c r="N47" s="86">
        <v>0</v>
      </c>
      <c r="O47" s="86">
        <v>0</v>
      </c>
      <c r="P47" s="75"/>
      <c r="S47" s="73"/>
      <c r="U47" s="73"/>
      <c r="V47" s="73"/>
      <c r="W47" s="73"/>
      <c r="Y47" s="76"/>
      <c r="Z47" s="76"/>
      <c r="AA47" s="76"/>
    </row>
    <row r="48" spans="1:27" x14ac:dyDescent="0.3">
      <c r="A48" s="8"/>
      <c r="B48" s="12">
        <v>42</v>
      </c>
      <c r="C48" s="77" t="s">
        <v>43</v>
      </c>
      <c r="D48" s="84">
        <v>165331343</v>
      </c>
      <c r="E48" s="85">
        <v>10320268</v>
      </c>
      <c r="F48" s="85">
        <v>2490741</v>
      </c>
      <c r="G48" s="86">
        <v>63774.130000000005</v>
      </c>
      <c r="H48" s="86">
        <v>10690.76</v>
      </c>
      <c r="I48" s="86">
        <v>3627.83</v>
      </c>
      <c r="J48" s="84"/>
      <c r="K48" s="85">
        <v>21</v>
      </c>
      <c r="L48" s="85">
        <v>2788</v>
      </c>
      <c r="M48" s="86">
        <v>0.15000000000000002</v>
      </c>
      <c r="N48" s="86">
        <v>0.01</v>
      </c>
      <c r="O48" s="86">
        <v>0</v>
      </c>
      <c r="P48" s="75"/>
      <c r="S48" s="73"/>
      <c r="U48" s="73"/>
      <c r="V48" s="73"/>
      <c r="W48" s="73"/>
      <c r="Y48" s="76"/>
      <c r="Z48" s="76"/>
      <c r="AA48" s="76"/>
    </row>
    <row r="49" spans="1:27" x14ac:dyDescent="0.3">
      <c r="A49" s="8"/>
      <c r="B49" s="12">
        <v>43</v>
      </c>
      <c r="C49" s="77" t="s">
        <v>44</v>
      </c>
      <c r="D49" s="84">
        <v>155590092</v>
      </c>
      <c r="E49" s="85">
        <v>9647247</v>
      </c>
      <c r="F49" s="85">
        <v>4236668</v>
      </c>
      <c r="G49" s="86">
        <v>154425.41</v>
      </c>
      <c r="H49" s="86">
        <v>41915.569999999992</v>
      </c>
      <c r="I49" s="86">
        <v>17078.22</v>
      </c>
      <c r="J49" s="84"/>
      <c r="K49" s="85">
        <v>0</v>
      </c>
      <c r="L49" s="85">
        <v>91</v>
      </c>
      <c r="M49" s="86">
        <v>0</v>
      </c>
      <c r="N49" s="86">
        <v>0</v>
      </c>
      <c r="O49" s="86">
        <v>0</v>
      </c>
      <c r="P49" s="75"/>
      <c r="S49" s="73"/>
      <c r="U49" s="73"/>
      <c r="V49" s="73"/>
      <c r="W49" s="73"/>
      <c r="Y49" s="76"/>
      <c r="Z49" s="76"/>
      <c r="AA49" s="76"/>
    </row>
    <row r="50" spans="1:27" x14ac:dyDescent="0.3">
      <c r="A50" s="8"/>
      <c r="B50" s="12">
        <v>44</v>
      </c>
      <c r="C50" s="74" t="s">
        <v>45</v>
      </c>
      <c r="D50" s="84">
        <v>2068892863</v>
      </c>
      <c r="E50" s="85">
        <v>95130754</v>
      </c>
      <c r="F50" s="85">
        <v>33963585</v>
      </c>
      <c r="G50" s="86">
        <v>1909677.7599999995</v>
      </c>
      <c r="H50" s="86">
        <v>428638.50000000017</v>
      </c>
      <c r="I50" s="86">
        <v>182044.59</v>
      </c>
      <c r="J50" s="84"/>
      <c r="K50" s="85">
        <v>89018</v>
      </c>
      <c r="L50" s="85">
        <v>94596</v>
      </c>
      <c r="M50" s="86">
        <v>2736.52</v>
      </c>
      <c r="N50" s="86">
        <v>382.32000000000011</v>
      </c>
      <c r="O50" s="86">
        <v>147.97</v>
      </c>
      <c r="P50" s="75"/>
      <c r="S50" s="73"/>
      <c r="U50" s="73"/>
      <c r="V50" s="73"/>
      <c r="W50" s="73"/>
      <c r="Y50" s="76"/>
      <c r="Z50" s="76"/>
      <c r="AA50" s="76"/>
    </row>
    <row r="51" spans="1:27" x14ac:dyDescent="0.3">
      <c r="A51" s="8"/>
      <c r="B51" s="12">
        <v>45</v>
      </c>
      <c r="C51" s="74" t="s">
        <v>46</v>
      </c>
      <c r="D51" s="84">
        <v>721820275</v>
      </c>
      <c r="E51" s="85">
        <v>30065586</v>
      </c>
      <c r="F51" s="85">
        <v>6180536</v>
      </c>
      <c r="G51" s="86">
        <v>859865.94000000006</v>
      </c>
      <c r="H51" s="86">
        <v>331322.42000000004</v>
      </c>
      <c r="I51" s="86">
        <v>34871.350000000006</v>
      </c>
      <c r="J51" s="84"/>
      <c r="K51" s="85">
        <v>2060</v>
      </c>
      <c r="L51" s="85">
        <v>18638</v>
      </c>
      <c r="M51" s="86">
        <v>26.02</v>
      </c>
      <c r="N51" s="86">
        <v>4.1100000000000003</v>
      </c>
      <c r="O51" s="86">
        <v>21.88</v>
      </c>
      <c r="P51" s="75"/>
      <c r="S51" s="73"/>
      <c r="U51" s="73"/>
      <c r="V51" s="73"/>
      <c r="W51" s="73"/>
      <c r="Y51" s="76"/>
      <c r="Z51" s="76"/>
      <c r="AA51" s="76"/>
    </row>
    <row r="52" spans="1:27" x14ac:dyDescent="0.3">
      <c r="A52" s="8"/>
      <c r="B52" s="12">
        <v>46</v>
      </c>
      <c r="C52" s="77" t="s">
        <v>47</v>
      </c>
      <c r="D52" s="84">
        <v>313695010</v>
      </c>
      <c r="E52" s="85">
        <v>15181512</v>
      </c>
      <c r="F52" s="85">
        <v>4302831</v>
      </c>
      <c r="G52" s="86">
        <v>199790.59999999998</v>
      </c>
      <c r="H52" s="86">
        <v>79704.800000000003</v>
      </c>
      <c r="I52" s="86">
        <v>14064.359999999999</v>
      </c>
      <c r="J52" s="84"/>
      <c r="K52" s="85">
        <v>2060</v>
      </c>
      <c r="L52" s="85">
        <v>3746</v>
      </c>
      <c r="M52" s="86">
        <v>25.96</v>
      </c>
      <c r="N52" s="86">
        <v>4.08</v>
      </c>
      <c r="O52" s="86">
        <v>21.88</v>
      </c>
      <c r="P52" s="75"/>
      <c r="S52" s="73"/>
      <c r="U52" s="73"/>
      <c r="V52" s="73"/>
      <c r="W52" s="73"/>
      <c r="Y52" s="76"/>
      <c r="Z52" s="76"/>
      <c r="AA52" s="76"/>
    </row>
    <row r="53" spans="1:27" x14ac:dyDescent="0.3">
      <c r="A53" s="8"/>
      <c r="B53" s="12">
        <v>47</v>
      </c>
      <c r="C53" s="77" t="s">
        <v>48</v>
      </c>
      <c r="D53" s="84">
        <v>3390241</v>
      </c>
      <c r="E53" s="85">
        <v>305656</v>
      </c>
      <c r="F53" s="85">
        <v>92340</v>
      </c>
      <c r="G53" s="86">
        <v>4471.42</v>
      </c>
      <c r="H53" s="86">
        <v>1816.87</v>
      </c>
      <c r="I53" s="86">
        <v>1197.3999999999999</v>
      </c>
      <c r="J53" s="84"/>
      <c r="K53" s="85">
        <v>0</v>
      </c>
      <c r="L53" s="85">
        <v>304</v>
      </c>
      <c r="M53" s="86">
        <v>0</v>
      </c>
      <c r="N53" s="86">
        <v>0</v>
      </c>
      <c r="O53" s="86">
        <v>0</v>
      </c>
      <c r="P53" s="75"/>
      <c r="S53" s="73"/>
      <c r="U53" s="73"/>
      <c r="V53" s="73"/>
      <c r="W53" s="73"/>
      <c r="Y53" s="76"/>
      <c r="Z53" s="76"/>
      <c r="AA53" s="76"/>
    </row>
    <row r="54" spans="1:27" x14ac:dyDescent="0.3">
      <c r="A54" s="8"/>
      <c r="B54" s="12">
        <v>48</v>
      </c>
      <c r="C54" s="77" t="s">
        <v>49</v>
      </c>
      <c r="D54" s="84">
        <v>13993457</v>
      </c>
      <c r="E54" s="85">
        <v>776204</v>
      </c>
      <c r="F54" s="85">
        <v>95453</v>
      </c>
      <c r="G54" s="86">
        <v>7302.829999999999</v>
      </c>
      <c r="H54" s="86">
        <v>2775.7099999999996</v>
      </c>
      <c r="I54" s="86">
        <v>199.54</v>
      </c>
      <c r="J54" s="84"/>
      <c r="K54" s="85">
        <v>0</v>
      </c>
      <c r="L54" s="85">
        <v>423</v>
      </c>
      <c r="M54" s="86">
        <v>0</v>
      </c>
      <c r="N54" s="86">
        <v>0</v>
      </c>
      <c r="O54" s="86">
        <v>0</v>
      </c>
      <c r="P54" s="75"/>
      <c r="S54" s="73"/>
      <c r="U54" s="73"/>
      <c r="V54" s="73"/>
      <c r="W54" s="73"/>
      <c r="Y54" s="76"/>
      <c r="Z54" s="76"/>
      <c r="AA54" s="76"/>
    </row>
    <row r="55" spans="1:27" x14ac:dyDescent="0.3">
      <c r="A55" s="8"/>
      <c r="B55" s="12">
        <v>49</v>
      </c>
      <c r="C55" s="77" t="s">
        <v>50</v>
      </c>
      <c r="D55" s="84">
        <v>388315441</v>
      </c>
      <c r="E55" s="85">
        <v>13603510</v>
      </c>
      <c r="F55" s="85">
        <v>1399401</v>
      </c>
      <c r="G55" s="86">
        <v>645809.85</v>
      </c>
      <c r="H55" s="86">
        <v>245904.21000000002</v>
      </c>
      <c r="I55" s="86">
        <v>18401.899999999994</v>
      </c>
      <c r="J55" s="84"/>
      <c r="K55" s="85">
        <v>0</v>
      </c>
      <c r="L55" s="85">
        <v>14165</v>
      </c>
      <c r="M55" s="86">
        <v>0.06</v>
      </c>
      <c r="N55" s="86">
        <v>0.03</v>
      </c>
      <c r="O55" s="86">
        <v>0</v>
      </c>
      <c r="P55" s="75"/>
      <c r="S55" s="73"/>
      <c r="U55" s="73"/>
      <c r="V55" s="73"/>
      <c r="W55" s="73"/>
      <c r="Y55" s="76"/>
      <c r="Z55" s="76"/>
      <c r="AA55" s="76"/>
    </row>
    <row r="56" spans="1:27" x14ac:dyDescent="0.3">
      <c r="A56" s="8"/>
      <c r="B56" s="12">
        <v>50</v>
      </c>
      <c r="C56" s="77" t="s">
        <v>51</v>
      </c>
      <c r="D56" s="84">
        <v>2426126</v>
      </c>
      <c r="E56" s="85">
        <v>198704</v>
      </c>
      <c r="F56" s="85">
        <v>290511</v>
      </c>
      <c r="G56" s="86">
        <v>2491.2399999999998</v>
      </c>
      <c r="H56" s="86">
        <v>1120.83</v>
      </c>
      <c r="I56" s="86">
        <v>1008.15</v>
      </c>
      <c r="J56" s="84"/>
      <c r="K56" s="85">
        <v>0</v>
      </c>
      <c r="L56" s="85">
        <v>0</v>
      </c>
      <c r="M56" s="86">
        <v>0</v>
      </c>
      <c r="N56" s="86">
        <v>0</v>
      </c>
      <c r="O56" s="86">
        <v>0</v>
      </c>
      <c r="P56" s="75"/>
      <c r="S56" s="73"/>
      <c r="U56" s="73"/>
      <c r="V56" s="73"/>
      <c r="W56" s="73"/>
      <c r="Y56" s="76"/>
      <c r="Z56" s="76"/>
      <c r="AA56" s="76"/>
    </row>
    <row r="57" spans="1:27" x14ac:dyDescent="0.3">
      <c r="A57" s="8"/>
      <c r="B57" s="12">
        <v>51</v>
      </c>
      <c r="C57" s="13" t="s">
        <v>52</v>
      </c>
      <c r="D57" s="84">
        <v>1192716831</v>
      </c>
      <c r="E57" s="85">
        <v>57354780</v>
      </c>
      <c r="F57" s="85">
        <v>13520301</v>
      </c>
      <c r="G57" s="86">
        <v>142722.56</v>
      </c>
      <c r="H57" s="86">
        <v>33195.32</v>
      </c>
      <c r="I57" s="86">
        <v>27505.100000000002</v>
      </c>
      <c r="J57" s="84"/>
      <c r="K57" s="85">
        <v>0</v>
      </c>
      <c r="L57" s="85">
        <v>5688</v>
      </c>
      <c r="M57" s="86">
        <v>0</v>
      </c>
      <c r="N57" s="86">
        <v>0</v>
      </c>
      <c r="O57" s="86">
        <v>0</v>
      </c>
      <c r="P57" s="75"/>
      <c r="S57" s="73"/>
      <c r="U57" s="73"/>
      <c r="V57" s="73"/>
      <c r="W57" s="73"/>
      <c r="Y57" s="76"/>
      <c r="Z57" s="76"/>
      <c r="AA57" s="76"/>
    </row>
    <row r="58" spans="1:27" x14ac:dyDescent="0.3">
      <c r="A58" s="8"/>
      <c r="B58" s="12">
        <v>52</v>
      </c>
      <c r="C58" s="74" t="s">
        <v>53</v>
      </c>
      <c r="D58" s="84">
        <v>1116120857</v>
      </c>
      <c r="E58" s="85">
        <v>56882565</v>
      </c>
      <c r="F58" s="85">
        <v>10173166</v>
      </c>
      <c r="G58" s="86">
        <v>168968.01</v>
      </c>
      <c r="H58" s="86">
        <v>46297.86</v>
      </c>
      <c r="I58" s="86">
        <v>111180.88</v>
      </c>
      <c r="J58" s="84"/>
      <c r="K58" s="85">
        <v>3054</v>
      </c>
      <c r="L58" s="85">
        <v>3410</v>
      </c>
      <c r="M58" s="86">
        <v>0.18</v>
      </c>
      <c r="N58" s="86">
        <v>0.06</v>
      </c>
      <c r="O58" s="86">
        <v>0.12</v>
      </c>
      <c r="P58" s="75"/>
      <c r="S58" s="73"/>
      <c r="U58" s="73"/>
      <c r="V58" s="73"/>
      <c r="W58" s="73"/>
      <c r="Y58" s="76"/>
      <c r="Z58" s="76"/>
      <c r="AA58" s="76"/>
    </row>
    <row r="59" spans="1:27" x14ac:dyDescent="0.3">
      <c r="A59" s="8"/>
      <c r="B59" s="12">
        <v>53</v>
      </c>
      <c r="C59" s="78" t="s">
        <v>60</v>
      </c>
      <c r="D59" s="83">
        <v>2971332212</v>
      </c>
      <c r="E59" s="83">
        <v>126958042</v>
      </c>
      <c r="F59" s="83">
        <v>38090431</v>
      </c>
      <c r="G59" s="87"/>
      <c r="H59" s="87"/>
      <c r="I59" s="87"/>
      <c r="J59" s="83"/>
      <c r="K59" s="83">
        <v>1209096</v>
      </c>
      <c r="L59" s="83">
        <v>128922</v>
      </c>
      <c r="M59" s="87"/>
      <c r="N59" s="87"/>
      <c r="O59" s="87"/>
      <c r="P59" s="75"/>
      <c r="S59" s="73"/>
      <c r="U59" s="19"/>
      <c r="V59" s="79"/>
    </row>
    <row r="60" spans="1:27" x14ac:dyDescent="0.3">
      <c r="A60" s="8"/>
      <c r="B60" s="12">
        <v>54</v>
      </c>
      <c r="C60" s="13" t="s">
        <v>54</v>
      </c>
      <c r="D60" s="84">
        <v>4114667</v>
      </c>
      <c r="E60" s="85">
        <v>72508</v>
      </c>
      <c r="F60" s="85">
        <v>704794</v>
      </c>
      <c r="G60" s="88"/>
      <c r="H60" s="88"/>
      <c r="I60" s="88"/>
      <c r="J60" s="84"/>
      <c r="K60" s="85">
        <v>324</v>
      </c>
      <c r="L60" s="85">
        <v>82015</v>
      </c>
      <c r="M60" s="88"/>
      <c r="N60" s="88"/>
      <c r="O60" s="88"/>
      <c r="P60" s="75"/>
      <c r="S60" s="73"/>
      <c r="U60" s="19"/>
      <c r="V60" s="79"/>
    </row>
    <row r="61" spans="1:27" x14ac:dyDescent="0.3">
      <c r="A61" s="8"/>
      <c r="B61" s="12">
        <v>55</v>
      </c>
      <c r="C61" s="13" t="s">
        <v>107</v>
      </c>
      <c r="D61" s="84">
        <v>2967217545</v>
      </c>
      <c r="E61" s="85">
        <v>126885534</v>
      </c>
      <c r="F61" s="85">
        <v>37385637</v>
      </c>
      <c r="G61" s="88"/>
      <c r="H61" s="88"/>
      <c r="I61" s="88"/>
      <c r="J61" s="84"/>
      <c r="K61" s="85">
        <v>1208772</v>
      </c>
      <c r="L61" s="85">
        <v>46907</v>
      </c>
      <c r="M61" s="88"/>
      <c r="N61" s="88"/>
      <c r="O61" s="88"/>
      <c r="P61" s="75"/>
      <c r="S61" s="73"/>
      <c r="U61" s="19"/>
      <c r="V61" s="79"/>
    </row>
    <row r="62" spans="1:27" x14ac:dyDescent="0.3">
      <c r="A62" s="8"/>
      <c r="B62" s="12">
        <v>56</v>
      </c>
      <c r="C62" s="78" t="s">
        <v>56</v>
      </c>
      <c r="D62" s="83">
        <v>12241935469</v>
      </c>
      <c r="E62" s="83">
        <v>573541486</v>
      </c>
      <c r="F62" s="83">
        <v>145734929</v>
      </c>
      <c r="G62" s="89"/>
      <c r="H62" s="89"/>
      <c r="I62" s="89"/>
      <c r="J62" s="83"/>
      <c r="K62" s="83">
        <v>1564836</v>
      </c>
      <c r="L62" s="83">
        <v>304441</v>
      </c>
      <c r="M62" s="89"/>
      <c r="N62" s="89"/>
      <c r="O62" s="89"/>
      <c r="P62" s="75"/>
      <c r="S62" s="73"/>
      <c r="U62" s="19"/>
      <c r="V62" s="79"/>
    </row>
    <row r="63" spans="1:27" x14ac:dyDescent="0.3">
      <c r="A63" s="8"/>
      <c r="B63" s="12">
        <v>57</v>
      </c>
      <c r="C63" s="72" t="s">
        <v>83</v>
      </c>
      <c r="D63" s="89"/>
      <c r="E63" s="90"/>
      <c r="F63" s="89"/>
      <c r="G63" s="81">
        <v>0.97993197524696662</v>
      </c>
      <c r="H63" s="82">
        <v>0.99254055765710891</v>
      </c>
      <c r="I63" s="82">
        <v>0.9974667297690083</v>
      </c>
      <c r="J63" s="82"/>
      <c r="K63" s="82"/>
      <c r="L63" s="82"/>
      <c r="M63" s="81">
        <v>1</v>
      </c>
      <c r="N63" s="82">
        <v>1</v>
      </c>
      <c r="O63" s="82">
        <v>1</v>
      </c>
      <c r="P63" s="75"/>
      <c r="S63" s="73"/>
    </row>
    <row r="64" spans="1:27" x14ac:dyDescent="0.3">
      <c r="A64" s="8"/>
      <c r="B64" s="8"/>
      <c r="C64" s="14" t="s">
        <v>61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75"/>
    </row>
    <row r="65" spans="1:16" x14ac:dyDescent="0.3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3">
      <c r="A66" s="8"/>
      <c r="B66" s="8"/>
      <c r="C66" s="8"/>
      <c r="D66" s="80"/>
      <c r="E66" s="80"/>
      <c r="F66" s="80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disablePrompts="1" count="2">
    <dataValidation type="decimal" allowBlank="1" showInputMessage="1" showErrorMessage="1" error="Input value should be between 0&lt;=X&lt;=1 formatted as percentage." sqref="G63 M63">
      <formula1>0</formula1>
      <formula2>1</formula2>
    </dataValidation>
    <dataValidation type="decimal" operator="greaterThanOrEqual" allowBlank="1" showInputMessage="1" showErrorMessage="1" error="Only numeric values" sqref="K60:L61 D60:F61 J60 D8:O58">
      <formula1>-1E+22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4C7447-8098-4489-9E42-5823D157B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38B4B-7D02-4579-AA37-830835749C06}">
  <ds:schemaRefs>
    <ds:schemaRef ds:uri="http://purl.org/dc/elements/1.1/"/>
    <ds:schemaRef ds:uri="http://purl.org/dc/terms/"/>
    <ds:schemaRef ds:uri="http://schemas.openxmlformats.org/package/2006/metadata/core-properties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granulares_R01</vt:lpstr>
      <vt:lpstr>Comparativos granulares_R04</vt:lpstr>
      <vt:lpstr>Variação Absoluta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2025-07-08T14:08:25Z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