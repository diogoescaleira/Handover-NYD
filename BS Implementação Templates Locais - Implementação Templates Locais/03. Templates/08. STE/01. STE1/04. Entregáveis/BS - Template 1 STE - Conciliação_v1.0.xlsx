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04781\Santander Office 365\BS Implementação Templates Locais - Implementação Templates Locais\03. Templates\08. STE\01. STE1\04. Entregáveis\"/>
    </mc:Choice>
  </mc:AlternateContent>
  <bookViews>
    <workbookView xWindow="0" yWindow="0" windowWidth="19200" windowHeight="4440"/>
  </bookViews>
  <sheets>
    <sheet name="NFins-&gt;" sheetId="5" r:id="rId1"/>
    <sheet name="ct211_nfin" sheetId="9" r:id="rId2"/>
    <sheet name="Fins-&gt;" sheetId="6" r:id="rId3"/>
    <sheet name="ct_211_fin" sheetId="7" r:id="rId4"/>
    <sheet name="Resultados" sheetId="8" r:id="rId5"/>
  </sheets>
  <externalReferences>
    <externalReference r:id="rId6"/>
  </externalReferences>
  <definedNames>
    <definedName name="_xlnm._FilterDatabase" localSheetId="3" hidden="1">ct_211_fin!$A$3:$H$61</definedName>
    <definedName name="_xlnm._FilterDatabase" localSheetId="1" hidden="1">ct211_nfin!$A$3:$H$256</definedName>
  </definedNames>
  <calcPr calcId="162913"/>
</workbook>
</file>

<file path=xl/calcChain.xml><?xml version="1.0" encoding="utf-8"?>
<calcChain xmlns="http://schemas.openxmlformats.org/spreadsheetml/2006/main">
  <c r="C3" i="8" l="1"/>
  <c r="I256" i="9"/>
  <c r="G256" i="9"/>
  <c r="I255" i="9"/>
  <c r="G255" i="9"/>
  <c r="H255" i="9" s="1"/>
  <c r="I254" i="9"/>
  <c r="G254" i="9"/>
  <c r="H254" i="9" s="1"/>
  <c r="I253" i="9"/>
  <c r="G253" i="9"/>
  <c r="H253" i="9" s="1"/>
  <c r="I252" i="9"/>
  <c r="G252" i="9"/>
  <c r="H252" i="9" s="1"/>
  <c r="I251" i="9"/>
  <c r="G251" i="9"/>
  <c r="H251" i="9" s="1"/>
  <c r="I250" i="9"/>
  <c r="G250" i="9"/>
  <c r="H250" i="9" s="1"/>
  <c r="I249" i="9"/>
  <c r="G249" i="9"/>
  <c r="H249" i="9" s="1"/>
  <c r="I248" i="9"/>
  <c r="G248" i="9"/>
  <c r="H248" i="9" s="1"/>
  <c r="I247" i="9"/>
  <c r="G247" i="9"/>
  <c r="H247" i="9" s="1"/>
  <c r="I246" i="9"/>
  <c r="G246" i="9"/>
  <c r="H246" i="9" s="1"/>
  <c r="I245" i="9"/>
  <c r="G245" i="9"/>
  <c r="H245" i="9" s="1"/>
  <c r="I244" i="9"/>
  <c r="G244" i="9"/>
  <c r="H244" i="9" s="1"/>
  <c r="I243" i="9"/>
  <c r="G243" i="9"/>
  <c r="H243" i="9" s="1"/>
  <c r="I242" i="9"/>
  <c r="G242" i="9"/>
  <c r="H242" i="9" s="1"/>
  <c r="I241" i="9"/>
  <c r="G241" i="9"/>
  <c r="H241" i="9" s="1"/>
  <c r="I240" i="9"/>
  <c r="G240" i="9"/>
  <c r="H240" i="9" s="1"/>
  <c r="I239" i="9"/>
  <c r="G239" i="9"/>
  <c r="H239" i="9" s="1"/>
  <c r="I238" i="9"/>
  <c r="G238" i="9"/>
  <c r="H238" i="9" s="1"/>
  <c r="I237" i="9"/>
  <c r="G237" i="9"/>
  <c r="H237" i="9" s="1"/>
  <c r="I236" i="9"/>
  <c r="G236" i="9"/>
  <c r="H236" i="9" s="1"/>
  <c r="I235" i="9"/>
  <c r="G235" i="9"/>
  <c r="H235" i="9" s="1"/>
  <c r="I234" i="9"/>
  <c r="G234" i="9"/>
  <c r="H234" i="9" s="1"/>
  <c r="I233" i="9"/>
  <c r="G233" i="9"/>
  <c r="H233" i="9" s="1"/>
  <c r="I232" i="9"/>
  <c r="G232" i="9"/>
  <c r="H232" i="9" s="1"/>
  <c r="I231" i="9"/>
  <c r="G231" i="9"/>
  <c r="H231" i="9" s="1"/>
  <c r="I230" i="9"/>
  <c r="G230" i="9"/>
  <c r="H230" i="9" s="1"/>
  <c r="I229" i="9"/>
  <c r="G229" i="9"/>
  <c r="H229" i="9" s="1"/>
  <c r="I228" i="9"/>
  <c r="G228" i="9"/>
  <c r="H228" i="9" s="1"/>
  <c r="I227" i="9"/>
  <c r="G227" i="9"/>
  <c r="H227" i="9" s="1"/>
  <c r="I226" i="9"/>
  <c r="G226" i="9"/>
  <c r="H226" i="9" s="1"/>
  <c r="I225" i="9"/>
  <c r="G225" i="9"/>
  <c r="H225" i="9" s="1"/>
  <c r="I224" i="9"/>
  <c r="G224" i="9"/>
  <c r="H224" i="9" s="1"/>
  <c r="I223" i="9"/>
  <c r="G223" i="9"/>
  <c r="H223" i="9" s="1"/>
  <c r="I222" i="9"/>
  <c r="G222" i="9"/>
  <c r="H222" i="9" s="1"/>
  <c r="I221" i="9"/>
  <c r="G221" i="9"/>
  <c r="H221" i="9" s="1"/>
  <c r="I220" i="9"/>
  <c r="G220" i="9"/>
  <c r="H220" i="9" s="1"/>
  <c r="I219" i="9"/>
  <c r="G219" i="9"/>
  <c r="H219" i="9" s="1"/>
  <c r="I218" i="9"/>
  <c r="G218" i="9"/>
  <c r="H218" i="9" s="1"/>
  <c r="I217" i="9"/>
  <c r="G217" i="9"/>
  <c r="H217" i="9" s="1"/>
  <c r="I216" i="9"/>
  <c r="G216" i="9"/>
  <c r="H216" i="9" s="1"/>
  <c r="I215" i="9"/>
  <c r="G215" i="9"/>
  <c r="I214" i="9"/>
  <c r="G214" i="9"/>
  <c r="H214" i="9" s="1"/>
  <c r="I213" i="9"/>
  <c r="G213" i="9"/>
  <c r="H213" i="9" s="1"/>
  <c r="I212" i="9"/>
  <c r="G212" i="9"/>
  <c r="H212" i="9" s="1"/>
  <c r="I211" i="9"/>
  <c r="G211" i="9"/>
  <c r="H211" i="9" s="1"/>
  <c r="I210" i="9"/>
  <c r="G210" i="9"/>
  <c r="H210" i="9" s="1"/>
  <c r="I209" i="9"/>
  <c r="G209" i="9"/>
  <c r="H209" i="9" s="1"/>
  <c r="I208" i="9"/>
  <c r="G208" i="9"/>
  <c r="I207" i="9"/>
  <c r="G207" i="9"/>
  <c r="I206" i="9"/>
  <c r="G206" i="9"/>
  <c r="H206" i="9" s="1"/>
  <c r="I205" i="9"/>
  <c r="G205" i="9"/>
  <c r="H205" i="9" s="1"/>
  <c r="I204" i="9"/>
  <c r="G204" i="9"/>
  <c r="I203" i="9"/>
  <c r="G203" i="9"/>
  <c r="I202" i="9"/>
  <c r="G202" i="9"/>
  <c r="H202" i="9" s="1"/>
  <c r="I201" i="9"/>
  <c r="G201" i="9"/>
  <c r="H201" i="9" s="1"/>
  <c r="I200" i="9"/>
  <c r="G200" i="9"/>
  <c r="H200" i="9" s="1"/>
  <c r="I199" i="9"/>
  <c r="G199" i="9"/>
  <c r="H199" i="9" s="1"/>
  <c r="I198" i="9"/>
  <c r="G198" i="9"/>
  <c r="H198" i="9" s="1"/>
  <c r="I197" i="9"/>
  <c r="G197" i="9"/>
  <c r="H197" i="9" s="1"/>
  <c r="I196" i="9"/>
  <c r="G196" i="9"/>
  <c r="H196" i="9" s="1"/>
  <c r="I195" i="9"/>
  <c r="G195" i="9"/>
  <c r="I194" i="9"/>
  <c r="G194" i="9"/>
  <c r="H194" i="9" s="1"/>
  <c r="I193" i="9"/>
  <c r="G193" i="9"/>
  <c r="H193" i="9" s="1"/>
  <c r="I192" i="9"/>
  <c r="G192" i="9"/>
  <c r="H192" i="9" s="1"/>
  <c r="I191" i="9"/>
  <c r="G191" i="9"/>
  <c r="H191" i="9" s="1"/>
  <c r="I190" i="9"/>
  <c r="G190" i="9"/>
  <c r="H190" i="9" s="1"/>
  <c r="I189" i="9"/>
  <c r="G189" i="9"/>
  <c r="H189" i="9" s="1"/>
  <c r="I188" i="9"/>
  <c r="G188" i="9"/>
  <c r="H188" i="9" s="1"/>
  <c r="I187" i="9"/>
  <c r="G187" i="9"/>
  <c r="I186" i="9"/>
  <c r="G186" i="9"/>
  <c r="H186" i="9" s="1"/>
  <c r="I185" i="9"/>
  <c r="G185" i="9"/>
  <c r="H185" i="9" s="1"/>
  <c r="I184" i="9"/>
  <c r="G184" i="9"/>
  <c r="H184" i="9" s="1"/>
  <c r="I183" i="9"/>
  <c r="G183" i="9"/>
  <c r="H183" i="9" s="1"/>
  <c r="I182" i="9"/>
  <c r="G182" i="9"/>
  <c r="H182" i="9" s="1"/>
  <c r="I181" i="9"/>
  <c r="G181" i="9"/>
  <c r="H181" i="9" s="1"/>
  <c r="I180" i="9"/>
  <c r="G180" i="9"/>
  <c r="H180" i="9" s="1"/>
  <c r="I179" i="9"/>
  <c r="G179" i="9"/>
  <c r="I178" i="9"/>
  <c r="G178" i="9"/>
  <c r="H178" i="9" s="1"/>
  <c r="I177" i="9"/>
  <c r="G177" i="9"/>
  <c r="H177" i="9" s="1"/>
  <c r="I176" i="9"/>
  <c r="G176" i="9"/>
  <c r="H176" i="9" s="1"/>
  <c r="I175" i="9"/>
  <c r="G175" i="9"/>
  <c r="H175" i="9" s="1"/>
  <c r="I174" i="9"/>
  <c r="G174" i="9"/>
  <c r="H174" i="9" s="1"/>
  <c r="I173" i="9"/>
  <c r="G173" i="9"/>
  <c r="H173" i="9" s="1"/>
  <c r="I172" i="9"/>
  <c r="G172" i="9"/>
  <c r="H172" i="9" s="1"/>
  <c r="I171" i="9"/>
  <c r="G171" i="9"/>
  <c r="I170" i="9"/>
  <c r="H170" i="9"/>
  <c r="G170" i="9"/>
  <c r="I169" i="9"/>
  <c r="G169" i="9"/>
  <c r="I168" i="9"/>
  <c r="G168" i="9"/>
  <c r="I167" i="9"/>
  <c r="G167" i="9"/>
  <c r="H167" i="9" s="1"/>
  <c r="I166" i="9"/>
  <c r="G166" i="9"/>
  <c r="H166" i="9" s="1"/>
  <c r="I165" i="9"/>
  <c r="G165" i="9"/>
  <c r="I164" i="9"/>
  <c r="G164" i="9"/>
  <c r="H164" i="9" s="1"/>
  <c r="I163" i="9"/>
  <c r="G163" i="9"/>
  <c r="I162" i="9"/>
  <c r="G162" i="9"/>
  <c r="H162" i="9" s="1"/>
  <c r="I161" i="9"/>
  <c r="G161" i="9"/>
  <c r="I160" i="9"/>
  <c r="G160" i="9"/>
  <c r="I159" i="9"/>
  <c r="G159" i="9"/>
  <c r="H159" i="9" s="1"/>
  <c r="I158" i="9"/>
  <c r="G158" i="9"/>
  <c r="H158" i="9" s="1"/>
  <c r="I157" i="9"/>
  <c r="G157" i="9"/>
  <c r="I156" i="9"/>
  <c r="G156" i="9"/>
  <c r="H156" i="9" s="1"/>
  <c r="I155" i="9"/>
  <c r="G155" i="9"/>
  <c r="I154" i="9"/>
  <c r="G154" i="9"/>
  <c r="H154" i="9" s="1"/>
  <c r="I153" i="9"/>
  <c r="G153" i="9"/>
  <c r="I152" i="9"/>
  <c r="G152" i="9"/>
  <c r="I151" i="9"/>
  <c r="G151" i="9"/>
  <c r="H151" i="9" s="1"/>
  <c r="I150" i="9"/>
  <c r="G150" i="9"/>
  <c r="H150" i="9" s="1"/>
  <c r="I149" i="9"/>
  <c r="G149" i="9"/>
  <c r="I148" i="9"/>
  <c r="G148" i="9"/>
  <c r="H148" i="9" s="1"/>
  <c r="I147" i="9"/>
  <c r="G147" i="9"/>
  <c r="I146" i="9"/>
  <c r="G146" i="9"/>
  <c r="H146" i="9" s="1"/>
  <c r="I145" i="9"/>
  <c r="G145" i="9"/>
  <c r="I144" i="9"/>
  <c r="G144" i="9"/>
  <c r="H144" i="9" s="1"/>
  <c r="I143" i="9"/>
  <c r="G143" i="9"/>
  <c r="I142" i="9"/>
  <c r="G142" i="9"/>
  <c r="H142" i="9" s="1"/>
  <c r="I141" i="9"/>
  <c r="G141" i="9"/>
  <c r="I140" i="9"/>
  <c r="G140" i="9"/>
  <c r="H140" i="9" s="1"/>
  <c r="I139" i="9"/>
  <c r="G139" i="9"/>
  <c r="I138" i="9"/>
  <c r="H138" i="9"/>
  <c r="G138" i="9"/>
  <c r="I137" i="9"/>
  <c r="G137" i="9"/>
  <c r="I136" i="9"/>
  <c r="G136" i="9"/>
  <c r="H136" i="9" s="1"/>
  <c r="I135" i="9"/>
  <c r="G135" i="9"/>
  <c r="H135" i="9" s="1"/>
  <c r="I134" i="9"/>
  <c r="G134" i="9"/>
  <c r="H134" i="9" s="1"/>
  <c r="I133" i="9"/>
  <c r="G133" i="9"/>
  <c r="I132" i="9"/>
  <c r="G132" i="9"/>
  <c r="I131" i="9"/>
  <c r="G131" i="9"/>
  <c r="I130" i="9"/>
  <c r="G130" i="9"/>
  <c r="H130" i="9" s="1"/>
  <c r="I129" i="9"/>
  <c r="G129" i="9"/>
  <c r="I128" i="9"/>
  <c r="G128" i="9"/>
  <c r="I127" i="9"/>
  <c r="G127" i="9"/>
  <c r="H127" i="9" s="1"/>
  <c r="I126" i="9"/>
  <c r="G126" i="9"/>
  <c r="H126" i="9" s="1"/>
  <c r="I125" i="9"/>
  <c r="G125" i="9"/>
  <c r="I124" i="9"/>
  <c r="G124" i="9"/>
  <c r="I123" i="9"/>
  <c r="G123" i="9"/>
  <c r="I122" i="9"/>
  <c r="G122" i="9"/>
  <c r="H122" i="9" s="1"/>
  <c r="I121" i="9"/>
  <c r="G121" i="9"/>
  <c r="I120" i="9"/>
  <c r="G120" i="9"/>
  <c r="I119" i="9"/>
  <c r="G119" i="9"/>
  <c r="H119" i="9" s="1"/>
  <c r="I118" i="9"/>
  <c r="G118" i="9"/>
  <c r="H118" i="9" s="1"/>
  <c r="I117" i="9"/>
  <c r="G117" i="9"/>
  <c r="I116" i="9"/>
  <c r="G116" i="9"/>
  <c r="I115" i="9"/>
  <c r="G115" i="9"/>
  <c r="I114" i="9"/>
  <c r="G114" i="9"/>
  <c r="H114" i="9" s="1"/>
  <c r="I113" i="9"/>
  <c r="G113" i="9"/>
  <c r="I112" i="9"/>
  <c r="G112" i="9"/>
  <c r="I111" i="9"/>
  <c r="G111" i="9"/>
  <c r="I110" i="9"/>
  <c r="G110" i="9"/>
  <c r="H110" i="9" s="1"/>
  <c r="I109" i="9"/>
  <c r="G109" i="9"/>
  <c r="I108" i="9"/>
  <c r="G108" i="9"/>
  <c r="I107" i="9"/>
  <c r="G107" i="9"/>
  <c r="I106" i="9"/>
  <c r="G106" i="9"/>
  <c r="H106" i="9" s="1"/>
  <c r="I105" i="9"/>
  <c r="G105" i="9"/>
  <c r="I104" i="9"/>
  <c r="G104" i="9"/>
  <c r="I103" i="9"/>
  <c r="G103" i="9"/>
  <c r="H103" i="9" s="1"/>
  <c r="I102" i="9"/>
  <c r="G102" i="9"/>
  <c r="H102" i="9" s="1"/>
  <c r="I101" i="9"/>
  <c r="G101" i="9"/>
  <c r="H101" i="9" s="1"/>
  <c r="I100" i="9"/>
  <c r="G100" i="9"/>
  <c r="I99" i="9"/>
  <c r="G99" i="9"/>
  <c r="I98" i="9"/>
  <c r="G98" i="9"/>
  <c r="I97" i="9"/>
  <c r="G97" i="9"/>
  <c r="I96" i="9"/>
  <c r="G96" i="9"/>
  <c r="I95" i="9"/>
  <c r="G95" i="9"/>
  <c r="I94" i="9"/>
  <c r="G94" i="9"/>
  <c r="I93" i="9"/>
  <c r="G93" i="9"/>
  <c r="I92" i="9"/>
  <c r="G92" i="9"/>
  <c r="I91" i="9"/>
  <c r="G91" i="9"/>
  <c r="I90" i="9"/>
  <c r="G90" i="9"/>
  <c r="I89" i="9"/>
  <c r="G89" i="9"/>
  <c r="I88" i="9"/>
  <c r="G88" i="9"/>
  <c r="I87" i="9"/>
  <c r="G87" i="9"/>
  <c r="I86" i="9"/>
  <c r="G86" i="9"/>
  <c r="I85" i="9"/>
  <c r="G85" i="9"/>
  <c r="I84" i="9"/>
  <c r="G84" i="9"/>
  <c r="I83" i="9"/>
  <c r="G83" i="9"/>
  <c r="I82" i="9"/>
  <c r="G82" i="9"/>
  <c r="I81" i="9"/>
  <c r="G81" i="9"/>
  <c r="I80" i="9"/>
  <c r="G80" i="9"/>
  <c r="I79" i="9"/>
  <c r="G79" i="9"/>
  <c r="I78" i="9"/>
  <c r="G78" i="9"/>
  <c r="I77" i="9"/>
  <c r="G77" i="9"/>
  <c r="I76" i="9"/>
  <c r="G76" i="9"/>
  <c r="I75" i="9"/>
  <c r="G75" i="9"/>
  <c r="I74" i="9"/>
  <c r="G74" i="9"/>
  <c r="I73" i="9"/>
  <c r="G73" i="9"/>
  <c r="I72" i="9"/>
  <c r="G72" i="9"/>
  <c r="I71" i="9"/>
  <c r="G71" i="9"/>
  <c r="I70" i="9"/>
  <c r="G70" i="9"/>
  <c r="I69" i="9"/>
  <c r="G69" i="9"/>
  <c r="I68" i="9"/>
  <c r="G68" i="9"/>
  <c r="I67" i="9"/>
  <c r="G67" i="9"/>
  <c r="I66" i="9"/>
  <c r="G66" i="9"/>
  <c r="I65" i="9"/>
  <c r="G65" i="9"/>
  <c r="I64" i="9"/>
  <c r="G64" i="9"/>
  <c r="I63" i="9"/>
  <c r="G63" i="9"/>
  <c r="I62" i="9"/>
  <c r="G62" i="9"/>
  <c r="I61" i="9"/>
  <c r="G61" i="9"/>
  <c r="I60" i="9"/>
  <c r="G60" i="9"/>
  <c r="I59" i="9"/>
  <c r="G59" i="9"/>
  <c r="I58" i="9"/>
  <c r="G58" i="9"/>
  <c r="I57" i="9"/>
  <c r="G57" i="9"/>
  <c r="I56" i="9"/>
  <c r="G56" i="9"/>
  <c r="I55" i="9"/>
  <c r="G55" i="9"/>
  <c r="I54" i="9"/>
  <c r="G54" i="9"/>
  <c r="I53" i="9"/>
  <c r="G53" i="9"/>
  <c r="I52" i="9"/>
  <c r="G52" i="9"/>
  <c r="I51" i="9"/>
  <c r="G51" i="9"/>
  <c r="I50" i="9"/>
  <c r="G50" i="9"/>
  <c r="I49" i="9"/>
  <c r="G49" i="9"/>
  <c r="I48" i="9"/>
  <c r="G48" i="9"/>
  <c r="I47" i="9"/>
  <c r="G47" i="9"/>
  <c r="I46" i="9"/>
  <c r="G46" i="9"/>
  <c r="I45" i="9"/>
  <c r="G45" i="9"/>
  <c r="I44" i="9"/>
  <c r="G44" i="9"/>
  <c r="I43" i="9"/>
  <c r="G43" i="9"/>
  <c r="I42" i="9"/>
  <c r="G42" i="9"/>
  <c r="I41" i="9"/>
  <c r="G41" i="9"/>
  <c r="I40" i="9"/>
  <c r="G40" i="9"/>
  <c r="I39" i="9"/>
  <c r="G39" i="9"/>
  <c r="H39" i="9" s="1"/>
  <c r="I38" i="9"/>
  <c r="G38" i="9"/>
  <c r="H38" i="9" s="1"/>
  <c r="I37" i="9"/>
  <c r="G37" i="9"/>
  <c r="H37" i="9" s="1"/>
  <c r="I36" i="9"/>
  <c r="G36" i="9"/>
  <c r="H36" i="9" s="1"/>
  <c r="I35" i="9"/>
  <c r="G35" i="9"/>
  <c r="H35" i="9" s="1"/>
  <c r="I34" i="9"/>
  <c r="G34" i="9"/>
  <c r="H34" i="9" s="1"/>
  <c r="I33" i="9"/>
  <c r="G33" i="9"/>
  <c r="H33" i="9" s="1"/>
  <c r="I32" i="9"/>
  <c r="G32" i="9"/>
  <c r="H32" i="9" s="1"/>
  <c r="I31" i="9"/>
  <c r="G31" i="9"/>
  <c r="H31" i="9" s="1"/>
  <c r="I30" i="9"/>
  <c r="G30" i="9"/>
  <c r="H30" i="9" s="1"/>
  <c r="I29" i="9"/>
  <c r="G29" i="9"/>
  <c r="H29" i="9" s="1"/>
  <c r="I28" i="9"/>
  <c r="G28" i="9"/>
  <c r="H28" i="9" s="1"/>
  <c r="I27" i="9"/>
  <c r="G27" i="9"/>
  <c r="H27" i="9" s="1"/>
  <c r="I26" i="9"/>
  <c r="G26" i="9"/>
  <c r="H26" i="9" s="1"/>
  <c r="I25" i="9"/>
  <c r="G25" i="9"/>
  <c r="H25" i="9" s="1"/>
  <c r="I24" i="9"/>
  <c r="G24" i="9"/>
  <c r="H24" i="9" s="1"/>
  <c r="I23" i="9"/>
  <c r="G23" i="9"/>
  <c r="H23" i="9" s="1"/>
  <c r="I22" i="9"/>
  <c r="G22" i="9"/>
  <c r="H22" i="9" s="1"/>
  <c r="I21" i="9"/>
  <c r="G21" i="9"/>
  <c r="H21" i="9" s="1"/>
  <c r="I20" i="9"/>
  <c r="G20" i="9"/>
  <c r="H20" i="9" s="1"/>
  <c r="I19" i="9"/>
  <c r="G19" i="9"/>
  <c r="H19" i="9" s="1"/>
  <c r="I18" i="9"/>
  <c r="G18" i="9"/>
  <c r="H18" i="9" s="1"/>
  <c r="I17" i="9"/>
  <c r="G17" i="9"/>
  <c r="H17" i="9" s="1"/>
  <c r="I16" i="9"/>
  <c r="G16" i="9"/>
  <c r="H16" i="9" s="1"/>
  <c r="I15" i="9"/>
  <c r="G15" i="9"/>
  <c r="H15" i="9" s="1"/>
  <c r="I14" i="9"/>
  <c r="G14" i="9"/>
  <c r="H14" i="9" s="1"/>
  <c r="I13" i="9"/>
  <c r="G13" i="9"/>
  <c r="H13" i="9" s="1"/>
  <c r="I12" i="9"/>
  <c r="G12" i="9"/>
  <c r="H12" i="9" s="1"/>
  <c r="I11" i="9"/>
  <c r="G11" i="9"/>
  <c r="H11" i="9" s="1"/>
  <c r="I10" i="9"/>
  <c r="G10" i="9"/>
  <c r="H10" i="9" s="1"/>
  <c r="I9" i="9"/>
  <c r="G9" i="9"/>
  <c r="H9" i="9" s="1"/>
  <c r="I8" i="9"/>
  <c r="G8" i="9"/>
  <c r="H8" i="9" s="1"/>
  <c r="I7" i="9"/>
  <c r="G7" i="9"/>
  <c r="H7" i="9" s="1"/>
  <c r="I6" i="9"/>
  <c r="H6" i="9"/>
  <c r="G6" i="9"/>
  <c r="I5" i="9"/>
  <c r="G5" i="9"/>
  <c r="H5" i="9" s="1"/>
  <c r="I4" i="9"/>
  <c r="G4" i="9"/>
  <c r="H4" i="9" s="1"/>
  <c r="B3" i="8" l="1"/>
  <c r="H105" i="9"/>
  <c r="H40" i="9"/>
  <c r="H44" i="9"/>
  <c r="H48" i="9"/>
  <c r="H52" i="9"/>
  <c r="H56" i="9"/>
  <c r="H60" i="9"/>
  <c r="H64" i="9"/>
  <c r="H68" i="9"/>
  <c r="H72" i="9"/>
  <c r="H76" i="9"/>
  <c r="H80" i="9"/>
  <c r="H84" i="9"/>
  <c r="H88" i="9"/>
  <c r="H92" i="9"/>
  <c r="H96" i="9"/>
  <c r="H109" i="9"/>
  <c r="H116" i="9"/>
  <c r="H100" i="9"/>
  <c r="H43" i="9"/>
  <c r="H47" i="9"/>
  <c r="H51" i="9"/>
  <c r="H55" i="9"/>
  <c r="H59" i="9"/>
  <c r="H63" i="9"/>
  <c r="H67" i="9"/>
  <c r="H71" i="9"/>
  <c r="H75" i="9"/>
  <c r="H79" i="9"/>
  <c r="H83" i="9"/>
  <c r="H87" i="9"/>
  <c r="H91" i="9"/>
  <c r="H95" i="9"/>
  <c r="H99" i="9"/>
  <c r="H108" i="9"/>
  <c r="H133" i="9"/>
  <c r="H42" i="9"/>
  <c r="H46" i="9"/>
  <c r="H50" i="9"/>
  <c r="H54" i="9"/>
  <c r="H58" i="9"/>
  <c r="H62" i="9"/>
  <c r="H66" i="9"/>
  <c r="H70" i="9"/>
  <c r="H74" i="9"/>
  <c r="H78" i="9"/>
  <c r="H82" i="9"/>
  <c r="H86" i="9"/>
  <c r="H90" i="9"/>
  <c r="H94" i="9"/>
  <c r="H98" i="9"/>
  <c r="H141" i="9"/>
  <c r="H125" i="9"/>
  <c r="H41" i="9"/>
  <c r="H45" i="9"/>
  <c r="H49" i="9"/>
  <c r="H53" i="9"/>
  <c r="H57" i="9"/>
  <c r="H61" i="9"/>
  <c r="H65" i="9"/>
  <c r="H69" i="9"/>
  <c r="H73" i="9"/>
  <c r="H77" i="9"/>
  <c r="H81" i="9"/>
  <c r="H85" i="9"/>
  <c r="H89" i="9"/>
  <c r="H93" i="9"/>
  <c r="H97" i="9"/>
  <c r="H113" i="9"/>
  <c r="H117" i="9"/>
  <c r="H124" i="9"/>
  <c r="H215" i="9"/>
  <c r="H132" i="9"/>
  <c r="H107" i="9"/>
  <c r="H115" i="9"/>
  <c r="H123" i="9"/>
  <c r="H131" i="9"/>
  <c r="H139" i="9"/>
  <c r="H147" i="9"/>
  <c r="H155" i="9"/>
  <c r="H163" i="9"/>
  <c r="H171" i="9"/>
  <c r="H203" i="9"/>
  <c r="H207" i="9"/>
  <c r="H121" i="9"/>
  <c r="H129" i="9"/>
  <c r="H137" i="9"/>
  <c r="H145" i="9"/>
  <c r="H153" i="9"/>
  <c r="H161" i="9"/>
  <c r="H169" i="9"/>
  <c r="H195" i="9"/>
  <c r="H104" i="9"/>
  <c r="H112" i="9"/>
  <c r="H120" i="9"/>
  <c r="H128" i="9"/>
  <c r="H152" i="9"/>
  <c r="H160" i="9"/>
  <c r="H168" i="9"/>
  <c r="H111" i="9"/>
  <c r="H143" i="9"/>
  <c r="H187" i="9"/>
  <c r="H149" i="9"/>
  <c r="H157" i="9"/>
  <c r="H165" i="9"/>
  <c r="H179" i="9"/>
  <c r="H204" i="9"/>
  <c r="H208" i="9"/>
  <c r="H256" i="9"/>
  <c r="D3" i="8" l="1"/>
  <c r="D4" i="8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C2" i="8" l="1"/>
  <c r="G4" i="7"/>
  <c r="G5" i="7"/>
  <c r="H5" i="7" s="1"/>
  <c r="G6" i="7"/>
  <c r="H6" i="7" s="1"/>
  <c r="G7" i="7"/>
  <c r="H7" i="7" s="1"/>
  <c r="G8" i="7"/>
  <c r="H8" i="7" s="1"/>
  <c r="G9" i="7"/>
  <c r="H9" i="7" s="1"/>
  <c r="G10" i="7"/>
  <c r="H10" i="7" s="1"/>
  <c r="G11" i="7"/>
  <c r="H11" i="7" s="1"/>
  <c r="G12" i="7"/>
  <c r="H12" i="7" s="1"/>
  <c r="G13" i="7"/>
  <c r="H13" i="7" s="1"/>
  <c r="G14" i="7"/>
  <c r="H14" i="7" s="1"/>
  <c r="G15" i="7"/>
  <c r="H15" i="7" s="1"/>
  <c r="G16" i="7"/>
  <c r="H16" i="7" s="1"/>
  <c r="G17" i="7"/>
  <c r="H17" i="7" s="1"/>
  <c r="G18" i="7"/>
  <c r="H18" i="7" s="1"/>
  <c r="G19" i="7"/>
  <c r="H19" i="7" s="1"/>
  <c r="G20" i="7"/>
  <c r="H20" i="7" s="1"/>
  <c r="G21" i="7"/>
  <c r="H21" i="7" s="1"/>
  <c r="G22" i="7"/>
  <c r="H22" i="7" s="1"/>
  <c r="G23" i="7"/>
  <c r="H23" i="7" s="1"/>
  <c r="G24" i="7"/>
  <c r="H24" i="7" s="1"/>
  <c r="G25" i="7"/>
  <c r="H25" i="7" s="1"/>
  <c r="G26" i="7"/>
  <c r="H26" i="7" s="1"/>
  <c r="G27" i="7"/>
  <c r="H27" i="7" s="1"/>
  <c r="G28" i="7"/>
  <c r="H28" i="7" s="1"/>
  <c r="G29" i="7"/>
  <c r="H29" i="7" s="1"/>
  <c r="G30" i="7"/>
  <c r="H30" i="7" s="1"/>
  <c r="G31" i="7"/>
  <c r="H31" i="7" s="1"/>
  <c r="G32" i="7"/>
  <c r="H32" i="7" s="1"/>
  <c r="G33" i="7"/>
  <c r="H33" i="7" s="1"/>
  <c r="G34" i="7"/>
  <c r="H34" i="7" s="1"/>
  <c r="G35" i="7"/>
  <c r="H35" i="7" s="1"/>
  <c r="G36" i="7"/>
  <c r="H36" i="7" s="1"/>
  <c r="G37" i="7"/>
  <c r="H37" i="7" s="1"/>
  <c r="G38" i="7"/>
  <c r="H38" i="7" s="1"/>
  <c r="G39" i="7"/>
  <c r="H39" i="7" s="1"/>
  <c r="G40" i="7"/>
  <c r="H40" i="7" s="1"/>
  <c r="G41" i="7"/>
  <c r="H41" i="7" s="1"/>
  <c r="G42" i="7"/>
  <c r="H42" i="7" s="1"/>
  <c r="G43" i="7"/>
  <c r="H43" i="7" s="1"/>
  <c r="G44" i="7"/>
  <c r="H44" i="7" s="1"/>
  <c r="G45" i="7"/>
  <c r="H45" i="7" s="1"/>
  <c r="G46" i="7"/>
  <c r="H46" i="7" s="1"/>
  <c r="G47" i="7"/>
  <c r="H47" i="7" s="1"/>
  <c r="G48" i="7"/>
  <c r="H48" i="7" s="1"/>
  <c r="G49" i="7"/>
  <c r="H49" i="7" s="1"/>
  <c r="G50" i="7"/>
  <c r="H50" i="7" s="1"/>
  <c r="G51" i="7"/>
  <c r="H51" i="7" s="1"/>
  <c r="G52" i="7"/>
  <c r="H52" i="7" s="1"/>
  <c r="G53" i="7"/>
  <c r="H53" i="7" s="1"/>
  <c r="G54" i="7"/>
  <c r="H54" i="7" s="1"/>
  <c r="G55" i="7"/>
  <c r="H55" i="7" s="1"/>
  <c r="G56" i="7"/>
  <c r="H56" i="7" s="1"/>
  <c r="G57" i="7"/>
  <c r="H57" i="7" s="1"/>
  <c r="G58" i="7"/>
  <c r="H58" i="7" s="1"/>
  <c r="G59" i="7"/>
  <c r="H59" i="7" s="1"/>
  <c r="G60" i="7"/>
  <c r="H60" i="7" s="1"/>
  <c r="G61" i="7"/>
  <c r="H61" i="7" s="1"/>
  <c r="B2" i="8" l="1"/>
  <c r="D2" i="8" s="1"/>
  <c r="H4" i="7"/>
</calcChain>
</file>

<file path=xl/sharedStrings.xml><?xml version="1.0" encoding="utf-8"?>
<sst xmlns="http://schemas.openxmlformats.org/spreadsheetml/2006/main" count="339" uniqueCount="330">
  <si>
    <t>cmetacom</t>
  </si>
  <si>
    <t>c457</t>
  </si>
  <si>
    <t>c458</t>
  </si>
  <si>
    <t>c460</t>
  </si>
  <si>
    <t>c459</t>
  </si>
  <si>
    <t>CC1210</t>
  </si>
  <si>
    <t>SS2101</t>
  </si>
  <si>
    <t>JJ8000</t>
  </si>
  <si>
    <t>SS0121</t>
  </si>
  <si>
    <t>MM2111</t>
  </si>
  <si>
    <t>AA2000</t>
  </si>
  <si>
    <t>AA1431</t>
  </si>
  <si>
    <t>AA1490</t>
  </si>
  <si>
    <t>JJ2000</t>
  </si>
  <si>
    <t>SS2590</t>
  </si>
  <si>
    <t>SS2560</t>
  </si>
  <si>
    <t>SS2100</t>
  </si>
  <si>
    <t>SS2530</t>
  </si>
  <si>
    <t>MM1431</t>
  </si>
  <si>
    <t>EE7232</t>
  </si>
  <si>
    <t>MM1320</t>
  </si>
  <si>
    <t>EE2200</t>
  </si>
  <si>
    <t>SS2710</t>
  </si>
  <si>
    <t>CC1547</t>
  </si>
  <si>
    <t>MM1350</t>
  </si>
  <si>
    <t>SS280B</t>
  </si>
  <si>
    <t>GH2210</t>
  </si>
  <si>
    <t>EE1500</t>
  </si>
  <si>
    <t>SS2910</t>
  </si>
  <si>
    <t>MM7000</t>
  </si>
  <si>
    <t>CC1600</t>
  </si>
  <si>
    <t>MM7110</t>
  </si>
  <si>
    <t>CC2200</t>
  </si>
  <si>
    <t>AA3001</t>
  </si>
  <si>
    <t>JJ4000</t>
  </si>
  <si>
    <t>SS2950</t>
  </si>
  <si>
    <t>MM1520</t>
  </si>
  <si>
    <t>SS2301</t>
  </si>
  <si>
    <t>EE7222</t>
  </si>
  <si>
    <t>EE9040</t>
  </si>
  <si>
    <t>CC1320</t>
  </si>
  <si>
    <t>EE5130</t>
  </si>
  <si>
    <t>AA3100</t>
  </si>
  <si>
    <t>MM1412</t>
  </si>
  <si>
    <t>SS2711</t>
  </si>
  <si>
    <t>EE7267</t>
  </si>
  <si>
    <t>SS2220</t>
  </si>
  <si>
    <t>SS2520</t>
  </si>
  <si>
    <t>CC1311</t>
  </si>
  <si>
    <t>CC1310</t>
  </si>
  <si>
    <t>MM7120</t>
  </si>
  <si>
    <t>MM3100</t>
  </si>
  <si>
    <t>MM1000</t>
  </si>
  <si>
    <t>MM7963</t>
  </si>
  <si>
    <t>GH4002</t>
  </si>
  <si>
    <t>AA2100</t>
  </si>
  <si>
    <t>SS2241</t>
  </si>
  <si>
    <t>GH3300</t>
  </si>
  <si>
    <t>CC1560</t>
  </si>
  <si>
    <t>GH3410</t>
  </si>
  <si>
    <t>SS2242</t>
  </si>
  <si>
    <t>MM1432</t>
  </si>
  <si>
    <t>TT2200</t>
  </si>
  <si>
    <t>EE7268</t>
  </si>
  <si>
    <t>CC1546</t>
  </si>
  <si>
    <t>JJ4200</t>
  </si>
  <si>
    <t>EE2201</t>
  </si>
  <si>
    <t>MM7720</t>
  </si>
  <si>
    <t>CC1810</t>
  </si>
  <si>
    <t>MM2112</t>
  </si>
  <si>
    <t>MM3032</t>
  </si>
  <si>
    <t>SS2550</t>
  </si>
  <si>
    <t>SS2261</t>
  </si>
  <si>
    <t>AA1190</t>
  </si>
  <si>
    <t>CC1021</t>
  </si>
  <si>
    <t>MM1534</t>
  </si>
  <si>
    <t>EE6120</t>
  </si>
  <si>
    <t>MM1440</t>
  </si>
  <si>
    <t>GH5100</t>
  </si>
  <si>
    <t>MM6000</t>
  </si>
  <si>
    <t>MM1531</t>
  </si>
  <si>
    <t>EE5120</t>
  </si>
  <si>
    <t>EE7261</t>
  </si>
  <si>
    <t>EE4000</t>
  </si>
  <si>
    <t>CC1410</t>
  </si>
  <si>
    <t>MM1533</t>
  </si>
  <si>
    <t>AA1433</t>
  </si>
  <si>
    <t>QQ0110</t>
  </si>
  <si>
    <t>JJ1100</t>
  </si>
  <si>
    <t>CC1330</t>
  </si>
  <si>
    <t>MM7962</t>
  </si>
  <si>
    <t>SS0111</t>
  </si>
  <si>
    <t>AA2200</t>
  </si>
  <si>
    <t>AA1000</t>
  </si>
  <si>
    <t>MM7301</t>
  </si>
  <si>
    <t>CC1212</t>
  </si>
  <si>
    <t>JJ2100</t>
  </si>
  <si>
    <t>MM5201</t>
  </si>
  <si>
    <t>MM1415</t>
  </si>
  <si>
    <t>MM2120</t>
  </si>
  <si>
    <t>AA1432</t>
  </si>
  <si>
    <t>JJ500B</t>
  </si>
  <si>
    <t>EE7266</t>
  </si>
  <si>
    <t>EE6110</t>
  </si>
  <si>
    <t>CC1022</t>
  </si>
  <si>
    <t>AA3101</t>
  </si>
  <si>
    <t>JJ4100</t>
  </si>
  <si>
    <t>JJ1000</t>
  </si>
  <si>
    <t>EE726D</t>
  </si>
  <si>
    <t>MM1538</t>
  </si>
  <si>
    <t>AA1310</t>
  </si>
  <si>
    <t>AA1420</t>
  </si>
  <si>
    <t>CC1950</t>
  </si>
  <si>
    <t>SS1000</t>
  </si>
  <si>
    <t>CC1312</t>
  </si>
  <si>
    <t>TT1100</t>
  </si>
  <si>
    <t>TT4210</t>
  </si>
  <si>
    <t>SS2911</t>
  </si>
  <si>
    <t>SS2510</t>
  </si>
  <si>
    <t>CC3072</t>
  </si>
  <si>
    <t>MM1536</t>
  </si>
  <si>
    <t>CC1010</t>
  </si>
  <si>
    <t>MM1532</t>
  </si>
  <si>
    <t>TT1000</t>
  </si>
  <si>
    <t>SS2262</t>
  </si>
  <si>
    <t>MM7300</t>
  </si>
  <si>
    <t>AA1480</t>
  </si>
  <si>
    <t>SS2300</t>
  </si>
  <si>
    <t>AA1300</t>
  </si>
  <si>
    <t>CC1351</t>
  </si>
  <si>
    <t>TT2000</t>
  </si>
  <si>
    <t>MM5100</t>
  </si>
  <si>
    <t>JJ3000</t>
  </si>
  <si>
    <t>AA2300</t>
  </si>
  <si>
    <t>MM3010</t>
  </si>
  <si>
    <t>UMCGP0</t>
  </si>
  <si>
    <t>CC1540</t>
  </si>
  <si>
    <t>MM1411</t>
  </si>
  <si>
    <t>CC3071</t>
  </si>
  <si>
    <t>CCC000</t>
  </si>
  <si>
    <t>MM1530</t>
  </si>
  <si>
    <t>GH2000</t>
  </si>
  <si>
    <t>SS2951</t>
  </si>
  <si>
    <t>SS2243</t>
  </si>
  <si>
    <t>CC2100</t>
  </si>
  <si>
    <t>SS2570</t>
  </si>
  <si>
    <t>AA3002</t>
  </si>
  <si>
    <t>JJ5000</t>
  </si>
  <si>
    <t>AA1434</t>
  </si>
  <si>
    <t>CC1800</t>
  </si>
  <si>
    <t>SS2102</t>
  </si>
  <si>
    <t>EE7252</t>
  </si>
  <si>
    <t>EE3000</t>
  </si>
  <si>
    <t>MM7800</t>
  </si>
  <si>
    <t>MM7500</t>
  </si>
  <si>
    <t>AA1100</t>
  </si>
  <si>
    <t>MM1525</t>
  </si>
  <si>
    <t>SS2999</t>
  </si>
  <si>
    <t>GH3200</t>
  </si>
  <si>
    <t>SS2930</t>
  </si>
  <si>
    <t>GH1200</t>
  </si>
  <si>
    <t>SS2540</t>
  </si>
  <si>
    <t>MM3034</t>
  </si>
  <si>
    <t>AA2290</t>
  </si>
  <si>
    <t>MM5202</t>
  </si>
  <si>
    <t>EE7265</t>
  </si>
  <si>
    <t>CC1420</t>
  </si>
  <si>
    <t>JJ6000</t>
  </si>
  <si>
    <t>CC1111</t>
  </si>
  <si>
    <t>MM3022</t>
  </si>
  <si>
    <t>MM1310</t>
  </si>
  <si>
    <t>SX1200</t>
  </si>
  <si>
    <t>EE7231</t>
  </si>
  <si>
    <t>EE7242</t>
  </si>
  <si>
    <t>JJ1200</t>
  </si>
  <si>
    <t>SS280C</t>
  </si>
  <si>
    <t>PP2000</t>
  </si>
  <si>
    <t>JJ5100</t>
  </si>
  <si>
    <t>SS2700</t>
  </si>
  <si>
    <t>CCC001</t>
  </si>
  <si>
    <t>AA3000</t>
  </si>
  <si>
    <t>GH2310</t>
  </si>
  <si>
    <t>MM1510</t>
  </si>
  <si>
    <t>AA1410</t>
  </si>
  <si>
    <t>MM7131</t>
  </si>
  <si>
    <t>MM2000</t>
  </si>
  <si>
    <t>MM7132</t>
  </si>
  <si>
    <t>MM1200</t>
  </si>
  <si>
    <t>MM7900</t>
  </si>
  <si>
    <t>MM3021</t>
  </si>
  <si>
    <t>MM1100</t>
  </si>
  <si>
    <t>SS2810</t>
  </si>
  <si>
    <t>SS2250</t>
  </si>
  <si>
    <t>MM7600</t>
  </si>
  <si>
    <t>EE7221</t>
  </si>
  <si>
    <t>TT5100</t>
  </si>
  <si>
    <t>JJ7000</t>
  </si>
  <si>
    <t>MM3037</t>
  </si>
  <si>
    <t>MM3023</t>
  </si>
  <si>
    <t>MM1050</t>
  </si>
  <si>
    <t>EE6200</t>
  </si>
  <si>
    <t>AA1150</t>
  </si>
  <si>
    <t>AA1200</t>
  </si>
  <si>
    <t>SS2580</t>
  </si>
  <si>
    <t>EE7243</t>
  </si>
  <si>
    <t>JJ3150</t>
  </si>
  <si>
    <t>MM7400</t>
  </si>
  <si>
    <t>PP1000</t>
  </si>
  <si>
    <t>SS280D</t>
  </si>
  <si>
    <t>SS2591</t>
  </si>
  <si>
    <t>CC1020</t>
  </si>
  <si>
    <t>SS280A</t>
  </si>
  <si>
    <t>MM1416</t>
  </si>
  <si>
    <t>CC1700</t>
  </si>
  <si>
    <t>MM4000</t>
  </si>
  <si>
    <t>PP3000</t>
  </si>
  <si>
    <t>CC1430</t>
  </si>
  <si>
    <t>SS2210</t>
  </si>
  <si>
    <t>CC1525</t>
  </si>
  <si>
    <t>QQ0120</t>
  </si>
  <si>
    <t>CC3000</t>
  </si>
  <si>
    <t>GH3100</t>
  </si>
  <si>
    <t>EE8000</t>
  </si>
  <si>
    <t>CdG</t>
  </si>
  <si>
    <t>CC1200</t>
  </si>
  <si>
    <t>CC1201</t>
  </si>
  <si>
    <t>CC1220</t>
  </si>
  <si>
    <t>CC1440</t>
  </si>
  <si>
    <t>CC155A</t>
  </si>
  <si>
    <t>CC155B</t>
  </si>
  <si>
    <t>CC1565</t>
  </si>
  <si>
    <t>CC1568</t>
  </si>
  <si>
    <t>CC1570</t>
  </si>
  <si>
    <t>CC1580</t>
  </si>
  <si>
    <t>CC2000</t>
  </si>
  <si>
    <t>CC2300</t>
  </si>
  <si>
    <t>CC3001</t>
  </si>
  <si>
    <t>CC3002</t>
  </si>
  <si>
    <t>CC3052</t>
  </si>
  <si>
    <t>CC3100</t>
  </si>
  <si>
    <t>GH5996</t>
  </si>
  <si>
    <t>GH5997</t>
  </si>
  <si>
    <t>GH599B</t>
  </si>
  <si>
    <t>MM1537</t>
  </si>
  <si>
    <t>MM7200</t>
  </si>
  <si>
    <t>MM7850</t>
  </si>
  <si>
    <t>MM7961</t>
  </si>
  <si>
    <t>MM7970</t>
  </si>
  <si>
    <t>PP4000</t>
  </si>
  <si>
    <t>QQ1000</t>
  </si>
  <si>
    <t>SS0100</t>
  </si>
  <si>
    <t>SS1002</t>
  </si>
  <si>
    <t>SS1003</t>
  </si>
  <si>
    <t>SS2952</t>
  </si>
  <si>
    <t>SX1100</t>
  </si>
  <si>
    <t>TT3100</t>
  </si>
  <si>
    <t>TT3200</t>
  </si>
  <si>
    <t>TT4100</t>
  </si>
  <si>
    <t>TT4220</t>
  </si>
  <si>
    <t>Dif</t>
  </si>
  <si>
    <t>GH410A</t>
  </si>
  <si>
    <t>GH410B</t>
  </si>
  <si>
    <t>GH4001</t>
  </si>
  <si>
    <t>EE726C</t>
  </si>
  <si>
    <t>EE1210</t>
  </si>
  <si>
    <t>EE1100</t>
  </si>
  <si>
    <t>EE7258</t>
  </si>
  <si>
    <t>GH1110</t>
  </si>
  <si>
    <t>GH411A</t>
  </si>
  <si>
    <t>EE7224</t>
  </si>
  <si>
    <t>EE2300</t>
  </si>
  <si>
    <t>EE726Y</t>
  </si>
  <si>
    <t>EE5220</t>
  </si>
  <si>
    <t>GH2320</t>
  </si>
  <si>
    <t>EE5210</t>
  </si>
  <si>
    <t>JJ3110</t>
  </si>
  <si>
    <t>EE1000</t>
  </si>
  <si>
    <t>JJ3120</t>
  </si>
  <si>
    <t>EE9000</t>
  </si>
  <si>
    <t>GH3010</t>
  </si>
  <si>
    <t>GH2410</t>
  </si>
  <si>
    <t>EE726X</t>
  </si>
  <si>
    <t>EE5112</t>
  </si>
  <si>
    <t>EE7255</t>
  </si>
  <si>
    <t>GH2231</t>
  </si>
  <si>
    <t>GH2600</t>
  </si>
  <si>
    <t>EE7241</t>
  </si>
  <si>
    <t>EE2110</t>
  </si>
  <si>
    <t>GH2420</t>
  </si>
  <si>
    <t>GH3520</t>
  </si>
  <si>
    <t>EE2021</t>
  </si>
  <si>
    <t>EE5111</t>
  </si>
  <si>
    <t>EE1220</t>
  </si>
  <si>
    <t>EE7251</t>
  </si>
  <si>
    <t>EE727E</t>
  </si>
  <si>
    <t>GH5990</t>
  </si>
  <si>
    <t>EE2020</t>
  </si>
  <si>
    <t>EE7223</t>
  </si>
  <si>
    <t>EE725A</t>
  </si>
  <si>
    <t>EE7254</t>
  </si>
  <si>
    <t>GH2221</t>
  </si>
  <si>
    <t>EE1320</t>
  </si>
  <si>
    <t>GH4220</t>
  </si>
  <si>
    <t>GH1010</t>
  </si>
  <si>
    <t>EE7253</t>
  </si>
  <si>
    <t>GH1020</t>
  </si>
  <si>
    <t>EE1310</t>
  </si>
  <si>
    <t>EE727B</t>
  </si>
  <si>
    <t>EE2120</t>
  </si>
  <si>
    <t>GH3510</t>
  </si>
  <si>
    <t>EE7210</t>
  </si>
  <si>
    <t>EE2011</t>
  </si>
  <si>
    <t>GH412A</t>
  </si>
  <si>
    <t>GH3020</t>
  </si>
  <si>
    <t>GH1120</t>
  </si>
  <si>
    <t>EE2010</t>
  </si>
  <si>
    <t>GH4210</t>
  </si>
  <si>
    <t>EE726B</t>
  </si>
  <si>
    <t>sum(saldo_coms)</t>
  </si>
  <si>
    <t>ct211</t>
  </si>
  <si>
    <t>Comissões Financeiras</t>
  </si>
  <si>
    <t>Comissões Não Financeiras</t>
  </si>
  <si>
    <t>Total</t>
  </si>
  <si>
    <t>Diferença</t>
  </si>
  <si>
    <t>saldo_comis</t>
  </si>
  <si>
    <t>dif</t>
  </si>
  <si>
    <t>Comissões Liquidas</t>
  </si>
  <si>
    <t>Query:</t>
  </si>
  <si>
    <t>SELECT cmetacom, SUM(C457-C458) AS SALDO_COMS,sum(c457), sum(c458), sum(c460), sum(c459)
FROM CD_CAPTOOLS.CT211_RENT_KPMCO
WHERE REF_DATE = '${REF_DATE}'    
    AND ORIGEM = 'MIS'
    AND CMETACOM IN ('EE1000','EE1100','EE1210','EE1220','EE2010','EE2011','EE2020','EE2021','EE2110','EE2120','EE2300',
                     'EE5111','EE5112','EE5210','EE5220','EE7100','EE7210','EE7223','EE7224','EE7241','EE7251','EE7253','EE7254','EE7255',
                     'EE725A','EE726B','EE726C','EE726X','EE726Y','EE727B','EE727C','EE727E','EE727F','GH1010','GH1020','GH1110','GH1120',
                     'GH2221','GH2222','GH2231','GH2232','GH2320','GH2410','GH2420','GH2600','GH3010','GH3020',
                     'GH3510','GH3520','GH410A','GH410B','GH411A','GH411B','GH412A','GH412B','GH4210','GH4220','GH5990','JJ3110','JJ3120',
                     'EE7258',
                     'GH4001','EE1310','EE1320','EE9000','EE9010','EE9020')
GROUP BY 1
;</t>
  </si>
  <si>
    <t>SELECT CMETACOM, SUM(C457-C458) AS SALDO_COMIS, sum(c457), sum(c458),sum(c460), sum(c459)
FROM CD_CAPTOOLS.CT211_RENT_KPMCO
WHERE REF_DATE = '${REF_DATE}'
    AND CEMPCTA IN ('31','80') 
    AND ORIGEM = 'MIS'
    AND TRIM(CMETACOM) IN ('AA1000','AA1100','AA1150','AA1190','AA1300','AA1410','AA1420','AA1431','AA1432','AA1433','AA1480','AA1490','AA2000','AA2100',
                    'AA2200','AA2290','AA2300','AA3000','AA3001','AA3002','AA310','AA3101','CC1010','CC1019','CC1020','CC1021','CC1022','CC1111',
                    'CC1200','CC1201','CC1210','CC1212','CC1220','CC1310','CC1311','CC1312','CC1320','CC1330','CC1351','CC1361','CC1362','CC1410',
                    'CC1420','CC1430','CC1440','CC1510','CC1520','CC1525','CC1540','CC1546','CC1547','CC155A','CC155B','CC1560','CC1565','CC1568',
                    'CC1570','CC1580','CC1600','CC1700','CC1800','CC1810','CC1950','CC2000','CC2200','CC2300','CC3000','CC3001','CC3002','CC3003',
                    'CC3051','CC3052','CC3053','CC3071','CC3072','CC3073','CC3100','CCC000','CCC001','EE200C','EE200D','EE200E','EE2190','EE2200',
                    'EE2201','EE3000','EE3090','EE5120','EE5130','EE6110','EE6120','EE6200','EE7221','EE7222','EE7231','EE7232','EE7242','EE7243',
                    'EE7252','EE7256','EE7261','EE7262','EE7265','EE7266','EE7267','EE7268','EE726D','EE726G','EE726H','EE726I','EE7272','EE72AA',
                    'EE72AB','EE72AC','EE72AD','EE72B3','EE72B4','EE72ZA','EE72ZB','EE72ZC','EE72ZD','EE72ZE','EE8000','GH1200','GH2210','GH2500',
                    'GH2650','GH3100','GH3200','GH3300','GH3610','GH3620','GH3900','GH4002','GH5000','GH5100','GH5996','GH5997','JJ1000','JJ1100',
                    'JJ2000','JJ2100','JJ3000','JJ4000','JJ4100','JJ4200','JJ5000','JJ500B','JJ5100','JJ6000','JJ7000','JJ8000','MM1000','MM1050',
                    'MM1100','MM1200','MM1310','MM1320','MM1350','MM1403','MM1404','MM1405','MM1411','MM1412','MM1415','MM1416','MM1431','MM1432',
                    'MM2000','MM2111','MM2112','MM2120','MM2130','MM3010','MM3021','MM3022','MM3023','MM3032','MM3033','MM3034','MM3037','MM3038',
                    'MM3100','MM4000','MM5201','MM5209','MM6000','MM7000','MM7110','MM7120','MM7131','MM7132','MM7200','MM7300','MM7301','MM7500',
                    'MM7710','MM7720','MM7800','MM7850','MM7950','MM7961','MM7962','MM7963','MM7964','PP1000','PP2000','PP3000','PP4000','QQ0110',
                    'QQ0120','QQ1000','SS0100','SS0111','SS0112','SS0121','SS0122','SS1000','SS1002','SS1003','SS1005','SS2100','SS2101','SS2102',
                    'SS2210','SS2220','SS2231','SS2232','SS2241','SS2242','SS2243','SS2250','SS2300','SS2301','SS2400','SS2510','SS2520','SS2530',
                    'SS2540','SS2550','SS2555','SS2560','SS2570','SS2580','SS2590','SS2591','SS2600','SS2700','SS280A','SS280B','SS280C','SS280D',
                    'SS2810','SS2910','SS2911','SS2930','SS2950','SS2951','SS2999','SX1100','SX1200','TT1100','TT2000','TT2100','TT3100','TT4000',
                    'TT4100','TT4210','TT5000','TT5100','TT5110','TT5200','UMC000','UMCGI0','UMCGP0','UMCGR0','EE7257','EE7259','AA1434','AA1435',
                    'AA3100','GH2000','EE4000','EE1500','MM1440','MM1510','MM1520','MM1525','MM1526','MM1530','MM1531','MM1532','MM1533','MM1534',
                    'MM1536','MM1537','MM1538',
                    'GH2310','GH3410','GH3420','JJ3150','TT3200','AA1200','AA1310','CC2100','EE9030','EE9040','EE9050','GH599B','JJ1200','MM5100',
                    'TT4220','MM5202','MM7400','MM7600','MM7900','MM7970','SS2261','SS2262','SS2710','SS2711','SS2952','TT1000','TT2200')
GROUP BY 1
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</si>
</sst>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theme="0" tint="-0.34998626667073579"/>
      </bottom>
      <diagonal/>
    </border>
    <border>
      <left/>
      <right/>
      <top style="thin">
        <color indexed="64"/>
      </top>
      <bottom style="dotted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dotted">
        <color theme="0" tint="-0.34998626667073579"/>
      </bottom>
      <diagonal/>
    </border>
    <border>
      <left style="thin">
        <color indexed="64"/>
      </left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 style="thin">
        <color indexed="64"/>
      </right>
      <top style="dotted">
        <color theme="0" tint="-0.34998626667073579"/>
      </top>
      <bottom style="dotted">
        <color theme="0" tint="-0.34998626667073579"/>
      </bottom>
      <diagonal/>
    </border>
    <border>
      <left style="thin">
        <color indexed="64"/>
      </left>
      <right/>
      <top style="dotted">
        <color theme="0" tint="-0.34998626667073579"/>
      </top>
      <bottom style="thin">
        <color indexed="64"/>
      </bottom>
      <diagonal/>
    </border>
    <border>
      <left/>
      <right/>
      <top style="dotted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dotted">
        <color theme="0" tint="-0.34998626667073579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43" fontId="0" fillId="0" borderId="0" xfId="1" applyFont="1"/>
    <xf numFmtId="164" fontId="0" fillId="0" borderId="0" xfId="0" applyNumberFormat="1"/>
    <xf numFmtId="9" fontId="0" fillId="0" borderId="0" xfId="2" applyFont="1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43" fontId="0" fillId="0" borderId="5" xfId="0" applyNumberFormat="1" applyBorder="1"/>
    <xf numFmtId="43" fontId="0" fillId="0" borderId="5" xfId="1" applyFont="1" applyBorder="1"/>
    <xf numFmtId="164" fontId="0" fillId="0" borderId="6" xfId="0" applyNumberFormat="1" applyBorder="1"/>
    <xf numFmtId="43" fontId="0" fillId="0" borderId="8" xfId="1" applyFont="1" applyBorder="1"/>
    <xf numFmtId="164" fontId="0" fillId="0" borderId="9" xfId="0" applyNumberFormat="1" applyBorder="1"/>
    <xf numFmtId="0" fontId="3" fillId="0" borderId="10" xfId="0" applyFont="1" applyBorder="1"/>
    <xf numFmtId="43" fontId="3" fillId="0" borderId="11" xfId="0" applyNumberFormat="1" applyFont="1" applyBorder="1"/>
    <xf numFmtId="43" fontId="3" fillId="0" borderId="11" xfId="1" applyFont="1" applyBorder="1"/>
    <xf numFmtId="164" fontId="3" fillId="0" borderId="12" xfId="0" applyNumberFormat="1" applyFont="1" applyBorder="1"/>
    <xf numFmtId="0" fontId="3" fillId="0" borderId="4" xfId="0" applyFont="1" applyBorder="1"/>
    <xf numFmtId="0" fontId="3" fillId="0" borderId="7" xfId="0" applyFont="1" applyBorder="1"/>
    <xf numFmtId="164" fontId="0" fillId="0" borderId="0" xfId="0" applyNumberFormat="1" applyFill="1"/>
    <xf numFmtId="0" fontId="2" fillId="3" borderId="0" xfId="0" applyFont="1" applyFill="1"/>
    <xf numFmtId="0" fontId="0" fillId="0" borderId="0" xfId="0" applyAlignment="1"/>
    <xf numFmtId="0" fontId="0" fillId="0" borderId="0" xfId="0" quotePrefix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808828\Downloads\BasePilar3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ERY_FOR_TRNSTRANSPOSED_0008"/>
    </sheetNames>
    <sheetDataSet>
      <sheetData sheetId="0">
        <row r="1">
          <cell r="F1">
            <v>497523059.44999969</v>
          </cell>
        </row>
        <row r="4">
          <cell r="A4" t="str">
            <v>METACOM</v>
          </cell>
          <cell r="F4" t="str">
            <v>TOTAL_MIS 2024 Ajustado</v>
          </cell>
        </row>
        <row r="5">
          <cell r="A5" t="str">
            <v>AA1000</v>
          </cell>
          <cell r="F5">
            <v>4418012.92</v>
          </cell>
        </row>
        <row r="6">
          <cell r="A6" t="str">
            <v>AA1100</v>
          </cell>
          <cell r="F6">
            <v>343483.76</v>
          </cell>
        </row>
        <row r="7">
          <cell r="A7" t="str">
            <v>AA1100</v>
          </cell>
          <cell r="F7">
            <v>175672.28</v>
          </cell>
        </row>
        <row r="8">
          <cell r="A8" t="str">
            <v>AA1150</v>
          </cell>
          <cell r="F8">
            <v>-12680.77</v>
          </cell>
        </row>
        <row r="9">
          <cell r="A9" t="str">
            <v>AA1190</v>
          </cell>
          <cell r="F9">
            <v>88299.76</v>
          </cell>
        </row>
        <row r="10">
          <cell r="A10" t="str">
            <v>AA1190</v>
          </cell>
          <cell r="F10">
            <v>16984</v>
          </cell>
        </row>
        <row r="11">
          <cell r="A11" t="str">
            <v>AA1190</v>
          </cell>
          <cell r="F11">
            <v>-24</v>
          </cell>
        </row>
        <row r="12">
          <cell r="A12" t="str">
            <v>AA1190</v>
          </cell>
          <cell r="F12">
            <v>-2.2000000000000002</v>
          </cell>
        </row>
        <row r="13">
          <cell r="A13" t="str">
            <v>AA1200</v>
          </cell>
          <cell r="F13">
            <v>19485.59</v>
          </cell>
        </row>
        <row r="14">
          <cell r="A14" t="str">
            <v>AA1200</v>
          </cell>
          <cell r="F14">
            <v>68.08</v>
          </cell>
        </row>
        <row r="15">
          <cell r="A15" t="str">
            <v>AA1200</v>
          </cell>
          <cell r="F15">
            <v>-11.16</v>
          </cell>
        </row>
        <row r="16">
          <cell r="A16" t="str">
            <v>AA1200</v>
          </cell>
          <cell r="F16">
            <v>109.6</v>
          </cell>
        </row>
        <row r="17">
          <cell r="A17" t="str">
            <v>AA1200</v>
          </cell>
          <cell r="F17">
            <v>23301.72</v>
          </cell>
        </row>
        <row r="18">
          <cell r="A18" t="str">
            <v>AA1300</v>
          </cell>
          <cell r="F18">
            <v>754692</v>
          </cell>
        </row>
        <row r="19">
          <cell r="A19" t="str">
            <v>AA1300</v>
          </cell>
          <cell r="F19">
            <v>-36</v>
          </cell>
        </row>
        <row r="20">
          <cell r="A20" t="str">
            <v>AA1300</v>
          </cell>
          <cell r="F20">
            <v>-783.3</v>
          </cell>
        </row>
        <row r="21">
          <cell r="A21" t="str">
            <v>AA1310</v>
          </cell>
          <cell r="F21">
            <v>54189.8</v>
          </cell>
        </row>
        <row r="22">
          <cell r="A22" t="str">
            <v>AA1310</v>
          </cell>
          <cell r="F22">
            <v>20294.25</v>
          </cell>
        </row>
        <row r="23">
          <cell r="A23" t="str">
            <v>AA1310</v>
          </cell>
          <cell r="F23">
            <v>1755.36</v>
          </cell>
        </row>
        <row r="24">
          <cell r="A24" t="str">
            <v>AA1410</v>
          </cell>
          <cell r="F24">
            <v>51940780.68</v>
          </cell>
        </row>
        <row r="25">
          <cell r="A25" t="str">
            <v>AA1410</v>
          </cell>
          <cell r="F25">
            <v>944096.42</v>
          </cell>
        </row>
        <row r="26">
          <cell r="A26" t="str">
            <v>AA1410</v>
          </cell>
          <cell r="F26">
            <v>29055771.399999999</v>
          </cell>
        </row>
        <row r="27">
          <cell r="A27" t="str">
            <v>AA1420</v>
          </cell>
          <cell r="F27">
            <v>20166319.859999999</v>
          </cell>
        </row>
        <row r="28">
          <cell r="A28" t="str">
            <v>AA1420</v>
          </cell>
          <cell r="F28">
            <v>763</v>
          </cell>
        </row>
        <row r="29">
          <cell r="A29" t="str">
            <v>AA1420</v>
          </cell>
          <cell r="F29">
            <v>1625</v>
          </cell>
        </row>
        <row r="30">
          <cell r="A30" t="str">
            <v>AA1420</v>
          </cell>
          <cell r="F30">
            <v>-786.51</v>
          </cell>
        </row>
        <row r="31">
          <cell r="A31" t="str">
            <v>AA1431</v>
          </cell>
          <cell r="F31">
            <v>-5908506.8799999999</v>
          </cell>
        </row>
        <row r="32">
          <cell r="A32" t="str">
            <v>AA1432</v>
          </cell>
          <cell r="F32">
            <v>-872953.72</v>
          </cell>
        </row>
        <row r="33">
          <cell r="A33" t="str">
            <v>AA1432</v>
          </cell>
          <cell r="F33">
            <v>-869701.57</v>
          </cell>
        </row>
        <row r="34">
          <cell r="A34" t="str">
            <v>AA1432</v>
          </cell>
          <cell r="F34">
            <v>-1419.15</v>
          </cell>
        </row>
        <row r="35">
          <cell r="A35" t="str">
            <v>AA1432</v>
          </cell>
          <cell r="F35">
            <v>257305.22</v>
          </cell>
        </row>
        <row r="36">
          <cell r="A36" t="str">
            <v>AA1432</v>
          </cell>
          <cell r="F36">
            <v>602249.56999999995</v>
          </cell>
        </row>
        <row r="37">
          <cell r="A37" t="str">
            <v>AA1433</v>
          </cell>
          <cell r="F37">
            <v>-10862.54</v>
          </cell>
        </row>
        <row r="38">
          <cell r="A38" t="str">
            <v>AA1434</v>
          </cell>
          <cell r="F38">
            <v>-1239134.8899999999</v>
          </cell>
        </row>
        <row r="39">
          <cell r="A39" t="str">
            <v>AA1480</v>
          </cell>
          <cell r="F39">
            <v>2333970.41</v>
          </cell>
        </row>
        <row r="40">
          <cell r="A40" t="str">
            <v>AA1490</v>
          </cell>
          <cell r="F40">
            <v>32704.880000000001</v>
          </cell>
        </row>
        <row r="41">
          <cell r="A41" t="str">
            <v>AA1490</v>
          </cell>
          <cell r="F41">
            <v>2011.68</v>
          </cell>
        </row>
        <row r="42">
          <cell r="A42" t="str">
            <v>AA1490</v>
          </cell>
          <cell r="F42" t="str">
            <v/>
          </cell>
        </row>
        <row r="43">
          <cell r="A43" t="str">
            <v>AA1490</v>
          </cell>
          <cell r="F43" t="str">
            <v/>
          </cell>
        </row>
        <row r="44">
          <cell r="A44" t="str">
            <v>AA1490</v>
          </cell>
          <cell r="F44" t="str">
            <v/>
          </cell>
        </row>
        <row r="45">
          <cell r="A45" t="str">
            <v>AA1490</v>
          </cell>
          <cell r="F45">
            <v>1978.88</v>
          </cell>
        </row>
        <row r="46">
          <cell r="A46" t="str">
            <v>AA1490</v>
          </cell>
          <cell r="F46">
            <v>-20760</v>
          </cell>
        </row>
        <row r="47">
          <cell r="A47" t="str">
            <v>AA1490</v>
          </cell>
          <cell r="F47">
            <v>-558008.78</v>
          </cell>
        </row>
        <row r="48">
          <cell r="A48" t="str">
            <v>AA1490</v>
          </cell>
          <cell r="F48">
            <v>-609940.67000000004</v>
          </cell>
        </row>
        <row r="49">
          <cell r="A49" t="str">
            <v>AA1490</v>
          </cell>
          <cell r="F49">
            <v>124576.19</v>
          </cell>
        </row>
        <row r="50">
          <cell r="A50" t="str">
            <v>AA1490</v>
          </cell>
          <cell r="F50" t="str">
            <v/>
          </cell>
        </row>
        <row r="51">
          <cell r="A51" t="str">
            <v>AA2000</v>
          </cell>
          <cell r="F51">
            <v>102460.78</v>
          </cell>
        </row>
        <row r="52">
          <cell r="A52" t="str">
            <v>AA2000</v>
          </cell>
          <cell r="F52">
            <v>1033494.46</v>
          </cell>
        </row>
        <row r="53">
          <cell r="A53" t="str">
            <v>AA2000</v>
          </cell>
          <cell r="F53">
            <v>-152.19999999999999</v>
          </cell>
        </row>
        <row r="54">
          <cell r="A54" t="str">
            <v>AA2100</v>
          </cell>
          <cell r="F54">
            <v>15687.5</v>
          </cell>
        </row>
        <row r="55">
          <cell r="A55" t="str">
            <v>AA2100</v>
          </cell>
          <cell r="F55">
            <v>843773.25</v>
          </cell>
        </row>
        <row r="56">
          <cell r="A56" t="str">
            <v>AA2100</v>
          </cell>
          <cell r="F56">
            <v>-250</v>
          </cell>
        </row>
        <row r="57">
          <cell r="A57" t="str">
            <v>AA2100</v>
          </cell>
          <cell r="F57" t="str">
            <v/>
          </cell>
        </row>
        <row r="58">
          <cell r="A58" t="str">
            <v>AA2100</v>
          </cell>
          <cell r="F58" t="str">
            <v/>
          </cell>
        </row>
        <row r="59">
          <cell r="A59" t="str">
            <v>AA2100</v>
          </cell>
          <cell r="F59">
            <v>-80</v>
          </cell>
        </row>
        <row r="60">
          <cell r="A60" t="str">
            <v>AA2200</v>
          </cell>
          <cell r="F60">
            <v>401370</v>
          </cell>
        </row>
        <row r="61">
          <cell r="A61" t="str">
            <v>AA2200</v>
          </cell>
          <cell r="F61">
            <v>-910</v>
          </cell>
        </row>
        <row r="62">
          <cell r="A62" t="str">
            <v>AA2290</v>
          </cell>
          <cell r="F62">
            <v>253925</v>
          </cell>
        </row>
        <row r="63">
          <cell r="A63" t="str">
            <v>AA2290</v>
          </cell>
          <cell r="F63">
            <v>-150</v>
          </cell>
        </row>
        <row r="64">
          <cell r="A64" t="str">
            <v>AA2290</v>
          </cell>
          <cell r="F64">
            <v>-80</v>
          </cell>
        </row>
        <row r="65">
          <cell r="A65" t="str">
            <v>AA2300</v>
          </cell>
          <cell r="F65">
            <v>-1800</v>
          </cell>
        </row>
        <row r="66">
          <cell r="A66" t="str">
            <v>AA2300</v>
          </cell>
          <cell r="F66">
            <v>29022.5</v>
          </cell>
        </row>
        <row r="67">
          <cell r="A67" t="str">
            <v>AA2300</v>
          </cell>
          <cell r="F67">
            <v>3725</v>
          </cell>
        </row>
        <row r="68">
          <cell r="A68" t="str">
            <v>AA2300</v>
          </cell>
          <cell r="F68">
            <v>-10</v>
          </cell>
        </row>
        <row r="69">
          <cell r="A69" t="str">
            <v>AA2300</v>
          </cell>
          <cell r="F69">
            <v>77360</v>
          </cell>
        </row>
        <row r="70">
          <cell r="A70" t="str">
            <v>AA2300</v>
          </cell>
          <cell r="F70">
            <v>-389678.36</v>
          </cell>
        </row>
        <row r="71">
          <cell r="A71" t="str">
            <v>AA2300</v>
          </cell>
          <cell r="F71">
            <v>-261189.06</v>
          </cell>
        </row>
        <row r="72">
          <cell r="A72" t="str">
            <v>AA3000</v>
          </cell>
          <cell r="F72">
            <v>1126.1199999999999</v>
          </cell>
        </row>
        <row r="73">
          <cell r="A73" t="str">
            <v>AA3000</v>
          </cell>
          <cell r="F73">
            <v>1679.89</v>
          </cell>
        </row>
        <row r="74">
          <cell r="A74" t="str">
            <v>AA3000</v>
          </cell>
          <cell r="F74">
            <v>18750</v>
          </cell>
        </row>
        <row r="75">
          <cell r="A75" t="str">
            <v>AA3001</v>
          </cell>
          <cell r="F75">
            <v>5.6</v>
          </cell>
        </row>
        <row r="76">
          <cell r="A76" t="str">
            <v>AA3001</v>
          </cell>
          <cell r="F76">
            <v>-24</v>
          </cell>
        </row>
        <row r="77">
          <cell r="A77" t="str">
            <v>AA3002</v>
          </cell>
          <cell r="F77">
            <v>479638.19</v>
          </cell>
        </row>
        <row r="78">
          <cell r="A78" t="str">
            <v>AA3100</v>
          </cell>
          <cell r="F78">
            <v>2239678.2999999998</v>
          </cell>
        </row>
        <row r="79">
          <cell r="A79" t="str">
            <v>AA3100</v>
          </cell>
          <cell r="F79">
            <v>2544574.69</v>
          </cell>
        </row>
        <row r="80">
          <cell r="A80" t="str">
            <v>AA3100</v>
          </cell>
          <cell r="F80">
            <v>-1498.2</v>
          </cell>
        </row>
        <row r="81">
          <cell r="A81" t="str">
            <v>AA3100</v>
          </cell>
          <cell r="F81">
            <v>-6509.72</v>
          </cell>
        </row>
        <row r="82">
          <cell r="A82" t="str">
            <v>AA3100</v>
          </cell>
          <cell r="F82">
            <v>79.900000000000006</v>
          </cell>
        </row>
        <row r="83">
          <cell r="A83" t="str">
            <v>AA3101</v>
          </cell>
          <cell r="F83">
            <v>-131211.79</v>
          </cell>
        </row>
        <row r="84">
          <cell r="A84" t="str">
            <v>AA3101</v>
          </cell>
          <cell r="F84">
            <v>944.72</v>
          </cell>
        </row>
        <row r="85">
          <cell r="A85" t="str">
            <v>CC1010</v>
          </cell>
          <cell r="F85">
            <v>2247912.2599999998</v>
          </cell>
        </row>
        <row r="86">
          <cell r="A86" t="str">
            <v>CC1010</v>
          </cell>
          <cell r="F86">
            <v>148548.95000000001</v>
          </cell>
        </row>
        <row r="87">
          <cell r="A87" t="str">
            <v>CC1010</v>
          </cell>
          <cell r="F87">
            <v>-209.93</v>
          </cell>
        </row>
        <row r="88">
          <cell r="A88" t="str">
            <v>CC1010</v>
          </cell>
          <cell r="F88">
            <v>61490.8</v>
          </cell>
        </row>
        <row r="89">
          <cell r="A89" t="str">
            <v>CC1010</v>
          </cell>
          <cell r="F89">
            <v>70498.12</v>
          </cell>
        </row>
        <row r="90">
          <cell r="A90" t="str">
            <v>CC1020</v>
          </cell>
          <cell r="F90">
            <v>-15.49</v>
          </cell>
        </row>
        <row r="91">
          <cell r="A91" t="str">
            <v>CC1020</v>
          </cell>
          <cell r="F91">
            <v>0</v>
          </cell>
        </row>
        <row r="92">
          <cell r="A92" t="str">
            <v>CC1020</v>
          </cell>
          <cell r="F92">
            <v>336362.62</v>
          </cell>
        </row>
        <row r="93">
          <cell r="A93" t="str">
            <v>CC1020</v>
          </cell>
          <cell r="F93">
            <v>60117.03</v>
          </cell>
        </row>
        <row r="94">
          <cell r="A94" t="str">
            <v>CC1020</v>
          </cell>
          <cell r="F94">
            <v>1014751.39</v>
          </cell>
        </row>
        <row r="95">
          <cell r="A95" t="str">
            <v>CC1020</v>
          </cell>
          <cell r="F95">
            <v>1801475.64</v>
          </cell>
        </row>
        <row r="96">
          <cell r="A96" t="str">
            <v>CC1020</v>
          </cell>
          <cell r="F96">
            <v>0</v>
          </cell>
        </row>
        <row r="97">
          <cell r="A97" t="str">
            <v>CC1020</v>
          </cell>
          <cell r="F97">
            <v>481359.85</v>
          </cell>
        </row>
        <row r="98">
          <cell r="A98" t="str">
            <v>CC1020</v>
          </cell>
          <cell r="F98">
            <v>14749471.93</v>
          </cell>
        </row>
        <row r="99">
          <cell r="A99" t="str">
            <v>CC1020</v>
          </cell>
          <cell r="F99">
            <v>51.02</v>
          </cell>
        </row>
        <row r="100">
          <cell r="A100" t="str">
            <v>CC1020</v>
          </cell>
          <cell r="F100">
            <v>4093539.09</v>
          </cell>
        </row>
        <row r="101">
          <cell r="A101" t="str">
            <v>CC1020</v>
          </cell>
          <cell r="F101">
            <v>52.98</v>
          </cell>
        </row>
        <row r="102">
          <cell r="A102" t="str">
            <v>CC1020</v>
          </cell>
          <cell r="F102">
            <v>574550.15</v>
          </cell>
        </row>
        <row r="103">
          <cell r="A103" t="str">
            <v>CC1020</v>
          </cell>
          <cell r="F103">
            <v>455540.27</v>
          </cell>
        </row>
        <row r="104">
          <cell r="A104" t="str">
            <v>CC1021</v>
          </cell>
          <cell r="F104">
            <v>98459.56</v>
          </cell>
        </row>
        <row r="105">
          <cell r="A105" t="str">
            <v>CC1021</v>
          </cell>
          <cell r="F105">
            <v>1134287.42</v>
          </cell>
        </row>
        <row r="106">
          <cell r="A106" t="str">
            <v>CC1021</v>
          </cell>
          <cell r="F106">
            <v>894732.01</v>
          </cell>
        </row>
        <row r="107">
          <cell r="A107" t="str">
            <v>CC1021</v>
          </cell>
          <cell r="F107">
            <v>1638332.98</v>
          </cell>
        </row>
        <row r="108">
          <cell r="A108" t="str">
            <v>CC1021</v>
          </cell>
          <cell r="F108">
            <v>4218.25</v>
          </cell>
        </row>
        <row r="109">
          <cell r="A109" t="str">
            <v>CC1022</v>
          </cell>
          <cell r="F109">
            <v>-35654.089999999997</v>
          </cell>
        </row>
        <row r="110">
          <cell r="A110" t="str">
            <v>CC1022</v>
          </cell>
          <cell r="F110">
            <v>1029755.62</v>
          </cell>
        </row>
        <row r="111">
          <cell r="A111" t="str">
            <v>CC1111</v>
          </cell>
          <cell r="F111">
            <v>-888.44</v>
          </cell>
        </row>
        <row r="112">
          <cell r="A112" t="str">
            <v>CC1111</v>
          </cell>
          <cell r="F112">
            <v>9619.01</v>
          </cell>
        </row>
        <row r="113">
          <cell r="A113" t="str">
            <v>CC1111</v>
          </cell>
          <cell r="F113">
            <v>58907.35</v>
          </cell>
        </row>
        <row r="114">
          <cell r="A114" t="str">
            <v>CC1111</v>
          </cell>
          <cell r="F114">
            <v>23456099.34</v>
          </cell>
        </row>
        <row r="115">
          <cell r="A115" t="str">
            <v>CC1200</v>
          </cell>
          <cell r="F115">
            <v>4769690.41</v>
          </cell>
        </row>
        <row r="116">
          <cell r="A116" t="str">
            <v>CC1200</v>
          </cell>
          <cell r="F116">
            <v>-677001.36</v>
          </cell>
        </row>
        <row r="117">
          <cell r="A117" t="str">
            <v>CC1200</v>
          </cell>
          <cell r="F117">
            <v>1576756.96</v>
          </cell>
        </row>
        <row r="118">
          <cell r="A118" t="str">
            <v>CC1201</v>
          </cell>
          <cell r="F118">
            <v>-2074288.55</v>
          </cell>
        </row>
        <row r="119">
          <cell r="A119" t="str">
            <v>CC1201</v>
          </cell>
          <cell r="F119">
            <v>-143736.69</v>
          </cell>
        </row>
        <row r="120">
          <cell r="A120" t="str">
            <v>CC1210</v>
          </cell>
          <cell r="F120">
            <v>379991.56</v>
          </cell>
        </row>
        <row r="121">
          <cell r="A121" t="str">
            <v>CC1210</v>
          </cell>
          <cell r="F121">
            <v>1729617.54</v>
          </cell>
        </row>
        <row r="122">
          <cell r="A122" t="str">
            <v>CC1210</v>
          </cell>
          <cell r="F122">
            <v>6145352.3499999996</v>
          </cell>
        </row>
        <row r="123">
          <cell r="A123" t="str">
            <v>CC1210</v>
          </cell>
          <cell r="F123">
            <v>6290.2</v>
          </cell>
        </row>
        <row r="124">
          <cell r="A124" t="str">
            <v>CC1212</v>
          </cell>
          <cell r="F124">
            <v>-5175653.37</v>
          </cell>
        </row>
        <row r="125">
          <cell r="A125" t="str">
            <v>CC1212</v>
          </cell>
          <cell r="F125">
            <v>209453.75</v>
          </cell>
        </row>
        <row r="126">
          <cell r="A126" t="str">
            <v>CC1220</v>
          </cell>
          <cell r="F126">
            <v>122.03</v>
          </cell>
        </row>
        <row r="127">
          <cell r="A127" t="str">
            <v>CC1310</v>
          </cell>
          <cell r="F127">
            <v>320260</v>
          </cell>
        </row>
        <row r="128">
          <cell r="A128" t="str">
            <v>CC1310</v>
          </cell>
          <cell r="F128">
            <v>885944.25</v>
          </cell>
        </row>
        <row r="129">
          <cell r="A129" t="str">
            <v>CC1311</v>
          </cell>
          <cell r="F129">
            <v>690781.61</v>
          </cell>
        </row>
        <row r="130">
          <cell r="A130" t="str">
            <v>CC1311</v>
          </cell>
          <cell r="F130">
            <v>1018.79</v>
          </cell>
        </row>
        <row r="131">
          <cell r="A131" t="str">
            <v>CC1312</v>
          </cell>
          <cell r="F131">
            <v>1599993.11</v>
          </cell>
        </row>
        <row r="132">
          <cell r="A132" t="str">
            <v>CC1312</v>
          </cell>
          <cell r="F132">
            <v>22.05</v>
          </cell>
        </row>
        <row r="133">
          <cell r="A133" t="str">
            <v>CC1312</v>
          </cell>
          <cell r="F133">
            <v>14.93</v>
          </cell>
        </row>
        <row r="134">
          <cell r="A134" t="str">
            <v>CC1320</v>
          </cell>
          <cell r="F134">
            <v>-59</v>
          </cell>
        </row>
        <row r="135">
          <cell r="A135" t="str">
            <v>CC1320</v>
          </cell>
          <cell r="F135">
            <v>123782.5</v>
          </cell>
        </row>
        <row r="136">
          <cell r="A136" t="str">
            <v>CC1330</v>
          </cell>
          <cell r="F136">
            <v>1562949.39</v>
          </cell>
        </row>
        <row r="137">
          <cell r="A137" t="str">
            <v>CC1330</v>
          </cell>
          <cell r="F137">
            <v>462601.93</v>
          </cell>
        </row>
        <row r="138">
          <cell r="A138" t="str">
            <v>CC1351</v>
          </cell>
          <cell r="F138">
            <v>8609199.1899999995</v>
          </cell>
        </row>
        <row r="139">
          <cell r="A139" t="str">
            <v>CC1410</v>
          </cell>
          <cell r="F139">
            <v>-336900.87</v>
          </cell>
        </row>
        <row r="140">
          <cell r="A140" t="str">
            <v>CC1410</v>
          </cell>
          <cell r="F140">
            <v>-7142820.2699999996</v>
          </cell>
        </row>
        <row r="141">
          <cell r="A141" t="str">
            <v>CC1420</v>
          </cell>
          <cell r="F141">
            <v>-238026.23999999999</v>
          </cell>
        </row>
        <row r="142">
          <cell r="A142" t="str">
            <v>CC1420</v>
          </cell>
          <cell r="F142">
            <v>-1169897.1200000001</v>
          </cell>
        </row>
        <row r="143">
          <cell r="A143" t="str">
            <v>CC1420</v>
          </cell>
          <cell r="F143">
            <v>-1091502.02</v>
          </cell>
        </row>
        <row r="144">
          <cell r="A144" t="str">
            <v>CC1420</v>
          </cell>
          <cell r="F144">
            <v>-2285.36</v>
          </cell>
        </row>
        <row r="145">
          <cell r="A145" t="str">
            <v>CC1430</v>
          </cell>
          <cell r="F145">
            <v>-19857.78</v>
          </cell>
        </row>
        <row r="146">
          <cell r="A146" t="str">
            <v>CC1430</v>
          </cell>
          <cell r="F146">
            <v>-16829.38</v>
          </cell>
        </row>
        <row r="147">
          <cell r="A147" t="str">
            <v>CC1430</v>
          </cell>
          <cell r="F147">
            <v>56010.01</v>
          </cell>
        </row>
        <row r="148">
          <cell r="A148" t="str">
            <v>CC1430</v>
          </cell>
          <cell r="F148">
            <v>-1264.9000000000001</v>
          </cell>
        </row>
        <row r="149">
          <cell r="A149" t="str">
            <v>CC1430</v>
          </cell>
          <cell r="F149">
            <v>-40195.82</v>
          </cell>
        </row>
        <row r="150">
          <cell r="A150" t="str">
            <v>CC1430</v>
          </cell>
          <cell r="F150">
            <v>-83635.58</v>
          </cell>
        </row>
        <row r="151">
          <cell r="A151" t="str">
            <v>CC1430</v>
          </cell>
          <cell r="F151">
            <v>-95.76</v>
          </cell>
        </row>
        <row r="152">
          <cell r="A152" t="str">
            <v>CC1430</v>
          </cell>
          <cell r="F152">
            <v>-2.94</v>
          </cell>
        </row>
        <row r="153">
          <cell r="A153" t="str">
            <v>CC1430</v>
          </cell>
          <cell r="F153">
            <v>19917.39</v>
          </cell>
        </row>
        <row r="154">
          <cell r="A154" t="str">
            <v>CC1430</v>
          </cell>
          <cell r="F154">
            <v>46234.99</v>
          </cell>
        </row>
        <row r="155">
          <cell r="A155" t="str">
            <v>CC1440</v>
          </cell>
          <cell r="F155">
            <v>-7015105.4299999997</v>
          </cell>
        </row>
        <row r="156">
          <cell r="A156" t="str">
            <v>CC1440</v>
          </cell>
          <cell r="F156">
            <v>-4166469.84</v>
          </cell>
        </row>
        <row r="157">
          <cell r="A157" t="str">
            <v>CC1525</v>
          </cell>
          <cell r="F157">
            <v>-24775.73</v>
          </cell>
        </row>
        <row r="158">
          <cell r="A158" t="str">
            <v>CC1525</v>
          </cell>
          <cell r="F158">
            <v>-4203.8599999999997</v>
          </cell>
        </row>
        <row r="159">
          <cell r="A159" t="str">
            <v>CC1525</v>
          </cell>
          <cell r="F159">
            <v>-90043.67</v>
          </cell>
        </row>
        <row r="160">
          <cell r="A160" t="str">
            <v>CC1540</v>
          </cell>
          <cell r="F160">
            <v>-893989.75</v>
          </cell>
        </row>
        <row r="161">
          <cell r="A161" t="str">
            <v>CC1540</v>
          </cell>
          <cell r="F161">
            <v>-35.229999999999997</v>
          </cell>
        </row>
        <row r="162">
          <cell r="A162" t="str">
            <v>CC1540</v>
          </cell>
          <cell r="F162">
            <v>-8911.11</v>
          </cell>
        </row>
        <row r="163">
          <cell r="A163" t="str">
            <v>CC1546</v>
          </cell>
          <cell r="F163">
            <v>-8748943.3900000006</v>
          </cell>
        </row>
        <row r="164">
          <cell r="A164" t="str">
            <v>CC1547</v>
          </cell>
          <cell r="F164">
            <v>-1006390.93</v>
          </cell>
        </row>
        <row r="165">
          <cell r="A165" t="str">
            <v>CC155A</v>
          </cell>
          <cell r="F165">
            <v>-382392.48</v>
          </cell>
        </row>
        <row r="166">
          <cell r="A166" t="str">
            <v>CC155A</v>
          </cell>
          <cell r="F166">
            <v>-820520.6</v>
          </cell>
        </row>
        <row r="167">
          <cell r="A167" t="str">
            <v>CC155B</v>
          </cell>
          <cell r="F167">
            <v>-394165.03</v>
          </cell>
        </row>
        <row r="168">
          <cell r="A168" t="str">
            <v>CC155B</v>
          </cell>
          <cell r="F168">
            <v>-727915.19</v>
          </cell>
        </row>
        <row r="169">
          <cell r="A169" t="str">
            <v>CC1560</v>
          </cell>
          <cell r="F169">
            <v>-450257.94</v>
          </cell>
        </row>
        <row r="170">
          <cell r="A170" t="str">
            <v>CC1560</v>
          </cell>
          <cell r="F170">
            <v>1351</v>
          </cell>
        </row>
        <row r="171">
          <cell r="A171" t="str">
            <v>CC1565</v>
          </cell>
          <cell r="F171">
            <v>-43503.519999999997</v>
          </cell>
        </row>
        <row r="172">
          <cell r="A172" t="str">
            <v>CC1565</v>
          </cell>
          <cell r="F172">
            <v>-29171.14</v>
          </cell>
        </row>
        <row r="173">
          <cell r="A173" t="str">
            <v>CC1568</v>
          </cell>
          <cell r="F173">
            <v>-531441.28</v>
          </cell>
        </row>
        <row r="174">
          <cell r="A174" t="str">
            <v>CC1568</v>
          </cell>
          <cell r="F174">
            <v>0</v>
          </cell>
        </row>
        <row r="175">
          <cell r="A175" t="str">
            <v>CC1570</v>
          </cell>
          <cell r="F175">
            <v>-771734.59</v>
          </cell>
        </row>
        <row r="176">
          <cell r="A176" t="str">
            <v>CC1570</v>
          </cell>
          <cell r="F176">
            <v>-695943.83</v>
          </cell>
        </row>
        <row r="177">
          <cell r="A177" t="str">
            <v>CC1580</v>
          </cell>
          <cell r="F177">
            <v>512.04999999999995</v>
          </cell>
        </row>
        <row r="178">
          <cell r="A178" t="str">
            <v>CC1580</v>
          </cell>
          <cell r="F178">
            <v>-42172.43</v>
          </cell>
        </row>
        <row r="179">
          <cell r="A179" t="str">
            <v>CC1600</v>
          </cell>
          <cell r="F179">
            <v>158407.89000000001</v>
          </cell>
        </row>
        <row r="180">
          <cell r="A180" t="str">
            <v>CC1600</v>
          </cell>
          <cell r="F180">
            <v>87048.82</v>
          </cell>
        </row>
        <row r="181">
          <cell r="A181" t="str">
            <v>CC1600</v>
          </cell>
          <cell r="F181">
            <v>-5329.75</v>
          </cell>
        </row>
        <row r="182">
          <cell r="A182" t="str">
            <v>CC1600</v>
          </cell>
          <cell r="F182">
            <v>-45035.55</v>
          </cell>
        </row>
        <row r="183">
          <cell r="A183" t="str">
            <v>CC1600</v>
          </cell>
          <cell r="F183">
            <v>-78942.11</v>
          </cell>
        </row>
        <row r="184">
          <cell r="A184" t="str">
            <v>CC1600</v>
          </cell>
          <cell r="F184">
            <v>-10499.58</v>
          </cell>
        </row>
        <row r="185">
          <cell r="A185" t="str">
            <v>CC1600</v>
          </cell>
          <cell r="F185">
            <v>-285169.86</v>
          </cell>
        </row>
        <row r="186">
          <cell r="A186" t="str">
            <v>CC1600</v>
          </cell>
          <cell r="F186">
            <v>189575.34</v>
          </cell>
        </row>
        <row r="187">
          <cell r="A187" t="str">
            <v>CC1600</v>
          </cell>
          <cell r="F187">
            <v>-37201.81</v>
          </cell>
        </row>
        <row r="188">
          <cell r="A188" t="str">
            <v>CC1600</v>
          </cell>
          <cell r="F188">
            <v>-418987.2</v>
          </cell>
        </row>
        <row r="189">
          <cell r="A189" t="str">
            <v>CC1600</v>
          </cell>
          <cell r="F189">
            <v>-4989.3100000000004</v>
          </cell>
        </row>
        <row r="190">
          <cell r="A190" t="str">
            <v>CC1600</v>
          </cell>
          <cell r="F190">
            <v>-183808.79</v>
          </cell>
        </row>
        <row r="191">
          <cell r="A191" t="str">
            <v>CC1600</v>
          </cell>
          <cell r="F191">
            <v>13556.13</v>
          </cell>
        </row>
        <row r="192">
          <cell r="A192" t="str">
            <v>CC1600</v>
          </cell>
          <cell r="F192">
            <v>-557851.96</v>
          </cell>
        </row>
        <row r="193">
          <cell r="A193" t="str">
            <v>CC1700</v>
          </cell>
          <cell r="F193">
            <v>12239865.539999999</v>
          </cell>
        </row>
        <row r="194">
          <cell r="A194" t="str">
            <v>CC1800</v>
          </cell>
          <cell r="F194">
            <v>-211.65</v>
          </cell>
        </row>
        <row r="195">
          <cell r="A195" t="str">
            <v>CC1800</v>
          </cell>
          <cell r="F195">
            <v>0</v>
          </cell>
        </row>
        <row r="196">
          <cell r="A196" t="str">
            <v>CC1800</v>
          </cell>
          <cell r="F196">
            <v>-242333.19</v>
          </cell>
        </row>
        <row r="197">
          <cell r="A197" t="str">
            <v>CC1800</v>
          </cell>
          <cell r="F197">
            <v>-1003882.52</v>
          </cell>
        </row>
        <row r="198">
          <cell r="A198" t="str">
            <v>CC1800</v>
          </cell>
          <cell r="F198">
            <v>-305554.11</v>
          </cell>
        </row>
        <row r="199">
          <cell r="A199" t="str">
            <v>CC1800</v>
          </cell>
          <cell r="F199">
            <v>18050.3</v>
          </cell>
        </row>
        <row r="200">
          <cell r="A200" t="str">
            <v>CC1800</v>
          </cell>
          <cell r="F200">
            <v>387.4</v>
          </cell>
        </row>
        <row r="201">
          <cell r="A201" t="str">
            <v>CC1810</v>
          </cell>
          <cell r="F201">
            <v>2987.01</v>
          </cell>
        </row>
        <row r="202">
          <cell r="A202" t="str">
            <v>CC1810</v>
          </cell>
          <cell r="F202">
            <v>2967.27</v>
          </cell>
        </row>
        <row r="203">
          <cell r="A203" t="str">
            <v>CC1950</v>
          </cell>
          <cell r="F203">
            <v>107893.93</v>
          </cell>
        </row>
        <row r="204">
          <cell r="A204" t="str">
            <v>CC1950</v>
          </cell>
          <cell r="F204">
            <v>-60</v>
          </cell>
        </row>
        <row r="205">
          <cell r="A205" t="str">
            <v>CC1950</v>
          </cell>
          <cell r="F205">
            <v>157756.23000000001</v>
          </cell>
        </row>
        <row r="206">
          <cell r="A206" t="str">
            <v>CC1950</v>
          </cell>
          <cell r="F206">
            <v>10</v>
          </cell>
        </row>
        <row r="207">
          <cell r="A207" t="str">
            <v>CC1950</v>
          </cell>
          <cell r="F207">
            <v>8039.5</v>
          </cell>
        </row>
        <row r="208">
          <cell r="A208" t="str">
            <v>CC2000</v>
          </cell>
          <cell r="F208">
            <v>14456611.84</v>
          </cell>
        </row>
        <row r="209">
          <cell r="A209" t="str">
            <v>CC2000</v>
          </cell>
          <cell r="F209">
            <v>1565122.72</v>
          </cell>
        </row>
        <row r="210">
          <cell r="A210" t="str">
            <v>CC2000</v>
          </cell>
          <cell r="F210" t="str">
            <v/>
          </cell>
        </row>
        <row r="211">
          <cell r="A211" t="str">
            <v>CC2000</v>
          </cell>
          <cell r="F211" t="str">
            <v/>
          </cell>
        </row>
        <row r="212">
          <cell r="A212" t="str">
            <v>CC2000</v>
          </cell>
          <cell r="F212">
            <v>3048575.12</v>
          </cell>
        </row>
        <row r="213">
          <cell r="A213" t="str">
            <v>CC2100</v>
          </cell>
          <cell r="F213">
            <v>32570</v>
          </cell>
        </row>
        <row r="214">
          <cell r="A214" t="str">
            <v>CC2100</v>
          </cell>
          <cell r="F214">
            <v>236643.20000000001</v>
          </cell>
        </row>
        <row r="215">
          <cell r="A215" t="str">
            <v>CC2100</v>
          </cell>
          <cell r="F215">
            <v>-113</v>
          </cell>
        </row>
        <row r="216">
          <cell r="A216" t="str">
            <v>CC2200</v>
          </cell>
          <cell r="F216">
            <v>-950646</v>
          </cell>
        </row>
        <row r="217">
          <cell r="A217" t="str">
            <v>CC2200</v>
          </cell>
          <cell r="F217">
            <v>-110384.35</v>
          </cell>
        </row>
        <row r="218">
          <cell r="A218" t="str">
            <v>CC2200</v>
          </cell>
          <cell r="F218">
            <v>-487883.03</v>
          </cell>
        </row>
        <row r="219">
          <cell r="A219" t="str">
            <v>CC2200</v>
          </cell>
          <cell r="F219">
            <v>-497.84</v>
          </cell>
        </row>
        <row r="220">
          <cell r="A220" t="str">
            <v>CC2300</v>
          </cell>
          <cell r="F220">
            <v>-4159622.7</v>
          </cell>
        </row>
        <row r="221">
          <cell r="A221" t="str">
            <v>CC2300</v>
          </cell>
          <cell r="F221">
            <v>-908631.94</v>
          </cell>
        </row>
        <row r="222">
          <cell r="A222" t="str">
            <v>CC2300</v>
          </cell>
          <cell r="F222" t="str">
            <v/>
          </cell>
        </row>
        <row r="223">
          <cell r="A223" t="str">
            <v>CC2300</v>
          </cell>
          <cell r="F223">
            <v>-950185.69</v>
          </cell>
        </row>
        <row r="224">
          <cell r="A224" t="str">
            <v>CC2300</v>
          </cell>
          <cell r="F224">
            <v>-240323.01</v>
          </cell>
        </row>
        <row r="225">
          <cell r="A225" t="str">
            <v>CC3000</v>
          </cell>
          <cell r="F225">
            <v>2646.74</v>
          </cell>
        </row>
        <row r="226">
          <cell r="A226" t="str">
            <v>CC3000</v>
          </cell>
          <cell r="F226">
            <v>-1315904</v>
          </cell>
        </row>
        <row r="227">
          <cell r="A227" t="str">
            <v>CC3000</v>
          </cell>
          <cell r="F227">
            <v>-2105.98</v>
          </cell>
        </row>
        <row r="228">
          <cell r="A228" t="str">
            <v>CC3000</v>
          </cell>
          <cell r="F228">
            <v>3225499.09</v>
          </cell>
        </row>
        <row r="229">
          <cell r="A229" t="str">
            <v>CC3000</v>
          </cell>
          <cell r="F229">
            <v>-1909595.09</v>
          </cell>
        </row>
        <row r="230">
          <cell r="A230" t="str">
            <v>CC3000</v>
          </cell>
          <cell r="F230">
            <v>13935.25</v>
          </cell>
        </row>
        <row r="231">
          <cell r="A231" t="str">
            <v>CC3000</v>
          </cell>
          <cell r="F231">
            <v>-1196.3900000000001</v>
          </cell>
        </row>
        <row r="232">
          <cell r="A232" t="str">
            <v>CC3000</v>
          </cell>
          <cell r="F232">
            <v>15.22</v>
          </cell>
        </row>
        <row r="233">
          <cell r="A233" t="str">
            <v>CC3000</v>
          </cell>
          <cell r="F233">
            <v>71.459999999999994</v>
          </cell>
        </row>
        <row r="234">
          <cell r="A234" t="str">
            <v>CC3000</v>
          </cell>
          <cell r="F234">
            <v>170</v>
          </cell>
        </row>
        <row r="235">
          <cell r="A235" t="str">
            <v>CC3001</v>
          </cell>
          <cell r="F235">
            <v>13.73</v>
          </cell>
        </row>
        <row r="236">
          <cell r="A236" t="str">
            <v>CC3002</v>
          </cell>
          <cell r="F236">
            <v>3225006.69</v>
          </cell>
        </row>
        <row r="237">
          <cell r="A237" t="str">
            <v>CC3002</v>
          </cell>
          <cell r="F237">
            <v>-3220348.58</v>
          </cell>
        </row>
        <row r="238">
          <cell r="A238" t="str">
            <v>CC3052</v>
          </cell>
          <cell r="F238">
            <v>5566.46</v>
          </cell>
        </row>
        <row r="239">
          <cell r="A239" t="str">
            <v>CC3071</v>
          </cell>
          <cell r="F239">
            <v>2058966.73</v>
          </cell>
        </row>
        <row r="240">
          <cell r="A240" t="str">
            <v>CC3072</v>
          </cell>
          <cell r="F240">
            <v>-18523016.539999999</v>
          </cell>
        </row>
        <row r="241">
          <cell r="A241" t="str">
            <v>CC3072</v>
          </cell>
          <cell r="F241">
            <v>18523016.539999999</v>
          </cell>
        </row>
        <row r="242">
          <cell r="A242" t="str">
            <v>CC3100</v>
          </cell>
          <cell r="F242">
            <v>-16.36</v>
          </cell>
        </row>
        <row r="243">
          <cell r="A243" t="str">
            <v>CCC000</v>
          </cell>
          <cell r="F243">
            <v>-1000.99</v>
          </cell>
        </row>
        <row r="244">
          <cell r="A244" t="str">
            <v>CCC000</v>
          </cell>
          <cell r="F244">
            <v>136966.88</v>
          </cell>
        </row>
        <row r="245">
          <cell r="A245" t="str">
            <v>CCC000</v>
          </cell>
          <cell r="F245">
            <v>20839206.329999998</v>
          </cell>
        </row>
        <row r="246">
          <cell r="A246" t="str">
            <v>CCC001</v>
          </cell>
          <cell r="F246">
            <v>-2335.83</v>
          </cell>
        </row>
        <row r="247">
          <cell r="A247" t="str">
            <v>EE1000</v>
          </cell>
          <cell r="F247">
            <v>45880612.979999997</v>
          </cell>
        </row>
        <row r="248">
          <cell r="A248" t="str">
            <v>EE1000</v>
          </cell>
          <cell r="F248">
            <v>-80</v>
          </cell>
        </row>
        <row r="249">
          <cell r="A249" t="str">
            <v>EE1000</v>
          </cell>
          <cell r="F249">
            <v>332610.09000000003</v>
          </cell>
        </row>
        <row r="250">
          <cell r="A250" t="str">
            <v>EE1000</v>
          </cell>
          <cell r="F250">
            <v>-12985.03</v>
          </cell>
        </row>
        <row r="251">
          <cell r="A251" t="str">
            <v>EE1000</v>
          </cell>
          <cell r="F251">
            <v>2810</v>
          </cell>
        </row>
        <row r="252">
          <cell r="A252" t="str">
            <v>EE1100</v>
          </cell>
          <cell r="F252">
            <v>429523.18</v>
          </cell>
        </row>
        <row r="253">
          <cell r="A253" t="str">
            <v>EE1100</v>
          </cell>
          <cell r="F253">
            <v>-13544434.27</v>
          </cell>
        </row>
        <row r="254">
          <cell r="A254" t="str">
            <v>EE1100</v>
          </cell>
          <cell r="F254">
            <v>265.5</v>
          </cell>
        </row>
        <row r="255">
          <cell r="A255" t="str">
            <v>EE1100</v>
          </cell>
          <cell r="F255">
            <v>46207.1</v>
          </cell>
        </row>
        <row r="256">
          <cell r="A256" t="str">
            <v>EE1100</v>
          </cell>
          <cell r="F256">
            <v>77986.94</v>
          </cell>
        </row>
        <row r="257">
          <cell r="A257" t="str">
            <v>EE1100</v>
          </cell>
          <cell r="F257">
            <v>50504.73</v>
          </cell>
        </row>
        <row r="258">
          <cell r="A258" t="str">
            <v>EE1100</v>
          </cell>
          <cell r="F258">
            <v>60722.03</v>
          </cell>
        </row>
        <row r="259">
          <cell r="A259" t="str">
            <v>EE1210</v>
          </cell>
          <cell r="F259">
            <v>61275.24</v>
          </cell>
        </row>
        <row r="260">
          <cell r="A260" t="str">
            <v>EE1220</v>
          </cell>
          <cell r="F260">
            <v>-10466.459999999999</v>
          </cell>
        </row>
        <row r="261">
          <cell r="A261" t="str">
            <v>EE1310</v>
          </cell>
          <cell r="F261">
            <v>-16038671.5</v>
          </cell>
        </row>
        <row r="262">
          <cell r="A262" t="str">
            <v>EE1310</v>
          </cell>
        </row>
        <row r="263">
          <cell r="A263" t="str">
            <v>EE1320</v>
          </cell>
          <cell r="F263">
            <v>14635157.779999999</v>
          </cell>
        </row>
        <row r="264">
          <cell r="A264" t="str">
            <v>EE1500</v>
          </cell>
          <cell r="F264">
            <v>1955358.34</v>
          </cell>
        </row>
        <row r="265">
          <cell r="A265" t="str">
            <v>EE1500</v>
          </cell>
          <cell r="F265">
            <v>-13588.28</v>
          </cell>
        </row>
        <row r="266">
          <cell r="A266" t="str">
            <v>EE1500</v>
          </cell>
          <cell r="F266">
            <v>85</v>
          </cell>
        </row>
        <row r="267">
          <cell r="A267" t="str">
            <v>EE2010</v>
          </cell>
          <cell r="F267">
            <v>54525</v>
          </cell>
        </row>
        <row r="268">
          <cell r="A268" t="str">
            <v>EE2010</v>
          </cell>
          <cell r="F268">
            <v>141262.5</v>
          </cell>
        </row>
        <row r="269">
          <cell r="A269" t="str">
            <v>EE2010</v>
          </cell>
          <cell r="F269">
            <v>1444108.01</v>
          </cell>
        </row>
        <row r="270">
          <cell r="A270" t="str">
            <v>EE2010</v>
          </cell>
          <cell r="F270">
            <v>14161298.630000001</v>
          </cell>
        </row>
        <row r="271">
          <cell r="A271" t="str">
            <v>EE2010</v>
          </cell>
          <cell r="F271">
            <v>130316.25</v>
          </cell>
        </row>
        <row r="272">
          <cell r="A272" t="str">
            <v>EE2010</v>
          </cell>
          <cell r="F272">
            <v>-85487.35</v>
          </cell>
        </row>
        <row r="273">
          <cell r="A273" t="str">
            <v>EE2010</v>
          </cell>
          <cell r="F273">
            <v>-9167.5</v>
          </cell>
        </row>
        <row r="274">
          <cell r="A274" t="str">
            <v>EE2010</v>
          </cell>
          <cell r="F274">
            <v>-6834.77</v>
          </cell>
        </row>
        <row r="275">
          <cell r="A275" t="str">
            <v>EE2010</v>
          </cell>
          <cell r="F275">
            <v>-40749.57</v>
          </cell>
        </row>
        <row r="276">
          <cell r="A276" t="str">
            <v>EE2010</v>
          </cell>
          <cell r="F276">
            <v>378673.96</v>
          </cell>
        </row>
        <row r="277">
          <cell r="A277" t="str">
            <v>EE2010</v>
          </cell>
          <cell r="F277">
            <v>225</v>
          </cell>
        </row>
        <row r="278">
          <cell r="A278" t="str">
            <v>EE2011</v>
          </cell>
          <cell r="F278">
            <v>642.5</v>
          </cell>
        </row>
        <row r="279">
          <cell r="A279" t="str">
            <v>EE2011</v>
          </cell>
          <cell r="F279">
            <v>-141918.64000000001</v>
          </cell>
        </row>
        <row r="280">
          <cell r="A280" t="str">
            <v>EE2020</v>
          </cell>
          <cell r="F280">
            <v>-348714.29</v>
          </cell>
        </row>
        <row r="281">
          <cell r="A281" t="str">
            <v>EE2020</v>
          </cell>
          <cell r="F281">
            <v>390121.48</v>
          </cell>
        </row>
        <row r="282">
          <cell r="A282" t="str">
            <v>EE2020</v>
          </cell>
          <cell r="F282">
            <v>9838.84</v>
          </cell>
        </row>
        <row r="283">
          <cell r="A283" t="str">
            <v>EE2021</v>
          </cell>
          <cell r="F283" t="str">
            <v/>
          </cell>
        </row>
        <row r="284">
          <cell r="A284" t="str">
            <v>EE2021</v>
          </cell>
          <cell r="F284">
            <v>-1151.25</v>
          </cell>
        </row>
        <row r="285">
          <cell r="A285" t="str">
            <v>EE2110</v>
          </cell>
          <cell r="F285">
            <v>190712.81</v>
          </cell>
        </row>
        <row r="286">
          <cell r="A286" t="str">
            <v>EE2110</v>
          </cell>
          <cell r="F286">
            <v>550</v>
          </cell>
        </row>
        <row r="287">
          <cell r="A287" t="str">
            <v>EE2110</v>
          </cell>
          <cell r="F287">
            <v>-913.56</v>
          </cell>
        </row>
        <row r="288">
          <cell r="A288" t="str">
            <v>EE2120</v>
          </cell>
          <cell r="F288">
            <v>-9542.34</v>
          </cell>
        </row>
        <row r="289">
          <cell r="A289" t="str">
            <v>EE2200</v>
          </cell>
          <cell r="F289">
            <v>331622.68</v>
          </cell>
        </row>
        <row r="290">
          <cell r="A290" t="str">
            <v>EE2200</v>
          </cell>
          <cell r="F290">
            <v>2971395.19</v>
          </cell>
        </row>
        <row r="291">
          <cell r="A291" t="str">
            <v>EE2200</v>
          </cell>
          <cell r="F291">
            <v>51150.74</v>
          </cell>
        </row>
        <row r="292">
          <cell r="A292" t="str">
            <v>EE2200</v>
          </cell>
          <cell r="F292">
            <v>-4129.13</v>
          </cell>
        </row>
        <row r="293">
          <cell r="A293" t="str">
            <v>EE2201</v>
          </cell>
          <cell r="F293">
            <v>127.4</v>
          </cell>
        </row>
        <row r="294">
          <cell r="A294" t="str">
            <v>EE2201</v>
          </cell>
          <cell r="F294">
            <v>-9092.01</v>
          </cell>
        </row>
        <row r="295">
          <cell r="A295" t="str">
            <v>EE2300</v>
          </cell>
          <cell r="F295">
            <v>-1253.58</v>
          </cell>
        </row>
        <row r="296">
          <cell r="A296" t="str">
            <v>EE2300</v>
          </cell>
          <cell r="F296">
            <v>74297.5</v>
          </cell>
        </row>
        <row r="297">
          <cell r="A297" t="str">
            <v>EE2300</v>
          </cell>
          <cell r="F297">
            <v>-7536.64</v>
          </cell>
        </row>
        <row r="298">
          <cell r="A298" t="str">
            <v>EE3000</v>
          </cell>
          <cell r="F298">
            <v>602447.59</v>
          </cell>
        </row>
        <row r="299">
          <cell r="A299" t="str">
            <v>EE3000</v>
          </cell>
          <cell r="F299">
            <v>-2426.75</v>
          </cell>
        </row>
        <row r="300">
          <cell r="A300" t="str">
            <v>EE3000</v>
          </cell>
          <cell r="F300">
            <v>7029805.9000000004</v>
          </cell>
        </row>
        <row r="301">
          <cell r="A301" t="str">
            <v>EE3000</v>
          </cell>
          <cell r="F301">
            <v>-514.04</v>
          </cell>
        </row>
        <row r="302">
          <cell r="A302" t="str">
            <v>EE4000</v>
          </cell>
          <cell r="F302">
            <v>-327.60000000000002</v>
          </cell>
        </row>
        <row r="303">
          <cell r="A303" t="str">
            <v>EE4000</v>
          </cell>
          <cell r="F303">
            <v>219107.04</v>
          </cell>
        </row>
        <row r="304">
          <cell r="A304" t="str">
            <v>EE4000</v>
          </cell>
          <cell r="F304">
            <v>20214</v>
          </cell>
        </row>
        <row r="305">
          <cell r="A305" t="str">
            <v>EE4000</v>
          </cell>
          <cell r="F305">
            <v>8594811.0800000001</v>
          </cell>
        </row>
        <row r="306">
          <cell r="A306" t="str">
            <v>EE4000</v>
          </cell>
          <cell r="F306">
            <v>-31.16</v>
          </cell>
        </row>
        <row r="307">
          <cell r="A307" t="str">
            <v>EE4000</v>
          </cell>
          <cell r="F307">
            <v>-29143.65</v>
          </cell>
        </row>
        <row r="308">
          <cell r="A308" t="str">
            <v>EE4000</v>
          </cell>
          <cell r="F308">
            <v>20719.5</v>
          </cell>
        </row>
        <row r="309">
          <cell r="A309" t="str">
            <v>EE5111</v>
          </cell>
          <cell r="F309">
            <v>17606.28</v>
          </cell>
        </row>
        <row r="310">
          <cell r="A310" t="str">
            <v>EE5111</v>
          </cell>
          <cell r="F310">
            <v>256866.21</v>
          </cell>
        </row>
        <row r="311">
          <cell r="A311" t="str">
            <v>EE5111</v>
          </cell>
          <cell r="F311">
            <v>28413.52</v>
          </cell>
        </row>
        <row r="312">
          <cell r="A312" t="str">
            <v>EE5111</v>
          </cell>
          <cell r="F312">
            <v>30391.42</v>
          </cell>
        </row>
        <row r="313">
          <cell r="A313" t="str">
            <v>EE5111</v>
          </cell>
          <cell r="F313">
            <v>273.86</v>
          </cell>
        </row>
        <row r="314">
          <cell r="A314" t="str">
            <v>EE5112</v>
          </cell>
          <cell r="F314">
            <v>1879.87</v>
          </cell>
        </row>
        <row r="315">
          <cell r="A315" t="str">
            <v>EE5120</v>
          </cell>
          <cell r="F315">
            <v>114287.37</v>
          </cell>
        </row>
        <row r="316">
          <cell r="A316" t="str">
            <v>EE5120</v>
          </cell>
          <cell r="F316">
            <v>7417.31</v>
          </cell>
        </row>
        <row r="317">
          <cell r="A317" t="str">
            <v>EE5130</v>
          </cell>
          <cell r="F317">
            <v>-28</v>
          </cell>
        </row>
        <row r="318">
          <cell r="A318" t="str">
            <v>EE5130</v>
          </cell>
          <cell r="F318">
            <v>-3897.84</v>
          </cell>
        </row>
        <row r="319">
          <cell r="A319" t="str">
            <v>EE5130</v>
          </cell>
          <cell r="F319">
            <v>204.3</v>
          </cell>
        </row>
        <row r="320">
          <cell r="A320" t="str">
            <v>EE5130</v>
          </cell>
          <cell r="F320">
            <v>48044.17</v>
          </cell>
        </row>
        <row r="321">
          <cell r="A321" t="str">
            <v>EE5130</v>
          </cell>
          <cell r="F321">
            <v>3638.22</v>
          </cell>
        </row>
        <row r="322">
          <cell r="A322" t="str">
            <v>EE5130</v>
          </cell>
          <cell r="F322">
            <v>-812373.97</v>
          </cell>
        </row>
        <row r="323">
          <cell r="A323" t="str">
            <v>EE5130</v>
          </cell>
          <cell r="F323">
            <v>-795323.08</v>
          </cell>
        </row>
        <row r="324">
          <cell r="A324" t="str">
            <v>EE5130</v>
          </cell>
          <cell r="F324">
            <v>25042.36</v>
          </cell>
        </row>
        <row r="325">
          <cell r="A325" t="str">
            <v>EE5130</v>
          </cell>
          <cell r="F325">
            <v>-121206.96</v>
          </cell>
        </row>
        <row r="326">
          <cell r="A326" t="str">
            <v>EE5130</v>
          </cell>
          <cell r="F326">
            <v>-30</v>
          </cell>
        </row>
        <row r="327">
          <cell r="A327" t="str">
            <v>EE5130</v>
          </cell>
          <cell r="F327">
            <v>-63</v>
          </cell>
        </row>
        <row r="328">
          <cell r="A328" t="str">
            <v>EE5130</v>
          </cell>
          <cell r="F328">
            <v>-81.5</v>
          </cell>
        </row>
        <row r="329">
          <cell r="A329" t="str">
            <v>EE5210</v>
          </cell>
          <cell r="F329">
            <v>113.8</v>
          </cell>
        </row>
        <row r="330">
          <cell r="A330" t="str">
            <v>EE5210</v>
          </cell>
          <cell r="F330">
            <v>1058620.96</v>
          </cell>
        </row>
        <row r="331">
          <cell r="A331" t="str">
            <v>EE5210</v>
          </cell>
          <cell r="F331">
            <v>-42.5</v>
          </cell>
        </row>
        <row r="332">
          <cell r="A332" t="str">
            <v>EE5210</v>
          </cell>
          <cell r="F332">
            <v>37176.89</v>
          </cell>
        </row>
        <row r="333">
          <cell r="A333" t="str">
            <v>EE5220</v>
          </cell>
          <cell r="F333">
            <v>7283.45</v>
          </cell>
        </row>
        <row r="334">
          <cell r="A334" t="str">
            <v>EE6110</v>
          </cell>
          <cell r="F334">
            <v>1231815.95</v>
          </cell>
        </row>
        <row r="335">
          <cell r="A335" t="str">
            <v>EE6110</v>
          </cell>
          <cell r="F335">
            <v>8585220.5500000007</v>
          </cell>
        </row>
        <row r="336">
          <cell r="A336" t="str">
            <v>EE6120</v>
          </cell>
          <cell r="F336">
            <v>13841.97</v>
          </cell>
        </row>
        <row r="337">
          <cell r="A337" t="str">
            <v>EE6120</v>
          </cell>
          <cell r="F337">
            <v>-149221.32</v>
          </cell>
        </row>
        <row r="338">
          <cell r="A338" t="str">
            <v>EE6120</v>
          </cell>
          <cell r="F338">
            <v>2699451.89</v>
          </cell>
        </row>
        <row r="339">
          <cell r="A339" t="str">
            <v>EE6200</v>
          </cell>
          <cell r="F339">
            <v>7857.86</v>
          </cell>
        </row>
        <row r="340">
          <cell r="A340" t="str">
            <v>EE6200</v>
          </cell>
          <cell r="F340">
            <v>78630.100000000006</v>
          </cell>
        </row>
        <row r="341">
          <cell r="A341" t="str">
            <v>EE6200</v>
          </cell>
          <cell r="F341">
            <v>5225.3999999999996</v>
          </cell>
        </row>
        <row r="342">
          <cell r="A342" t="str">
            <v>EE6200</v>
          </cell>
          <cell r="F342">
            <v>59180.99</v>
          </cell>
        </row>
        <row r="343">
          <cell r="A343" t="str">
            <v>EE6200</v>
          </cell>
          <cell r="F343">
            <v>5354.82</v>
          </cell>
        </row>
        <row r="344">
          <cell r="A344" t="str">
            <v>EE6200</v>
          </cell>
          <cell r="F344">
            <v>96697.29</v>
          </cell>
        </row>
        <row r="345">
          <cell r="A345" t="str">
            <v>EE6200</v>
          </cell>
          <cell r="F345">
            <v>13810</v>
          </cell>
        </row>
        <row r="346">
          <cell r="A346" t="str">
            <v>EE6200</v>
          </cell>
          <cell r="F346">
            <v>222.5</v>
          </cell>
        </row>
        <row r="347">
          <cell r="A347" t="str">
            <v>EE6200</v>
          </cell>
          <cell r="F347">
            <v>3985</v>
          </cell>
        </row>
        <row r="348">
          <cell r="A348" t="str">
            <v>EE6200</v>
          </cell>
          <cell r="F348">
            <v>160</v>
          </cell>
        </row>
        <row r="349">
          <cell r="A349" t="str">
            <v>EE6200</v>
          </cell>
          <cell r="F349">
            <v>2266.04</v>
          </cell>
        </row>
        <row r="350">
          <cell r="A350" t="str">
            <v>EE6200</v>
          </cell>
          <cell r="F350">
            <v>6644.09</v>
          </cell>
        </row>
        <row r="351">
          <cell r="A351" t="str">
            <v>EE6200</v>
          </cell>
          <cell r="F351">
            <v>1150</v>
          </cell>
        </row>
        <row r="352">
          <cell r="A352" t="str">
            <v>EE6200</v>
          </cell>
          <cell r="F352">
            <v>-6080.74</v>
          </cell>
        </row>
        <row r="353">
          <cell r="A353" t="str">
            <v>EE6200</v>
          </cell>
          <cell r="F353">
            <v>7196332.7300000004</v>
          </cell>
        </row>
        <row r="354">
          <cell r="A354" t="str">
            <v>EE6200</v>
          </cell>
          <cell r="F354">
            <v>78749.570000000007</v>
          </cell>
        </row>
        <row r="355">
          <cell r="A355" t="str">
            <v>EE6200</v>
          </cell>
          <cell r="F355">
            <v>-39682.400000000001</v>
          </cell>
        </row>
        <row r="356">
          <cell r="A356" t="str">
            <v>EE6200</v>
          </cell>
          <cell r="F356">
            <v>-22</v>
          </cell>
        </row>
        <row r="357">
          <cell r="A357" t="str">
            <v>EE6200</v>
          </cell>
          <cell r="F357">
            <v>8325</v>
          </cell>
        </row>
        <row r="358">
          <cell r="A358" t="str">
            <v>EE6200</v>
          </cell>
          <cell r="F358">
            <v>-11016898.09</v>
          </cell>
        </row>
        <row r="359">
          <cell r="A359" t="str">
            <v>EE6200</v>
          </cell>
          <cell r="F359">
            <v>8804.5499999999993</v>
          </cell>
        </row>
        <row r="360">
          <cell r="A360" t="str">
            <v>EE6200</v>
          </cell>
          <cell r="F360">
            <v>-570681.55000000005</v>
          </cell>
        </row>
        <row r="361">
          <cell r="A361" t="str">
            <v>EE6200</v>
          </cell>
          <cell r="F361">
            <v>15163.98</v>
          </cell>
        </row>
        <row r="362">
          <cell r="A362" t="str">
            <v>EE6200</v>
          </cell>
          <cell r="F362">
            <v>0</v>
          </cell>
        </row>
        <row r="363">
          <cell r="A363" t="str">
            <v>EE7210</v>
          </cell>
          <cell r="F363">
            <v>818880.65</v>
          </cell>
        </row>
        <row r="364">
          <cell r="A364" t="str">
            <v>EE7221</v>
          </cell>
          <cell r="F364">
            <v>23317.84</v>
          </cell>
        </row>
        <row r="365">
          <cell r="A365" t="str">
            <v>EE7221</v>
          </cell>
          <cell r="F365">
            <v>1120973.1000000001</v>
          </cell>
        </row>
        <row r="366">
          <cell r="A366" t="str">
            <v>EE7222</v>
          </cell>
          <cell r="F366">
            <v>17576.46</v>
          </cell>
        </row>
        <row r="367">
          <cell r="A367" t="str">
            <v>EE7222</v>
          </cell>
          <cell r="F367">
            <v>2731.72</v>
          </cell>
        </row>
        <row r="368">
          <cell r="A368" t="str">
            <v>EE7223</v>
          </cell>
          <cell r="F368">
            <v>100089.42</v>
          </cell>
        </row>
        <row r="369">
          <cell r="A369" t="str">
            <v>EE7223</v>
          </cell>
          <cell r="F369">
            <v>80794.11</v>
          </cell>
        </row>
        <row r="370">
          <cell r="A370" t="str">
            <v>EE7223</v>
          </cell>
          <cell r="F370">
            <v>678009.39</v>
          </cell>
        </row>
        <row r="371">
          <cell r="A371" t="str">
            <v>EE7223</v>
          </cell>
          <cell r="F371">
            <v>379512.82</v>
          </cell>
        </row>
        <row r="372">
          <cell r="A372" t="str">
            <v>EE7223</v>
          </cell>
          <cell r="F372">
            <v>190372.28</v>
          </cell>
        </row>
        <row r="373">
          <cell r="A373" t="str">
            <v>EE7224</v>
          </cell>
          <cell r="F373">
            <v>-725</v>
          </cell>
        </row>
        <row r="374">
          <cell r="A374" t="str">
            <v>EE7224</v>
          </cell>
          <cell r="F374">
            <v>14558.74</v>
          </cell>
        </row>
        <row r="375">
          <cell r="A375" t="str">
            <v>EE7224</v>
          </cell>
          <cell r="F375">
            <v>37117.17</v>
          </cell>
        </row>
        <row r="376">
          <cell r="A376" t="str">
            <v>EE7224</v>
          </cell>
          <cell r="F376">
            <v>219909.36</v>
          </cell>
        </row>
        <row r="377">
          <cell r="A377" t="str">
            <v>EE7224</v>
          </cell>
          <cell r="F377">
            <v>200</v>
          </cell>
        </row>
        <row r="378">
          <cell r="A378" t="str">
            <v>EE7224</v>
          </cell>
          <cell r="F378">
            <v>450</v>
          </cell>
        </row>
        <row r="379">
          <cell r="A379" t="str">
            <v>EE7231</v>
          </cell>
          <cell r="F379">
            <v>263542.59999999998</v>
          </cell>
        </row>
        <row r="380">
          <cell r="A380" t="str">
            <v>EE7232</v>
          </cell>
          <cell r="F380">
            <v>227.15</v>
          </cell>
        </row>
        <row r="381">
          <cell r="A381" t="str">
            <v>EE7232</v>
          </cell>
          <cell r="F381">
            <v>219261.06</v>
          </cell>
        </row>
        <row r="382">
          <cell r="A382" t="str">
            <v>EE7241</v>
          </cell>
          <cell r="F382">
            <v>139170.84</v>
          </cell>
        </row>
        <row r="383">
          <cell r="A383" t="str">
            <v>EE7242</v>
          </cell>
          <cell r="F383">
            <v>44169.01</v>
          </cell>
        </row>
        <row r="384">
          <cell r="A384" t="str">
            <v>EE7242</v>
          </cell>
          <cell r="F384">
            <v>-173.5</v>
          </cell>
        </row>
        <row r="385">
          <cell r="A385" t="str">
            <v>EE7242</v>
          </cell>
          <cell r="F385">
            <v>364.21</v>
          </cell>
        </row>
        <row r="386">
          <cell r="A386" t="str">
            <v>EE7242</v>
          </cell>
          <cell r="F386">
            <v>90018.65</v>
          </cell>
        </row>
        <row r="387">
          <cell r="A387" t="str">
            <v>EE7242</v>
          </cell>
          <cell r="F387">
            <v>81311.77</v>
          </cell>
        </row>
        <row r="388">
          <cell r="A388" t="str">
            <v>EE7243</v>
          </cell>
          <cell r="F388">
            <v>397.5</v>
          </cell>
        </row>
        <row r="389">
          <cell r="A389" t="str">
            <v>EE7243</v>
          </cell>
          <cell r="F389">
            <v>58878.47</v>
          </cell>
        </row>
        <row r="390">
          <cell r="A390" t="str">
            <v>EE7243</v>
          </cell>
          <cell r="F390">
            <v>4525.6400000000003</v>
          </cell>
        </row>
        <row r="391">
          <cell r="A391" t="str">
            <v>EE7251</v>
          </cell>
          <cell r="F391">
            <v>110857.58</v>
          </cell>
        </row>
        <row r="392">
          <cell r="A392" t="str">
            <v>EE7252</v>
          </cell>
          <cell r="F392">
            <v>771170.4</v>
          </cell>
        </row>
        <row r="393">
          <cell r="A393" t="str">
            <v>EE7253</v>
          </cell>
          <cell r="F393">
            <v>100841.43</v>
          </cell>
        </row>
        <row r="394">
          <cell r="A394" t="str">
            <v>EE7254</v>
          </cell>
          <cell r="F394">
            <v>18380.71</v>
          </cell>
        </row>
        <row r="395">
          <cell r="A395" t="str">
            <v>EE7254</v>
          </cell>
          <cell r="F395">
            <v>51697.05</v>
          </cell>
        </row>
        <row r="396">
          <cell r="A396" t="str">
            <v>EE7254</v>
          </cell>
          <cell r="F396">
            <v>113038.88</v>
          </cell>
        </row>
        <row r="397">
          <cell r="A397" t="str">
            <v>EE7255</v>
          </cell>
          <cell r="F397">
            <v>7250</v>
          </cell>
        </row>
        <row r="398">
          <cell r="A398" t="str">
            <v>EE7255</v>
          </cell>
          <cell r="F398">
            <v>25375</v>
          </cell>
        </row>
        <row r="399">
          <cell r="A399" t="str">
            <v>EE7258</v>
          </cell>
          <cell r="F399">
            <v>112066.43</v>
          </cell>
        </row>
        <row r="400">
          <cell r="A400" t="str">
            <v>EE7258</v>
          </cell>
          <cell r="F400">
            <v>5216419.22</v>
          </cell>
        </row>
        <row r="401">
          <cell r="A401" t="str">
            <v>EE7258</v>
          </cell>
          <cell r="F401">
            <v>14038.96</v>
          </cell>
        </row>
        <row r="402">
          <cell r="A402" t="str">
            <v>EE7258</v>
          </cell>
          <cell r="F402">
            <v>494514.35</v>
          </cell>
        </row>
        <row r="403">
          <cell r="A403" t="str">
            <v>EE7258</v>
          </cell>
          <cell r="F403">
            <v>730430.23</v>
          </cell>
        </row>
        <row r="404">
          <cell r="A404" t="str">
            <v>EE7258</v>
          </cell>
          <cell r="F404">
            <v>48527.16</v>
          </cell>
        </row>
        <row r="405">
          <cell r="A405" t="str">
            <v>EE7258</v>
          </cell>
          <cell r="F405">
            <v>2795.57</v>
          </cell>
        </row>
        <row r="406">
          <cell r="A406" t="str">
            <v>EE7258</v>
          </cell>
          <cell r="F406">
            <v>118236.84</v>
          </cell>
        </row>
        <row r="407">
          <cell r="A407" t="str">
            <v>EE7258</v>
          </cell>
          <cell r="F407">
            <v>2797.47</v>
          </cell>
        </row>
        <row r="408">
          <cell r="A408" t="str">
            <v>EE725A</v>
          </cell>
          <cell r="F408">
            <v>3352568.1</v>
          </cell>
        </row>
        <row r="409">
          <cell r="A409" t="str">
            <v>EE725A</v>
          </cell>
          <cell r="F409">
            <v>124.71</v>
          </cell>
        </row>
        <row r="410">
          <cell r="A410" t="str">
            <v>EE725A</v>
          </cell>
          <cell r="F410">
            <v>14780.1</v>
          </cell>
        </row>
        <row r="411">
          <cell r="A411" t="str">
            <v>EE725A</v>
          </cell>
          <cell r="F411">
            <v>47682.37</v>
          </cell>
        </row>
        <row r="412">
          <cell r="A412" t="str">
            <v>EE725A</v>
          </cell>
          <cell r="F412">
            <v>1519.65</v>
          </cell>
        </row>
        <row r="413">
          <cell r="A413" t="str">
            <v>EE725A</v>
          </cell>
          <cell r="F413">
            <v>6371.04</v>
          </cell>
        </row>
        <row r="414">
          <cell r="A414" t="str">
            <v>EE725A</v>
          </cell>
          <cell r="F414">
            <v>13907.84</v>
          </cell>
        </row>
        <row r="415">
          <cell r="A415" t="str">
            <v>EE7261</v>
          </cell>
          <cell r="F415">
            <v>106286.78</v>
          </cell>
        </row>
        <row r="416">
          <cell r="A416" t="str">
            <v>EE7261</v>
          </cell>
          <cell r="F416">
            <v>19711.62</v>
          </cell>
        </row>
        <row r="417">
          <cell r="A417" t="str">
            <v>EE7265</v>
          </cell>
          <cell r="F417">
            <v>-225</v>
          </cell>
        </row>
        <row r="418">
          <cell r="A418" t="str">
            <v>EE7265</v>
          </cell>
          <cell r="F418">
            <v>582.29</v>
          </cell>
        </row>
        <row r="419">
          <cell r="A419" t="str">
            <v>EE7266</v>
          </cell>
          <cell r="F419">
            <v>198216.15</v>
          </cell>
        </row>
        <row r="420">
          <cell r="A420" t="str">
            <v>EE7266</v>
          </cell>
          <cell r="F420">
            <v>199044.17</v>
          </cell>
        </row>
        <row r="421">
          <cell r="A421" t="str">
            <v>EE7267</v>
          </cell>
          <cell r="F421">
            <v>91573.27</v>
          </cell>
        </row>
        <row r="422">
          <cell r="A422" t="str">
            <v>EE7268</v>
          </cell>
          <cell r="F422">
            <v>405527.41</v>
          </cell>
        </row>
        <row r="423">
          <cell r="A423" t="str">
            <v>EE7268</v>
          </cell>
          <cell r="F423">
            <v>-5578.83</v>
          </cell>
        </row>
        <row r="424">
          <cell r="A424" t="str">
            <v>EE726B</v>
          </cell>
          <cell r="F424">
            <v>-14819.19</v>
          </cell>
        </row>
        <row r="425">
          <cell r="A425" t="str">
            <v>EE726B</v>
          </cell>
          <cell r="F425">
            <v>3791845.06</v>
          </cell>
        </row>
        <row r="426">
          <cell r="A426" t="str">
            <v>EE726B</v>
          </cell>
          <cell r="F426">
            <v>1161745.8500000001</v>
          </cell>
        </row>
        <row r="427">
          <cell r="A427" t="str">
            <v>EE726B</v>
          </cell>
          <cell r="F427">
            <v>4293052.37</v>
          </cell>
        </row>
        <row r="428">
          <cell r="A428" t="str">
            <v>EE726C</v>
          </cell>
          <cell r="F428">
            <v>7.0000000000000007E-2</v>
          </cell>
        </row>
        <row r="429">
          <cell r="A429" t="str">
            <v>EE726C</v>
          </cell>
          <cell r="F429">
            <v>-72.059999999994005</v>
          </cell>
        </row>
        <row r="430">
          <cell r="A430" t="str">
            <v>EE726C</v>
          </cell>
          <cell r="F430">
            <v>-33381.870000000003</v>
          </cell>
        </row>
        <row r="431">
          <cell r="A431" t="str">
            <v>EE726C</v>
          </cell>
          <cell r="F431">
            <v>-53088.17</v>
          </cell>
        </row>
        <row r="432">
          <cell r="A432" t="str">
            <v>EE726D</v>
          </cell>
          <cell r="F432">
            <v>-28872.02</v>
          </cell>
        </row>
        <row r="433">
          <cell r="A433" t="str">
            <v>EE726D</v>
          </cell>
          <cell r="F433">
            <v>-13156.02</v>
          </cell>
        </row>
        <row r="434">
          <cell r="A434" t="str">
            <v>EE726D</v>
          </cell>
          <cell r="F434">
            <v>-47150.65</v>
          </cell>
        </row>
        <row r="435">
          <cell r="A435" t="str">
            <v>EE726D</v>
          </cell>
          <cell r="F435">
            <v>-85660.24</v>
          </cell>
        </row>
        <row r="436">
          <cell r="A436" t="str">
            <v>EE726D</v>
          </cell>
          <cell r="F436">
            <v>-23065.01</v>
          </cell>
        </row>
        <row r="437">
          <cell r="A437" t="str">
            <v>EE726D</v>
          </cell>
          <cell r="F437">
            <v>-107363.06</v>
          </cell>
        </row>
        <row r="438">
          <cell r="A438" t="str">
            <v>EE726X</v>
          </cell>
          <cell r="F438">
            <v>487.05</v>
          </cell>
        </row>
        <row r="439">
          <cell r="A439" t="str">
            <v>EE726X</v>
          </cell>
          <cell r="F439">
            <v>512.97</v>
          </cell>
        </row>
        <row r="440">
          <cell r="A440" t="str">
            <v>EE726Y</v>
          </cell>
          <cell r="F440">
            <v>-14.7</v>
          </cell>
        </row>
        <row r="441">
          <cell r="A441" t="str">
            <v>EE726Y</v>
          </cell>
          <cell r="F441">
            <v>-6.53000000000001</v>
          </cell>
        </row>
        <row r="442">
          <cell r="A442" t="str">
            <v>EE727B</v>
          </cell>
          <cell r="F442">
            <v>3465.5</v>
          </cell>
        </row>
        <row r="443">
          <cell r="A443" t="str">
            <v>EE727E</v>
          </cell>
          <cell r="F443">
            <v>-11153.39</v>
          </cell>
        </row>
        <row r="444">
          <cell r="A444" t="str">
            <v>EE8000</v>
          </cell>
          <cell r="F444">
            <v>-287469.09000000003</v>
          </cell>
        </row>
        <row r="445">
          <cell r="A445" t="str">
            <v>EE8000</v>
          </cell>
          <cell r="F445">
            <v>368829.49</v>
          </cell>
        </row>
        <row r="446">
          <cell r="A446" t="str">
            <v>EE8000</v>
          </cell>
          <cell r="F446">
            <v>488020.44</v>
          </cell>
        </row>
        <row r="447">
          <cell r="A447" t="str">
            <v>EE8000</v>
          </cell>
          <cell r="F447">
            <v>400789.75</v>
          </cell>
        </row>
        <row r="448">
          <cell r="A448" t="str">
            <v>EE8000</v>
          </cell>
          <cell r="F448">
            <v>332808.15000000002</v>
          </cell>
        </row>
        <row r="449">
          <cell r="A449" t="str">
            <v>EE8000</v>
          </cell>
          <cell r="F449">
            <v>183770.95</v>
          </cell>
        </row>
        <row r="450">
          <cell r="A450" t="str">
            <v>EE8000</v>
          </cell>
          <cell r="F450">
            <v>0</v>
          </cell>
        </row>
        <row r="451">
          <cell r="A451" t="str">
            <v>EE8000</v>
          </cell>
          <cell r="F451">
            <v>-403936.97</v>
          </cell>
        </row>
        <row r="452">
          <cell r="A452" t="str">
            <v>EE8000</v>
          </cell>
          <cell r="F452">
            <v>-269392.77</v>
          </cell>
        </row>
        <row r="453">
          <cell r="A453" t="str">
            <v>EE8000</v>
          </cell>
          <cell r="F453">
            <v>-512527.7</v>
          </cell>
        </row>
        <row r="454">
          <cell r="A454" t="str">
            <v>EE8000</v>
          </cell>
          <cell r="F454">
            <v>69411.42</v>
          </cell>
        </row>
        <row r="455">
          <cell r="A455" t="str">
            <v>EE8000</v>
          </cell>
          <cell r="F455" t="str">
            <v/>
          </cell>
        </row>
        <row r="456">
          <cell r="A456" t="str">
            <v>EE8000</v>
          </cell>
          <cell r="F456">
            <v>-2613584.9500000002</v>
          </cell>
        </row>
        <row r="457">
          <cell r="A457" t="str">
            <v>EE9000</v>
          </cell>
          <cell r="F457">
            <v>225000</v>
          </cell>
        </row>
        <row r="458">
          <cell r="A458" t="str">
            <v>EE9040</v>
          </cell>
          <cell r="F458">
            <v>85000</v>
          </cell>
        </row>
        <row r="459">
          <cell r="A459" t="str">
            <v>GH1010</v>
          </cell>
          <cell r="F459">
            <v>-25000</v>
          </cell>
        </row>
        <row r="460">
          <cell r="A460" t="str">
            <v>GH1010</v>
          </cell>
          <cell r="F460">
            <v>4514327.24</v>
          </cell>
        </row>
        <row r="461">
          <cell r="A461" t="str">
            <v>GH1010</v>
          </cell>
          <cell r="F461">
            <v>453.14</v>
          </cell>
        </row>
        <row r="462">
          <cell r="A462" t="str">
            <v>GH1020</v>
          </cell>
          <cell r="F462">
            <v>-312893.93</v>
          </cell>
        </row>
        <row r="463">
          <cell r="A463" t="str">
            <v>GH1020</v>
          </cell>
          <cell r="F463">
            <v>194.47</v>
          </cell>
        </row>
        <row r="464">
          <cell r="A464" t="str">
            <v>GH1110</v>
          </cell>
          <cell r="F464">
            <v>17710</v>
          </cell>
        </row>
        <row r="465">
          <cell r="A465" t="str">
            <v>GH1110</v>
          </cell>
          <cell r="F465">
            <v>2725401.57</v>
          </cell>
        </row>
        <row r="466">
          <cell r="A466" t="str">
            <v>GH1110</v>
          </cell>
          <cell r="F466">
            <v>-1138.9100000000001</v>
          </cell>
        </row>
        <row r="467">
          <cell r="A467" t="str">
            <v>GH1120</v>
          </cell>
          <cell r="F467">
            <v>38489.410000000003</v>
          </cell>
        </row>
        <row r="468">
          <cell r="A468" t="str">
            <v>GH1120</v>
          </cell>
          <cell r="F468">
            <v>5771636.5</v>
          </cell>
        </row>
        <row r="469">
          <cell r="A469" t="str">
            <v>GH1120</v>
          </cell>
          <cell r="F469">
            <v>9594.48</v>
          </cell>
        </row>
        <row r="470">
          <cell r="A470" t="str">
            <v>GH1120</v>
          </cell>
          <cell r="F470">
            <v>5026.79</v>
          </cell>
        </row>
        <row r="471">
          <cell r="A471" t="str">
            <v>GH1120</v>
          </cell>
          <cell r="F471">
            <v>13675.24</v>
          </cell>
        </row>
        <row r="472">
          <cell r="A472" t="str">
            <v>GH1200</v>
          </cell>
          <cell r="F472">
            <v>1100</v>
          </cell>
        </row>
        <row r="473">
          <cell r="A473" t="str">
            <v>GH1200</v>
          </cell>
          <cell r="F473">
            <v>-632.6</v>
          </cell>
        </row>
        <row r="474">
          <cell r="A474" t="str">
            <v>GH2000</v>
          </cell>
          <cell r="F474">
            <v>14289461.76</v>
          </cell>
        </row>
        <row r="475">
          <cell r="A475" t="str">
            <v>GH2000</v>
          </cell>
          <cell r="F475">
            <v>34480</v>
          </cell>
        </row>
        <row r="476">
          <cell r="A476" t="str">
            <v>GH2000</v>
          </cell>
          <cell r="F476">
            <v>1380</v>
          </cell>
        </row>
        <row r="477">
          <cell r="A477" t="str">
            <v>GH2000</v>
          </cell>
          <cell r="F477">
            <v>160</v>
          </cell>
        </row>
        <row r="478">
          <cell r="A478" t="str">
            <v>GH2210</v>
          </cell>
          <cell r="F478">
            <v>888</v>
          </cell>
        </row>
        <row r="479">
          <cell r="A479" t="str">
            <v>GH2210</v>
          </cell>
          <cell r="F479">
            <v>2050</v>
          </cell>
        </row>
        <row r="480">
          <cell r="A480" t="str">
            <v>GH2221</v>
          </cell>
          <cell r="F480">
            <v>27650</v>
          </cell>
        </row>
        <row r="481">
          <cell r="A481" t="str">
            <v>GH2221</v>
          </cell>
          <cell r="F481">
            <v>100</v>
          </cell>
        </row>
        <row r="482">
          <cell r="A482" t="str">
            <v>GH2231</v>
          </cell>
          <cell r="F482">
            <v>100</v>
          </cell>
        </row>
        <row r="483">
          <cell r="A483" t="str">
            <v>GH2310</v>
          </cell>
          <cell r="F483">
            <v>2145</v>
          </cell>
        </row>
        <row r="484">
          <cell r="A484" t="str">
            <v>GH2310</v>
          </cell>
          <cell r="F484">
            <v>67797.460000000006</v>
          </cell>
        </row>
        <row r="485">
          <cell r="A485" t="str">
            <v>GH2310</v>
          </cell>
          <cell r="F485">
            <v>195</v>
          </cell>
        </row>
        <row r="486">
          <cell r="A486" t="str">
            <v>GH2320</v>
          </cell>
          <cell r="F486">
            <v>786820.65</v>
          </cell>
        </row>
        <row r="487">
          <cell r="A487" t="str">
            <v>GH2320</v>
          </cell>
          <cell r="F487">
            <v>5822.01</v>
          </cell>
        </row>
        <row r="488">
          <cell r="A488" t="str">
            <v>GH2410</v>
          </cell>
          <cell r="F488">
            <v>61620</v>
          </cell>
        </row>
        <row r="489">
          <cell r="A489" t="str">
            <v>GH2420</v>
          </cell>
          <cell r="F489">
            <v>367553.38</v>
          </cell>
        </row>
        <row r="490">
          <cell r="A490" t="str">
            <v>GH2420</v>
          </cell>
          <cell r="F490">
            <v>531.73</v>
          </cell>
        </row>
        <row r="491">
          <cell r="A491" t="str">
            <v>GH2600</v>
          </cell>
          <cell r="F491">
            <v>13032.65</v>
          </cell>
        </row>
        <row r="492">
          <cell r="A492" t="str">
            <v>GH3010</v>
          </cell>
          <cell r="F492">
            <v>1303896.5</v>
          </cell>
        </row>
        <row r="493">
          <cell r="A493" t="str">
            <v>GH3010</v>
          </cell>
          <cell r="F493">
            <v>5799.09</v>
          </cell>
        </row>
        <row r="494">
          <cell r="A494" t="str">
            <v>GH3020</v>
          </cell>
          <cell r="F494">
            <v>-18132.53</v>
          </cell>
        </row>
        <row r="495">
          <cell r="A495" t="str">
            <v>GH3020</v>
          </cell>
          <cell r="F495">
            <v>70980.52</v>
          </cell>
        </row>
        <row r="496">
          <cell r="A496" t="str">
            <v>GH3100</v>
          </cell>
          <cell r="F496">
            <v>22112.5</v>
          </cell>
        </row>
        <row r="497">
          <cell r="A497" t="str">
            <v>GH3100</v>
          </cell>
          <cell r="F497">
            <v>31962.5</v>
          </cell>
        </row>
        <row r="498">
          <cell r="A498" t="str">
            <v>GH3200</v>
          </cell>
          <cell r="F498">
            <v>79964.320000000007</v>
          </cell>
        </row>
        <row r="499">
          <cell r="A499" t="str">
            <v>GH3200</v>
          </cell>
          <cell r="F499">
            <v>2839.2</v>
          </cell>
        </row>
        <row r="500">
          <cell r="A500" t="str">
            <v>GH3200</v>
          </cell>
          <cell r="F500">
            <v>4735817.1900000004</v>
          </cell>
        </row>
        <row r="501">
          <cell r="A501" t="str">
            <v>GH3200</v>
          </cell>
          <cell r="F501">
            <v>1380.13</v>
          </cell>
        </row>
        <row r="502">
          <cell r="A502" t="str">
            <v>GH3200</v>
          </cell>
          <cell r="F502">
            <v>277082.86</v>
          </cell>
        </row>
        <row r="503">
          <cell r="A503" t="str">
            <v>GH3200</v>
          </cell>
          <cell r="F503">
            <v>-7211.23</v>
          </cell>
        </row>
        <row r="504">
          <cell r="A504" t="str">
            <v>GH3200</v>
          </cell>
          <cell r="F504">
            <v>-450.17</v>
          </cell>
        </row>
        <row r="505">
          <cell r="A505" t="str">
            <v>GH3200</v>
          </cell>
          <cell r="F505">
            <v>6.9</v>
          </cell>
        </row>
        <row r="506">
          <cell r="A506" t="str">
            <v>GH3200</v>
          </cell>
          <cell r="F506">
            <v>18368.39</v>
          </cell>
        </row>
        <row r="507">
          <cell r="A507" t="str">
            <v>GH3300</v>
          </cell>
          <cell r="F507">
            <v>363608.41</v>
          </cell>
        </row>
        <row r="508">
          <cell r="A508" t="str">
            <v>GH3300</v>
          </cell>
          <cell r="F508">
            <v>44674.57</v>
          </cell>
        </row>
        <row r="509">
          <cell r="A509" t="str">
            <v>GH3410</v>
          </cell>
          <cell r="F509">
            <v>15666.79</v>
          </cell>
        </row>
        <row r="510">
          <cell r="A510" t="str">
            <v>GH3410</v>
          </cell>
          <cell r="F510">
            <v>27843.99</v>
          </cell>
        </row>
        <row r="511">
          <cell r="A511" t="str">
            <v>GH3510</v>
          </cell>
          <cell r="F511">
            <v>7431.37</v>
          </cell>
        </row>
        <row r="512">
          <cell r="A512" t="str">
            <v>GH3510</v>
          </cell>
          <cell r="F512">
            <v>84464.8</v>
          </cell>
        </row>
        <row r="513">
          <cell r="A513" t="str">
            <v>GH3510</v>
          </cell>
          <cell r="F513">
            <v>20631.28</v>
          </cell>
        </row>
        <row r="514">
          <cell r="A514" t="str">
            <v>GH3510</v>
          </cell>
          <cell r="F514">
            <v>94431.5</v>
          </cell>
        </row>
        <row r="515">
          <cell r="A515" t="str">
            <v>GH3520</v>
          </cell>
          <cell r="F515">
            <v>58049.5</v>
          </cell>
        </row>
        <row r="516">
          <cell r="A516" t="str">
            <v>GH3520</v>
          </cell>
          <cell r="F516">
            <v>-4097.8599999999997</v>
          </cell>
        </row>
        <row r="517">
          <cell r="A517" t="str">
            <v>GH4001</v>
          </cell>
          <cell r="F517">
            <v>-2559667.58</v>
          </cell>
        </row>
        <row r="518">
          <cell r="A518" t="str">
            <v>GH4001</v>
          </cell>
          <cell r="F518">
            <v>-436001.46</v>
          </cell>
        </row>
        <row r="519">
          <cell r="A519" t="str">
            <v>GH4001</v>
          </cell>
          <cell r="F519">
            <v>235487.64</v>
          </cell>
        </row>
        <row r="520">
          <cell r="A520" t="str">
            <v>GH4001</v>
          </cell>
          <cell r="F520">
            <v>-2568682.0499999998</v>
          </cell>
        </row>
        <row r="521">
          <cell r="A521" t="str">
            <v>GH4002</v>
          </cell>
          <cell r="F521">
            <v>-152</v>
          </cell>
        </row>
        <row r="522">
          <cell r="A522" t="str">
            <v>GH4002</v>
          </cell>
          <cell r="F522">
            <v>-5419188.0300000003</v>
          </cell>
        </row>
        <row r="523">
          <cell r="A523" t="str">
            <v>GH4002</v>
          </cell>
          <cell r="F523" t="str">
            <v/>
          </cell>
        </row>
        <row r="524">
          <cell r="A524" t="str">
            <v>GH4002</v>
          </cell>
          <cell r="F524">
            <v>-1203127.1399999999</v>
          </cell>
        </row>
        <row r="525">
          <cell r="A525" t="str">
            <v>GH4002</v>
          </cell>
          <cell r="F525" t="str">
            <v/>
          </cell>
        </row>
        <row r="526">
          <cell r="A526" t="str">
            <v>GH4002</v>
          </cell>
          <cell r="F526">
            <v>-194835.20000000001</v>
          </cell>
        </row>
        <row r="527">
          <cell r="A527" t="str">
            <v>GH410A</v>
          </cell>
          <cell r="F527">
            <v>-4117855.6</v>
          </cell>
        </row>
        <row r="528">
          <cell r="A528" t="str">
            <v>GH410A</v>
          </cell>
          <cell r="F528">
            <v>-4850865.6900000004</v>
          </cell>
        </row>
        <row r="529">
          <cell r="A529" t="str">
            <v>GH410A</v>
          </cell>
          <cell r="F529">
            <v>0</v>
          </cell>
        </row>
        <row r="530">
          <cell r="A530" t="str">
            <v>GH410A</v>
          </cell>
          <cell r="F530">
            <v>-5512548.3899999997</v>
          </cell>
        </row>
        <row r="531">
          <cell r="A531" t="str">
            <v>GH410A</v>
          </cell>
          <cell r="F531">
            <v>-47164.44</v>
          </cell>
        </row>
        <row r="532">
          <cell r="A532" t="str">
            <v>GH410A</v>
          </cell>
          <cell r="F532">
            <v>-324892.13</v>
          </cell>
        </row>
        <row r="533">
          <cell r="A533" t="str">
            <v>GH410A</v>
          </cell>
          <cell r="F533">
            <v>4177.83</v>
          </cell>
        </row>
        <row r="534">
          <cell r="A534" t="str">
            <v>GH410A</v>
          </cell>
          <cell r="F534">
            <v>-57164.9</v>
          </cell>
        </row>
        <row r="535">
          <cell r="A535" t="str">
            <v>GH410A</v>
          </cell>
          <cell r="F535">
            <v>-44292496.579999998</v>
          </cell>
        </row>
        <row r="536">
          <cell r="A536" t="str">
            <v>GH410A</v>
          </cell>
          <cell r="F536">
            <v>-124378485.42</v>
          </cell>
        </row>
        <row r="537">
          <cell r="A537" t="str">
            <v>GH410B</v>
          </cell>
          <cell r="F537">
            <v>-1409205.97</v>
          </cell>
        </row>
        <row r="538">
          <cell r="A538" t="str">
            <v>GH410B</v>
          </cell>
          <cell r="F538">
            <v>9436754.2599999998</v>
          </cell>
        </row>
        <row r="539">
          <cell r="A539" t="str">
            <v>GH410B</v>
          </cell>
          <cell r="F539">
            <v>10001443.93</v>
          </cell>
        </row>
        <row r="540">
          <cell r="A540" t="str">
            <v>GH410B</v>
          </cell>
          <cell r="F540">
            <v>139532885.83000001</v>
          </cell>
        </row>
        <row r="541">
          <cell r="A541" t="str">
            <v>GH411A</v>
          </cell>
          <cell r="F541">
            <v>-33547.69</v>
          </cell>
        </row>
        <row r="542">
          <cell r="A542" t="str">
            <v>GH412A</v>
          </cell>
          <cell r="F542">
            <v>36.220000000000297</v>
          </cell>
        </row>
        <row r="543">
          <cell r="A543" t="str">
            <v>GH4210</v>
          </cell>
          <cell r="F543">
            <v>-7842.12</v>
          </cell>
        </row>
        <row r="544">
          <cell r="A544" t="str">
            <v>GH4210</v>
          </cell>
          <cell r="F544">
            <v>-621.35</v>
          </cell>
        </row>
        <row r="545">
          <cell r="A545" t="str">
            <v>GH4210</v>
          </cell>
          <cell r="F545">
            <v>14287.2</v>
          </cell>
        </row>
        <row r="546">
          <cell r="A546" t="str">
            <v>GH4210</v>
          </cell>
          <cell r="F546">
            <v>-25488838.190000001</v>
          </cell>
        </row>
        <row r="547">
          <cell r="A547" t="str">
            <v>GH4210</v>
          </cell>
          <cell r="F547">
            <v>-4955.37</v>
          </cell>
        </row>
        <row r="548">
          <cell r="A548" t="str">
            <v>GH4210</v>
          </cell>
          <cell r="F548">
            <v>-600</v>
          </cell>
        </row>
        <row r="549">
          <cell r="A549" t="str">
            <v>GH4210</v>
          </cell>
          <cell r="F549">
            <v>-2391.39</v>
          </cell>
        </row>
        <row r="550">
          <cell r="A550" t="str">
            <v>GH4220</v>
          </cell>
          <cell r="F550">
            <v>-18.829999999999998</v>
          </cell>
        </row>
        <row r="551">
          <cell r="A551" t="str">
            <v>GH4220</v>
          </cell>
          <cell r="F551">
            <v>10854054.58</v>
          </cell>
        </row>
        <row r="552">
          <cell r="A552" t="str">
            <v>GH5100</v>
          </cell>
          <cell r="F552">
            <v>1922.07</v>
          </cell>
        </row>
        <row r="553">
          <cell r="A553" t="str">
            <v>GH5100</v>
          </cell>
          <cell r="F553">
            <v>-938.05</v>
          </cell>
        </row>
        <row r="554">
          <cell r="A554" t="str">
            <v>GH5100</v>
          </cell>
          <cell r="F554">
            <v>-139.61000000000001</v>
          </cell>
        </row>
        <row r="555">
          <cell r="A555" t="str">
            <v>GH5100</v>
          </cell>
          <cell r="F555">
            <v>4079.04</v>
          </cell>
        </row>
        <row r="556">
          <cell r="A556" t="str">
            <v>GH5100</v>
          </cell>
          <cell r="F556">
            <v>-183646.58</v>
          </cell>
        </row>
        <row r="557">
          <cell r="A557" t="str">
            <v>GH5990</v>
          </cell>
          <cell r="F557">
            <v>-59523.72</v>
          </cell>
        </row>
        <row r="558">
          <cell r="A558" t="str">
            <v>GH5996</v>
          </cell>
          <cell r="F558">
            <v>-2063783.79</v>
          </cell>
        </row>
        <row r="559">
          <cell r="A559" t="str">
            <v>GH5997</v>
          </cell>
          <cell r="F559">
            <v>602962.5</v>
          </cell>
        </row>
        <row r="560">
          <cell r="A560" t="str">
            <v>GH599B</v>
          </cell>
          <cell r="F560">
            <v>-341202.47</v>
          </cell>
        </row>
        <row r="561">
          <cell r="A561" t="str">
            <v>JJ1000</v>
          </cell>
          <cell r="F561">
            <v>1796782.16</v>
          </cell>
        </row>
        <row r="562">
          <cell r="A562" t="str">
            <v>JJ1000</v>
          </cell>
          <cell r="F562">
            <v>2140392.2400000002</v>
          </cell>
        </row>
        <row r="563">
          <cell r="A563" t="str">
            <v>JJ1000</v>
          </cell>
          <cell r="F563" t="str">
            <v/>
          </cell>
        </row>
        <row r="564">
          <cell r="A564" t="str">
            <v>JJ1000</v>
          </cell>
          <cell r="F564">
            <v>-29</v>
          </cell>
        </row>
        <row r="565">
          <cell r="A565" t="str">
            <v>JJ1000</v>
          </cell>
          <cell r="F565">
            <v>-137.5</v>
          </cell>
        </row>
        <row r="566">
          <cell r="A566" t="str">
            <v>JJ1000</v>
          </cell>
          <cell r="F566">
            <v>-18</v>
          </cell>
        </row>
        <row r="567">
          <cell r="A567" t="str">
            <v>JJ1000</v>
          </cell>
          <cell r="F567">
            <v>1420.92</v>
          </cell>
        </row>
        <row r="568">
          <cell r="A568" t="str">
            <v>JJ1000</v>
          </cell>
          <cell r="F568">
            <v>11765.3</v>
          </cell>
        </row>
        <row r="569">
          <cell r="A569" t="str">
            <v>JJ1000</v>
          </cell>
          <cell r="F569">
            <v>4158.47</v>
          </cell>
        </row>
        <row r="570">
          <cell r="A570" t="str">
            <v>JJ1000</v>
          </cell>
          <cell r="F570">
            <v>112734.93</v>
          </cell>
        </row>
        <row r="571">
          <cell r="A571" t="str">
            <v>JJ1000</v>
          </cell>
          <cell r="F571" t="str">
            <v/>
          </cell>
        </row>
        <row r="572">
          <cell r="A572" t="str">
            <v>JJ1100</v>
          </cell>
          <cell r="F572">
            <v>1418143.8</v>
          </cell>
        </row>
        <row r="573">
          <cell r="A573" t="str">
            <v>JJ1100</v>
          </cell>
          <cell r="F573">
            <v>-5068.49</v>
          </cell>
        </row>
        <row r="574">
          <cell r="A574" t="str">
            <v>JJ1100</v>
          </cell>
          <cell r="F574">
            <v>140</v>
          </cell>
        </row>
        <row r="575">
          <cell r="A575" t="str">
            <v>JJ1100</v>
          </cell>
          <cell r="F575">
            <v>-2432914.89</v>
          </cell>
        </row>
        <row r="576">
          <cell r="A576" t="str">
            <v>JJ1100</v>
          </cell>
          <cell r="F576">
            <v>160030.07999999999</v>
          </cell>
        </row>
        <row r="577">
          <cell r="A577" t="str">
            <v>JJ1100</v>
          </cell>
          <cell r="F577">
            <v>4470</v>
          </cell>
        </row>
        <row r="578">
          <cell r="A578" t="str">
            <v>JJ1100</v>
          </cell>
          <cell r="F578">
            <v>-8090</v>
          </cell>
        </row>
        <row r="579">
          <cell r="A579" t="str">
            <v>JJ1100</v>
          </cell>
          <cell r="F579">
            <v>-289725</v>
          </cell>
        </row>
        <row r="580">
          <cell r="A580" t="str">
            <v>JJ1100</v>
          </cell>
          <cell r="F580">
            <v>354.97</v>
          </cell>
        </row>
        <row r="581">
          <cell r="A581" t="str">
            <v>JJ1200</v>
          </cell>
          <cell r="F581">
            <v>58513.86</v>
          </cell>
        </row>
        <row r="582">
          <cell r="A582" t="str">
            <v>JJ1200</v>
          </cell>
          <cell r="F582">
            <v>567775.55000000005</v>
          </cell>
        </row>
        <row r="583">
          <cell r="A583" t="str">
            <v>JJ1200</v>
          </cell>
          <cell r="F583">
            <v>17158.77</v>
          </cell>
        </row>
        <row r="584">
          <cell r="A584" t="str">
            <v>JJ1200</v>
          </cell>
          <cell r="F584">
            <v>-363.47</v>
          </cell>
        </row>
        <row r="585">
          <cell r="A585" t="str">
            <v>JJ1200</v>
          </cell>
          <cell r="F585">
            <v>1469.82</v>
          </cell>
        </row>
        <row r="586">
          <cell r="A586" t="str">
            <v>JJ1200</v>
          </cell>
          <cell r="F586">
            <v>23413.16</v>
          </cell>
        </row>
        <row r="587">
          <cell r="A587" t="str">
            <v>JJ2000</v>
          </cell>
          <cell r="F587">
            <v>60</v>
          </cell>
        </row>
        <row r="588">
          <cell r="A588" t="str">
            <v>JJ2000</v>
          </cell>
          <cell r="F588">
            <v>160</v>
          </cell>
        </row>
        <row r="589">
          <cell r="A589" t="str">
            <v>JJ2000</v>
          </cell>
          <cell r="F589">
            <v>190.68</v>
          </cell>
        </row>
        <row r="590">
          <cell r="A590" t="str">
            <v>JJ2000</v>
          </cell>
          <cell r="F590">
            <v>3221.34</v>
          </cell>
        </row>
        <row r="591">
          <cell r="A591" t="str">
            <v>JJ2000</v>
          </cell>
          <cell r="F591">
            <v>20</v>
          </cell>
        </row>
        <row r="592">
          <cell r="A592" t="str">
            <v>JJ2100</v>
          </cell>
          <cell r="F592">
            <v>142111.09</v>
          </cell>
        </row>
        <row r="593">
          <cell r="A593" t="str">
            <v>JJ2100</v>
          </cell>
          <cell r="F593">
            <v>-4919.99</v>
          </cell>
        </row>
        <row r="594">
          <cell r="A594" t="str">
            <v>JJ2100</v>
          </cell>
          <cell r="F594">
            <v>-351.98</v>
          </cell>
        </row>
        <row r="595">
          <cell r="A595" t="str">
            <v>JJ2100</v>
          </cell>
          <cell r="F595">
            <v>-136.96</v>
          </cell>
        </row>
        <row r="596">
          <cell r="A596" t="str">
            <v>JJ2100</v>
          </cell>
          <cell r="F596">
            <v>147.5</v>
          </cell>
        </row>
        <row r="597">
          <cell r="A597" t="str">
            <v>JJ2100</v>
          </cell>
          <cell r="F597">
            <v>-87.49</v>
          </cell>
        </row>
        <row r="598">
          <cell r="A598" t="str">
            <v>JJ2100</v>
          </cell>
          <cell r="F598">
            <v>49874.97</v>
          </cell>
        </row>
        <row r="599">
          <cell r="A599" t="str">
            <v>JJ2100</v>
          </cell>
          <cell r="F599">
            <v>4.8600000000000003</v>
          </cell>
        </row>
        <row r="600">
          <cell r="A600" t="str">
            <v>JJ2100</v>
          </cell>
          <cell r="F600">
            <v>2386.9899999999998</v>
          </cell>
        </row>
        <row r="601">
          <cell r="A601" t="str">
            <v>JJ3000</v>
          </cell>
          <cell r="F601">
            <v>247.85</v>
          </cell>
        </row>
        <row r="602">
          <cell r="A602" t="str">
            <v>JJ3000</v>
          </cell>
          <cell r="F602">
            <v>0</v>
          </cell>
        </row>
        <row r="603">
          <cell r="A603" t="str">
            <v>JJ3000</v>
          </cell>
          <cell r="F603">
            <v>80</v>
          </cell>
        </row>
        <row r="604">
          <cell r="A604" t="str">
            <v>JJ3000</v>
          </cell>
          <cell r="F604">
            <v>31299.95</v>
          </cell>
        </row>
        <row r="605">
          <cell r="A605" t="str">
            <v>JJ3000</v>
          </cell>
          <cell r="F605">
            <v>5107.8</v>
          </cell>
        </row>
        <row r="606">
          <cell r="A606" t="str">
            <v>JJ3000</v>
          </cell>
          <cell r="F606">
            <v>135469.59</v>
          </cell>
        </row>
        <row r="607">
          <cell r="A607" t="str">
            <v>JJ3000</v>
          </cell>
          <cell r="F607" t="str">
            <v/>
          </cell>
        </row>
        <row r="608">
          <cell r="A608" t="str">
            <v>JJ3000</v>
          </cell>
          <cell r="F608" t="str">
            <v/>
          </cell>
        </row>
        <row r="609">
          <cell r="A609" t="str">
            <v>JJ3110</v>
          </cell>
          <cell r="F609">
            <v>-84.75</v>
          </cell>
        </row>
        <row r="610">
          <cell r="A610" t="str">
            <v>JJ3110</v>
          </cell>
          <cell r="F610">
            <v>339848.02</v>
          </cell>
        </row>
        <row r="611">
          <cell r="A611" t="str">
            <v>JJ3110</v>
          </cell>
          <cell r="F611">
            <v>-740</v>
          </cell>
        </row>
        <row r="612">
          <cell r="A612" t="str">
            <v>JJ3120</v>
          </cell>
          <cell r="F612">
            <v>4838.9799999999996</v>
          </cell>
        </row>
        <row r="613">
          <cell r="A613" t="str">
            <v>JJ3150</v>
          </cell>
          <cell r="F613">
            <v>33020.019999999997</v>
          </cell>
        </row>
        <row r="614">
          <cell r="A614" t="str">
            <v>JJ3150</v>
          </cell>
          <cell r="F614">
            <v>29041.55</v>
          </cell>
        </row>
        <row r="615">
          <cell r="A615" t="str">
            <v>JJ3150</v>
          </cell>
          <cell r="F615">
            <v>15074</v>
          </cell>
        </row>
        <row r="616">
          <cell r="A616" t="str">
            <v>JJ4000</v>
          </cell>
          <cell r="F616">
            <v>-1040</v>
          </cell>
        </row>
        <row r="617">
          <cell r="A617" t="str">
            <v>JJ4000</v>
          </cell>
          <cell r="F617">
            <v>-143866.56</v>
          </cell>
        </row>
        <row r="618">
          <cell r="A618" t="str">
            <v>JJ4000</v>
          </cell>
          <cell r="F618">
            <v>16187.43</v>
          </cell>
        </row>
        <row r="619">
          <cell r="A619" t="str">
            <v>JJ4000</v>
          </cell>
          <cell r="F619">
            <v>1179192.52</v>
          </cell>
        </row>
        <row r="620">
          <cell r="A620" t="str">
            <v>JJ4000</v>
          </cell>
          <cell r="F620">
            <v>-86770.6</v>
          </cell>
        </row>
        <row r="621">
          <cell r="A621" t="str">
            <v>JJ4000</v>
          </cell>
          <cell r="F621">
            <v>4266.68</v>
          </cell>
        </row>
        <row r="622">
          <cell r="A622" t="str">
            <v>JJ4000</v>
          </cell>
          <cell r="F622">
            <v>1456.75000000001</v>
          </cell>
        </row>
        <row r="623">
          <cell r="A623" t="str">
            <v>JJ4000</v>
          </cell>
          <cell r="F623">
            <v>45758.18</v>
          </cell>
        </row>
        <row r="624">
          <cell r="A624" t="str">
            <v>JJ4000</v>
          </cell>
          <cell r="F624">
            <v>-164915.70000000001</v>
          </cell>
        </row>
        <row r="625">
          <cell r="A625" t="str">
            <v>JJ4100</v>
          </cell>
          <cell r="F625">
            <v>-9513.18</v>
          </cell>
        </row>
        <row r="626">
          <cell r="A626" t="str">
            <v>JJ4100</v>
          </cell>
          <cell r="F626">
            <v>60</v>
          </cell>
        </row>
        <row r="627">
          <cell r="A627" t="str">
            <v>JJ4100</v>
          </cell>
          <cell r="F627">
            <v>19069.71</v>
          </cell>
        </row>
        <row r="628">
          <cell r="A628" t="str">
            <v>JJ4100</v>
          </cell>
          <cell r="F628">
            <v>290.10000000000002</v>
          </cell>
        </row>
        <row r="629">
          <cell r="A629" t="str">
            <v>JJ4100</v>
          </cell>
          <cell r="F629">
            <v>12157.21</v>
          </cell>
        </row>
        <row r="630">
          <cell r="A630" t="str">
            <v>JJ4100</v>
          </cell>
          <cell r="F630">
            <v>24514.68</v>
          </cell>
        </row>
        <row r="631">
          <cell r="A631" t="str">
            <v>JJ4100</v>
          </cell>
          <cell r="F631">
            <v>22613.64</v>
          </cell>
        </row>
        <row r="632">
          <cell r="A632" t="str">
            <v>JJ4100</v>
          </cell>
          <cell r="F632">
            <v>195453.05</v>
          </cell>
        </row>
        <row r="633">
          <cell r="A633" t="str">
            <v>JJ4100</v>
          </cell>
          <cell r="F633">
            <v>46705.9</v>
          </cell>
        </row>
        <row r="634">
          <cell r="A634" t="str">
            <v>JJ4100</v>
          </cell>
          <cell r="F634">
            <v>5428.07</v>
          </cell>
        </row>
        <row r="635">
          <cell r="A635" t="str">
            <v>JJ4200</v>
          </cell>
          <cell r="F635">
            <v>842995.99</v>
          </cell>
        </row>
        <row r="636">
          <cell r="A636" t="str">
            <v>JJ4200</v>
          </cell>
          <cell r="F636">
            <v>81026.64</v>
          </cell>
        </row>
        <row r="637">
          <cell r="A637" t="str">
            <v>JJ4200</v>
          </cell>
          <cell r="F637">
            <v>10735.66</v>
          </cell>
        </row>
        <row r="638">
          <cell r="A638" t="str">
            <v>JJ5000</v>
          </cell>
          <cell r="F638">
            <v>1660136.97</v>
          </cell>
        </row>
        <row r="639">
          <cell r="A639" t="str">
            <v>JJ500B</v>
          </cell>
          <cell r="F639">
            <v>200</v>
          </cell>
        </row>
        <row r="640">
          <cell r="A640" t="str">
            <v>JJ500B</v>
          </cell>
          <cell r="F640">
            <v>3885.08</v>
          </cell>
        </row>
        <row r="641">
          <cell r="A641" t="str">
            <v>JJ500B</v>
          </cell>
          <cell r="F641">
            <v>160</v>
          </cell>
        </row>
        <row r="642">
          <cell r="A642" t="str">
            <v>JJ500B</v>
          </cell>
          <cell r="F642">
            <v>840</v>
          </cell>
        </row>
        <row r="643">
          <cell r="A643" t="str">
            <v>JJ500B</v>
          </cell>
          <cell r="F643">
            <v>8947.5</v>
          </cell>
        </row>
        <row r="644">
          <cell r="A644" t="str">
            <v>JJ500B</v>
          </cell>
          <cell r="F644">
            <v>696</v>
          </cell>
        </row>
        <row r="645">
          <cell r="A645" t="str">
            <v>JJ500B</v>
          </cell>
          <cell r="F645">
            <v>8519.5499999999993</v>
          </cell>
        </row>
        <row r="646">
          <cell r="A646" t="str">
            <v>JJ500B</v>
          </cell>
          <cell r="F646">
            <v>132178.01</v>
          </cell>
        </row>
        <row r="647">
          <cell r="A647" t="str">
            <v>JJ500B</v>
          </cell>
          <cell r="F647">
            <v>152615.10999999999</v>
          </cell>
        </row>
        <row r="648">
          <cell r="A648" t="str">
            <v>JJ500B</v>
          </cell>
          <cell r="F648">
            <v>11795.76</v>
          </cell>
        </row>
        <row r="649">
          <cell r="A649" t="str">
            <v>JJ500B</v>
          </cell>
          <cell r="F649">
            <v>168478.06</v>
          </cell>
        </row>
        <row r="650">
          <cell r="A650" t="str">
            <v>JJ500B</v>
          </cell>
          <cell r="F650">
            <v>130548.39</v>
          </cell>
        </row>
        <row r="651">
          <cell r="A651" t="str">
            <v>JJ500B</v>
          </cell>
          <cell r="F651">
            <v>50</v>
          </cell>
        </row>
        <row r="652">
          <cell r="A652" t="str">
            <v>JJ5100</v>
          </cell>
          <cell r="F652">
            <v>816</v>
          </cell>
        </row>
        <row r="653">
          <cell r="A653" t="str">
            <v>JJ5100</v>
          </cell>
          <cell r="F653">
            <v>91434.27</v>
          </cell>
        </row>
        <row r="654">
          <cell r="A654" t="str">
            <v>JJ5100</v>
          </cell>
          <cell r="F654">
            <v>-13625.56</v>
          </cell>
        </row>
        <row r="655">
          <cell r="A655" t="str">
            <v>JJ5100</v>
          </cell>
          <cell r="F655">
            <v>425158.11</v>
          </cell>
        </row>
        <row r="656">
          <cell r="A656" t="str">
            <v>JJ5100</v>
          </cell>
          <cell r="F656">
            <v>5189.68</v>
          </cell>
        </row>
        <row r="657">
          <cell r="A657" t="str">
            <v>JJ6000</v>
          </cell>
          <cell r="F657">
            <v>650</v>
          </cell>
        </row>
        <row r="658">
          <cell r="A658" t="str">
            <v>JJ7000</v>
          </cell>
          <cell r="F658">
            <v>84490.36</v>
          </cell>
        </row>
        <row r="659">
          <cell r="A659" t="str">
            <v>JJ7000</v>
          </cell>
          <cell r="F659" t="str">
            <v/>
          </cell>
        </row>
        <row r="660">
          <cell r="A660" t="str">
            <v>JJ7000</v>
          </cell>
          <cell r="F660" t="str">
            <v/>
          </cell>
        </row>
        <row r="661">
          <cell r="A661" t="str">
            <v>JJ7000</v>
          </cell>
          <cell r="F661">
            <v>0.32</v>
          </cell>
        </row>
        <row r="662">
          <cell r="A662" t="str">
            <v>JJ7000</v>
          </cell>
          <cell r="F662">
            <v>2.1</v>
          </cell>
        </row>
        <row r="663">
          <cell r="A663" t="str">
            <v>JJ7000</v>
          </cell>
          <cell r="F663">
            <v>3.29</v>
          </cell>
        </row>
        <row r="664">
          <cell r="A664" t="str">
            <v>JJ8000</v>
          </cell>
          <cell r="F664">
            <v>-2571.8200000000002</v>
          </cell>
        </row>
        <row r="665">
          <cell r="A665" t="str">
            <v>JJ8000</v>
          </cell>
          <cell r="F665">
            <v>-405792</v>
          </cell>
        </row>
        <row r="666">
          <cell r="A666" t="str">
            <v>JJ8000</v>
          </cell>
          <cell r="F666">
            <v>-246915.62</v>
          </cell>
        </row>
        <row r="667">
          <cell r="A667" t="str">
            <v>JJ8000</v>
          </cell>
          <cell r="F667">
            <v>5324.51</v>
          </cell>
        </row>
        <row r="668">
          <cell r="A668" t="str">
            <v>JJ8000</v>
          </cell>
          <cell r="F668">
            <v>-41096.980000000003</v>
          </cell>
        </row>
        <row r="669">
          <cell r="A669" t="str">
            <v>JJ8000</v>
          </cell>
          <cell r="F669" t="str">
            <v/>
          </cell>
        </row>
        <row r="670">
          <cell r="A670" t="str">
            <v>JJ8000</v>
          </cell>
          <cell r="F670">
            <v>2541998.0800000001</v>
          </cell>
        </row>
        <row r="671">
          <cell r="A671" t="str">
            <v>JJ8000</v>
          </cell>
          <cell r="F671" t="str">
            <v/>
          </cell>
        </row>
        <row r="672">
          <cell r="A672" t="str">
            <v>JJ8000</v>
          </cell>
          <cell r="F672" t="str">
            <v/>
          </cell>
        </row>
        <row r="673">
          <cell r="A673" t="str">
            <v>JJ8000</v>
          </cell>
          <cell r="F673">
            <v>68928.23</v>
          </cell>
        </row>
        <row r="674">
          <cell r="A674" t="str">
            <v>JJ8000</v>
          </cell>
          <cell r="F674">
            <v>35487.870000000003</v>
          </cell>
        </row>
        <row r="675">
          <cell r="A675" t="str">
            <v>JJ8000</v>
          </cell>
          <cell r="F675" t="str">
            <v/>
          </cell>
        </row>
        <row r="676">
          <cell r="A676" t="str">
            <v>JJ8000</v>
          </cell>
          <cell r="F676">
            <v>-37604.86</v>
          </cell>
        </row>
        <row r="677">
          <cell r="A677" t="str">
            <v>JJ8000</v>
          </cell>
          <cell r="F677">
            <v>-2540123.2000000002</v>
          </cell>
        </row>
        <row r="678">
          <cell r="A678" t="str">
            <v>JJ8000</v>
          </cell>
          <cell r="F678">
            <v>76482.039999999994</v>
          </cell>
        </row>
        <row r="679">
          <cell r="A679" t="str">
            <v>JJ8000</v>
          </cell>
          <cell r="F679">
            <v>0</v>
          </cell>
        </row>
        <row r="680">
          <cell r="A680" t="str">
            <v>JJ8000</v>
          </cell>
          <cell r="F680">
            <v>-77.62</v>
          </cell>
        </row>
        <row r="681">
          <cell r="A681" t="str">
            <v>JJ8000</v>
          </cell>
          <cell r="F681">
            <v>10.26</v>
          </cell>
        </row>
        <row r="682">
          <cell r="A682" t="str">
            <v>MM1000</v>
          </cell>
          <cell r="F682">
            <v>1032723.69</v>
          </cell>
        </row>
        <row r="683">
          <cell r="A683" t="str">
            <v>MM1000</v>
          </cell>
          <cell r="F683">
            <v>542914.05000000005</v>
          </cell>
        </row>
        <row r="684">
          <cell r="A684" t="str">
            <v>MM1000</v>
          </cell>
          <cell r="F684">
            <v>264607.5</v>
          </cell>
        </row>
        <row r="685">
          <cell r="A685" t="str">
            <v>MM1000</v>
          </cell>
          <cell r="F685">
            <v>-893.95</v>
          </cell>
        </row>
        <row r="686">
          <cell r="A686" t="str">
            <v>MM1000</v>
          </cell>
          <cell r="F686">
            <v>240402.58</v>
          </cell>
        </row>
        <row r="687">
          <cell r="A687" t="str">
            <v>MM1000</v>
          </cell>
          <cell r="F687">
            <v>14228.46</v>
          </cell>
        </row>
        <row r="688">
          <cell r="A688" t="str">
            <v>MM1000</v>
          </cell>
          <cell r="F688">
            <v>94501.120000000097</v>
          </cell>
        </row>
        <row r="689">
          <cell r="A689" t="str">
            <v>MM1000</v>
          </cell>
          <cell r="F689">
            <v>54403.13</v>
          </cell>
        </row>
        <row r="690">
          <cell r="A690" t="str">
            <v>MM1000</v>
          </cell>
          <cell r="F690">
            <v>44227.14</v>
          </cell>
        </row>
        <row r="691">
          <cell r="A691" t="str">
            <v>MM1000</v>
          </cell>
          <cell r="F691">
            <v>2071598.1</v>
          </cell>
        </row>
        <row r="692">
          <cell r="A692" t="str">
            <v>MM1000</v>
          </cell>
          <cell r="F692">
            <v>273590.8</v>
          </cell>
        </row>
        <row r="693">
          <cell r="A693" t="str">
            <v>MM1050</v>
          </cell>
          <cell r="F693">
            <v>1308950.75</v>
          </cell>
        </row>
        <row r="694">
          <cell r="A694" t="str">
            <v>MM1100</v>
          </cell>
          <cell r="F694">
            <v>881519.6</v>
          </cell>
        </row>
        <row r="695">
          <cell r="A695" t="str">
            <v>MM1100</v>
          </cell>
          <cell r="F695">
            <v>100241</v>
          </cell>
        </row>
        <row r="696">
          <cell r="A696" t="str">
            <v>MM1100</v>
          </cell>
          <cell r="F696">
            <v>-229.51</v>
          </cell>
        </row>
        <row r="697">
          <cell r="A697" t="str">
            <v>MM1100</v>
          </cell>
          <cell r="F697">
            <v>161707.06</v>
          </cell>
        </row>
        <row r="698">
          <cell r="A698" t="str">
            <v>MM1200</v>
          </cell>
          <cell r="F698">
            <v>28135.07</v>
          </cell>
        </row>
        <row r="699">
          <cell r="A699" t="str">
            <v>MM1200</v>
          </cell>
          <cell r="F699">
            <v>31995.91</v>
          </cell>
        </row>
        <row r="700">
          <cell r="A700" t="str">
            <v>MM1200</v>
          </cell>
          <cell r="F700">
            <v>-134421.84</v>
          </cell>
        </row>
        <row r="701">
          <cell r="A701" t="str">
            <v>MM1200</v>
          </cell>
          <cell r="F701">
            <v>1946.15</v>
          </cell>
        </row>
        <row r="702">
          <cell r="A702" t="str">
            <v>MM1310</v>
          </cell>
          <cell r="F702">
            <v>-73.45</v>
          </cell>
        </row>
        <row r="703">
          <cell r="A703" t="str">
            <v>MM1310</v>
          </cell>
          <cell r="F703">
            <v>17.61</v>
          </cell>
        </row>
        <row r="704">
          <cell r="A704" t="str">
            <v>MM1310</v>
          </cell>
          <cell r="F704">
            <v>343992.29</v>
          </cell>
        </row>
        <row r="705">
          <cell r="A705" t="str">
            <v>MM1310</v>
          </cell>
          <cell r="F705">
            <v>-309.98</v>
          </cell>
        </row>
        <row r="706">
          <cell r="A706" t="str">
            <v>MM1310</v>
          </cell>
          <cell r="F706">
            <v>-388.05</v>
          </cell>
        </row>
        <row r="707">
          <cell r="A707" t="str">
            <v>MM1310</v>
          </cell>
          <cell r="F707" t="str">
            <v/>
          </cell>
        </row>
        <row r="708">
          <cell r="A708" t="str">
            <v>MM1310</v>
          </cell>
          <cell r="F708">
            <v>-36379.68</v>
          </cell>
        </row>
        <row r="709">
          <cell r="A709" t="str">
            <v>MM1320</v>
          </cell>
          <cell r="F709">
            <v>343870.88</v>
          </cell>
        </row>
        <row r="710">
          <cell r="A710" t="str">
            <v>MM1320</v>
          </cell>
          <cell r="F710">
            <v>209412.3</v>
          </cell>
        </row>
        <row r="711">
          <cell r="A711" t="str">
            <v>MM1320</v>
          </cell>
          <cell r="F711">
            <v>406063.37</v>
          </cell>
        </row>
        <row r="712">
          <cell r="A712" t="str">
            <v>MM1320</v>
          </cell>
          <cell r="F712">
            <v>95258.66</v>
          </cell>
        </row>
        <row r="713">
          <cell r="A713" t="str">
            <v>MM1320</v>
          </cell>
          <cell r="F713">
            <v>218357.78</v>
          </cell>
        </row>
        <row r="714">
          <cell r="A714" t="str">
            <v>MM1320</v>
          </cell>
          <cell r="F714">
            <v>142634.07999999999</v>
          </cell>
        </row>
        <row r="715">
          <cell r="A715" t="str">
            <v>MM1320</v>
          </cell>
          <cell r="F715">
            <v>161875.65</v>
          </cell>
        </row>
        <row r="716">
          <cell r="A716" t="str">
            <v>MM1350</v>
          </cell>
          <cell r="F716">
            <v>1756045.83</v>
          </cell>
        </row>
        <row r="717">
          <cell r="A717" t="str">
            <v>MM1350</v>
          </cell>
          <cell r="F717" t="str">
            <v/>
          </cell>
        </row>
        <row r="718">
          <cell r="A718" t="str">
            <v>MM1411</v>
          </cell>
          <cell r="F718">
            <v>138751.93</v>
          </cell>
        </row>
        <row r="719">
          <cell r="A719" t="str">
            <v>MM1411</v>
          </cell>
          <cell r="F719">
            <v>635331.51</v>
          </cell>
        </row>
        <row r="720">
          <cell r="A720" t="str">
            <v>MM1411</v>
          </cell>
          <cell r="F720">
            <v>1082639.3700000001</v>
          </cell>
        </row>
        <row r="721">
          <cell r="A721" t="str">
            <v>MM1412</v>
          </cell>
          <cell r="F721">
            <v>-143481.14000000001</v>
          </cell>
        </row>
        <row r="722">
          <cell r="A722" t="str">
            <v>MM1415</v>
          </cell>
          <cell r="F722">
            <v>210750</v>
          </cell>
        </row>
        <row r="723">
          <cell r="A723" t="str">
            <v>MM1415</v>
          </cell>
          <cell r="F723">
            <v>-4500</v>
          </cell>
        </row>
        <row r="724">
          <cell r="A724" t="str">
            <v>MM1415</v>
          </cell>
          <cell r="F724">
            <v>21650</v>
          </cell>
        </row>
        <row r="725">
          <cell r="A725" t="str">
            <v>MM1415</v>
          </cell>
          <cell r="F725">
            <v>178990.63</v>
          </cell>
        </row>
        <row r="726">
          <cell r="A726" t="str">
            <v>MM1416</v>
          </cell>
          <cell r="F726">
            <v>-13119.31</v>
          </cell>
        </row>
        <row r="727">
          <cell r="A727" t="str">
            <v>MM1431</v>
          </cell>
          <cell r="F727">
            <v>437500</v>
          </cell>
        </row>
        <row r="728">
          <cell r="A728" t="str">
            <v>MM1431</v>
          </cell>
          <cell r="F728">
            <v>200844.11</v>
          </cell>
        </row>
        <row r="729">
          <cell r="A729" t="str">
            <v>MM1431</v>
          </cell>
          <cell r="F729">
            <v>2337744.35</v>
          </cell>
        </row>
        <row r="730">
          <cell r="A730" t="str">
            <v>MM1431</v>
          </cell>
          <cell r="F730">
            <v>5402311.6500000004</v>
          </cell>
        </row>
        <row r="731">
          <cell r="A731" t="str">
            <v>MM1431</v>
          </cell>
          <cell r="F731">
            <v>71986.11</v>
          </cell>
        </row>
        <row r="732">
          <cell r="A732" t="str">
            <v>MM1432</v>
          </cell>
          <cell r="F732">
            <v>-467389.81</v>
          </cell>
        </row>
        <row r="733">
          <cell r="A733" t="str">
            <v>MM1440</v>
          </cell>
          <cell r="F733">
            <v>501.05</v>
          </cell>
        </row>
        <row r="734">
          <cell r="A734" t="str">
            <v>MM1440</v>
          </cell>
          <cell r="F734">
            <v>141407.24</v>
          </cell>
        </row>
        <row r="735">
          <cell r="A735" t="str">
            <v>MM1510</v>
          </cell>
          <cell r="F735">
            <v>-702565.91</v>
          </cell>
        </row>
        <row r="736">
          <cell r="A736" t="str">
            <v>MM1510</v>
          </cell>
          <cell r="F736">
            <v>-193499.88</v>
          </cell>
        </row>
        <row r="737">
          <cell r="A737" t="str">
            <v>MM1510</v>
          </cell>
          <cell r="F737">
            <v>-2500</v>
          </cell>
        </row>
        <row r="738">
          <cell r="A738" t="str">
            <v>MM1510</v>
          </cell>
          <cell r="F738" t="str">
            <v/>
          </cell>
        </row>
        <row r="739">
          <cell r="A739" t="str">
            <v>MM1510</v>
          </cell>
          <cell r="F739">
            <v>-20794.62</v>
          </cell>
        </row>
        <row r="740">
          <cell r="A740" t="str">
            <v>MM1510</v>
          </cell>
          <cell r="F740">
            <v>-72407.679999999993</v>
          </cell>
        </row>
        <row r="741">
          <cell r="A741" t="str">
            <v>MM1510</v>
          </cell>
          <cell r="F741">
            <v>-47346.22</v>
          </cell>
        </row>
        <row r="742">
          <cell r="A742" t="str">
            <v>MM1520</v>
          </cell>
          <cell r="F742">
            <v>-554763.04</v>
          </cell>
        </row>
        <row r="743">
          <cell r="A743" t="str">
            <v>MM1520</v>
          </cell>
          <cell r="F743">
            <v>-1021060.61</v>
          </cell>
        </row>
        <row r="744">
          <cell r="A744" t="str">
            <v>MM1520</v>
          </cell>
          <cell r="F744">
            <v>107761.73</v>
          </cell>
        </row>
        <row r="745">
          <cell r="A745" t="str">
            <v>MM1525</v>
          </cell>
          <cell r="F745">
            <v>-204889</v>
          </cell>
        </row>
        <row r="746">
          <cell r="A746" t="str">
            <v>MM1525</v>
          </cell>
          <cell r="F746">
            <v>-1656810.59</v>
          </cell>
        </row>
        <row r="747">
          <cell r="A747" t="str">
            <v>MM1525</v>
          </cell>
          <cell r="F747">
            <v>-20376.46</v>
          </cell>
        </row>
        <row r="748">
          <cell r="A748" t="str">
            <v>MM1530</v>
          </cell>
          <cell r="F748" t="str">
            <v/>
          </cell>
        </row>
        <row r="749">
          <cell r="A749" t="str">
            <v>MM1530</v>
          </cell>
          <cell r="F749">
            <v>8.11</v>
          </cell>
        </row>
        <row r="750">
          <cell r="A750" t="str">
            <v>MM1530</v>
          </cell>
          <cell r="F750">
            <v>16.690000000000001</v>
          </cell>
        </row>
        <row r="751">
          <cell r="A751" t="str">
            <v>MM1530</v>
          </cell>
          <cell r="F751">
            <v>70.44</v>
          </cell>
        </row>
        <row r="752">
          <cell r="A752" t="str">
            <v>MM1530</v>
          </cell>
          <cell r="F752" t="str">
            <v/>
          </cell>
        </row>
        <row r="753">
          <cell r="A753" t="str">
            <v>MM1530</v>
          </cell>
          <cell r="F753">
            <v>1300.99</v>
          </cell>
        </row>
        <row r="754">
          <cell r="A754" t="str">
            <v>MM1530</v>
          </cell>
          <cell r="F754">
            <v>260.54000000000002</v>
          </cell>
        </row>
        <row r="755">
          <cell r="A755" t="str">
            <v>MM1530</v>
          </cell>
          <cell r="F755">
            <v>856418.16</v>
          </cell>
        </row>
        <row r="756">
          <cell r="A756" t="str">
            <v>MM1530</v>
          </cell>
          <cell r="F756">
            <v>-14782.49</v>
          </cell>
        </row>
        <row r="757">
          <cell r="A757" t="str">
            <v>MM1530</v>
          </cell>
          <cell r="F757">
            <v>-57.569999999999901</v>
          </cell>
        </row>
        <row r="758">
          <cell r="A758" t="str">
            <v>MM1531</v>
          </cell>
          <cell r="F758">
            <v>438181.89</v>
          </cell>
        </row>
        <row r="759">
          <cell r="A759" t="str">
            <v>MM1532</v>
          </cell>
          <cell r="F759">
            <v>629.88</v>
          </cell>
        </row>
        <row r="760">
          <cell r="A760" t="str">
            <v>MM1532</v>
          </cell>
          <cell r="F760">
            <v>3320</v>
          </cell>
        </row>
        <row r="761">
          <cell r="A761" t="str">
            <v>MM1532</v>
          </cell>
          <cell r="F761">
            <v>-211.91</v>
          </cell>
        </row>
        <row r="762">
          <cell r="A762" t="str">
            <v>MM1532</v>
          </cell>
          <cell r="F762">
            <v>282052</v>
          </cell>
        </row>
        <row r="763">
          <cell r="A763" t="str">
            <v>MM1533</v>
          </cell>
          <cell r="F763">
            <v>33416.83</v>
          </cell>
        </row>
        <row r="764">
          <cell r="A764" t="str">
            <v>MM1534</v>
          </cell>
          <cell r="F764">
            <v>662.62</v>
          </cell>
        </row>
        <row r="765">
          <cell r="A765" t="str">
            <v>MM1534</v>
          </cell>
          <cell r="F765">
            <v>4958.88</v>
          </cell>
        </row>
        <row r="766">
          <cell r="A766" t="str">
            <v>MM1534</v>
          </cell>
          <cell r="F766">
            <v>2145.1</v>
          </cell>
        </row>
        <row r="767">
          <cell r="A767" t="str">
            <v>MM1534</v>
          </cell>
          <cell r="F767">
            <v>400</v>
          </cell>
        </row>
        <row r="768">
          <cell r="A768" t="str">
            <v>MM1534</v>
          </cell>
          <cell r="F768">
            <v>-222866.85</v>
          </cell>
        </row>
        <row r="769">
          <cell r="A769" t="str">
            <v>MM1534</v>
          </cell>
          <cell r="F769">
            <v>-161.84</v>
          </cell>
        </row>
        <row r="770">
          <cell r="A770" t="str">
            <v>MM1534</v>
          </cell>
          <cell r="F770">
            <v>-123.79</v>
          </cell>
        </row>
        <row r="771">
          <cell r="A771" t="str">
            <v>MM1536</v>
          </cell>
          <cell r="F771">
            <v>7638.72</v>
          </cell>
        </row>
        <row r="772">
          <cell r="A772" t="str">
            <v>MM1537</v>
          </cell>
          <cell r="F772">
            <v>86.36</v>
          </cell>
        </row>
        <row r="773">
          <cell r="A773" t="str">
            <v>MM1538</v>
          </cell>
          <cell r="F773">
            <v>21385.4</v>
          </cell>
        </row>
        <row r="774">
          <cell r="A774" t="str">
            <v>MM1538</v>
          </cell>
          <cell r="F774">
            <v>-4380</v>
          </cell>
        </row>
        <row r="775">
          <cell r="A775" t="str">
            <v>MM2000</v>
          </cell>
          <cell r="F775">
            <v>20300</v>
          </cell>
        </row>
        <row r="776">
          <cell r="A776" t="str">
            <v>MM2111</v>
          </cell>
          <cell r="F776">
            <v>-4532.1000000000004</v>
          </cell>
        </row>
        <row r="777">
          <cell r="A777" t="str">
            <v>MM2112</v>
          </cell>
          <cell r="F777">
            <v>2617.5</v>
          </cell>
        </row>
        <row r="778">
          <cell r="A778" t="str">
            <v>MM2120</v>
          </cell>
          <cell r="F778">
            <v>1615.95</v>
          </cell>
        </row>
        <row r="779">
          <cell r="A779" t="str">
            <v>MM2120</v>
          </cell>
          <cell r="F779">
            <v>-110866.34</v>
          </cell>
        </row>
        <row r="780">
          <cell r="A780" t="str">
            <v>MM2120</v>
          </cell>
          <cell r="F780">
            <v>-15395.11</v>
          </cell>
        </row>
        <row r="781">
          <cell r="A781" t="str">
            <v>MM2120</v>
          </cell>
          <cell r="F781">
            <v>3035403.16</v>
          </cell>
        </row>
        <row r="782">
          <cell r="A782" t="str">
            <v>MM2120</v>
          </cell>
          <cell r="F782">
            <v>13325.7</v>
          </cell>
        </row>
        <row r="783">
          <cell r="A783" t="str">
            <v>MM3010</v>
          </cell>
          <cell r="F783">
            <v>122065.26</v>
          </cell>
        </row>
        <row r="784">
          <cell r="A784" t="str">
            <v>MM3010</v>
          </cell>
          <cell r="F784">
            <v>2710.17</v>
          </cell>
        </row>
        <row r="785">
          <cell r="A785" t="str">
            <v>MM3010</v>
          </cell>
          <cell r="F785">
            <v>7741.7</v>
          </cell>
        </row>
        <row r="786">
          <cell r="A786" t="str">
            <v>MM3010</v>
          </cell>
          <cell r="F786">
            <v>78495.509999999995</v>
          </cell>
        </row>
        <row r="787">
          <cell r="A787" t="str">
            <v>MM3010</v>
          </cell>
          <cell r="F787">
            <v>3695465.65</v>
          </cell>
        </row>
        <row r="788">
          <cell r="A788" t="str">
            <v>MM3010</v>
          </cell>
          <cell r="F788" t="str">
            <v/>
          </cell>
        </row>
        <row r="789">
          <cell r="A789" t="str">
            <v>MM3021</v>
          </cell>
          <cell r="F789">
            <v>625</v>
          </cell>
        </row>
        <row r="790">
          <cell r="A790" t="str">
            <v>MM3022</v>
          </cell>
          <cell r="F790">
            <v>15739</v>
          </cell>
        </row>
        <row r="791">
          <cell r="A791" t="str">
            <v>MM3023</v>
          </cell>
          <cell r="F791">
            <v>38643.440000000002</v>
          </cell>
        </row>
        <row r="792">
          <cell r="A792" t="str">
            <v>MM3032</v>
          </cell>
          <cell r="F792">
            <v>-1846.76</v>
          </cell>
        </row>
        <row r="793">
          <cell r="A793" t="str">
            <v>MM3032</v>
          </cell>
          <cell r="F793">
            <v>2969441.63</v>
          </cell>
        </row>
        <row r="794">
          <cell r="A794" t="str">
            <v>MM3032</v>
          </cell>
          <cell r="F794">
            <v>38847.64</v>
          </cell>
        </row>
        <row r="795">
          <cell r="A795" t="str">
            <v>MM3032</v>
          </cell>
          <cell r="F795">
            <v>24.11</v>
          </cell>
        </row>
        <row r="796">
          <cell r="A796" t="str">
            <v>MM3034</v>
          </cell>
          <cell r="F796">
            <v>431391.5</v>
          </cell>
        </row>
        <row r="797">
          <cell r="A797" t="str">
            <v>MM3034</v>
          </cell>
          <cell r="F797">
            <v>227703.75</v>
          </cell>
        </row>
        <row r="798">
          <cell r="A798" t="str">
            <v>MM3037</v>
          </cell>
          <cell r="F798">
            <v>407492.78</v>
          </cell>
        </row>
        <row r="799">
          <cell r="A799" t="str">
            <v>MM3037</v>
          </cell>
          <cell r="F799">
            <v>3082.8</v>
          </cell>
        </row>
        <row r="800">
          <cell r="A800" t="str">
            <v>MM3037</v>
          </cell>
          <cell r="F800">
            <v>-5359.9</v>
          </cell>
        </row>
        <row r="801">
          <cell r="A801" t="str">
            <v>MM3100</v>
          </cell>
          <cell r="F801" t="str">
            <v/>
          </cell>
        </row>
        <row r="802">
          <cell r="A802" t="str">
            <v>MM3100</v>
          </cell>
          <cell r="F802">
            <v>74008.08</v>
          </cell>
        </row>
        <row r="803">
          <cell r="A803" t="str">
            <v>MM3100</v>
          </cell>
          <cell r="F803">
            <v>-573.30999999999995</v>
          </cell>
        </row>
        <row r="804">
          <cell r="A804" t="str">
            <v>MM3100</v>
          </cell>
          <cell r="F804">
            <v>-399879.9</v>
          </cell>
        </row>
        <row r="805">
          <cell r="A805" t="str">
            <v>MM4000</v>
          </cell>
          <cell r="F805">
            <v>6399.78</v>
          </cell>
        </row>
        <row r="806">
          <cell r="A806" t="str">
            <v>MM4000</v>
          </cell>
          <cell r="F806">
            <v>21908.63</v>
          </cell>
        </row>
        <row r="807">
          <cell r="A807" t="str">
            <v>MM4000</v>
          </cell>
          <cell r="F807">
            <v>412752.79</v>
          </cell>
        </row>
        <row r="808">
          <cell r="A808" t="str">
            <v>MM4000</v>
          </cell>
          <cell r="F808">
            <v>-611</v>
          </cell>
        </row>
        <row r="809">
          <cell r="A809" t="str">
            <v>MM4000</v>
          </cell>
          <cell r="F809">
            <v>3140.33</v>
          </cell>
        </row>
        <row r="810">
          <cell r="A810" t="str">
            <v>MM4000</v>
          </cell>
          <cell r="F810">
            <v>-105</v>
          </cell>
        </row>
        <row r="811">
          <cell r="A811" t="str">
            <v>MM5100</v>
          </cell>
          <cell r="F811">
            <v>193.17</v>
          </cell>
        </row>
        <row r="812">
          <cell r="A812" t="str">
            <v>MM5100</v>
          </cell>
          <cell r="F812">
            <v>3745</v>
          </cell>
        </row>
        <row r="813">
          <cell r="A813" t="str">
            <v>MM5100</v>
          </cell>
          <cell r="F813">
            <v>924696.28</v>
          </cell>
        </row>
        <row r="814">
          <cell r="A814" t="str">
            <v>MM5100</v>
          </cell>
          <cell r="F814">
            <v>687.5</v>
          </cell>
        </row>
        <row r="815">
          <cell r="A815" t="str">
            <v>MM5201</v>
          </cell>
          <cell r="F815">
            <v>4069</v>
          </cell>
        </row>
        <row r="816">
          <cell r="A816" t="str">
            <v>MM5201</v>
          </cell>
          <cell r="F816">
            <v>4100</v>
          </cell>
        </row>
        <row r="817">
          <cell r="A817" t="str">
            <v>MM5202</v>
          </cell>
          <cell r="F817">
            <v>267460</v>
          </cell>
        </row>
        <row r="818">
          <cell r="A818" t="str">
            <v>MM6000</v>
          </cell>
          <cell r="F818">
            <v>166877.12</v>
          </cell>
        </row>
        <row r="819">
          <cell r="A819" t="str">
            <v>MM6000</v>
          </cell>
          <cell r="F819">
            <v>18245.93</v>
          </cell>
        </row>
        <row r="820">
          <cell r="A820" t="str">
            <v>MM6000</v>
          </cell>
          <cell r="F820" t="str">
            <v/>
          </cell>
        </row>
        <row r="821">
          <cell r="A821" t="str">
            <v>MM6000</v>
          </cell>
          <cell r="F821">
            <v>48650.38</v>
          </cell>
        </row>
        <row r="822">
          <cell r="A822" t="str">
            <v>MM7000</v>
          </cell>
          <cell r="F822">
            <v>4657.62</v>
          </cell>
        </row>
        <row r="823">
          <cell r="A823" t="str">
            <v>MM7000</v>
          </cell>
          <cell r="F823">
            <v>29197.35</v>
          </cell>
        </row>
        <row r="824">
          <cell r="A824" t="str">
            <v>MM7000</v>
          </cell>
          <cell r="F824">
            <v>6417.74</v>
          </cell>
        </row>
        <row r="825">
          <cell r="A825" t="str">
            <v>MM7110</v>
          </cell>
          <cell r="F825">
            <v>289060.68</v>
          </cell>
        </row>
        <row r="826">
          <cell r="A826" t="str">
            <v>MM7120</v>
          </cell>
          <cell r="F826">
            <v>814434.14</v>
          </cell>
        </row>
        <row r="827">
          <cell r="A827" t="str">
            <v>MM7120</v>
          </cell>
          <cell r="F827">
            <v>1331463.24</v>
          </cell>
        </row>
        <row r="828">
          <cell r="A828" t="str">
            <v>MM7131</v>
          </cell>
          <cell r="F828">
            <v>4890</v>
          </cell>
        </row>
        <row r="829">
          <cell r="A829" t="str">
            <v>MM7132</v>
          </cell>
          <cell r="F829">
            <v>39567.800000000003</v>
          </cell>
        </row>
        <row r="830">
          <cell r="A830" t="str">
            <v>MM7200</v>
          </cell>
          <cell r="F830">
            <v>1511797.52</v>
          </cell>
        </row>
        <row r="831">
          <cell r="A831" t="str">
            <v>MM7200</v>
          </cell>
          <cell r="F831">
            <v>2184221.59</v>
          </cell>
        </row>
        <row r="832">
          <cell r="A832" t="str">
            <v>MM7300</v>
          </cell>
          <cell r="F832">
            <v>-4826864.54</v>
          </cell>
        </row>
        <row r="833">
          <cell r="A833" t="str">
            <v>MM7300</v>
          </cell>
          <cell r="F833">
            <v>-1095666.67</v>
          </cell>
        </row>
        <row r="834">
          <cell r="A834" t="str">
            <v>MM7300</v>
          </cell>
          <cell r="F834">
            <v>5825625</v>
          </cell>
        </row>
        <row r="835">
          <cell r="A835" t="str">
            <v>MM7300</v>
          </cell>
          <cell r="F835">
            <v>10229637.880000001</v>
          </cell>
        </row>
        <row r="836">
          <cell r="A836" t="str">
            <v>MM7300</v>
          </cell>
          <cell r="F836" t="str">
            <v/>
          </cell>
        </row>
        <row r="837">
          <cell r="A837" t="str">
            <v>MM7300</v>
          </cell>
          <cell r="F837">
            <v>413880.43</v>
          </cell>
        </row>
        <row r="838">
          <cell r="A838" t="str">
            <v>MM7300</v>
          </cell>
          <cell r="F838">
            <v>2228650.7799999998</v>
          </cell>
        </row>
        <row r="839">
          <cell r="A839" t="str">
            <v>MM7300</v>
          </cell>
          <cell r="F839">
            <v>6723407.3899999997</v>
          </cell>
        </row>
        <row r="840">
          <cell r="A840" t="str">
            <v>MM7301</v>
          </cell>
          <cell r="F840">
            <v>-3455000</v>
          </cell>
        </row>
        <row r="841">
          <cell r="A841" t="str">
            <v>MM7301</v>
          </cell>
          <cell r="F841">
            <v>13124074.060000001</v>
          </cell>
        </row>
        <row r="842">
          <cell r="A842" t="str">
            <v>MM7301</v>
          </cell>
          <cell r="F842">
            <v>-3020000</v>
          </cell>
        </row>
        <row r="843">
          <cell r="A843" t="str">
            <v>MM7301</v>
          </cell>
          <cell r="F843">
            <v>-6254074.0599999996</v>
          </cell>
        </row>
        <row r="844">
          <cell r="A844" t="str">
            <v>MM7400</v>
          </cell>
          <cell r="F844">
            <v>228055</v>
          </cell>
        </row>
        <row r="845">
          <cell r="A845" t="str">
            <v>MM7400</v>
          </cell>
          <cell r="F845">
            <v>825</v>
          </cell>
        </row>
        <row r="846">
          <cell r="A846" t="str">
            <v>MM7400</v>
          </cell>
          <cell r="F846">
            <v>-189785</v>
          </cell>
        </row>
        <row r="847">
          <cell r="A847" t="str">
            <v>MM7400</v>
          </cell>
          <cell r="F847" t="str">
            <v/>
          </cell>
        </row>
        <row r="848">
          <cell r="A848" t="str">
            <v>MM7500</v>
          </cell>
          <cell r="F848">
            <v>51455</v>
          </cell>
        </row>
        <row r="849">
          <cell r="A849" t="str">
            <v>MM7600</v>
          </cell>
          <cell r="F849">
            <v>112041</v>
          </cell>
        </row>
        <row r="850">
          <cell r="A850" t="str">
            <v>MM7720</v>
          </cell>
          <cell r="F850">
            <v>139651.98000000001</v>
          </cell>
        </row>
        <row r="851">
          <cell r="A851" t="str">
            <v>MM7800</v>
          </cell>
          <cell r="F851">
            <v>5850.3</v>
          </cell>
        </row>
        <row r="852">
          <cell r="A852" t="str">
            <v>MM7850</v>
          </cell>
          <cell r="F852">
            <v>-336656.37</v>
          </cell>
        </row>
        <row r="853">
          <cell r="A853" t="str">
            <v>MM7900</v>
          </cell>
          <cell r="F853">
            <v>1907278.09</v>
          </cell>
        </row>
        <row r="854">
          <cell r="A854" t="str">
            <v>MM7961</v>
          </cell>
          <cell r="F854">
            <v>125510.47</v>
          </cell>
        </row>
        <row r="855">
          <cell r="A855" t="str">
            <v>MM7961</v>
          </cell>
          <cell r="F855">
            <v>-86790.97</v>
          </cell>
        </row>
        <row r="856">
          <cell r="A856" t="str">
            <v>MM7961</v>
          </cell>
          <cell r="F856">
            <v>-44207.6</v>
          </cell>
        </row>
        <row r="857">
          <cell r="A857" t="str">
            <v>MM7962</v>
          </cell>
          <cell r="F857">
            <v>114025.12</v>
          </cell>
        </row>
        <row r="858">
          <cell r="A858" t="str">
            <v>MM7963</v>
          </cell>
          <cell r="F858">
            <v>14308.8</v>
          </cell>
        </row>
        <row r="859">
          <cell r="A859" t="str">
            <v>MM7970</v>
          </cell>
          <cell r="F859">
            <v>-3685380.47</v>
          </cell>
        </row>
        <row r="860">
          <cell r="A860" t="str">
            <v>MM7970</v>
          </cell>
          <cell r="F860" t="str">
            <v/>
          </cell>
        </row>
        <row r="861">
          <cell r="A861" t="str">
            <v>MM7970</v>
          </cell>
          <cell r="F861">
            <v>0</v>
          </cell>
        </row>
        <row r="862">
          <cell r="A862" t="str">
            <v>MM7970</v>
          </cell>
          <cell r="F862">
            <v>-419789.59</v>
          </cell>
        </row>
        <row r="863">
          <cell r="A863" t="str">
            <v>PP1000</v>
          </cell>
          <cell r="F863">
            <v>29016337.300000001</v>
          </cell>
        </row>
        <row r="864">
          <cell r="A864" t="str">
            <v>PP1000</v>
          </cell>
          <cell r="F864">
            <v>243090.41000000099</v>
          </cell>
        </row>
        <row r="865">
          <cell r="A865" t="str">
            <v>PP1000</v>
          </cell>
          <cell r="F865">
            <v>6403270.0099999998</v>
          </cell>
        </row>
        <row r="866">
          <cell r="A866" t="str">
            <v>PP2000</v>
          </cell>
          <cell r="F866">
            <v>-1181.7</v>
          </cell>
        </row>
        <row r="867">
          <cell r="A867" t="str">
            <v>PP3000</v>
          </cell>
          <cell r="F867">
            <v>148605.62</v>
          </cell>
        </row>
        <row r="868">
          <cell r="A868" t="str">
            <v>PP3000</v>
          </cell>
          <cell r="F868">
            <v>-145489.39000000001</v>
          </cell>
        </row>
        <row r="869">
          <cell r="A869" t="str">
            <v>PP4000</v>
          </cell>
          <cell r="F869">
            <v>39853.5</v>
          </cell>
        </row>
        <row r="870">
          <cell r="A870" t="str">
            <v>QQ0110</v>
          </cell>
          <cell r="F870">
            <v>603287.15</v>
          </cell>
        </row>
        <row r="871">
          <cell r="A871" t="str">
            <v>QQ0110</v>
          </cell>
          <cell r="F871">
            <v>412559.12</v>
          </cell>
        </row>
        <row r="872">
          <cell r="A872" t="str">
            <v>QQ0120</v>
          </cell>
          <cell r="F872">
            <v>33318.019999999997</v>
          </cell>
        </row>
        <row r="873">
          <cell r="A873" t="str">
            <v>QQ0120</v>
          </cell>
          <cell r="F873">
            <v>-14792.86</v>
          </cell>
        </row>
        <row r="874">
          <cell r="A874" t="str">
            <v>QQ1000</v>
          </cell>
          <cell r="F874">
            <v>200000</v>
          </cell>
        </row>
        <row r="875">
          <cell r="A875" t="str">
            <v>SS0100</v>
          </cell>
          <cell r="F875">
            <v>-19820.009999999998</v>
          </cell>
        </row>
        <row r="876">
          <cell r="A876" t="str">
            <v>SS0111</v>
          </cell>
          <cell r="F876">
            <v>12450063.960000001</v>
          </cell>
        </row>
        <row r="877">
          <cell r="A877" t="str">
            <v>SS0121</v>
          </cell>
          <cell r="F877">
            <v>5507868.21</v>
          </cell>
        </row>
        <row r="878">
          <cell r="A878" t="str">
            <v>SS1000</v>
          </cell>
          <cell r="F878">
            <v>-2614348.66</v>
          </cell>
        </row>
        <row r="879">
          <cell r="A879" t="str">
            <v>SS1000</v>
          </cell>
          <cell r="F879">
            <v>1787597.83</v>
          </cell>
        </row>
        <row r="880">
          <cell r="A880" t="str">
            <v>SS1000</v>
          </cell>
          <cell r="F880">
            <v>709538.9</v>
          </cell>
        </row>
        <row r="881">
          <cell r="A881" t="str">
            <v>SS1000</v>
          </cell>
          <cell r="F881">
            <v>180726.24</v>
          </cell>
        </row>
        <row r="882">
          <cell r="A882" t="str">
            <v>SS1000</v>
          </cell>
          <cell r="F882">
            <v>-129.66999999999999</v>
          </cell>
        </row>
        <row r="883">
          <cell r="A883" t="str">
            <v>SS1002</v>
          </cell>
          <cell r="F883">
            <v>-1110710.47</v>
          </cell>
        </row>
        <row r="884">
          <cell r="A884" t="str">
            <v>SS1003</v>
          </cell>
          <cell r="F884">
            <v>597874.67000000004</v>
          </cell>
        </row>
        <row r="885">
          <cell r="A885" t="str">
            <v>SS2100</v>
          </cell>
          <cell r="F885">
            <v>14871.89</v>
          </cell>
        </row>
        <row r="886">
          <cell r="A886" t="str">
            <v>SS2100</v>
          </cell>
          <cell r="F886">
            <v>23542.880000000001</v>
          </cell>
        </row>
        <row r="887">
          <cell r="A887" t="str">
            <v>SS2100</v>
          </cell>
          <cell r="F887">
            <v>15.02</v>
          </cell>
        </row>
        <row r="888">
          <cell r="A888" t="str">
            <v>SS2100</v>
          </cell>
          <cell r="F888">
            <v>89.38</v>
          </cell>
        </row>
        <row r="889">
          <cell r="A889" t="str">
            <v>SS2100</v>
          </cell>
          <cell r="F889">
            <v>7677.37</v>
          </cell>
        </row>
        <row r="890">
          <cell r="A890" t="str">
            <v>SS2100</v>
          </cell>
          <cell r="F890">
            <v>6007.74</v>
          </cell>
        </row>
        <row r="891">
          <cell r="A891" t="str">
            <v>SS2100</v>
          </cell>
          <cell r="F891">
            <v>395.21</v>
          </cell>
        </row>
        <row r="892">
          <cell r="A892" t="str">
            <v>SS2100</v>
          </cell>
          <cell r="F892">
            <v>1504.72</v>
          </cell>
        </row>
        <row r="893">
          <cell r="A893" t="str">
            <v>SS2100</v>
          </cell>
          <cell r="F893">
            <v>74554.399999999994</v>
          </cell>
        </row>
        <row r="894">
          <cell r="A894" t="str">
            <v>SS2100</v>
          </cell>
          <cell r="F894">
            <v>146955.64000000001</v>
          </cell>
        </row>
        <row r="895">
          <cell r="A895" t="str">
            <v>SS2100</v>
          </cell>
          <cell r="F895">
            <v>2402.2600000000002</v>
          </cell>
        </row>
        <row r="896">
          <cell r="A896" t="str">
            <v>SS2100</v>
          </cell>
          <cell r="F896">
            <v>2436.65</v>
          </cell>
        </row>
        <row r="897">
          <cell r="A897" t="str">
            <v>SS2100</v>
          </cell>
          <cell r="F897">
            <v>1382.47</v>
          </cell>
        </row>
        <row r="898">
          <cell r="A898" t="str">
            <v>SS2100</v>
          </cell>
          <cell r="F898">
            <v>2386.15</v>
          </cell>
        </row>
        <row r="899">
          <cell r="A899" t="str">
            <v>SS2100</v>
          </cell>
          <cell r="F899">
            <v>192892.23</v>
          </cell>
        </row>
        <row r="900">
          <cell r="A900" t="str">
            <v>SS2100</v>
          </cell>
          <cell r="F900">
            <v>681087.9</v>
          </cell>
        </row>
        <row r="901">
          <cell r="A901" t="str">
            <v>SS2100</v>
          </cell>
          <cell r="F901">
            <v>2545.7800000000002</v>
          </cell>
        </row>
        <row r="902">
          <cell r="A902" t="str">
            <v>SS2100</v>
          </cell>
          <cell r="F902">
            <v>4892.5</v>
          </cell>
        </row>
        <row r="903">
          <cell r="A903" t="str">
            <v>SS2100</v>
          </cell>
          <cell r="F903">
            <v>4483.1000000000004</v>
          </cell>
        </row>
        <row r="904">
          <cell r="A904" t="str">
            <v>SS2100</v>
          </cell>
          <cell r="F904">
            <v>5684.6</v>
          </cell>
        </row>
        <row r="905">
          <cell r="A905" t="str">
            <v>SS2100</v>
          </cell>
          <cell r="F905">
            <v>277014.71999999997</v>
          </cell>
        </row>
        <row r="906">
          <cell r="A906" t="str">
            <v>SS2100</v>
          </cell>
          <cell r="F906">
            <v>485753.11</v>
          </cell>
        </row>
        <row r="907">
          <cell r="A907" t="str">
            <v>SS2100</v>
          </cell>
          <cell r="F907">
            <v>219390.75</v>
          </cell>
        </row>
        <row r="908">
          <cell r="A908" t="str">
            <v>SS2100</v>
          </cell>
          <cell r="F908">
            <v>348604.26</v>
          </cell>
        </row>
        <row r="909">
          <cell r="A909" t="str">
            <v>SS2100</v>
          </cell>
          <cell r="F909">
            <v>3047.84</v>
          </cell>
        </row>
        <row r="910">
          <cell r="A910" t="str">
            <v>SS2100</v>
          </cell>
          <cell r="F910">
            <v>6062.5</v>
          </cell>
        </row>
        <row r="911">
          <cell r="A911" t="str">
            <v>SS2100</v>
          </cell>
          <cell r="F911">
            <v>748654.07</v>
          </cell>
        </row>
        <row r="912">
          <cell r="A912" t="str">
            <v>SS2100</v>
          </cell>
          <cell r="F912">
            <v>850571.66</v>
          </cell>
        </row>
        <row r="913">
          <cell r="A913" t="str">
            <v>SS2100</v>
          </cell>
          <cell r="F913">
            <v>327062.90999999997</v>
          </cell>
        </row>
        <row r="914">
          <cell r="A914" t="str">
            <v>SS2100</v>
          </cell>
          <cell r="F914">
            <v>712063.65</v>
          </cell>
        </row>
        <row r="915">
          <cell r="A915" t="str">
            <v>SS2100</v>
          </cell>
          <cell r="F915">
            <v>88.41</v>
          </cell>
        </row>
        <row r="916">
          <cell r="A916" t="str">
            <v>SS2100</v>
          </cell>
          <cell r="F916">
            <v>36876.199999999997</v>
          </cell>
        </row>
        <row r="917">
          <cell r="A917" t="str">
            <v>SS2100</v>
          </cell>
          <cell r="F917">
            <v>19262.939999999999</v>
          </cell>
        </row>
        <row r="918">
          <cell r="A918" t="str">
            <v>SS2100</v>
          </cell>
          <cell r="F918">
            <v>1202838.27</v>
          </cell>
        </row>
        <row r="919">
          <cell r="A919" t="str">
            <v>SS2100</v>
          </cell>
          <cell r="F919">
            <v>1863042.09</v>
          </cell>
        </row>
        <row r="920">
          <cell r="A920" t="str">
            <v>SS2100</v>
          </cell>
          <cell r="F920">
            <v>585059.64</v>
          </cell>
        </row>
        <row r="921">
          <cell r="A921" t="str">
            <v>SS2100</v>
          </cell>
          <cell r="F921">
            <v>1193304.01</v>
          </cell>
        </row>
        <row r="922">
          <cell r="A922" t="str">
            <v>SS2100</v>
          </cell>
          <cell r="F922">
            <v>24187.08</v>
          </cell>
        </row>
        <row r="923">
          <cell r="A923" t="str">
            <v>SS2100</v>
          </cell>
          <cell r="F923">
            <v>6186.5</v>
          </cell>
        </row>
        <row r="924">
          <cell r="A924" t="str">
            <v>SS2100</v>
          </cell>
          <cell r="F924">
            <v>18658.240000000002</v>
          </cell>
        </row>
        <row r="925">
          <cell r="A925" t="str">
            <v>SS2100</v>
          </cell>
          <cell r="F925">
            <v>16797.439999999999</v>
          </cell>
        </row>
        <row r="926">
          <cell r="A926" t="str">
            <v>SS2100</v>
          </cell>
          <cell r="F926">
            <v>94.44</v>
          </cell>
        </row>
        <row r="927">
          <cell r="A927" t="str">
            <v>SS2100</v>
          </cell>
          <cell r="F927">
            <v>176.29</v>
          </cell>
        </row>
        <row r="928">
          <cell r="A928" t="str">
            <v>SS2100</v>
          </cell>
          <cell r="F928">
            <v>1236.72</v>
          </cell>
        </row>
        <row r="929">
          <cell r="A929" t="str">
            <v>SS2100</v>
          </cell>
          <cell r="F929">
            <v>2332.5</v>
          </cell>
        </row>
        <row r="930">
          <cell r="A930" t="str">
            <v>SS2100</v>
          </cell>
          <cell r="F930">
            <v>361475.09</v>
          </cell>
        </row>
        <row r="931">
          <cell r="A931" t="str">
            <v>SS2100</v>
          </cell>
          <cell r="F931">
            <v>529031.9</v>
          </cell>
        </row>
        <row r="932">
          <cell r="A932" t="str">
            <v>SS2100</v>
          </cell>
          <cell r="F932">
            <v>10809.92</v>
          </cell>
        </row>
        <row r="933">
          <cell r="A933" t="str">
            <v>SS2100</v>
          </cell>
          <cell r="F933">
            <v>658960.77</v>
          </cell>
        </row>
        <row r="934">
          <cell r="A934" t="str">
            <v>SS2100</v>
          </cell>
          <cell r="F934">
            <v>1877152.63</v>
          </cell>
        </row>
        <row r="935">
          <cell r="A935" t="str">
            <v>SS2100</v>
          </cell>
          <cell r="F935">
            <v>168.47</v>
          </cell>
        </row>
        <row r="936">
          <cell r="A936" t="str">
            <v>SS2100</v>
          </cell>
          <cell r="F936">
            <v>2123893.5299999998</v>
          </cell>
        </row>
        <row r="937">
          <cell r="A937" t="str">
            <v>SS2100</v>
          </cell>
          <cell r="F937">
            <v>4627940.58</v>
          </cell>
        </row>
        <row r="938">
          <cell r="A938" t="str">
            <v>SS2100</v>
          </cell>
          <cell r="F938">
            <v>619.65</v>
          </cell>
        </row>
        <row r="939">
          <cell r="A939" t="str">
            <v>SS2100</v>
          </cell>
          <cell r="F939">
            <v>207.63</v>
          </cell>
        </row>
        <row r="940">
          <cell r="A940" t="str">
            <v>SS2100</v>
          </cell>
          <cell r="F940">
            <v>1016794.75</v>
          </cell>
        </row>
        <row r="941">
          <cell r="A941" t="str">
            <v>SS2100</v>
          </cell>
          <cell r="F941">
            <v>2005055.88</v>
          </cell>
        </row>
        <row r="942">
          <cell r="A942" t="str">
            <v>SS2100</v>
          </cell>
          <cell r="F942">
            <v>7183.88</v>
          </cell>
        </row>
        <row r="943">
          <cell r="A943" t="str">
            <v>SS2100</v>
          </cell>
          <cell r="F943">
            <v>15316.43</v>
          </cell>
        </row>
        <row r="944">
          <cell r="A944" t="str">
            <v>SS2100</v>
          </cell>
          <cell r="F944">
            <v>936999.75</v>
          </cell>
        </row>
        <row r="945">
          <cell r="A945" t="str">
            <v>SS2100</v>
          </cell>
          <cell r="F945">
            <v>2234999</v>
          </cell>
        </row>
        <row r="946">
          <cell r="A946" t="str">
            <v>SS2101</v>
          </cell>
          <cell r="F946">
            <v>-14787.43</v>
          </cell>
        </row>
        <row r="947">
          <cell r="A947" t="str">
            <v>SS2102</v>
          </cell>
          <cell r="F947">
            <v>246520.79</v>
          </cell>
        </row>
        <row r="948">
          <cell r="A948" t="str">
            <v>SS2102</v>
          </cell>
          <cell r="F948">
            <v>117917.78</v>
          </cell>
        </row>
        <row r="949">
          <cell r="A949" t="str">
            <v>SS2102</v>
          </cell>
          <cell r="F949">
            <v>-39.89</v>
          </cell>
        </row>
        <row r="950">
          <cell r="A950" t="str">
            <v>SS2102</v>
          </cell>
          <cell r="F950">
            <v>302.24</v>
          </cell>
        </row>
        <row r="951">
          <cell r="A951" t="str">
            <v>SS2102</v>
          </cell>
          <cell r="F951">
            <v>2698685</v>
          </cell>
        </row>
        <row r="952">
          <cell r="A952" t="str">
            <v>SS2102</v>
          </cell>
          <cell r="F952">
            <v>5422415.0999999996</v>
          </cell>
        </row>
        <row r="953">
          <cell r="A953" t="str">
            <v>SS2210</v>
          </cell>
          <cell r="F953">
            <v>-10.62</v>
          </cell>
        </row>
        <row r="954">
          <cell r="A954" t="str">
            <v>SS2210</v>
          </cell>
          <cell r="F954">
            <v>105.06</v>
          </cell>
        </row>
        <row r="955">
          <cell r="A955" t="str">
            <v>SS2210</v>
          </cell>
          <cell r="F955">
            <v>-163.25</v>
          </cell>
        </row>
        <row r="956">
          <cell r="A956" t="str">
            <v>SS2210</v>
          </cell>
          <cell r="F956">
            <v>7383712.46</v>
          </cell>
        </row>
        <row r="957">
          <cell r="A957" t="str">
            <v>SS2210</v>
          </cell>
          <cell r="F957">
            <v>619342.74</v>
          </cell>
        </row>
        <row r="958">
          <cell r="A958" t="str">
            <v>SS2210</v>
          </cell>
          <cell r="F958">
            <v>-9.02</v>
          </cell>
        </row>
        <row r="959">
          <cell r="A959" t="str">
            <v>SS2220</v>
          </cell>
          <cell r="F959">
            <v>3839252.18</v>
          </cell>
        </row>
        <row r="960">
          <cell r="A960" t="str">
            <v>SS2241</v>
          </cell>
          <cell r="F960">
            <v>1228887.4099999999</v>
          </cell>
        </row>
        <row r="961">
          <cell r="A961" t="str">
            <v>SS2242</v>
          </cell>
          <cell r="F961">
            <v>951414.25</v>
          </cell>
        </row>
        <row r="962">
          <cell r="A962" t="str">
            <v>SS2243</v>
          </cell>
          <cell r="F962">
            <v>22217.360000000001</v>
          </cell>
        </row>
        <row r="963">
          <cell r="A963" t="str">
            <v>SS2250</v>
          </cell>
          <cell r="F963">
            <v>-18.11</v>
          </cell>
        </row>
        <row r="964">
          <cell r="A964" t="str">
            <v>SS2250</v>
          </cell>
          <cell r="F964">
            <v>3643.86</v>
          </cell>
        </row>
        <row r="965">
          <cell r="A965" t="str">
            <v>SS2250</v>
          </cell>
          <cell r="F965">
            <v>210.81</v>
          </cell>
        </row>
        <row r="966">
          <cell r="A966" t="str">
            <v>SS2261</v>
          </cell>
          <cell r="F966">
            <v>30512.97</v>
          </cell>
        </row>
        <row r="967">
          <cell r="A967" t="str">
            <v>SS2262</v>
          </cell>
          <cell r="F967">
            <v>3096.66</v>
          </cell>
        </row>
        <row r="968">
          <cell r="A968" t="str">
            <v>SS2300</v>
          </cell>
          <cell r="F968">
            <v>1574.37</v>
          </cell>
        </row>
        <row r="969">
          <cell r="A969" t="str">
            <v>SS2300</v>
          </cell>
          <cell r="F969">
            <v>79.2</v>
          </cell>
        </row>
        <row r="970">
          <cell r="A970" t="str">
            <v>SS2300</v>
          </cell>
          <cell r="F970">
            <v>2054.65</v>
          </cell>
        </row>
        <row r="971">
          <cell r="A971" t="str">
            <v>SS2300</v>
          </cell>
          <cell r="F971">
            <v>2074.84</v>
          </cell>
        </row>
        <row r="972">
          <cell r="A972" t="str">
            <v>SS2300</v>
          </cell>
          <cell r="F972">
            <v>833.63</v>
          </cell>
        </row>
        <row r="973">
          <cell r="A973" t="str">
            <v>SS2300</v>
          </cell>
          <cell r="F973">
            <v>370.85</v>
          </cell>
        </row>
        <row r="974">
          <cell r="A974" t="str">
            <v>SS2300</v>
          </cell>
          <cell r="F974">
            <v>235.6</v>
          </cell>
        </row>
        <row r="975">
          <cell r="A975" t="str">
            <v>SS2300</v>
          </cell>
          <cell r="F975">
            <v>216.2</v>
          </cell>
        </row>
        <row r="976">
          <cell r="A976" t="str">
            <v>SS2300</v>
          </cell>
          <cell r="F976">
            <v>7.68</v>
          </cell>
        </row>
        <row r="977">
          <cell r="A977" t="str">
            <v>SS2300</v>
          </cell>
          <cell r="F977">
            <v>68.239999999999995</v>
          </cell>
        </row>
        <row r="978">
          <cell r="A978" t="str">
            <v>SS2300</v>
          </cell>
          <cell r="F978">
            <v>17.28</v>
          </cell>
        </row>
        <row r="979">
          <cell r="A979" t="str">
            <v>SS2300</v>
          </cell>
          <cell r="F979">
            <v>58.12</v>
          </cell>
        </row>
        <row r="980">
          <cell r="A980" t="str">
            <v>SS2300</v>
          </cell>
          <cell r="F980">
            <v>7.68</v>
          </cell>
        </row>
        <row r="981">
          <cell r="A981" t="str">
            <v>SS2300</v>
          </cell>
          <cell r="F981">
            <v>281.10000000000002</v>
          </cell>
        </row>
        <row r="982">
          <cell r="A982" t="str">
            <v>SS2300</v>
          </cell>
          <cell r="F982">
            <v>218.01</v>
          </cell>
        </row>
        <row r="983">
          <cell r="A983" t="str">
            <v>SS2300</v>
          </cell>
          <cell r="F983">
            <v>180.48</v>
          </cell>
        </row>
        <row r="984">
          <cell r="A984" t="str">
            <v>SS2300</v>
          </cell>
          <cell r="F984">
            <v>9.99</v>
          </cell>
        </row>
        <row r="985">
          <cell r="A985" t="str">
            <v>SS2300</v>
          </cell>
          <cell r="F985">
            <v>74.08</v>
          </cell>
        </row>
        <row r="986">
          <cell r="A986" t="str">
            <v>SS2300</v>
          </cell>
          <cell r="F986">
            <v>32.299999999999997</v>
          </cell>
        </row>
        <row r="987">
          <cell r="A987" t="str">
            <v>SS2301</v>
          </cell>
          <cell r="F987">
            <v>5809.39</v>
          </cell>
        </row>
        <row r="988">
          <cell r="A988" t="str">
            <v>SS2301</v>
          </cell>
          <cell r="F988">
            <v>243527.87</v>
          </cell>
        </row>
        <row r="989">
          <cell r="A989" t="str">
            <v>SS2301</v>
          </cell>
          <cell r="F989" t="str">
            <v/>
          </cell>
        </row>
        <row r="990">
          <cell r="A990" t="str">
            <v>SS2510</v>
          </cell>
          <cell r="F990">
            <v>80.400000000000006</v>
          </cell>
        </row>
        <row r="991">
          <cell r="A991" t="str">
            <v>SS2510</v>
          </cell>
          <cell r="F991">
            <v>87.74</v>
          </cell>
        </row>
        <row r="992">
          <cell r="A992" t="str">
            <v>SS2510</v>
          </cell>
          <cell r="F992">
            <v>1101.71</v>
          </cell>
        </row>
        <row r="993">
          <cell r="A993" t="str">
            <v>SS2510</v>
          </cell>
          <cell r="F993">
            <v>248.89</v>
          </cell>
        </row>
        <row r="994">
          <cell r="A994" t="str">
            <v>SS2510</v>
          </cell>
          <cell r="F994">
            <v>178.03</v>
          </cell>
        </row>
        <row r="995">
          <cell r="A995" t="str">
            <v>SS2510</v>
          </cell>
          <cell r="F995">
            <v>94161.33</v>
          </cell>
        </row>
        <row r="996">
          <cell r="A996" t="str">
            <v>SS2510</v>
          </cell>
          <cell r="F996">
            <v>5244.65</v>
          </cell>
        </row>
        <row r="997">
          <cell r="A997" t="str">
            <v>SS2510</v>
          </cell>
          <cell r="F997">
            <v>207696.02</v>
          </cell>
        </row>
        <row r="998">
          <cell r="A998" t="str">
            <v>SS2510</v>
          </cell>
          <cell r="F998">
            <v>4454.72</v>
          </cell>
        </row>
        <row r="999">
          <cell r="A999" t="str">
            <v>SS2510</v>
          </cell>
          <cell r="F999">
            <v>119691.5</v>
          </cell>
        </row>
        <row r="1000">
          <cell r="A1000" t="str">
            <v>SS2510</v>
          </cell>
          <cell r="F1000">
            <v>6493.33</v>
          </cell>
        </row>
        <row r="1001">
          <cell r="A1001" t="str">
            <v>SS2510</v>
          </cell>
          <cell r="F1001">
            <v>317700.68</v>
          </cell>
        </row>
        <row r="1002">
          <cell r="A1002" t="str">
            <v>SS2510</v>
          </cell>
          <cell r="F1002">
            <v>9903.98</v>
          </cell>
        </row>
        <row r="1003">
          <cell r="A1003" t="str">
            <v>SS2510</v>
          </cell>
          <cell r="F1003">
            <v>929054.65</v>
          </cell>
        </row>
        <row r="1004">
          <cell r="A1004" t="str">
            <v>SS2510</v>
          </cell>
          <cell r="F1004">
            <v>20337.84</v>
          </cell>
        </row>
        <row r="1005">
          <cell r="A1005" t="str">
            <v>SS2510</v>
          </cell>
          <cell r="F1005">
            <v>2326789.21</v>
          </cell>
        </row>
        <row r="1006">
          <cell r="A1006" t="str">
            <v>SS2510</v>
          </cell>
          <cell r="F1006">
            <v>27103.279999999999</v>
          </cell>
        </row>
        <row r="1007">
          <cell r="A1007" t="str">
            <v>SS2510</v>
          </cell>
          <cell r="F1007">
            <v>98439.13</v>
          </cell>
        </row>
        <row r="1008">
          <cell r="A1008" t="str">
            <v>SS2510</v>
          </cell>
          <cell r="F1008">
            <v>2526.0300000000002</v>
          </cell>
        </row>
        <row r="1009">
          <cell r="A1009" t="str">
            <v>SS2510</v>
          </cell>
          <cell r="F1009">
            <v>2066068.98</v>
          </cell>
        </row>
        <row r="1010">
          <cell r="A1010" t="str">
            <v>SS2510</v>
          </cell>
          <cell r="F1010">
            <v>24737.55</v>
          </cell>
        </row>
        <row r="1011">
          <cell r="A1011" t="str">
            <v>SS2510</v>
          </cell>
          <cell r="F1011">
            <v>30708.7</v>
          </cell>
        </row>
        <row r="1012">
          <cell r="A1012" t="str">
            <v>SS2510</v>
          </cell>
          <cell r="F1012">
            <v>1958.77</v>
          </cell>
        </row>
        <row r="1013">
          <cell r="A1013" t="str">
            <v>SS2510</v>
          </cell>
          <cell r="F1013">
            <v>342795.38</v>
          </cell>
        </row>
        <row r="1014">
          <cell r="A1014" t="str">
            <v>SS2510</v>
          </cell>
          <cell r="F1014">
            <v>2723465.22</v>
          </cell>
        </row>
        <row r="1015">
          <cell r="A1015" t="str">
            <v>SS2510</v>
          </cell>
          <cell r="F1015">
            <v>289449.78000000003</v>
          </cell>
        </row>
        <row r="1016">
          <cell r="A1016" t="str">
            <v>SS2520</v>
          </cell>
          <cell r="F1016">
            <v>322769.65000000002</v>
          </cell>
        </row>
        <row r="1017">
          <cell r="A1017" t="str">
            <v>SS2520</v>
          </cell>
          <cell r="F1017">
            <v>-146.69</v>
          </cell>
        </row>
        <row r="1018">
          <cell r="A1018" t="str">
            <v>SS2520</v>
          </cell>
          <cell r="F1018">
            <v>144.78</v>
          </cell>
        </row>
        <row r="1019">
          <cell r="A1019" t="str">
            <v>SS2520</v>
          </cell>
          <cell r="F1019">
            <v>356516.79</v>
          </cell>
        </row>
        <row r="1020">
          <cell r="A1020" t="str">
            <v>SS2530</v>
          </cell>
          <cell r="F1020">
            <v>44.76</v>
          </cell>
        </row>
        <row r="1021">
          <cell r="A1021" t="str">
            <v>SS2530</v>
          </cell>
          <cell r="F1021">
            <v>1037949.4</v>
          </cell>
        </row>
        <row r="1022">
          <cell r="A1022" t="str">
            <v>SS2540</v>
          </cell>
          <cell r="F1022">
            <v>641.54999999999995</v>
          </cell>
        </row>
        <row r="1023">
          <cell r="A1023" t="str">
            <v>SS2540</v>
          </cell>
          <cell r="F1023">
            <v>10495</v>
          </cell>
        </row>
        <row r="1024">
          <cell r="A1024" t="str">
            <v>SS2540</v>
          </cell>
          <cell r="F1024">
            <v>652475.46</v>
          </cell>
        </row>
        <row r="1025">
          <cell r="A1025" t="str">
            <v>SS2540</v>
          </cell>
          <cell r="F1025">
            <v>204931.56</v>
          </cell>
        </row>
        <row r="1026">
          <cell r="A1026" t="str">
            <v>SS2540</v>
          </cell>
          <cell r="F1026">
            <v>50600.800000000003</v>
          </cell>
        </row>
        <row r="1027">
          <cell r="A1027" t="str">
            <v>SS2540</v>
          </cell>
          <cell r="F1027">
            <v>447638.94</v>
          </cell>
        </row>
        <row r="1028">
          <cell r="A1028" t="str">
            <v>SS2540</v>
          </cell>
          <cell r="F1028">
            <v>102783.79</v>
          </cell>
        </row>
        <row r="1029">
          <cell r="A1029" t="str">
            <v>SS2540</v>
          </cell>
          <cell r="F1029">
            <v>2144450.2799999998</v>
          </cell>
        </row>
        <row r="1030">
          <cell r="A1030" t="str">
            <v>SS2550</v>
          </cell>
          <cell r="F1030">
            <v>282.22000000000003</v>
          </cell>
        </row>
        <row r="1031">
          <cell r="A1031" t="str">
            <v>SS2550</v>
          </cell>
          <cell r="F1031">
            <v>20.52</v>
          </cell>
        </row>
        <row r="1032">
          <cell r="A1032" t="str">
            <v>SS2550</v>
          </cell>
          <cell r="F1032">
            <v>96.9</v>
          </cell>
        </row>
        <row r="1033">
          <cell r="A1033" t="str">
            <v>SS2550</v>
          </cell>
          <cell r="F1033">
            <v>368.42</v>
          </cell>
        </row>
        <row r="1034">
          <cell r="A1034" t="str">
            <v>SS2550</v>
          </cell>
          <cell r="F1034">
            <v>102</v>
          </cell>
        </row>
        <row r="1035">
          <cell r="A1035" t="str">
            <v>SS2550</v>
          </cell>
          <cell r="F1035">
            <v>671.28</v>
          </cell>
        </row>
        <row r="1036">
          <cell r="A1036" t="str">
            <v>SS2550</v>
          </cell>
          <cell r="F1036">
            <v>746.5</v>
          </cell>
        </row>
        <row r="1037">
          <cell r="A1037" t="str">
            <v>SS2550</v>
          </cell>
          <cell r="F1037">
            <v>34.299999999999997</v>
          </cell>
        </row>
        <row r="1038">
          <cell r="A1038" t="str">
            <v>SS2550</v>
          </cell>
          <cell r="F1038">
            <v>34.31</v>
          </cell>
        </row>
        <row r="1039">
          <cell r="A1039" t="str">
            <v>SS2550</v>
          </cell>
          <cell r="F1039">
            <v>155.88</v>
          </cell>
        </row>
        <row r="1040">
          <cell r="A1040" t="str">
            <v>SS2550</v>
          </cell>
          <cell r="F1040">
            <v>17.32</v>
          </cell>
        </row>
        <row r="1041">
          <cell r="A1041" t="str">
            <v>SS2550</v>
          </cell>
          <cell r="F1041">
            <v>69.3</v>
          </cell>
        </row>
        <row r="1042">
          <cell r="A1042" t="str">
            <v>SS2550</v>
          </cell>
          <cell r="F1042">
            <v>150.02000000000001</v>
          </cell>
        </row>
        <row r="1043">
          <cell r="A1043" t="str">
            <v>SS2550</v>
          </cell>
          <cell r="F1043">
            <v>101282.45</v>
          </cell>
        </row>
        <row r="1044">
          <cell r="A1044" t="str">
            <v>SS2550</v>
          </cell>
          <cell r="F1044">
            <v>5435883.0700000003</v>
          </cell>
        </row>
        <row r="1045">
          <cell r="A1045" t="str">
            <v>SS2550</v>
          </cell>
          <cell r="F1045">
            <v>1184229.28</v>
          </cell>
        </row>
        <row r="1046">
          <cell r="A1046" t="str">
            <v>SS2550</v>
          </cell>
          <cell r="F1046">
            <v>161004.29</v>
          </cell>
        </row>
        <row r="1047">
          <cell r="A1047" t="str">
            <v>SS2550</v>
          </cell>
          <cell r="F1047">
            <v>6753599.7000000002</v>
          </cell>
        </row>
        <row r="1048">
          <cell r="A1048" t="str">
            <v>SS2550</v>
          </cell>
          <cell r="F1048">
            <v>2123383.9900000002</v>
          </cell>
        </row>
        <row r="1049">
          <cell r="A1049" t="str">
            <v>SS2555</v>
          </cell>
          <cell r="F1049">
            <v>282817.31</v>
          </cell>
        </row>
        <row r="1050">
          <cell r="A1050" t="str">
            <v>SS2560</v>
          </cell>
          <cell r="F1050">
            <v>263.8</v>
          </cell>
        </row>
        <row r="1051">
          <cell r="A1051" t="str">
            <v>SS2560</v>
          </cell>
          <cell r="F1051">
            <v>2770.75</v>
          </cell>
        </row>
        <row r="1052">
          <cell r="A1052" t="str">
            <v>SS2560</v>
          </cell>
          <cell r="F1052">
            <v>4132085.26</v>
          </cell>
        </row>
        <row r="1053">
          <cell r="A1053" t="str">
            <v>SS2560</v>
          </cell>
          <cell r="F1053">
            <v>763.4</v>
          </cell>
        </row>
        <row r="1054">
          <cell r="A1054" t="str">
            <v>SS2570</v>
          </cell>
          <cell r="F1054">
            <v>259229.61</v>
          </cell>
        </row>
        <row r="1055">
          <cell r="A1055" t="str">
            <v>SS2570</v>
          </cell>
          <cell r="F1055">
            <v>38694.92</v>
          </cell>
        </row>
        <row r="1056">
          <cell r="A1056" t="str">
            <v>SS2580</v>
          </cell>
          <cell r="F1056">
            <v>305610.05</v>
          </cell>
        </row>
        <row r="1057">
          <cell r="A1057" t="str">
            <v>SS2580</v>
          </cell>
          <cell r="F1057">
            <v>867226.42</v>
          </cell>
        </row>
        <row r="1058">
          <cell r="A1058" t="str">
            <v>SS2580</v>
          </cell>
          <cell r="F1058">
            <v>59857.47</v>
          </cell>
        </row>
        <row r="1059">
          <cell r="A1059" t="str">
            <v>SS2590</v>
          </cell>
          <cell r="F1059">
            <v>1470.29</v>
          </cell>
        </row>
        <row r="1060">
          <cell r="A1060" t="str">
            <v>SS2590</v>
          </cell>
          <cell r="F1060">
            <v>13393.71</v>
          </cell>
        </row>
        <row r="1061">
          <cell r="A1061" t="str">
            <v>SS2591</v>
          </cell>
          <cell r="F1061">
            <v>76520.77</v>
          </cell>
        </row>
        <row r="1062">
          <cell r="A1062" t="str">
            <v>SS2700</v>
          </cell>
          <cell r="F1062">
            <v>116682.55</v>
          </cell>
        </row>
        <row r="1063">
          <cell r="A1063" t="str">
            <v>SS2700</v>
          </cell>
          <cell r="F1063">
            <v>18268.47</v>
          </cell>
        </row>
        <row r="1064">
          <cell r="A1064" t="str">
            <v>SS2710</v>
          </cell>
          <cell r="F1064">
            <v>2406.69</v>
          </cell>
        </row>
        <row r="1065">
          <cell r="A1065" t="str">
            <v>SS2711</v>
          </cell>
          <cell r="F1065">
            <v>113867.43</v>
          </cell>
        </row>
        <row r="1066">
          <cell r="A1066" t="str">
            <v>SS280A</v>
          </cell>
          <cell r="F1066">
            <v>8044813.9199999999</v>
          </cell>
        </row>
        <row r="1067">
          <cell r="A1067" t="str">
            <v>SS280A</v>
          </cell>
          <cell r="F1067">
            <v>15105.12</v>
          </cell>
        </row>
        <row r="1068">
          <cell r="A1068" t="str">
            <v>SS280A</v>
          </cell>
          <cell r="F1068">
            <v>143651.91</v>
          </cell>
        </row>
        <row r="1069">
          <cell r="A1069" t="str">
            <v>SS280A</v>
          </cell>
          <cell r="F1069">
            <v>10017240.529999999</v>
          </cell>
        </row>
        <row r="1070">
          <cell r="A1070" t="str">
            <v>SS280B</v>
          </cell>
          <cell r="F1070">
            <v>646342.32999999996</v>
          </cell>
        </row>
        <row r="1071">
          <cell r="A1071" t="str">
            <v>SS280C</v>
          </cell>
          <cell r="F1071">
            <v>2880663.01</v>
          </cell>
        </row>
        <row r="1072">
          <cell r="A1072" t="str">
            <v>SS280C</v>
          </cell>
          <cell r="F1072">
            <v>9201.39</v>
          </cell>
        </row>
        <row r="1073">
          <cell r="A1073" t="str">
            <v>SS280C</v>
          </cell>
          <cell r="F1073">
            <v>10007.120000000001</v>
          </cell>
        </row>
        <row r="1074">
          <cell r="A1074" t="str">
            <v>SS280C</v>
          </cell>
          <cell r="F1074">
            <v>555296.81000000006</v>
          </cell>
        </row>
        <row r="1075">
          <cell r="A1075" t="str">
            <v>SS280C</v>
          </cell>
          <cell r="F1075">
            <v>6424.8</v>
          </cell>
        </row>
        <row r="1076">
          <cell r="A1076" t="str">
            <v>SS280C</v>
          </cell>
          <cell r="F1076">
            <v>6934009.3600000003</v>
          </cell>
        </row>
        <row r="1077">
          <cell r="A1077" t="str">
            <v>SS280D</v>
          </cell>
          <cell r="F1077">
            <v>229925.66</v>
          </cell>
        </row>
        <row r="1078">
          <cell r="A1078" t="str">
            <v>SS2810</v>
          </cell>
          <cell r="F1078">
            <v>69312.22</v>
          </cell>
        </row>
        <row r="1079">
          <cell r="A1079" t="str">
            <v>SS2810</v>
          </cell>
          <cell r="F1079">
            <v>21719.54</v>
          </cell>
        </row>
        <row r="1080">
          <cell r="A1080" t="str">
            <v>SS2910</v>
          </cell>
          <cell r="F1080">
            <v>38969.050000000003</v>
          </cell>
        </row>
        <row r="1081">
          <cell r="A1081" t="str">
            <v>SS2910</v>
          </cell>
          <cell r="F1081">
            <v>2926.27</v>
          </cell>
        </row>
        <row r="1082">
          <cell r="A1082" t="str">
            <v>SS2910</v>
          </cell>
          <cell r="F1082">
            <v>150739.70000000001</v>
          </cell>
        </row>
        <row r="1083">
          <cell r="A1083" t="str">
            <v>SS2911</v>
          </cell>
          <cell r="F1083">
            <v>9412.17</v>
          </cell>
        </row>
        <row r="1084">
          <cell r="A1084" t="str">
            <v>SS2930</v>
          </cell>
          <cell r="F1084">
            <v>114752.63</v>
          </cell>
        </row>
        <row r="1085">
          <cell r="A1085" t="str">
            <v>SS2930</v>
          </cell>
          <cell r="F1085">
            <v>971.25</v>
          </cell>
        </row>
        <row r="1086">
          <cell r="A1086" t="str">
            <v>SS2950</v>
          </cell>
          <cell r="F1086">
            <v>114158.92</v>
          </cell>
        </row>
        <row r="1087">
          <cell r="A1087" t="str">
            <v>SS2950</v>
          </cell>
          <cell r="F1087">
            <v>10715.31</v>
          </cell>
        </row>
        <row r="1088">
          <cell r="A1088" t="str">
            <v>SS2950</v>
          </cell>
          <cell r="F1088">
            <v>8999.74</v>
          </cell>
        </row>
        <row r="1089">
          <cell r="A1089" t="str">
            <v>SS2951</v>
          </cell>
          <cell r="F1089">
            <v>5495.61</v>
          </cell>
        </row>
        <row r="1090">
          <cell r="A1090" t="str">
            <v>SS2952</v>
          </cell>
          <cell r="F1090">
            <v>1000</v>
          </cell>
        </row>
        <row r="1091">
          <cell r="A1091" t="str">
            <v>SS2999</v>
          </cell>
          <cell r="F1091">
            <v>3615.11</v>
          </cell>
        </row>
        <row r="1092">
          <cell r="A1092" t="str">
            <v>SS2999</v>
          </cell>
          <cell r="F1092">
            <v>8753.2800000000007</v>
          </cell>
        </row>
        <row r="1093">
          <cell r="A1093" t="str">
            <v>SS2999</v>
          </cell>
          <cell r="F1093">
            <v>12.5</v>
          </cell>
        </row>
        <row r="1094">
          <cell r="A1094" t="str">
            <v>SS2999</v>
          </cell>
          <cell r="F1094">
            <v>581.77</v>
          </cell>
        </row>
        <row r="1095">
          <cell r="A1095" t="str">
            <v>SS2999</v>
          </cell>
          <cell r="F1095">
            <v>14256.79</v>
          </cell>
        </row>
        <row r="1096">
          <cell r="A1096" t="str">
            <v>SS2999</v>
          </cell>
          <cell r="F1096">
            <v>29.25</v>
          </cell>
        </row>
        <row r="1097">
          <cell r="A1097" t="str">
            <v>SS2999</v>
          </cell>
          <cell r="F1097">
            <v>837.32</v>
          </cell>
        </row>
        <row r="1098">
          <cell r="A1098" t="str">
            <v>SS2999</v>
          </cell>
          <cell r="F1098">
            <v>8729.51</v>
          </cell>
        </row>
        <row r="1099">
          <cell r="A1099" t="str">
            <v>SS2999</v>
          </cell>
          <cell r="F1099">
            <v>10731.06</v>
          </cell>
        </row>
        <row r="1100">
          <cell r="A1100" t="str">
            <v>SS2999</v>
          </cell>
          <cell r="F1100">
            <v>4834.3599999999997</v>
          </cell>
        </row>
        <row r="1101">
          <cell r="A1101" t="str">
            <v>SS2999</v>
          </cell>
          <cell r="F1101">
            <v>5010.49</v>
          </cell>
        </row>
        <row r="1102">
          <cell r="A1102" t="str">
            <v>SS2999</v>
          </cell>
          <cell r="F1102">
            <v>4941.3999999999996</v>
          </cell>
        </row>
        <row r="1103">
          <cell r="A1103" t="str">
            <v>SS2999</v>
          </cell>
          <cell r="F1103">
            <v>557.88</v>
          </cell>
        </row>
        <row r="1104">
          <cell r="A1104" t="str">
            <v>SS2999</v>
          </cell>
          <cell r="F1104">
            <v>12568.14</v>
          </cell>
        </row>
        <row r="1105">
          <cell r="A1105" t="str">
            <v>SS2999</v>
          </cell>
          <cell r="F1105">
            <v>16122.96</v>
          </cell>
        </row>
        <row r="1106">
          <cell r="A1106" t="str">
            <v>SS2999</v>
          </cell>
          <cell r="F1106">
            <v>5869.73</v>
          </cell>
        </row>
        <row r="1107">
          <cell r="A1107" t="str">
            <v>SS2999</v>
          </cell>
          <cell r="F1107">
            <v>7236.28</v>
          </cell>
        </row>
        <row r="1108">
          <cell r="A1108" t="str">
            <v>SS2999</v>
          </cell>
          <cell r="F1108">
            <v>131.78</v>
          </cell>
        </row>
        <row r="1109">
          <cell r="A1109" t="str">
            <v>SS2999</v>
          </cell>
          <cell r="F1109">
            <v>36.71</v>
          </cell>
        </row>
        <row r="1110">
          <cell r="A1110" t="str">
            <v>SS2999</v>
          </cell>
          <cell r="F1110">
            <v>97992.11</v>
          </cell>
        </row>
        <row r="1111">
          <cell r="A1111" t="str">
            <v>SS2999</v>
          </cell>
          <cell r="F1111">
            <v>152947.14000000001</v>
          </cell>
        </row>
        <row r="1112">
          <cell r="A1112" t="str">
            <v>SS2999</v>
          </cell>
          <cell r="F1112">
            <v>4121.66</v>
          </cell>
        </row>
        <row r="1113">
          <cell r="A1113" t="str">
            <v>SS2999</v>
          </cell>
          <cell r="F1113">
            <v>984.9</v>
          </cell>
        </row>
        <row r="1114">
          <cell r="A1114" t="str">
            <v>SS2999</v>
          </cell>
          <cell r="F1114">
            <v>11.97</v>
          </cell>
        </row>
        <row r="1115">
          <cell r="A1115" t="str">
            <v>SX1100</v>
          </cell>
          <cell r="F1115">
            <v>-16.9100000000008</v>
          </cell>
        </row>
        <row r="1116">
          <cell r="A1116" t="str">
            <v>SX1200</v>
          </cell>
          <cell r="F1116">
            <v>26622.75</v>
          </cell>
        </row>
        <row r="1117">
          <cell r="A1117" t="str">
            <v>TT1000</v>
          </cell>
          <cell r="F1117">
            <v>80397.600000000006</v>
          </cell>
        </row>
        <row r="1118">
          <cell r="A1118" t="str">
            <v>TT1000</v>
          </cell>
          <cell r="F1118" t="str">
            <v/>
          </cell>
        </row>
        <row r="1119">
          <cell r="A1119" t="str">
            <v>TT1000</v>
          </cell>
          <cell r="F1119">
            <v>18331.21</v>
          </cell>
        </row>
        <row r="1120">
          <cell r="A1120" t="str">
            <v>TT1100</v>
          </cell>
          <cell r="F1120">
            <v>61476.4</v>
          </cell>
        </row>
        <row r="1121">
          <cell r="A1121" t="str">
            <v>TT1100</v>
          </cell>
          <cell r="F1121">
            <v>122.76</v>
          </cell>
        </row>
        <row r="1122">
          <cell r="A1122" t="str">
            <v>TT1100</v>
          </cell>
          <cell r="F1122">
            <v>28451.57</v>
          </cell>
        </row>
        <row r="1123">
          <cell r="A1123" t="str">
            <v>TT1100</v>
          </cell>
          <cell r="F1123">
            <v>19659.47</v>
          </cell>
        </row>
        <row r="1124">
          <cell r="A1124" t="str">
            <v>TT1100</v>
          </cell>
          <cell r="F1124">
            <v>2045.81</v>
          </cell>
        </row>
        <row r="1125">
          <cell r="A1125" t="str">
            <v>TT1100</v>
          </cell>
          <cell r="F1125">
            <v>747.59</v>
          </cell>
        </row>
        <row r="1126">
          <cell r="A1126" t="str">
            <v>TT1100</v>
          </cell>
          <cell r="F1126">
            <v>634.49</v>
          </cell>
        </row>
        <row r="1127">
          <cell r="A1127" t="str">
            <v>TT1100</v>
          </cell>
          <cell r="F1127">
            <v>872.11</v>
          </cell>
        </row>
        <row r="1128">
          <cell r="A1128" t="str">
            <v>TT1100</v>
          </cell>
          <cell r="F1128">
            <v>0</v>
          </cell>
        </row>
        <row r="1129">
          <cell r="A1129" t="str">
            <v>TT1100</v>
          </cell>
          <cell r="F1129">
            <v>-97.25</v>
          </cell>
        </row>
        <row r="1130">
          <cell r="A1130" t="str">
            <v>TT1100</v>
          </cell>
          <cell r="F1130">
            <v>255.77</v>
          </cell>
        </row>
        <row r="1131">
          <cell r="A1131" t="str">
            <v>TT1100</v>
          </cell>
          <cell r="F1131">
            <v>2496</v>
          </cell>
        </row>
        <row r="1132">
          <cell r="A1132" t="str">
            <v>TT1100</v>
          </cell>
          <cell r="F1132">
            <v>-3563</v>
          </cell>
        </row>
        <row r="1133">
          <cell r="A1133" t="str">
            <v>TT1100</v>
          </cell>
          <cell r="F1133">
            <v>9.1999999999999993</v>
          </cell>
        </row>
        <row r="1134">
          <cell r="A1134" t="str">
            <v>TT2000</v>
          </cell>
          <cell r="F1134">
            <v>-10397.02</v>
          </cell>
        </row>
        <row r="1135">
          <cell r="A1135" t="str">
            <v>TT2000</v>
          </cell>
          <cell r="F1135">
            <v>-232.08</v>
          </cell>
        </row>
        <row r="1136">
          <cell r="A1136" t="str">
            <v>TT2000</v>
          </cell>
          <cell r="F1136">
            <v>-25510.240000000002</v>
          </cell>
        </row>
        <row r="1137">
          <cell r="A1137" t="str">
            <v>TT2000</v>
          </cell>
          <cell r="F1137">
            <v>-1012.36</v>
          </cell>
        </row>
        <row r="1138">
          <cell r="A1138" t="str">
            <v>TT2000</v>
          </cell>
          <cell r="F1138">
            <v>-91875.9</v>
          </cell>
        </row>
        <row r="1139">
          <cell r="A1139" t="str">
            <v>TT2000</v>
          </cell>
          <cell r="F1139">
            <v>12.8</v>
          </cell>
        </row>
        <row r="1140">
          <cell r="A1140" t="str">
            <v>TT2000</v>
          </cell>
          <cell r="F1140">
            <v>867.82</v>
          </cell>
        </row>
        <row r="1141">
          <cell r="A1141" t="str">
            <v>TT2000</v>
          </cell>
          <cell r="F1141" t="str">
            <v/>
          </cell>
        </row>
        <row r="1142">
          <cell r="A1142" t="str">
            <v>TT2000</v>
          </cell>
          <cell r="F1142">
            <v>1055.83</v>
          </cell>
        </row>
        <row r="1143">
          <cell r="A1143" t="str">
            <v>TT2000</v>
          </cell>
          <cell r="F1143">
            <v>2999.52</v>
          </cell>
        </row>
        <row r="1144">
          <cell r="A1144" t="str">
            <v>TT2200</v>
          </cell>
          <cell r="F1144">
            <v>3392.26</v>
          </cell>
        </row>
        <row r="1145">
          <cell r="A1145" t="str">
            <v>TT2200</v>
          </cell>
          <cell r="F1145">
            <v>90057.56</v>
          </cell>
        </row>
        <row r="1146">
          <cell r="A1146" t="str">
            <v>TT2200</v>
          </cell>
          <cell r="F1146">
            <v>35166.019999999997</v>
          </cell>
        </row>
        <row r="1147">
          <cell r="A1147" t="str">
            <v>TT2200</v>
          </cell>
          <cell r="F1147">
            <v>773783.81</v>
          </cell>
        </row>
        <row r="1148">
          <cell r="A1148" t="str">
            <v>TT2200</v>
          </cell>
          <cell r="F1148">
            <v>35575</v>
          </cell>
        </row>
        <row r="1149">
          <cell r="A1149" t="str">
            <v>TT2200</v>
          </cell>
          <cell r="F1149">
            <v>-195894.66</v>
          </cell>
        </row>
        <row r="1150">
          <cell r="A1150" t="str">
            <v>TT2200</v>
          </cell>
          <cell r="F1150">
            <v>-214822.08</v>
          </cell>
        </row>
        <row r="1151">
          <cell r="A1151" t="str">
            <v>TT2200</v>
          </cell>
          <cell r="F1151">
            <v>-12060.6</v>
          </cell>
        </row>
        <row r="1152">
          <cell r="A1152" t="str">
            <v>TT2200</v>
          </cell>
          <cell r="F1152">
            <v>49.63</v>
          </cell>
        </row>
        <row r="1153">
          <cell r="A1153" t="str">
            <v>TT2200</v>
          </cell>
          <cell r="F1153">
            <v>-8202.64</v>
          </cell>
        </row>
        <row r="1154">
          <cell r="A1154" t="str">
            <v>TT2200</v>
          </cell>
          <cell r="F1154" t="str">
            <v/>
          </cell>
        </row>
        <row r="1155">
          <cell r="A1155" t="str">
            <v>TT2200</v>
          </cell>
          <cell r="F1155">
            <v>-4000</v>
          </cell>
        </row>
        <row r="1156">
          <cell r="A1156" t="str">
            <v>TT2200</v>
          </cell>
          <cell r="F1156">
            <v>-225861.93</v>
          </cell>
        </row>
        <row r="1157">
          <cell r="A1157" t="str">
            <v>TT2200</v>
          </cell>
          <cell r="F1157">
            <v>-28447.29</v>
          </cell>
        </row>
        <row r="1158">
          <cell r="A1158" t="str">
            <v>TT2200</v>
          </cell>
          <cell r="F1158">
            <v>0.21</v>
          </cell>
        </row>
        <row r="1159">
          <cell r="A1159" t="str">
            <v>TT2200</v>
          </cell>
          <cell r="F1159">
            <v>-1566.76</v>
          </cell>
        </row>
        <row r="1160">
          <cell r="A1160" t="str">
            <v>TT3100</v>
          </cell>
          <cell r="F1160">
            <v>-96059.68</v>
          </cell>
        </row>
        <row r="1161">
          <cell r="A1161" t="str">
            <v>TT3100</v>
          </cell>
          <cell r="F1161">
            <v>-164012.71</v>
          </cell>
        </row>
        <row r="1162">
          <cell r="A1162" t="str">
            <v>TT3200</v>
          </cell>
          <cell r="F1162">
            <v>-388.84999999999798</v>
          </cell>
        </row>
        <row r="1163">
          <cell r="A1163" t="str">
            <v>TT3200</v>
          </cell>
          <cell r="F1163" t="str">
            <v/>
          </cell>
        </row>
        <row r="1164">
          <cell r="A1164" t="str">
            <v>TT3200</v>
          </cell>
          <cell r="F1164">
            <v>-229640.37</v>
          </cell>
        </row>
        <row r="1165">
          <cell r="A1165" t="str">
            <v>TT3200</v>
          </cell>
          <cell r="F1165">
            <v>-603185.92000000004</v>
          </cell>
        </row>
        <row r="1166">
          <cell r="A1166" t="str">
            <v>TT4100</v>
          </cell>
          <cell r="F1166">
            <v>-1867187.96</v>
          </cell>
        </row>
        <row r="1167">
          <cell r="A1167" t="str">
            <v>TT4100</v>
          </cell>
          <cell r="F1167">
            <v>-3055416.53</v>
          </cell>
        </row>
        <row r="1168">
          <cell r="A1168" t="str">
            <v>TT4210</v>
          </cell>
          <cell r="F1168">
            <v>316307.3</v>
          </cell>
        </row>
        <row r="1169">
          <cell r="A1169" t="str">
            <v>TT4210</v>
          </cell>
          <cell r="F1169">
            <v>154351.35999999999</v>
          </cell>
        </row>
        <row r="1170">
          <cell r="A1170" t="str">
            <v>TT4210</v>
          </cell>
          <cell r="F1170">
            <v>144735.12</v>
          </cell>
        </row>
        <row r="1171">
          <cell r="A1171" t="str">
            <v>TT4210</v>
          </cell>
          <cell r="F1171">
            <v>200360.16</v>
          </cell>
        </row>
        <row r="1172">
          <cell r="A1172" t="str">
            <v>TT4210</v>
          </cell>
          <cell r="F1172">
            <v>2353393.2799999998</v>
          </cell>
        </row>
        <row r="1173">
          <cell r="A1173" t="str">
            <v>TT4210</v>
          </cell>
          <cell r="F1173">
            <v>8299.61</v>
          </cell>
        </row>
        <row r="1174">
          <cell r="A1174" t="str">
            <v>TT4220</v>
          </cell>
          <cell r="F1174" t="str">
            <v/>
          </cell>
        </row>
        <row r="1175">
          <cell r="A1175" t="str">
            <v>TT4220</v>
          </cell>
          <cell r="F1175">
            <v>32081.8</v>
          </cell>
        </row>
        <row r="1176">
          <cell r="A1176" t="str">
            <v>TT4220</v>
          </cell>
          <cell r="F1176">
            <v>11744.12</v>
          </cell>
        </row>
        <row r="1177">
          <cell r="A1177" t="str">
            <v>TT4220</v>
          </cell>
          <cell r="F1177">
            <v>6155</v>
          </cell>
        </row>
        <row r="1178">
          <cell r="A1178" t="str">
            <v>TT4220</v>
          </cell>
          <cell r="F1178">
            <v>42786</v>
          </cell>
        </row>
        <row r="1179">
          <cell r="A1179" t="str">
            <v>TT5100</v>
          </cell>
          <cell r="F1179">
            <v>0</v>
          </cell>
        </row>
        <row r="1180">
          <cell r="A1180" t="str">
            <v>TT5100</v>
          </cell>
          <cell r="F1180">
            <v>-546442.06000000006</v>
          </cell>
        </row>
        <row r="1181">
          <cell r="A1181" t="str">
            <v>TT5100</v>
          </cell>
          <cell r="F1181" t="str">
            <v/>
          </cell>
        </row>
        <row r="1182">
          <cell r="A1182" t="str">
            <v>TT5100</v>
          </cell>
          <cell r="F1182" t="str">
            <v/>
          </cell>
        </row>
        <row r="1183">
          <cell r="A1183" t="str">
            <v>TT5100</v>
          </cell>
          <cell r="F1183">
            <v>-193897.09</v>
          </cell>
        </row>
        <row r="1184">
          <cell r="A1184" t="str">
            <v>TT5100</v>
          </cell>
          <cell r="F1184">
            <v>-61494.96</v>
          </cell>
        </row>
        <row r="1185">
          <cell r="A1185" t="str">
            <v>TT5100</v>
          </cell>
          <cell r="F1185" t="str">
            <v/>
          </cell>
        </row>
        <row r="1186">
          <cell r="A1186" t="str">
            <v>TT5100</v>
          </cell>
          <cell r="F1186">
            <v>-1541.95</v>
          </cell>
        </row>
        <row r="1187">
          <cell r="A1187" t="str">
            <v>TT5100</v>
          </cell>
          <cell r="F1187">
            <v>-222976.98</v>
          </cell>
        </row>
        <row r="1188">
          <cell r="A1188" t="str">
            <v>TT5100</v>
          </cell>
          <cell r="F1188">
            <v>-132948.5</v>
          </cell>
        </row>
        <row r="1189">
          <cell r="A1189" t="str">
            <v>TT5100</v>
          </cell>
          <cell r="F1189">
            <v>-305805.86</v>
          </cell>
        </row>
        <row r="1190">
          <cell r="A1190" t="str">
            <v>TT5100</v>
          </cell>
          <cell r="F1190">
            <v>50.29</v>
          </cell>
        </row>
        <row r="1191">
          <cell r="A1191" t="str">
            <v>TT5100</v>
          </cell>
          <cell r="F1191" t="str">
            <v/>
          </cell>
        </row>
        <row r="1192">
          <cell r="A1192" t="str">
            <v>TT5100</v>
          </cell>
          <cell r="F1192" t="str">
            <v/>
          </cell>
        </row>
        <row r="1193">
          <cell r="A1193" t="str">
            <v>TT5100</v>
          </cell>
          <cell r="F1193">
            <v>-14390.16</v>
          </cell>
        </row>
        <row r="1194">
          <cell r="A1194" t="str">
            <v>TT5100</v>
          </cell>
          <cell r="F1194">
            <v>-342945.95</v>
          </cell>
        </row>
        <row r="1195">
          <cell r="A1195" t="str">
            <v>TT5100</v>
          </cell>
          <cell r="F1195">
            <v>-111015.59</v>
          </cell>
        </row>
        <row r="1196">
          <cell r="A1196" t="str">
            <v>TT5100</v>
          </cell>
          <cell r="F1196">
            <v>0</v>
          </cell>
        </row>
        <row r="1197">
          <cell r="A1197" t="str">
            <v>TT5100</v>
          </cell>
          <cell r="F1197">
            <v>-983250.18</v>
          </cell>
        </row>
        <row r="1198">
          <cell r="A1198" t="str">
            <v>TT5100</v>
          </cell>
          <cell r="F1198">
            <v>5.59</v>
          </cell>
        </row>
        <row r="1199">
          <cell r="A1199" t="str">
            <v>TT5100</v>
          </cell>
          <cell r="F1199">
            <v>60568.63</v>
          </cell>
        </row>
        <row r="1200">
          <cell r="A1200" t="str">
            <v>TT5100</v>
          </cell>
          <cell r="F1200">
            <v>-5.6</v>
          </cell>
        </row>
        <row r="1201">
          <cell r="A1201" t="str">
            <v>TT5100</v>
          </cell>
          <cell r="F1201" t="str">
            <v/>
          </cell>
        </row>
        <row r="1202">
          <cell r="A1202" t="str">
            <v>TT5100</v>
          </cell>
          <cell r="F1202" t="str">
            <v/>
          </cell>
        </row>
        <row r="1203">
          <cell r="A1203" t="str">
            <v>TT5100</v>
          </cell>
          <cell r="F1203" t="str">
            <v/>
          </cell>
        </row>
        <row r="1204">
          <cell r="A1204" t="str">
            <v>TT5100</v>
          </cell>
          <cell r="F1204" t="str">
            <v/>
          </cell>
        </row>
        <row r="1205">
          <cell r="A1205" t="str">
            <v>TT5100</v>
          </cell>
          <cell r="F1205">
            <v>-2119346.19</v>
          </cell>
        </row>
        <row r="1206">
          <cell r="A1206" t="str">
            <v>TT5100</v>
          </cell>
          <cell r="F1206">
            <v>626780.66</v>
          </cell>
        </row>
        <row r="1207">
          <cell r="A1207" t="str">
            <v>TT5100</v>
          </cell>
          <cell r="F1207" t="str">
            <v/>
          </cell>
        </row>
        <row r="1208">
          <cell r="A1208" t="str">
            <v>TT5100</v>
          </cell>
          <cell r="F1208">
            <v>76178.83</v>
          </cell>
        </row>
        <row r="1209">
          <cell r="A1209" t="str">
            <v>TT5100</v>
          </cell>
          <cell r="F1209" t="str">
            <v/>
          </cell>
        </row>
        <row r="1210">
          <cell r="A1210" t="str">
            <v>TT5100</v>
          </cell>
          <cell r="F1210">
            <v>-1289641.5</v>
          </cell>
        </row>
        <row r="1211">
          <cell r="A1211" t="str">
            <v>TT5100</v>
          </cell>
          <cell r="F1211">
            <v>-2158551.69</v>
          </cell>
        </row>
        <row r="1212">
          <cell r="A1212" t="str">
            <v>TT5100</v>
          </cell>
          <cell r="F1212">
            <v>-3802704.72</v>
          </cell>
        </row>
        <row r="1213">
          <cell r="A1213" t="str">
            <v>TT5100</v>
          </cell>
          <cell r="F1213">
            <v>98733.29</v>
          </cell>
        </row>
        <row r="1214">
          <cell r="A1214" t="str">
            <v>TT5100</v>
          </cell>
          <cell r="F1214" t="str">
            <v/>
          </cell>
        </row>
        <row r="1215">
          <cell r="A1215" t="str">
            <v>TT5100</v>
          </cell>
          <cell r="F1215" t="str">
            <v/>
          </cell>
        </row>
        <row r="1216">
          <cell r="A1216" t="str">
            <v>TT5100</v>
          </cell>
          <cell r="F1216" t="str">
            <v/>
          </cell>
        </row>
        <row r="1217">
          <cell r="A1217" t="str">
            <v>TT5100</v>
          </cell>
          <cell r="F1217">
            <v>-447722.95</v>
          </cell>
        </row>
        <row r="1218">
          <cell r="A1218" t="str">
            <v>TT5100</v>
          </cell>
          <cell r="F1218">
            <v>369455.12</v>
          </cell>
        </row>
        <row r="1219">
          <cell r="A1219" t="str">
            <v>TT5100</v>
          </cell>
          <cell r="F1219" t="str">
            <v/>
          </cell>
        </row>
        <row r="1220">
          <cell r="A1220" t="str">
            <v>TT5100</v>
          </cell>
          <cell r="F1220">
            <v>-76413.14</v>
          </cell>
        </row>
        <row r="1221">
          <cell r="A1221" t="str">
            <v>TT5100</v>
          </cell>
          <cell r="F1221">
            <v>-886953.26</v>
          </cell>
        </row>
        <row r="1222">
          <cell r="A1222" t="str">
            <v>TT5100</v>
          </cell>
          <cell r="F1222">
            <v>-49824.51</v>
          </cell>
        </row>
        <row r="1223">
          <cell r="A1223" t="str">
            <v>TT5100</v>
          </cell>
          <cell r="F1223">
            <v>4097273.27</v>
          </cell>
        </row>
        <row r="1224">
          <cell r="A1224" t="str">
            <v>TT5100</v>
          </cell>
          <cell r="F1224">
            <v>21685.38</v>
          </cell>
        </row>
        <row r="1225">
          <cell r="A1225" t="str">
            <v>TT5100</v>
          </cell>
          <cell r="F1225" t="str">
            <v/>
          </cell>
        </row>
        <row r="1226">
          <cell r="A1226" t="str">
            <v>TT5100</v>
          </cell>
          <cell r="F1226">
            <v>-847014.68</v>
          </cell>
        </row>
        <row r="1227">
          <cell r="A1227" t="str">
            <v>TT5100</v>
          </cell>
          <cell r="F1227">
            <v>590773.81999999995</v>
          </cell>
        </row>
        <row r="1228">
          <cell r="A1228" t="str">
            <v>TT5100</v>
          </cell>
          <cell r="F1228">
            <v>-282974.34999999998</v>
          </cell>
        </row>
        <row r="1229">
          <cell r="A1229" t="str">
            <v>TT5100</v>
          </cell>
          <cell r="F1229" t="str">
            <v/>
          </cell>
        </row>
        <row r="1230">
          <cell r="A1230" t="str">
            <v>TT5100</v>
          </cell>
          <cell r="F1230">
            <v>-22357.54</v>
          </cell>
        </row>
        <row r="1231">
          <cell r="A1231" t="str">
            <v>TT5100</v>
          </cell>
          <cell r="F1231">
            <v>100.16</v>
          </cell>
        </row>
        <row r="1232">
          <cell r="A1232" t="str">
            <v>TT5100</v>
          </cell>
          <cell r="F1232">
            <v>8195.23</v>
          </cell>
        </row>
        <row r="1233">
          <cell r="A1233" t="str">
            <v>UMCGP0</v>
          </cell>
          <cell r="F1233">
            <v>-45</v>
          </cell>
        </row>
        <row r="1234">
          <cell r="A1234" t="str">
            <v>UMCGP0</v>
          </cell>
          <cell r="F1234">
            <v>-3521.9</v>
          </cell>
        </row>
        <row r="1239">
          <cell r="F1239">
            <v>497523059.44999969</v>
          </cell>
        </row>
        <row r="1240">
          <cell r="F1240">
            <v>214677277.27000004</v>
          </cell>
        </row>
        <row r="1241">
          <cell r="F1241">
            <v>-172404437.31999999</v>
          </cell>
        </row>
        <row r="1242">
          <cell r="F1242">
            <v>449432141.38999951</v>
          </cell>
        </row>
        <row r="1243">
          <cell r="F1243">
            <v>5818078.1099999994</v>
          </cell>
        </row>
        <row r="1245">
          <cell r="F1245">
            <v>4284494.66</v>
          </cell>
        </row>
        <row r="1246">
          <cell r="F1246">
            <v>4239964.2</v>
          </cell>
        </row>
        <row r="1247">
          <cell r="F1247">
            <v>44530.460000000021</v>
          </cell>
        </row>
        <row r="1248">
          <cell r="F1248">
            <v>15961434.84</v>
          </cell>
        </row>
        <row r="1249">
          <cell r="F1249">
            <v>13262560.470000001</v>
          </cell>
        </row>
        <row r="1250">
          <cell r="F1250">
            <v>2698874.37</v>
          </cell>
        </row>
        <row r="1251">
          <cell r="F1251">
            <v>97338.77</v>
          </cell>
        </row>
        <row r="1253">
          <cell r="F1253">
            <v>97338.77</v>
          </cell>
        </row>
        <row r="1255">
          <cell r="F1255">
            <v>56129789.929999992</v>
          </cell>
        </row>
        <row r="1256">
          <cell r="F1256">
            <v>-621.35</v>
          </cell>
        </row>
        <row r="1257">
          <cell r="F1257">
            <v>395262779.03000009</v>
          </cell>
        </row>
        <row r="1258">
          <cell r="F1258">
            <v>16067698.200000001</v>
          </cell>
        </row>
        <row r="1259">
          <cell r="F1259">
            <v>26469446.350000001</v>
          </cell>
        </row>
        <row r="1262">
          <cell r="F1262">
            <v>-47426551.5</v>
          </cell>
        </row>
        <row r="1263">
          <cell r="F1263">
            <v>-104407750.50000004</v>
          </cell>
        </row>
        <row r="1265">
          <cell r="F1265">
            <v>116530989.33000003</v>
          </cell>
        </row>
        <row r="1266">
          <cell r="F1266">
            <v>4284494.66</v>
          </cell>
        </row>
        <row r="1267">
          <cell r="F1267">
            <v>18523016.539999999</v>
          </cell>
        </row>
        <row r="1268">
          <cell r="F1268">
            <v>15961434.84</v>
          </cell>
        </row>
        <row r="1269">
          <cell r="F1269">
            <v>128333.92</v>
          </cell>
        </row>
        <row r="1270">
          <cell r="F1270">
            <v>97338.77</v>
          </cell>
        </row>
        <row r="1272">
          <cell r="F1272">
            <v>8131897.6800000016</v>
          </cell>
        </row>
        <row r="1273">
          <cell r="F1273">
            <v>8361087.2400000021</v>
          </cell>
        </row>
        <row r="1274">
          <cell r="F1274">
            <v>-229189.56000000006</v>
          </cell>
        </row>
        <row r="1275">
          <cell r="F1275">
            <v>843676.70000000065</v>
          </cell>
        </row>
        <row r="1276">
          <cell r="F1276">
            <v>843676.70000000065</v>
          </cell>
        </row>
        <row r="1278">
          <cell r="F1278">
            <v>-1670731.3800000001</v>
          </cell>
        </row>
        <row r="1279">
          <cell r="F1279">
            <v>-694602.85</v>
          </cell>
        </row>
        <row r="1280">
          <cell r="F1280">
            <v>-976128.53000000014</v>
          </cell>
        </row>
        <row r="1281">
          <cell r="F1281">
            <v>10962305.460000016</v>
          </cell>
        </row>
        <row r="1282">
          <cell r="F1282">
            <v>55811164.130000003</v>
          </cell>
        </row>
        <row r="1283">
          <cell r="F1283">
            <v>-44848858.669999987</v>
          </cell>
        </row>
        <row r="1286">
          <cell r="F1286">
            <v>-342371.99</v>
          </cell>
        </row>
        <row r="1287">
          <cell r="F1287">
            <v>11795.979999998601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"/>
  <sheetViews>
    <sheetView tabSelected="1" topLeftCell="XFD1048576" workbookViewId="0">
      <selection sqref="A1:XFD1048576"/>
    </sheetView>
  </sheetViews>
  <sheetFormatPr defaultColWidth="0" defaultRowHeight="14.5" zeroHeight="1" x14ac:dyDescent="0.35"/>
  <cols>
    <col min="1" max="16384" width="8.81640625" hidden="1"/>
  </cols>
  <sheetData>
    <row r="1" hidden="1" x14ac:dyDescent="0.3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6"/>
  <sheetViews>
    <sheetView showGridLines="0" zoomScale="80" zoomScaleNormal="80" workbookViewId="0"/>
  </sheetViews>
  <sheetFormatPr defaultColWidth="10.90625" defaultRowHeight="14.5" x14ac:dyDescent="0.35"/>
  <cols>
    <col min="2" max="7" width="14.36328125" bestFit="1" customWidth="1"/>
    <col min="8" max="8" width="15.90625" bestFit="1" customWidth="1"/>
    <col min="9" max="9" width="17.90625" bestFit="1" customWidth="1"/>
    <col min="10" max="10" width="15.90625" customWidth="1"/>
    <col min="11" max="11" width="14" bestFit="1" customWidth="1"/>
    <col min="12" max="12" width="17" bestFit="1" customWidth="1"/>
    <col min="13" max="13" width="18.81640625" bestFit="1" customWidth="1"/>
    <col min="14" max="14" width="14" bestFit="1" customWidth="1"/>
    <col min="15" max="15" width="14.36328125" bestFit="1" customWidth="1"/>
    <col min="16" max="16" width="15.90625" bestFit="1" customWidth="1"/>
    <col min="17" max="17" width="14.36328125" bestFit="1" customWidth="1"/>
  </cols>
  <sheetData>
    <row r="1" spans="1:9" x14ac:dyDescent="0.35">
      <c r="A1" s="4" t="s">
        <v>327</v>
      </c>
      <c r="B1" s="22" t="s">
        <v>329</v>
      </c>
    </row>
    <row r="3" spans="1:9" x14ac:dyDescent="0.35">
      <c r="A3" s="4" t="s">
        <v>0</v>
      </c>
      <c r="B3" s="4" t="s">
        <v>324</v>
      </c>
      <c r="C3" s="4" t="s">
        <v>1</v>
      </c>
      <c r="D3" s="4" t="s">
        <v>2</v>
      </c>
      <c r="E3" s="4" t="s">
        <v>3</v>
      </c>
      <c r="F3" s="4" t="s">
        <v>4</v>
      </c>
      <c r="G3" s="20" t="s">
        <v>223</v>
      </c>
      <c r="H3" s="20" t="s">
        <v>325</v>
      </c>
      <c r="I3" s="20" t="s">
        <v>326</v>
      </c>
    </row>
    <row r="4" spans="1:9" x14ac:dyDescent="0.35">
      <c r="A4" t="s">
        <v>224</v>
      </c>
      <c r="B4" s="1">
        <v>-836972.27</v>
      </c>
      <c r="C4" s="1">
        <v>29.09</v>
      </c>
      <c r="D4" s="1">
        <v>837001.36</v>
      </c>
      <c r="E4" s="1">
        <v>0</v>
      </c>
      <c r="F4" s="1">
        <v>0</v>
      </c>
      <c r="G4" s="1">
        <f>SUMIFS([1]QUERY_FOR_TRNSTRANSPOSED_0008!$F:$F,[1]QUERY_FOR_TRNSTRANSPOSED_0008!$A:$A,A4)</f>
        <v>5669446.0099999998</v>
      </c>
      <c r="H4" s="19">
        <f t="shared" ref="H4:H67" si="0">(G4-B4)+(F4-E4)</f>
        <v>6506418.2799999993</v>
      </c>
      <c r="I4" s="19">
        <f>C4-D4+E4-F4</f>
        <v>-836972.27</v>
      </c>
    </row>
    <row r="5" spans="1:9" x14ac:dyDescent="0.35">
      <c r="A5" t="s">
        <v>5</v>
      </c>
      <c r="B5" s="1">
        <v>2117848.9900000002</v>
      </c>
      <c r="C5" s="1">
        <v>2581076.08</v>
      </c>
      <c r="D5" s="1">
        <v>463227.09</v>
      </c>
      <c r="E5" s="1">
        <v>0</v>
      </c>
      <c r="F5" s="1">
        <v>0</v>
      </c>
      <c r="G5" s="1">
        <f>SUMIFS([1]QUERY_FOR_TRNSTRANSPOSED_0008!$F:$F,[1]QUERY_FOR_TRNSTRANSPOSED_0008!$A:$A,A5)</f>
        <v>8261251.6499999994</v>
      </c>
      <c r="H5" s="19">
        <f t="shared" si="0"/>
        <v>6143402.6599999992</v>
      </c>
      <c r="I5" s="19">
        <f t="shared" ref="I5:I68" si="1">C5-D5+E5-F5</f>
        <v>2117848.9900000002</v>
      </c>
    </row>
    <row r="6" spans="1:9" x14ac:dyDescent="0.35">
      <c r="A6" t="s">
        <v>116</v>
      </c>
      <c r="B6" s="1">
        <v>13410.11</v>
      </c>
      <c r="C6" s="1">
        <v>13410.11</v>
      </c>
      <c r="D6" s="1">
        <v>0</v>
      </c>
      <c r="E6" s="1">
        <v>959204.02</v>
      </c>
      <c r="F6" s="1">
        <v>335290.5</v>
      </c>
      <c r="G6" s="1">
        <f>SUMIFS([1]QUERY_FOR_TRNSTRANSPOSED_0008!$F:$F,[1]QUERY_FOR_TRNSTRANSPOSED_0008!$A:$A,A6)</f>
        <v>3177446.8299999996</v>
      </c>
      <c r="H6" s="19">
        <f t="shared" si="0"/>
        <v>2540123.1999999997</v>
      </c>
      <c r="I6" s="19">
        <f t="shared" si="1"/>
        <v>637323.63</v>
      </c>
    </row>
    <row r="7" spans="1:9" x14ac:dyDescent="0.35">
      <c r="A7" t="s">
        <v>113</v>
      </c>
      <c r="B7" s="1">
        <v>-783658.53</v>
      </c>
      <c r="C7" s="1">
        <v>-7419722.4100000001</v>
      </c>
      <c r="D7" s="1">
        <v>-6636063.8799999999</v>
      </c>
      <c r="E7" s="1">
        <v>0</v>
      </c>
      <c r="F7" s="1">
        <v>129.66999999999999</v>
      </c>
      <c r="G7" s="1">
        <f>SUMIFS([1]QUERY_FOR_TRNSTRANSPOSED_0008!$F:$F,[1]QUERY_FOR_TRNSTRANSPOSED_0008!$A:$A,A7)</f>
        <v>63384.639999999941</v>
      </c>
      <c r="H7" s="19">
        <f t="shared" si="0"/>
        <v>847172.84</v>
      </c>
      <c r="I7" s="19">
        <f t="shared" si="1"/>
        <v>-783788.2000000003</v>
      </c>
    </row>
    <row r="8" spans="1:9" x14ac:dyDescent="0.35">
      <c r="A8" t="s">
        <v>244</v>
      </c>
      <c r="B8" s="1">
        <v>2888558.65</v>
      </c>
      <c r="C8" s="1">
        <v>2888558.65</v>
      </c>
      <c r="D8" s="1">
        <v>0</v>
      </c>
      <c r="E8" s="1">
        <v>0</v>
      </c>
      <c r="F8" s="1">
        <v>0</v>
      </c>
      <c r="G8" s="1">
        <f>SUMIFS([1]QUERY_FOR_TRNSTRANSPOSED_0008!$F:$F,[1]QUERY_FOR_TRNSTRANSPOSED_0008!$A:$A,A8)</f>
        <v>3696019.11</v>
      </c>
      <c r="H8" s="19">
        <f t="shared" si="0"/>
        <v>807460.46</v>
      </c>
      <c r="I8" s="19">
        <f t="shared" si="1"/>
        <v>2888558.65</v>
      </c>
    </row>
    <row r="9" spans="1:9" x14ac:dyDescent="0.35">
      <c r="A9" t="s">
        <v>102</v>
      </c>
      <c r="B9" s="1">
        <v>199034.97</v>
      </c>
      <c r="C9" s="1">
        <v>199074.97</v>
      </c>
      <c r="D9" s="1">
        <v>40</v>
      </c>
      <c r="E9" s="1">
        <v>0</v>
      </c>
      <c r="F9" s="1">
        <v>0</v>
      </c>
      <c r="G9" s="1">
        <f>SUMIFS([1]QUERY_FOR_TRNSTRANSPOSED_0008!$F:$F,[1]QUERY_FOR_TRNSTRANSPOSED_0008!$A:$A,A9)</f>
        <v>397260.32</v>
      </c>
      <c r="H9" s="19">
        <f t="shared" si="0"/>
        <v>198225.35</v>
      </c>
      <c r="I9" s="19">
        <f t="shared" si="1"/>
        <v>199034.97</v>
      </c>
    </row>
    <row r="10" spans="1:9" x14ac:dyDescent="0.35">
      <c r="A10" t="s">
        <v>250</v>
      </c>
      <c r="B10" s="1">
        <v>-73808.88</v>
      </c>
      <c r="C10" s="1">
        <v>-73815.92</v>
      </c>
      <c r="D10" s="1">
        <v>-7.04</v>
      </c>
      <c r="E10" s="1">
        <v>0</v>
      </c>
      <c r="F10" s="1">
        <v>0</v>
      </c>
      <c r="G10" s="1">
        <f>SUMIFS([1]QUERY_FOR_TRNSTRANSPOSED_0008!$F:$F,[1]QUERY_FOR_TRNSTRANSPOSED_0008!$A:$A,A10)</f>
        <v>-19820.009999999998</v>
      </c>
      <c r="H10" s="19">
        <f t="shared" si="0"/>
        <v>53988.87000000001</v>
      </c>
      <c r="I10" s="19">
        <f t="shared" si="1"/>
        <v>-73808.88</v>
      </c>
    </row>
    <row r="11" spans="1:9" x14ac:dyDescent="0.35">
      <c r="A11" t="s">
        <v>125</v>
      </c>
      <c r="B11" s="1">
        <v>19448670.27</v>
      </c>
      <c r="C11" s="1">
        <v>45454639.590000004</v>
      </c>
      <c r="D11" s="1">
        <v>26005969.32</v>
      </c>
      <c r="E11" s="1">
        <v>0</v>
      </c>
      <c r="F11" s="1">
        <v>0</v>
      </c>
      <c r="G11" s="1">
        <f>SUMIFS([1]QUERY_FOR_TRNSTRANSPOSED_0008!$F:$F,[1]QUERY_FOR_TRNSTRANSPOSED_0008!$A:$A,A11)</f>
        <v>19498670.27</v>
      </c>
      <c r="H11" s="19">
        <f t="shared" si="0"/>
        <v>50000</v>
      </c>
      <c r="I11" s="19">
        <f t="shared" si="1"/>
        <v>19448670.270000003</v>
      </c>
    </row>
    <row r="12" spans="1:9" x14ac:dyDescent="0.35">
      <c r="A12" t="s">
        <v>231</v>
      </c>
      <c r="B12" s="1">
        <v>0</v>
      </c>
      <c r="C12" s="1">
        <v>0</v>
      </c>
      <c r="D12" s="1">
        <v>0</v>
      </c>
      <c r="E12" s="1">
        <v>195745.65</v>
      </c>
      <c r="F12" s="1">
        <v>769359.35999999999</v>
      </c>
      <c r="G12" s="1">
        <f>SUMIFS([1]QUERY_FOR_TRNSTRANSPOSED_0008!$F:$F,[1]QUERY_FOR_TRNSTRANSPOSED_0008!$A:$A,A12)</f>
        <v>-531441.28</v>
      </c>
      <c r="H12" s="19">
        <f t="shared" si="0"/>
        <v>42172.429999999935</v>
      </c>
      <c r="I12" s="19">
        <f t="shared" si="1"/>
        <v>-573613.71</v>
      </c>
    </row>
    <row r="13" spans="1:9" x14ac:dyDescent="0.35">
      <c r="A13" t="s">
        <v>52</v>
      </c>
      <c r="B13" s="1">
        <v>4614179.58</v>
      </c>
      <c r="C13" s="1">
        <v>9149919.8900000006</v>
      </c>
      <c r="D13" s="1">
        <v>4535740.3099999996</v>
      </c>
      <c r="E13" s="1">
        <v>0</v>
      </c>
      <c r="F13" s="1">
        <v>0</v>
      </c>
      <c r="G13" s="1">
        <f>SUMIFS([1]QUERY_FOR_TRNSTRANSPOSED_0008!$F:$F,[1]QUERY_FOR_TRNSTRANSPOSED_0008!$A:$A,A13)</f>
        <v>4632302.62</v>
      </c>
      <c r="H13" s="19">
        <f t="shared" si="0"/>
        <v>18123.040000000037</v>
      </c>
      <c r="I13" s="19">
        <f t="shared" si="1"/>
        <v>4614179.580000001</v>
      </c>
    </row>
    <row r="14" spans="1:9" x14ac:dyDescent="0.35">
      <c r="A14" t="s">
        <v>254</v>
      </c>
      <c r="B14" s="1">
        <v>-902.9</v>
      </c>
      <c r="C14" s="1">
        <v>-536.58000000000004</v>
      </c>
      <c r="D14" s="1">
        <v>366.32</v>
      </c>
      <c r="E14" s="1">
        <v>0</v>
      </c>
      <c r="F14" s="1">
        <v>0</v>
      </c>
      <c r="G14" s="1">
        <f>SUMIFS([1]QUERY_FOR_TRNSTRANSPOSED_0008!$F:$F,[1]QUERY_FOR_TRNSTRANSPOSED_0008!$A:$A,A14)</f>
        <v>-16.9100000000008</v>
      </c>
      <c r="H14" s="19">
        <f t="shared" si="0"/>
        <v>885.98999999999921</v>
      </c>
      <c r="I14" s="19">
        <f t="shared" si="1"/>
        <v>-902.90000000000009</v>
      </c>
    </row>
    <row r="15" spans="1:9" x14ac:dyDescent="0.35">
      <c r="A15" t="s">
        <v>158</v>
      </c>
      <c r="B15" s="1">
        <v>5107194.71</v>
      </c>
      <c r="C15" s="1">
        <v>6069914.4800000004</v>
      </c>
      <c r="D15" s="1">
        <v>962719.77</v>
      </c>
      <c r="E15" s="1">
        <v>0</v>
      </c>
      <c r="F15" s="1">
        <v>0</v>
      </c>
      <c r="G15" s="1">
        <f>SUMIFS([1]QUERY_FOR_TRNSTRANSPOSED_0008!$F:$F,[1]QUERY_FOR_TRNSTRANSPOSED_0008!$A:$A,A15)</f>
        <v>5107797.59</v>
      </c>
      <c r="H15" s="19">
        <f t="shared" si="0"/>
        <v>602.87999999988824</v>
      </c>
      <c r="I15" s="19">
        <f t="shared" si="1"/>
        <v>5107194.7100000009</v>
      </c>
    </row>
    <row r="16" spans="1:9" x14ac:dyDescent="0.35">
      <c r="A16" t="s">
        <v>88</v>
      </c>
      <c r="B16" s="1">
        <v>1281392.28</v>
      </c>
      <c r="C16" s="1">
        <v>2535530.94</v>
      </c>
      <c r="D16" s="1">
        <v>1254138.6599999999</v>
      </c>
      <c r="E16" s="1">
        <v>0</v>
      </c>
      <c r="F16" s="1">
        <v>2434191.81</v>
      </c>
      <c r="G16" s="1">
        <f>SUMIFS([1]QUERY_FOR_TRNSTRANSPOSED_0008!$F:$F,[1]QUERY_FOR_TRNSTRANSPOSED_0008!$A:$A,A16)</f>
        <v>-1152659.53</v>
      </c>
      <c r="H16" s="19">
        <f t="shared" si="0"/>
        <v>140</v>
      </c>
      <c r="I16" s="19">
        <f t="shared" si="1"/>
        <v>-1152799.53</v>
      </c>
    </row>
    <row r="17" spans="1:9" x14ac:dyDescent="0.35">
      <c r="A17" t="s">
        <v>214</v>
      </c>
      <c r="B17" s="1">
        <v>443439.21</v>
      </c>
      <c r="C17" s="1">
        <v>459510.7</v>
      </c>
      <c r="D17" s="1">
        <v>16071.49</v>
      </c>
      <c r="E17" s="1">
        <v>0</v>
      </c>
      <c r="F17" s="1">
        <v>0</v>
      </c>
      <c r="G17" s="1">
        <f>SUMIFS([1]QUERY_FOR_TRNSTRANSPOSED_0008!$F:$F,[1]QUERY_FOR_TRNSTRANSPOSED_0008!$A:$A,A17)</f>
        <v>443485.52999999997</v>
      </c>
      <c r="H17" s="19">
        <f t="shared" si="0"/>
        <v>46.319999999948777</v>
      </c>
      <c r="I17" s="19">
        <f t="shared" si="1"/>
        <v>443439.21</v>
      </c>
    </row>
    <row r="18" spans="1:9" x14ac:dyDescent="0.35">
      <c r="A18" t="s">
        <v>42</v>
      </c>
      <c r="B18" s="1">
        <v>4776324.97</v>
      </c>
      <c r="C18" s="1">
        <v>9799748.6999999993</v>
      </c>
      <c r="D18" s="1">
        <v>5023423.7300000004</v>
      </c>
      <c r="E18" s="1">
        <v>0</v>
      </c>
      <c r="F18" s="1">
        <v>0</v>
      </c>
      <c r="G18" s="1">
        <f>SUMIFS([1]QUERY_FOR_TRNSTRANSPOSED_0008!$F:$F,[1]QUERY_FOR_TRNSTRANSPOSED_0008!$A:$A,A18)</f>
        <v>4776324.9700000007</v>
      </c>
      <c r="H18" s="19">
        <f t="shared" si="0"/>
        <v>9.3132257461547852E-10</v>
      </c>
      <c r="I18" s="19">
        <f t="shared" si="1"/>
        <v>4776324.9699999988</v>
      </c>
    </row>
    <row r="19" spans="1:9" x14ac:dyDescent="0.35">
      <c r="A19" t="s">
        <v>217</v>
      </c>
      <c r="B19" s="1">
        <v>8002977.3700000001</v>
      </c>
      <c r="C19" s="1">
        <v>9557802.2799999993</v>
      </c>
      <c r="D19" s="1">
        <v>1554824.91</v>
      </c>
      <c r="E19" s="1">
        <v>0</v>
      </c>
      <c r="F19" s="1">
        <v>0</v>
      </c>
      <c r="G19" s="1">
        <f>SUMIFS([1]QUERY_FOR_TRNSTRANSPOSED_0008!$F:$F,[1]QUERY_FOR_TRNSTRANSPOSED_0008!$A:$A,A19)</f>
        <v>8002977.370000001</v>
      </c>
      <c r="H19" s="19">
        <f t="shared" si="0"/>
        <v>9.3132257461547852E-10</v>
      </c>
      <c r="I19" s="19">
        <f t="shared" si="1"/>
        <v>8002977.3699999992</v>
      </c>
    </row>
    <row r="20" spans="1:9" x14ac:dyDescent="0.35">
      <c r="A20" t="s">
        <v>99</v>
      </c>
      <c r="B20" s="1">
        <v>2924083.36</v>
      </c>
      <c r="C20" s="1">
        <v>3055800.25</v>
      </c>
      <c r="D20" s="1">
        <v>131716.89000000001</v>
      </c>
      <c r="E20" s="1">
        <v>0</v>
      </c>
      <c r="F20" s="1">
        <v>0</v>
      </c>
      <c r="G20" s="1">
        <f>SUMIFS([1]QUERY_FOR_TRNSTRANSPOSED_0008!$F:$F,[1]QUERY_FOR_TRNSTRANSPOSED_0008!$A:$A,A20)</f>
        <v>2924083.3600000003</v>
      </c>
      <c r="H20" s="19">
        <f t="shared" si="0"/>
        <v>4.6566128730773926E-10</v>
      </c>
      <c r="I20" s="19">
        <f t="shared" si="1"/>
        <v>2924083.36</v>
      </c>
    </row>
    <row r="21" spans="1:9" x14ac:dyDescent="0.35">
      <c r="A21" t="s">
        <v>21</v>
      </c>
      <c r="B21" s="1">
        <v>3350039.48</v>
      </c>
      <c r="C21" s="1">
        <v>3452127.28</v>
      </c>
      <c r="D21" s="1">
        <v>102087.8</v>
      </c>
      <c r="E21" s="1">
        <v>0</v>
      </c>
      <c r="F21" s="1">
        <v>0</v>
      </c>
      <c r="G21" s="1">
        <f>SUMIFS([1]QUERY_FOR_TRNSTRANSPOSED_0008!$F:$F,[1]QUERY_FOR_TRNSTRANSPOSED_0008!$A:$A,A21)</f>
        <v>3350039.4800000004</v>
      </c>
      <c r="H21" s="19">
        <f t="shared" si="0"/>
        <v>4.6566128730773926E-10</v>
      </c>
      <c r="I21" s="19">
        <f t="shared" si="1"/>
        <v>3350039.48</v>
      </c>
    </row>
    <row r="22" spans="1:9" x14ac:dyDescent="0.35">
      <c r="A22" t="s">
        <v>34</v>
      </c>
      <c r="B22" s="1">
        <v>850268.7</v>
      </c>
      <c r="C22" s="1">
        <v>1634924.88</v>
      </c>
      <c r="D22" s="1">
        <v>784656.18</v>
      </c>
      <c r="E22" s="1">
        <v>0</v>
      </c>
      <c r="F22" s="1">
        <v>0</v>
      </c>
      <c r="G22" s="1">
        <f>SUMIFS([1]QUERY_FOR_TRNSTRANSPOSED_0008!$F:$F,[1]QUERY_FOR_TRNSTRANSPOSED_0008!$A:$A,A22)</f>
        <v>850268.70000000019</v>
      </c>
      <c r="H22" s="19">
        <f t="shared" si="0"/>
        <v>2.3283064365386963E-10</v>
      </c>
      <c r="I22" s="19">
        <f t="shared" si="1"/>
        <v>850268.69999999984</v>
      </c>
    </row>
    <row r="23" spans="1:9" x14ac:dyDescent="0.35">
      <c r="A23" t="s">
        <v>194</v>
      </c>
      <c r="B23" s="1">
        <v>1144290.94</v>
      </c>
      <c r="C23" s="1">
        <v>1167709.5</v>
      </c>
      <c r="D23" s="1">
        <v>23418.560000000001</v>
      </c>
      <c r="E23" s="1">
        <v>0</v>
      </c>
      <c r="F23" s="1">
        <v>0</v>
      </c>
      <c r="G23" s="1">
        <f>SUMIFS([1]QUERY_FOR_TRNSTRANSPOSED_0008!$F:$F,[1]QUERY_FOR_TRNSTRANSPOSED_0008!$A:$A,A23)</f>
        <v>1144290.9400000002</v>
      </c>
      <c r="H23" s="19">
        <f t="shared" si="0"/>
        <v>2.3283064365386963E-10</v>
      </c>
      <c r="I23" s="19">
        <f t="shared" si="1"/>
        <v>1144290.94</v>
      </c>
    </row>
    <row r="24" spans="1:9" x14ac:dyDescent="0.35">
      <c r="A24" t="s">
        <v>131</v>
      </c>
      <c r="B24" s="1">
        <v>929321.95</v>
      </c>
      <c r="C24" s="1">
        <v>955721.22</v>
      </c>
      <c r="D24" s="1">
        <v>26399.27</v>
      </c>
      <c r="E24" s="1">
        <v>0</v>
      </c>
      <c r="F24" s="1">
        <v>0</v>
      </c>
      <c r="G24" s="1">
        <f>SUMIFS([1]QUERY_FOR_TRNSTRANSPOSED_0008!$F:$F,[1]QUERY_FOR_TRNSTRANSPOSED_0008!$A:$A,A24)</f>
        <v>929321.95000000007</v>
      </c>
      <c r="H24" s="19">
        <f t="shared" si="0"/>
        <v>1.1641532182693481E-10</v>
      </c>
      <c r="I24" s="19">
        <f t="shared" si="1"/>
        <v>929321.95</v>
      </c>
    </row>
    <row r="25" spans="1:9" x14ac:dyDescent="0.35">
      <c r="A25" t="s">
        <v>174</v>
      </c>
      <c r="B25" s="1">
        <v>667967.68999999994</v>
      </c>
      <c r="C25" s="1">
        <v>670004.63</v>
      </c>
      <c r="D25" s="1">
        <v>2036.94</v>
      </c>
      <c r="E25" s="1">
        <v>0</v>
      </c>
      <c r="F25" s="1">
        <v>0</v>
      </c>
      <c r="G25" s="1">
        <f>SUMIFS([1]QUERY_FOR_TRNSTRANSPOSED_0008!$F:$F,[1]QUERY_FOR_TRNSTRANSPOSED_0008!$A:$A,A25)</f>
        <v>667967.69000000006</v>
      </c>
      <c r="H25" s="19">
        <f t="shared" si="0"/>
        <v>1.1641532182693481E-10</v>
      </c>
      <c r="I25" s="19">
        <f t="shared" si="1"/>
        <v>667967.69000000006</v>
      </c>
    </row>
    <row r="26" spans="1:9" x14ac:dyDescent="0.35">
      <c r="A26" t="s">
        <v>155</v>
      </c>
      <c r="B26" s="1">
        <v>519156.04</v>
      </c>
      <c r="C26" s="1">
        <v>519496.46</v>
      </c>
      <c r="D26" s="1">
        <v>340.42</v>
      </c>
      <c r="E26" s="1">
        <v>0</v>
      </c>
      <c r="F26" s="1">
        <v>0</v>
      </c>
      <c r="G26" s="1">
        <f>SUMIFS([1]QUERY_FOR_TRNSTRANSPOSED_0008!$F:$F,[1]QUERY_FOR_TRNSTRANSPOSED_0008!$A:$A,A26)</f>
        <v>519156.04000000004</v>
      </c>
      <c r="H26" s="19">
        <f t="shared" si="0"/>
        <v>5.8207660913467407E-11</v>
      </c>
      <c r="I26" s="19">
        <f t="shared" si="1"/>
        <v>519156.04000000004</v>
      </c>
    </row>
    <row r="27" spans="1:9" x14ac:dyDescent="0.35">
      <c r="A27" t="s">
        <v>112</v>
      </c>
      <c r="B27" s="1">
        <v>273639.65999999997</v>
      </c>
      <c r="C27" s="1">
        <v>278565.15999999997</v>
      </c>
      <c r="D27" s="1">
        <v>4925.5</v>
      </c>
      <c r="E27" s="1">
        <v>0</v>
      </c>
      <c r="F27" s="1">
        <v>0</v>
      </c>
      <c r="G27" s="1">
        <f>SUMIFS([1]QUERY_FOR_TRNSTRANSPOSED_0008!$F:$F,[1]QUERY_FOR_TRNSTRANSPOSED_0008!$A:$A,A27)</f>
        <v>273639.66000000003</v>
      </c>
      <c r="H27" s="19">
        <f t="shared" si="0"/>
        <v>5.8207660913467407E-11</v>
      </c>
      <c r="I27" s="19">
        <f t="shared" si="1"/>
        <v>273639.65999999997</v>
      </c>
    </row>
    <row r="28" spans="1:9" x14ac:dyDescent="0.35">
      <c r="A28" t="s">
        <v>28</v>
      </c>
      <c r="B28" s="1">
        <v>192635.02</v>
      </c>
      <c r="C28" s="1">
        <v>221891.28</v>
      </c>
      <c r="D28" s="1">
        <v>29256.26</v>
      </c>
      <c r="E28" s="1">
        <v>0</v>
      </c>
      <c r="F28" s="1">
        <v>0</v>
      </c>
      <c r="G28" s="1">
        <f>SUMIFS([1]QUERY_FOR_TRNSTRANSPOSED_0008!$F:$F,[1]QUERY_FOR_TRNSTRANSPOSED_0008!$A:$A,A28)</f>
        <v>192635.02000000002</v>
      </c>
      <c r="H28" s="19">
        <f t="shared" si="0"/>
        <v>2.9103830456733704E-11</v>
      </c>
      <c r="I28" s="19">
        <f t="shared" si="1"/>
        <v>192635.02</v>
      </c>
    </row>
    <row r="29" spans="1:9" x14ac:dyDescent="0.35">
      <c r="A29" t="s">
        <v>178</v>
      </c>
      <c r="B29" s="1">
        <v>134951.01999999999</v>
      </c>
      <c r="C29" s="1">
        <v>134378.29999999999</v>
      </c>
      <c r="D29" s="1">
        <v>-572.72</v>
      </c>
      <c r="E29" s="1">
        <v>0</v>
      </c>
      <c r="F29" s="1">
        <v>0</v>
      </c>
      <c r="G29" s="1">
        <f>SUMIFS([1]QUERY_FOR_TRNSTRANSPOSED_0008!$F:$F,[1]QUERY_FOR_TRNSTRANSPOSED_0008!$A:$A,A29)</f>
        <v>134951.02000000002</v>
      </c>
      <c r="H29" s="19">
        <f t="shared" si="0"/>
        <v>2.9103830456733704E-11</v>
      </c>
      <c r="I29" s="19">
        <f t="shared" si="1"/>
        <v>134951.01999999999</v>
      </c>
    </row>
    <row r="30" spans="1:9" x14ac:dyDescent="0.35">
      <c r="A30" t="s">
        <v>115</v>
      </c>
      <c r="B30" s="1">
        <v>113110.92</v>
      </c>
      <c r="C30" s="1">
        <v>128548.51</v>
      </c>
      <c r="D30" s="1">
        <v>15437.59</v>
      </c>
      <c r="E30" s="1">
        <v>0</v>
      </c>
      <c r="F30" s="1">
        <v>0</v>
      </c>
      <c r="G30" s="1">
        <f>SUMIFS([1]QUERY_FOR_TRNSTRANSPOSED_0008!$F:$F,[1]QUERY_FOR_TRNSTRANSPOSED_0008!$A:$A,A30)</f>
        <v>113110.92000000001</v>
      </c>
      <c r="H30" s="19">
        <f t="shared" si="0"/>
        <v>1.4551915228366852E-11</v>
      </c>
      <c r="I30" s="19">
        <f t="shared" si="1"/>
        <v>113110.92</v>
      </c>
    </row>
    <row r="31" spans="1:9" x14ac:dyDescent="0.35">
      <c r="A31" t="s">
        <v>191</v>
      </c>
      <c r="B31" s="1">
        <v>91031.76</v>
      </c>
      <c r="C31" s="1">
        <v>106944.61</v>
      </c>
      <c r="D31" s="1">
        <v>15912.85</v>
      </c>
      <c r="E31" s="1">
        <v>0</v>
      </c>
      <c r="F31" s="1">
        <v>0</v>
      </c>
      <c r="G31" s="1">
        <f>SUMIFS([1]QUERY_FOR_TRNSTRANSPOSED_0008!$F:$F,[1]QUERY_FOR_TRNSTRANSPOSED_0008!$A:$A,A31)</f>
        <v>91031.760000000009</v>
      </c>
      <c r="H31" s="19">
        <f t="shared" si="0"/>
        <v>1.4551915228366852E-11</v>
      </c>
      <c r="I31" s="19">
        <f t="shared" si="1"/>
        <v>91031.76</v>
      </c>
    </row>
    <row r="32" spans="1:9" x14ac:dyDescent="0.35">
      <c r="A32" t="s">
        <v>78</v>
      </c>
      <c r="B32" s="1">
        <v>-178583.52</v>
      </c>
      <c r="C32" s="1">
        <v>10904.73</v>
      </c>
      <c r="D32" s="1">
        <v>189488.25</v>
      </c>
      <c r="E32" s="1">
        <v>0</v>
      </c>
      <c r="F32" s="1">
        <v>139.61000000000001</v>
      </c>
      <c r="G32" s="1">
        <f>SUMIFS([1]QUERY_FOR_TRNSTRANSPOSED_0008!$F:$F,[1]QUERY_FOR_TRNSTRANSPOSED_0008!$A:$A,A32)</f>
        <v>-178723.12999999998</v>
      </c>
      <c r="H32" s="19">
        <f t="shared" si="0"/>
        <v>1.3983481039758772E-11</v>
      </c>
      <c r="I32" s="19">
        <f t="shared" si="1"/>
        <v>-178723.12999999998</v>
      </c>
    </row>
    <row r="33" spans="1:9" x14ac:dyDescent="0.35">
      <c r="A33" t="s">
        <v>196</v>
      </c>
      <c r="B33" s="1">
        <v>84503.9</v>
      </c>
      <c r="C33" s="1">
        <v>85081.5</v>
      </c>
      <c r="D33" s="1">
        <v>577.6</v>
      </c>
      <c r="E33" s="1">
        <v>10.7</v>
      </c>
      <c r="F33" s="1">
        <v>18.53</v>
      </c>
      <c r="G33" s="1">
        <f>SUMIFS([1]QUERY_FOR_TRNSTRANSPOSED_0008!$F:$F,[1]QUERY_FOR_TRNSTRANSPOSED_0008!$A:$A,A33)</f>
        <v>84496.07</v>
      </c>
      <c r="H33" s="19">
        <f t="shared" si="0"/>
        <v>1.2807532812075806E-11</v>
      </c>
      <c r="I33" s="19">
        <f t="shared" si="1"/>
        <v>84496.069999999992</v>
      </c>
    </row>
    <row r="34" spans="1:9" x14ac:dyDescent="0.35">
      <c r="A34" t="s">
        <v>180</v>
      </c>
      <c r="B34" s="1">
        <v>21556.01</v>
      </c>
      <c r="C34" s="1">
        <v>24951.47</v>
      </c>
      <c r="D34" s="1">
        <v>3395.46</v>
      </c>
      <c r="E34" s="1">
        <v>0</v>
      </c>
      <c r="F34" s="1">
        <v>0</v>
      </c>
      <c r="G34" s="1">
        <f>SUMIFS([1]QUERY_FOR_TRNSTRANSPOSED_0008!$F:$F,[1]QUERY_FOR_TRNSTRANSPOSED_0008!$A:$A,A34)</f>
        <v>21556.010000000002</v>
      </c>
      <c r="H34" s="19">
        <f t="shared" si="0"/>
        <v>3.637978807091713E-12</v>
      </c>
      <c r="I34" s="19">
        <f t="shared" si="1"/>
        <v>21556.010000000002</v>
      </c>
    </row>
    <row r="35" spans="1:9" x14ac:dyDescent="0.35">
      <c r="A35" t="s">
        <v>246</v>
      </c>
      <c r="B35" s="1">
        <v>-5488.1</v>
      </c>
      <c r="C35" s="1">
        <v>-2823.45</v>
      </c>
      <c r="D35" s="1">
        <v>2664.65</v>
      </c>
      <c r="E35" s="1">
        <v>0</v>
      </c>
      <c r="F35" s="1">
        <v>0</v>
      </c>
      <c r="G35" s="1">
        <f>SUMIFS([1]QUERY_FOR_TRNSTRANSPOSED_0008!$F:$F,[1]QUERY_FOR_TRNSTRANSPOSED_0008!$A:$A,A35)</f>
        <v>-5488.0999999999985</v>
      </c>
      <c r="H35" s="19">
        <f t="shared" si="0"/>
        <v>1.8189894035458565E-12</v>
      </c>
      <c r="I35" s="19">
        <f t="shared" si="1"/>
        <v>-5488.1</v>
      </c>
    </row>
    <row r="36" spans="1:9" x14ac:dyDescent="0.35">
      <c r="A36" t="s">
        <v>127</v>
      </c>
      <c r="B36" s="1">
        <v>8394.2999999999993</v>
      </c>
      <c r="C36" s="1">
        <v>8401.34</v>
      </c>
      <c r="D36" s="1">
        <v>7.04</v>
      </c>
      <c r="E36" s="1">
        <v>0</v>
      </c>
      <c r="F36" s="1">
        <v>0</v>
      </c>
      <c r="G36" s="1">
        <f>SUMIFS([1]QUERY_FOR_TRNSTRANSPOSED_0008!$F:$F,[1]QUERY_FOR_TRNSTRANSPOSED_0008!$A:$A,A36)</f>
        <v>8394.3000000000011</v>
      </c>
      <c r="H36" s="19">
        <f t="shared" si="0"/>
        <v>1.8189894035458565E-12</v>
      </c>
      <c r="I36" s="19">
        <f t="shared" si="1"/>
        <v>8394.2999999999993</v>
      </c>
    </row>
    <row r="37" spans="1:9" x14ac:dyDescent="0.35">
      <c r="A37" t="s">
        <v>68</v>
      </c>
      <c r="B37" s="1">
        <v>5954.28</v>
      </c>
      <c r="C37" s="1">
        <v>5954.28</v>
      </c>
      <c r="D37" s="1">
        <v>0</v>
      </c>
      <c r="E37" s="1">
        <v>0</v>
      </c>
      <c r="F37" s="1">
        <v>0</v>
      </c>
      <c r="G37" s="1">
        <f>SUMIFS([1]QUERY_FOR_TRNSTRANSPOSED_0008!$F:$F,[1]QUERY_FOR_TRNSTRANSPOSED_0008!$A:$A,A37)</f>
        <v>5954.2800000000007</v>
      </c>
      <c r="H37" s="19">
        <f t="shared" si="0"/>
        <v>9.0949470177292824E-13</v>
      </c>
      <c r="I37" s="19">
        <f t="shared" si="1"/>
        <v>5954.28</v>
      </c>
    </row>
    <row r="38" spans="1:9" x14ac:dyDescent="0.35">
      <c r="A38" t="s">
        <v>123</v>
      </c>
      <c r="B38" s="1">
        <v>98728.81</v>
      </c>
      <c r="C38" s="1">
        <v>98767.49</v>
      </c>
      <c r="D38" s="1">
        <v>38.68</v>
      </c>
      <c r="E38" s="1">
        <v>0</v>
      </c>
      <c r="F38" s="1">
        <v>0</v>
      </c>
      <c r="G38" s="1">
        <f>SUMIFS([1]QUERY_FOR_TRNSTRANSPOSED_0008!$F:$F,[1]QUERY_FOR_TRNSTRANSPOSED_0008!$A:$A,A38)</f>
        <v>98728.81</v>
      </c>
      <c r="H38" s="19">
        <f t="shared" si="0"/>
        <v>0</v>
      </c>
      <c r="I38" s="19">
        <f t="shared" si="1"/>
        <v>98728.810000000012</v>
      </c>
    </row>
    <row r="39" spans="1:9" x14ac:dyDescent="0.35">
      <c r="A39" t="s">
        <v>257</v>
      </c>
      <c r="B39" s="1">
        <v>0</v>
      </c>
      <c r="C39" s="1">
        <v>0</v>
      </c>
      <c r="D39" s="1">
        <v>0</v>
      </c>
      <c r="E39" s="1">
        <v>8246741.3499999996</v>
      </c>
      <c r="F39" s="1">
        <v>13169345.84</v>
      </c>
      <c r="G39" s="1">
        <f>SUMIFS([1]QUERY_FOR_TRNSTRANSPOSED_0008!$F:$F,[1]QUERY_FOR_TRNSTRANSPOSED_0008!$A:$A,A39)</f>
        <v>-4922604.49</v>
      </c>
      <c r="H39" s="19">
        <f t="shared" si="0"/>
        <v>0</v>
      </c>
      <c r="I39" s="19">
        <f t="shared" si="1"/>
        <v>-4922604.49</v>
      </c>
    </row>
    <row r="40" spans="1:9" x14ac:dyDescent="0.35">
      <c r="A40" t="s">
        <v>124</v>
      </c>
      <c r="B40" s="1">
        <v>3096.66</v>
      </c>
      <c r="C40" s="1">
        <v>3439.08</v>
      </c>
      <c r="D40" s="1">
        <v>342.42</v>
      </c>
      <c r="E40" s="1">
        <v>0</v>
      </c>
      <c r="F40" s="1">
        <v>0</v>
      </c>
      <c r="G40" s="1">
        <f>SUMIFS([1]QUERY_FOR_TRNSTRANSPOSED_0008!$F:$F,[1]QUERY_FOR_TRNSTRANSPOSED_0008!$A:$A,A40)</f>
        <v>3096.66</v>
      </c>
      <c r="H40" s="19">
        <f t="shared" si="0"/>
        <v>0</v>
      </c>
      <c r="I40" s="19">
        <f t="shared" si="1"/>
        <v>3096.66</v>
      </c>
    </row>
    <row r="41" spans="1:9" x14ac:dyDescent="0.35">
      <c r="A41" t="s">
        <v>129</v>
      </c>
      <c r="B41" s="1">
        <v>8609199.1899999995</v>
      </c>
      <c r="C41" s="1">
        <v>8610801.2300000004</v>
      </c>
      <c r="D41" s="1">
        <v>1602.04</v>
      </c>
      <c r="E41" s="1">
        <v>0</v>
      </c>
      <c r="F41" s="1">
        <v>0</v>
      </c>
      <c r="G41" s="1">
        <f>SUMIFS([1]QUERY_FOR_TRNSTRANSPOSED_0008!$F:$F,[1]QUERY_FOR_TRNSTRANSPOSED_0008!$A:$A,A41)</f>
        <v>8609199.1899999995</v>
      </c>
      <c r="H41" s="19">
        <f t="shared" si="0"/>
        <v>0</v>
      </c>
      <c r="I41" s="19">
        <f t="shared" si="1"/>
        <v>8609199.1900000013</v>
      </c>
    </row>
    <row r="42" spans="1:9" x14ac:dyDescent="0.35">
      <c r="A42" t="s">
        <v>128</v>
      </c>
      <c r="B42" s="1">
        <v>753872.7</v>
      </c>
      <c r="C42" s="1">
        <v>813600</v>
      </c>
      <c r="D42" s="1">
        <v>59727.3</v>
      </c>
      <c r="E42" s="1">
        <v>0</v>
      </c>
      <c r="F42" s="1">
        <v>0</v>
      </c>
      <c r="G42" s="1">
        <f>SUMIFS([1]QUERY_FOR_TRNSTRANSPOSED_0008!$F:$F,[1]QUERY_FOR_TRNSTRANSPOSED_0008!$A:$A,A42)</f>
        <v>753872.7</v>
      </c>
      <c r="H42" s="19">
        <f t="shared" si="0"/>
        <v>0</v>
      </c>
      <c r="I42" s="19">
        <f t="shared" si="1"/>
        <v>753872.7</v>
      </c>
    </row>
    <row r="43" spans="1:9" x14ac:dyDescent="0.35">
      <c r="A43" t="s">
        <v>120</v>
      </c>
      <c r="B43" s="1">
        <v>7638.72</v>
      </c>
      <c r="C43" s="1">
        <v>7638.72</v>
      </c>
      <c r="D43" s="1">
        <v>0</v>
      </c>
      <c r="E43" s="1">
        <v>0</v>
      </c>
      <c r="F43" s="1">
        <v>0</v>
      </c>
      <c r="G43" s="1">
        <f>SUMIFS([1]QUERY_FOR_TRNSTRANSPOSED_0008!$F:$F,[1]QUERY_FOR_TRNSTRANSPOSED_0008!$A:$A,A43)</f>
        <v>7638.72</v>
      </c>
      <c r="H43" s="19">
        <f t="shared" si="0"/>
        <v>0</v>
      </c>
      <c r="I43" s="19">
        <f t="shared" si="1"/>
        <v>7638.72</v>
      </c>
    </row>
    <row r="44" spans="1:9" x14ac:dyDescent="0.35">
      <c r="A44" t="s">
        <v>119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f>SUMIFS([1]QUERY_FOR_TRNSTRANSPOSED_0008!$F:$F,[1]QUERY_FOR_TRNSTRANSPOSED_0008!$A:$A,A44)</f>
        <v>0</v>
      </c>
      <c r="H44" s="19">
        <f t="shared" si="0"/>
        <v>0</v>
      </c>
      <c r="I44" s="19">
        <f t="shared" si="1"/>
        <v>0</v>
      </c>
    </row>
    <row r="45" spans="1:9" x14ac:dyDescent="0.35">
      <c r="A45" t="s">
        <v>14</v>
      </c>
      <c r="B45" s="1">
        <v>14864</v>
      </c>
      <c r="C45" s="1">
        <v>15691.74</v>
      </c>
      <c r="D45" s="1">
        <v>827.74</v>
      </c>
      <c r="E45" s="1">
        <v>0</v>
      </c>
      <c r="F45" s="1">
        <v>0</v>
      </c>
      <c r="G45" s="1">
        <f>SUMIFS([1]QUERY_FOR_TRNSTRANSPOSED_0008!$F:$F,[1]QUERY_FOR_TRNSTRANSPOSED_0008!$A:$A,A45)</f>
        <v>14864</v>
      </c>
      <c r="H45" s="19">
        <f t="shared" si="0"/>
        <v>0</v>
      </c>
      <c r="I45" s="19">
        <f t="shared" si="1"/>
        <v>14864</v>
      </c>
    </row>
    <row r="46" spans="1:9" x14ac:dyDescent="0.35">
      <c r="A46" t="s">
        <v>252</v>
      </c>
      <c r="B46" s="1">
        <v>0</v>
      </c>
      <c r="C46" s="1">
        <v>0</v>
      </c>
      <c r="D46" s="1">
        <v>0</v>
      </c>
      <c r="E46" s="1">
        <v>1232554.69</v>
      </c>
      <c r="F46" s="1">
        <v>634680.02</v>
      </c>
      <c r="G46" s="1">
        <f>SUMIFS([1]QUERY_FOR_TRNSTRANSPOSED_0008!$F:$F,[1]QUERY_FOR_TRNSTRANSPOSED_0008!$A:$A,A46)</f>
        <v>597874.67000000004</v>
      </c>
      <c r="H46" s="19">
        <f t="shared" si="0"/>
        <v>0</v>
      </c>
      <c r="I46" s="19">
        <f t="shared" si="1"/>
        <v>597874.66999999993</v>
      </c>
    </row>
    <row r="47" spans="1:9" x14ac:dyDescent="0.35">
      <c r="A47" t="s">
        <v>44</v>
      </c>
      <c r="B47" s="1">
        <v>113867.43</v>
      </c>
      <c r="C47" s="1">
        <v>124987.7</v>
      </c>
      <c r="D47" s="1">
        <v>11120.27</v>
      </c>
      <c r="E47" s="1">
        <v>0</v>
      </c>
      <c r="F47" s="1">
        <v>0</v>
      </c>
      <c r="G47" s="1">
        <f>SUMIFS([1]QUERY_FOR_TRNSTRANSPOSED_0008!$F:$F,[1]QUERY_FOR_TRNSTRANSPOSED_0008!$A:$A,A47)</f>
        <v>113867.43</v>
      </c>
      <c r="H47" s="19">
        <f t="shared" si="0"/>
        <v>0</v>
      </c>
      <c r="I47" s="19">
        <f t="shared" si="1"/>
        <v>113867.43</v>
      </c>
    </row>
    <row r="48" spans="1:9" x14ac:dyDescent="0.35">
      <c r="A48" t="s">
        <v>43</v>
      </c>
      <c r="B48" s="1">
        <v>-143481.14000000001</v>
      </c>
      <c r="C48" s="1">
        <v>-172463.92</v>
      </c>
      <c r="D48" s="1">
        <v>-28982.78</v>
      </c>
      <c r="E48" s="1">
        <v>0</v>
      </c>
      <c r="F48" s="1">
        <v>0</v>
      </c>
      <c r="G48" s="1">
        <f>SUMIFS([1]QUERY_FOR_TRNSTRANSPOSED_0008!$F:$F,[1]QUERY_FOR_TRNSTRANSPOSED_0008!$A:$A,A48)</f>
        <v>-143481.14000000001</v>
      </c>
      <c r="H48" s="19">
        <f t="shared" si="0"/>
        <v>0</v>
      </c>
      <c r="I48" s="19">
        <f t="shared" si="1"/>
        <v>-143481.14000000001</v>
      </c>
    </row>
    <row r="49" spans="1:9" x14ac:dyDescent="0.35">
      <c r="A49" t="s">
        <v>13</v>
      </c>
      <c r="B49" s="1">
        <v>3652.02</v>
      </c>
      <c r="C49" s="1">
        <v>3652.02</v>
      </c>
      <c r="D49" s="1">
        <v>0</v>
      </c>
      <c r="E49" s="1">
        <v>0</v>
      </c>
      <c r="F49" s="1">
        <v>0</v>
      </c>
      <c r="G49" s="1">
        <f>SUMIFS([1]QUERY_FOR_TRNSTRANSPOSED_0008!$F:$F,[1]QUERY_FOR_TRNSTRANSPOSED_0008!$A:$A,A49)</f>
        <v>3652.02</v>
      </c>
      <c r="H49" s="19">
        <f t="shared" si="0"/>
        <v>0</v>
      </c>
      <c r="I49" s="19">
        <f t="shared" si="1"/>
        <v>3652.02</v>
      </c>
    </row>
    <row r="50" spans="1:9" x14ac:dyDescent="0.35">
      <c r="A50" t="s">
        <v>9</v>
      </c>
      <c r="B50" s="1">
        <v>0</v>
      </c>
      <c r="C50" s="1">
        <v>0</v>
      </c>
      <c r="D50" s="1">
        <v>0</v>
      </c>
      <c r="E50" s="1">
        <v>0</v>
      </c>
      <c r="F50" s="1">
        <v>4532.1000000000004</v>
      </c>
      <c r="G50" s="1">
        <f>SUMIFS([1]QUERY_FOR_TRNSTRANSPOSED_0008!$F:$F,[1]QUERY_FOR_TRNSTRANSPOSED_0008!$A:$A,A50)</f>
        <v>-4532.1000000000004</v>
      </c>
      <c r="H50" s="19">
        <f t="shared" si="0"/>
        <v>0</v>
      </c>
      <c r="I50" s="19">
        <f t="shared" si="1"/>
        <v>-4532.1000000000004</v>
      </c>
    </row>
    <row r="51" spans="1:9" x14ac:dyDescent="0.35">
      <c r="A51" t="s">
        <v>10</v>
      </c>
      <c r="B51" s="1">
        <v>1135803.04</v>
      </c>
      <c r="C51" s="1">
        <v>1167109.26</v>
      </c>
      <c r="D51" s="1">
        <v>31306.22</v>
      </c>
      <c r="E51" s="1">
        <v>0</v>
      </c>
      <c r="F51" s="1">
        <v>0</v>
      </c>
      <c r="G51" s="1">
        <f>SUMIFS([1]QUERY_FOR_TRNSTRANSPOSED_0008!$F:$F,[1]QUERY_FOR_TRNSTRANSPOSED_0008!$A:$A,A51)</f>
        <v>1135803.04</v>
      </c>
      <c r="H51" s="19">
        <f t="shared" si="0"/>
        <v>0</v>
      </c>
      <c r="I51" s="19">
        <f t="shared" si="1"/>
        <v>1135803.04</v>
      </c>
    </row>
    <row r="52" spans="1:9" x14ac:dyDescent="0.35">
      <c r="A52" t="s">
        <v>11</v>
      </c>
      <c r="B52" s="1">
        <v>0</v>
      </c>
      <c r="C52" s="1">
        <v>0</v>
      </c>
      <c r="D52" s="1">
        <v>0</v>
      </c>
      <c r="E52" s="1">
        <v>0</v>
      </c>
      <c r="F52" s="1">
        <v>5908506.8799999999</v>
      </c>
      <c r="G52" s="1">
        <f>SUMIFS([1]QUERY_FOR_TRNSTRANSPOSED_0008!$F:$F,[1]QUERY_FOR_TRNSTRANSPOSED_0008!$A:$A,A52)</f>
        <v>-5908506.8799999999</v>
      </c>
      <c r="H52" s="19">
        <f t="shared" si="0"/>
        <v>0</v>
      </c>
      <c r="I52" s="19">
        <f t="shared" si="1"/>
        <v>-5908506.8799999999</v>
      </c>
    </row>
    <row r="53" spans="1:9" x14ac:dyDescent="0.35">
      <c r="A53" t="s">
        <v>6</v>
      </c>
      <c r="B53" s="1">
        <v>-14787.43</v>
      </c>
      <c r="C53" s="1">
        <v>3001.32</v>
      </c>
      <c r="D53" s="1">
        <v>17788.75</v>
      </c>
      <c r="E53" s="1">
        <v>0</v>
      </c>
      <c r="F53" s="1">
        <v>0</v>
      </c>
      <c r="G53" s="1">
        <f>SUMIFS([1]QUERY_FOR_TRNSTRANSPOSED_0008!$F:$F,[1]QUERY_FOR_TRNSTRANSPOSED_0008!$A:$A,A53)</f>
        <v>-14787.43</v>
      </c>
      <c r="H53" s="19">
        <f t="shared" si="0"/>
        <v>0</v>
      </c>
      <c r="I53" s="19">
        <f t="shared" si="1"/>
        <v>-14787.43</v>
      </c>
    </row>
    <row r="54" spans="1:9" x14ac:dyDescent="0.35">
      <c r="A54" t="s">
        <v>8</v>
      </c>
      <c r="B54" s="1">
        <v>5507868.21</v>
      </c>
      <c r="C54" s="1">
        <v>5507868.21</v>
      </c>
      <c r="D54" s="1">
        <v>0</v>
      </c>
      <c r="E54" s="1">
        <v>0</v>
      </c>
      <c r="F54" s="1">
        <v>0</v>
      </c>
      <c r="G54" s="1">
        <f>SUMIFS([1]QUERY_FOR_TRNSTRANSPOSED_0008!$F:$F,[1]QUERY_FOR_TRNSTRANSPOSED_0008!$A:$A,A54)</f>
        <v>5507868.21</v>
      </c>
      <c r="H54" s="19">
        <f t="shared" si="0"/>
        <v>0</v>
      </c>
      <c r="I54" s="19">
        <f t="shared" si="1"/>
        <v>5507868.21</v>
      </c>
    </row>
    <row r="55" spans="1:9" x14ac:dyDescent="0.35">
      <c r="A55" t="s">
        <v>98</v>
      </c>
      <c r="B55" s="1">
        <v>406890.63</v>
      </c>
      <c r="C55" s="1">
        <v>428051.04</v>
      </c>
      <c r="D55" s="1">
        <v>21160.41</v>
      </c>
      <c r="E55" s="1">
        <v>0</v>
      </c>
      <c r="F55" s="1">
        <v>0</v>
      </c>
      <c r="G55" s="1">
        <f>SUMIFS([1]QUERY_FOR_TRNSTRANSPOSED_0008!$F:$F,[1]QUERY_FOR_TRNSTRANSPOSED_0008!$A:$A,A55)</f>
        <v>406890.63</v>
      </c>
      <c r="H55" s="19">
        <f t="shared" si="0"/>
        <v>0</v>
      </c>
      <c r="I55" s="19">
        <f t="shared" si="1"/>
        <v>406890.63</v>
      </c>
    </row>
    <row r="56" spans="1:9" x14ac:dyDescent="0.35">
      <c r="A56" t="s">
        <v>22</v>
      </c>
      <c r="B56" s="1">
        <v>2406.69</v>
      </c>
      <c r="C56" s="1">
        <v>3054.35</v>
      </c>
      <c r="D56" s="1">
        <v>647.66</v>
      </c>
      <c r="E56" s="1">
        <v>0</v>
      </c>
      <c r="F56" s="1">
        <v>0</v>
      </c>
      <c r="G56" s="1">
        <f>SUMIFS([1]QUERY_FOR_TRNSTRANSPOSED_0008!$F:$F,[1]QUERY_FOR_TRNSTRANSPOSED_0008!$A:$A,A56)</f>
        <v>2406.69</v>
      </c>
      <c r="H56" s="19">
        <f t="shared" si="0"/>
        <v>0</v>
      </c>
      <c r="I56" s="19">
        <f t="shared" si="1"/>
        <v>2406.69</v>
      </c>
    </row>
    <row r="57" spans="1:9" x14ac:dyDescent="0.35">
      <c r="A57" t="s">
        <v>64</v>
      </c>
      <c r="B57" s="1">
        <v>0</v>
      </c>
      <c r="C57" s="1">
        <v>0</v>
      </c>
      <c r="D57" s="1">
        <v>0</v>
      </c>
      <c r="E57" s="1">
        <v>0</v>
      </c>
      <c r="F57" s="1">
        <v>8748943.3900000006</v>
      </c>
      <c r="G57" s="1">
        <f>SUMIFS([1]QUERY_FOR_TRNSTRANSPOSED_0008!$F:$F,[1]QUERY_FOR_TRNSTRANSPOSED_0008!$A:$A,A57)</f>
        <v>-8748943.3900000006</v>
      </c>
      <c r="H57" s="19">
        <f t="shared" si="0"/>
        <v>0</v>
      </c>
      <c r="I57" s="19">
        <f t="shared" si="1"/>
        <v>-8748943.3900000006</v>
      </c>
    </row>
    <row r="58" spans="1:9" x14ac:dyDescent="0.35">
      <c r="A58" t="s">
        <v>23</v>
      </c>
      <c r="B58" s="1">
        <v>0</v>
      </c>
      <c r="C58" s="1">
        <v>0</v>
      </c>
      <c r="D58" s="1">
        <v>0</v>
      </c>
      <c r="E58" s="1">
        <v>0</v>
      </c>
      <c r="F58" s="1">
        <v>1006390.93</v>
      </c>
      <c r="G58" s="1">
        <f>SUMIFS([1]QUERY_FOR_TRNSTRANSPOSED_0008!$F:$F,[1]QUERY_FOR_TRNSTRANSPOSED_0008!$A:$A,A58)</f>
        <v>-1006390.93</v>
      </c>
      <c r="H58" s="19">
        <f t="shared" si="0"/>
        <v>0</v>
      </c>
      <c r="I58" s="19">
        <f t="shared" si="1"/>
        <v>-1006390.93</v>
      </c>
    </row>
    <row r="59" spans="1:9" x14ac:dyDescent="0.35">
      <c r="A59" t="s">
        <v>45</v>
      </c>
      <c r="B59" s="1">
        <v>91573.27</v>
      </c>
      <c r="C59" s="1">
        <v>92423.27</v>
      </c>
      <c r="D59" s="1">
        <v>850</v>
      </c>
      <c r="E59" s="1">
        <v>0</v>
      </c>
      <c r="F59" s="1">
        <v>0</v>
      </c>
      <c r="G59" s="1">
        <f>SUMIFS([1]QUERY_FOR_TRNSTRANSPOSED_0008!$F:$F,[1]QUERY_FOR_TRNSTRANSPOSED_0008!$A:$A,A59)</f>
        <v>91573.27</v>
      </c>
      <c r="H59" s="19">
        <f t="shared" si="0"/>
        <v>0</v>
      </c>
      <c r="I59" s="19">
        <f t="shared" si="1"/>
        <v>91573.27</v>
      </c>
    </row>
    <row r="60" spans="1:9" x14ac:dyDescent="0.35">
      <c r="A60" t="s">
        <v>234</v>
      </c>
      <c r="B60" s="1">
        <v>19070309.68</v>
      </c>
      <c r="C60" s="1">
        <v>19070327.539999999</v>
      </c>
      <c r="D60" s="1">
        <v>17.86</v>
      </c>
      <c r="E60" s="1">
        <v>0</v>
      </c>
      <c r="F60" s="1">
        <v>0</v>
      </c>
      <c r="G60" s="1">
        <f>SUMIFS([1]QUERY_FOR_TRNSTRANSPOSED_0008!$F:$F,[1]QUERY_FOR_TRNSTRANSPOSED_0008!$A:$A,A60)</f>
        <v>19070309.68</v>
      </c>
      <c r="H60" s="19">
        <f t="shared" si="0"/>
        <v>0</v>
      </c>
      <c r="I60" s="19">
        <f t="shared" si="1"/>
        <v>19070309.68</v>
      </c>
    </row>
    <row r="61" spans="1:9" x14ac:dyDescent="0.35">
      <c r="A61" t="s">
        <v>20</v>
      </c>
      <c r="B61" s="1">
        <v>1577472.72</v>
      </c>
      <c r="C61" s="1">
        <v>1585343.08</v>
      </c>
      <c r="D61" s="1">
        <v>7870.36</v>
      </c>
      <c r="E61" s="1">
        <v>0</v>
      </c>
      <c r="F61" s="1">
        <v>0</v>
      </c>
      <c r="G61" s="1">
        <f>SUMIFS([1]QUERY_FOR_TRNSTRANSPOSED_0008!$F:$F,[1]QUERY_FOR_TRNSTRANSPOSED_0008!$A:$A,A61)</f>
        <v>1577472.72</v>
      </c>
      <c r="H61" s="19">
        <f t="shared" si="0"/>
        <v>0</v>
      </c>
      <c r="I61" s="19">
        <f t="shared" si="1"/>
        <v>1577472.72</v>
      </c>
    </row>
    <row r="62" spans="1:9" x14ac:dyDescent="0.35">
      <c r="A62" t="s">
        <v>255</v>
      </c>
      <c r="B62" s="1">
        <v>0</v>
      </c>
      <c r="C62" s="1">
        <v>0</v>
      </c>
      <c r="D62" s="1">
        <v>0</v>
      </c>
      <c r="E62" s="1">
        <v>445158.69</v>
      </c>
      <c r="F62" s="1">
        <v>705231.08</v>
      </c>
      <c r="G62" s="1">
        <f>SUMIFS([1]QUERY_FOR_TRNSTRANSPOSED_0008!$F:$F,[1]QUERY_FOR_TRNSTRANSPOSED_0008!$A:$A,A62)</f>
        <v>-260072.38999999998</v>
      </c>
      <c r="H62" s="19">
        <f t="shared" si="0"/>
        <v>0</v>
      </c>
      <c r="I62" s="19">
        <f t="shared" si="1"/>
        <v>-260072.38999999996</v>
      </c>
    </row>
    <row r="63" spans="1:9" x14ac:dyDescent="0.35">
      <c r="A63" t="s">
        <v>59</v>
      </c>
      <c r="B63" s="1">
        <v>43510.78</v>
      </c>
      <c r="C63" s="1">
        <v>43529.78</v>
      </c>
      <c r="D63" s="1">
        <v>19</v>
      </c>
      <c r="E63" s="1">
        <v>0</v>
      </c>
      <c r="F63" s="1">
        <v>0</v>
      </c>
      <c r="G63" s="1">
        <f>SUMIFS([1]QUERY_FOR_TRNSTRANSPOSED_0008!$F:$F,[1]QUERY_FOR_TRNSTRANSPOSED_0008!$A:$A,A63)</f>
        <v>43510.78</v>
      </c>
      <c r="H63" s="19">
        <f t="shared" si="0"/>
        <v>0</v>
      </c>
      <c r="I63" s="19">
        <f t="shared" si="1"/>
        <v>43510.78</v>
      </c>
    </row>
    <row r="64" spans="1:9" x14ac:dyDescent="0.35">
      <c r="A64" t="s">
        <v>36</v>
      </c>
      <c r="B64" s="1">
        <v>0</v>
      </c>
      <c r="C64" s="1">
        <v>0</v>
      </c>
      <c r="D64" s="1">
        <v>0</v>
      </c>
      <c r="E64" s="1">
        <v>963601.44</v>
      </c>
      <c r="F64" s="1">
        <v>2431663.36</v>
      </c>
      <c r="G64" s="1">
        <f>SUMIFS([1]QUERY_FOR_TRNSTRANSPOSED_0008!$F:$F,[1]QUERY_FOR_TRNSTRANSPOSED_0008!$A:$A,A64)</f>
        <v>-1468061.92</v>
      </c>
      <c r="H64" s="19">
        <f t="shared" si="0"/>
        <v>0</v>
      </c>
      <c r="I64" s="19">
        <f t="shared" si="1"/>
        <v>-1468061.92</v>
      </c>
    </row>
    <row r="65" spans="1:9" x14ac:dyDescent="0.35">
      <c r="A65" t="s">
        <v>46</v>
      </c>
      <c r="B65" s="1">
        <v>3839252.18</v>
      </c>
      <c r="C65" s="1">
        <v>4371076.3899999997</v>
      </c>
      <c r="D65" s="1">
        <v>531824.21</v>
      </c>
      <c r="E65" s="1">
        <v>0</v>
      </c>
      <c r="F65" s="1">
        <v>0</v>
      </c>
      <c r="G65" s="1">
        <f>SUMIFS([1]QUERY_FOR_TRNSTRANSPOSED_0008!$F:$F,[1]QUERY_FOR_TRNSTRANSPOSED_0008!$A:$A,A65)</f>
        <v>3839252.18</v>
      </c>
      <c r="H65" s="19">
        <f t="shared" si="0"/>
        <v>0</v>
      </c>
      <c r="I65" s="19">
        <f t="shared" si="1"/>
        <v>3839252.1799999997</v>
      </c>
    </row>
    <row r="66" spans="1:9" x14ac:dyDescent="0.35">
      <c r="A66" t="s">
        <v>40</v>
      </c>
      <c r="B66" s="1">
        <v>123723.5</v>
      </c>
      <c r="C66" s="1">
        <v>130832.5</v>
      </c>
      <c r="D66" s="1">
        <v>7109</v>
      </c>
      <c r="E66" s="1">
        <v>0</v>
      </c>
      <c r="F66" s="1">
        <v>0</v>
      </c>
      <c r="G66" s="1">
        <f>SUMIFS([1]QUERY_FOR_TRNSTRANSPOSED_0008!$F:$F,[1]QUERY_FOR_TRNSTRANSPOSED_0008!$A:$A,A66)</f>
        <v>123723.5</v>
      </c>
      <c r="H66" s="19">
        <f t="shared" si="0"/>
        <v>0</v>
      </c>
      <c r="I66" s="19">
        <f t="shared" si="1"/>
        <v>123723.5</v>
      </c>
    </row>
    <row r="67" spans="1:9" x14ac:dyDescent="0.35">
      <c r="A67" t="s">
        <v>39</v>
      </c>
      <c r="B67" s="1">
        <v>85000</v>
      </c>
      <c r="C67" s="1">
        <v>85000</v>
      </c>
      <c r="D67" s="1">
        <v>0</v>
      </c>
      <c r="E67" s="1">
        <v>0</v>
      </c>
      <c r="F67" s="1">
        <v>0</v>
      </c>
      <c r="G67" s="1">
        <f>SUMIFS([1]QUERY_FOR_TRNSTRANSPOSED_0008!$F:$F,[1]QUERY_FOR_TRNSTRANSPOSED_0008!$A:$A,A67)</f>
        <v>85000</v>
      </c>
      <c r="H67" s="19">
        <f t="shared" si="0"/>
        <v>0</v>
      </c>
      <c r="I67" s="19">
        <f t="shared" si="1"/>
        <v>85000</v>
      </c>
    </row>
    <row r="68" spans="1:9" x14ac:dyDescent="0.35">
      <c r="A68" t="s">
        <v>38</v>
      </c>
      <c r="B68" s="1">
        <v>20308.18</v>
      </c>
      <c r="C68" s="1">
        <v>20475.05</v>
      </c>
      <c r="D68" s="1">
        <v>166.87</v>
      </c>
      <c r="E68" s="1">
        <v>0</v>
      </c>
      <c r="F68" s="1">
        <v>0</v>
      </c>
      <c r="G68" s="1">
        <f>SUMIFS([1]QUERY_FOR_TRNSTRANSPOSED_0008!$F:$F,[1]QUERY_FOR_TRNSTRANSPOSED_0008!$A:$A,A68)</f>
        <v>20308.18</v>
      </c>
      <c r="H68" s="19">
        <f t="shared" ref="H68:H131" si="2">(G68-B68)+(F68-E68)</f>
        <v>0</v>
      </c>
      <c r="I68" s="19">
        <f t="shared" si="1"/>
        <v>20308.18</v>
      </c>
    </row>
    <row r="69" spans="1:9" x14ac:dyDescent="0.35">
      <c r="A69" t="s">
        <v>41</v>
      </c>
      <c r="B69" s="1">
        <v>51374.1</v>
      </c>
      <c r="C69" s="1">
        <v>56990.96</v>
      </c>
      <c r="D69" s="1">
        <v>5616.86</v>
      </c>
      <c r="E69" s="1">
        <v>4116682.56</v>
      </c>
      <c r="F69" s="1">
        <v>5824131.96</v>
      </c>
      <c r="G69" s="1">
        <f>SUMIFS([1]QUERY_FOR_TRNSTRANSPOSED_0008!$F:$F,[1]QUERY_FOR_TRNSTRANSPOSED_0008!$A:$A,A69)</f>
        <v>-1656075.2999999998</v>
      </c>
      <c r="H69" s="19">
        <f t="shared" si="2"/>
        <v>0</v>
      </c>
      <c r="I69" s="19">
        <f t="shared" ref="I69:I132" si="3">C69-D69+E69-F69</f>
        <v>-1656075.2999999998</v>
      </c>
    </row>
    <row r="70" spans="1:9" x14ac:dyDescent="0.35">
      <c r="A70" t="s">
        <v>35</v>
      </c>
      <c r="B70" s="1">
        <v>133873.97</v>
      </c>
      <c r="C70" s="1">
        <v>133873.97</v>
      </c>
      <c r="D70" s="1">
        <v>0</v>
      </c>
      <c r="E70" s="1">
        <v>0</v>
      </c>
      <c r="F70" s="1">
        <v>0</v>
      </c>
      <c r="G70" s="1">
        <f>SUMIFS([1]QUERY_FOR_TRNSTRANSPOSED_0008!$F:$F,[1]QUERY_FOR_TRNSTRANSPOSED_0008!$A:$A,A70)</f>
        <v>133873.97</v>
      </c>
      <c r="H70" s="19">
        <f t="shared" si="2"/>
        <v>0</v>
      </c>
      <c r="I70" s="19">
        <f t="shared" si="3"/>
        <v>133873.97</v>
      </c>
    </row>
    <row r="71" spans="1:9" x14ac:dyDescent="0.35">
      <c r="A71" t="s">
        <v>37</v>
      </c>
      <c r="B71" s="1">
        <v>249337.26</v>
      </c>
      <c r="C71" s="1">
        <v>249356.73</v>
      </c>
      <c r="D71" s="1">
        <v>19.47</v>
      </c>
      <c r="E71" s="1">
        <v>0</v>
      </c>
      <c r="F71" s="1">
        <v>0</v>
      </c>
      <c r="G71" s="1">
        <f>SUMIFS([1]QUERY_FOR_TRNSTRANSPOSED_0008!$F:$F,[1]QUERY_FOR_TRNSTRANSPOSED_0008!$A:$A,A71)</f>
        <v>249337.26</v>
      </c>
      <c r="H71" s="19">
        <f t="shared" si="2"/>
        <v>0</v>
      </c>
      <c r="I71" s="19">
        <f t="shared" si="3"/>
        <v>249337.26</v>
      </c>
    </row>
    <row r="72" spans="1:9" x14ac:dyDescent="0.35">
      <c r="A72" t="s">
        <v>229</v>
      </c>
      <c r="B72" s="1">
        <v>0</v>
      </c>
      <c r="C72" s="1">
        <v>0</v>
      </c>
      <c r="D72" s="1">
        <v>0</v>
      </c>
      <c r="E72" s="1">
        <v>3823616.18</v>
      </c>
      <c r="F72" s="1">
        <v>4945696.4000000004</v>
      </c>
      <c r="G72" s="1">
        <f>SUMIFS([1]QUERY_FOR_TRNSTRANSPOSED_0008!$F:$F,[1]QUERY_FOR_TRNSTRANSPOSED_0008!$A:$A,A72)</f>
        <v>-1122080.22</v>
      </c>
      <c r="H72" s="19">
        <f t="shared" si="2"/>
        <v>0</v>
      </c>
      <c r="I72" s="19">
        <f t="shared" si="3"/>
        <v>-1122080.2200000002</v>
      </c>
    </row>
    <row r="73" spans="1:9" x14ac:dyDescent="0.35">
      <c r="A73" t="s">
        <v>147</v>
      </c>
      <c r="B73" s="1">
        <v>1660136.97</v>
      </c>
      <c r="C73" s="1">
        <v>1729402.3</v>
      </c>
      <c r="D73" s="1">
        <v>69265.33</v>
      </c>
      <c r="E73" s="1">
        <v>0</v>
      </c>
      <c r="F73" s="1">
        <v>0</v>
      </c>
      <c r="G73" s="1">
        <f>SUMIFS([1]QUERY_FOR_TRNSTRANSPOSED_0008!$F:$F,[1]QUERY_FOR_TRNSTRANSPOSED_0008!$A:$A,A73)</f>
        <v>1660136.97</v>
      </c>
      <c r="H73" s="19">
        <f t="shared" si="2"/>
        <v>0</v>
      </c>
      <c r="I73" s="19">
        <f t="shared" si="3"/>
        <v>1660136.97</v>
      </c>
    </row>
    <row r="74" spans="1:9" x14ac:dyDescent="0.35">
      <c r="A74" t="s">
        <v>146</v>
      </c>
      <c r="B74" s="1">
        <v>479638.19</v>
      </c>
      <c r="C74" s="1">
        <v>985519.04</v>
      </c>
      <c r="D74" s="1">
        <v>505880.85</v>
      </c>
      <c r="E74" s="1">
        <v>0</v>
      </c>
      <c r="F74" s="1">
        <v>0</v>
      </c>
      <c r="G74" s="1">
        <f>SUMIFS([1]QUERY_FOR_TRNSTRANSPOSED_0008!$F:$F,[1]QUERY_FOR_TRNSTRANSPOSED_0008!$A:$A,A74)</f>
        <v>479638.19</v>
      </c>
      <c r="H74" s="19">
        <f t="shared" si="2"/>
        <v>0</v>
      </c>
      <c r="I74" s="19">
        <f t="shared" si="3"/>
        <v>479638.19000000006</v>
      </c>
    </row>
    <row r="75" spans="1:9" x14ac:dyDescent="0.35">
      <c r="A75" t="s">
        <v>241</v>
      </c>
      <c r="B75" s="1">
        <v>0</v>
      </c>
      <c r="C75" s="1">
        <v>0</v>
      </c>
      <c r="D75" s="1">
        <v>0</v>
      </c>
      <c r="E75" s="1">
        <v>2290262.0699999998</v>
      </c>
      <c r="F75" s="1">
        <v>1687299.57</v>
      </c>
      <c r="G75" s="1">
        <f>SUMIFS([1]QUERY_FOR_TRNSTRANSPOSED_0008!$F:$F,[1]QUERY_FOR_TRNSTRANSPOSED_0008!$A:$A,A75)</f>
        <v>602962.5</v>
      </c>
      <c r="H75" s="19">
        <f t="shared" si="2"/>
        <v>0</v>
      </c>
      <c r="I75" s="19">
        <f t="shared" si="3"/>
        <v>602962.49999999977</v>
      </c>
    </row>
    <row r="76" spans="1:9" x14ac:dyDescent="0.35">
      <c r="A76" t="s">
        <v>18</v>
      </c>
      <c r="B76" s="1">
        <v>8450386.2200000007</v>
      </c>
      <c r="C76" s="1">
        <v>8619320.3200000003</v>
      </c>
      <c r="D76" s="1">
        <v>168934.1</v>
      </c>
      <c r="E76" s="1">
        <v>0</v>
      </c>
      <c r="F76" s="1">
        <v>0</v>
      </c>
      <c r="G76" s="1">
        <f>SUMIFS([1]QUERY_FOR_TRNSTRANSPOSED_0008!$F:$F,[1]QUERY_FOR_TRNSTRANSPOSED_0008!$A:$A,A76)</f>
        <v>8450386.2200000007</v>
      </c>
      <c r="H76" s="19">
        <f t="shared" si="2"/>
        <v>0</v>
      </c>
      <c r="I76" s="19">
        <f t="shared" si="3"/>
        <v>8450386.2200000007</v>
      </c>
    </row>
    <row r="77" spans="1:9" x14ac:dyDescent="0.35">
      <c r="A77" t="s">
        <v>19</v>
      </c>
      <c r="B77" s="1">
        <v>219488.21</v>
      </c>
      <c r="C77" s="1">
        <v>219488.21</v>
      </c>
      <c r="D77" s="1">
        <v>0</v>
      </c>
      <c r="E77" s="1">
        <v>0</v>
      </c>
      <c r="F77" s="1">
        <v>0</v>
      </c>
      <c r="G77" s="1">
        <f>SUMIFS([1]QUERY_FOR_TRNSTRANSPOSED_0008!$F:$F,[1]QUERY_FOR_TRNSTRANSPOSED_0008!$A:$A,A77)</f>
        <v>219488.21</v>
      </c>
      <c r="H77" s="19">
        <f t="shared" si="2"/>
        <v>0</v>
      </c>
      <c r="I77" s="19">
        <f t="shared" si="3"/>
        <v>219488.21</v>
      </c>
    </row>
    <row r="78" spans="1:9" x14ac:dyDescent="0.35">
      <c r="A78" t="s">
        <v>16</v>
      </c>
      <c r="B78" s="1">
        <v>26530783.989999998</v>
      </c>
      <c r="C78" s="1">
        <v>26701911.23</v>
      </c>
      <c r="D78" s="1">
        <v>171127.24</v>
      </c>
      <c r="E78" s="1">
        <v>0</v>
      </c>
      <c r="F78" s="1">
        <v>0</v>
      </c>
      <c r="G78" s="1">
        <f>SUMIFS([1]QUERY_FOR_TRNSTRANSPOSED_0008!$F:$F,[1]QUERY_FOR_TRNSTRANSPOSED_0008!$A:$A,A78)</f>
        <v>26530783.989999998</v>
      </c>
      <c r="H78" s="19">
        <f t="shared" si="2"/>
        <v>0</v>
      </c>
      <c r="I78" s="19">
        <f t="shared" si="3"/>
        <v>26530783.990000002</v>
      </c>
    </row>
    <row r="79" spans="1:9" x14ac:dyDescent="0.35">
      <c r="A79" t="s">
        <v>17</v>
      </c>
      <c r="B79" s="1">
        <v>1037994.16</v>
      </c>
      <c r="C79" s="1">
        <v>1072812.98</v>
      </c>
      <c r="D79" s="1">
        <v>34818.82</v>
      </c>
      <c r="E79" s="1">
        <v>0</v>
      </c>
      <c r="F79" s="1">
        <v>0</v>
      </c>
      <c r="G79" s="1">
        <f>SUMIFS([1]QUERY_FOR_TRNSTRANSPOSED_0008!$F:$F,[1]QUERY_FOR_TRNSTRANSPOSED_0008!$A:$A,A79)</f>
        <v>1037994.16</v>
      </c>
      <c r="H79" s="19">
        <f t="shared" si="2"/>
        <v>0</v>
      </c>
      <c r="I79" s="19">
        <f t="shared" si="3"/>
        <v>1037994.16</v>
      </c>
    </row>
    <row r="80" spans="1:9" x14ac:dyDescent="0.35">
      <c r="A80" t="s">
        <v>30</v>
      </c>
      <c r="B80" s="1">
        <v>1239507.92</v>
      </c>
      <c r="C80" s="1">
        <v>1261839.03</v>
      </c>
      <c r="D80" s="1">
        <v>22331.11</v>
      </c>
      <c r="E80" s="1">
        <v>500028.7</v>
      </c>
      <c r="F80" s="1">
        <v>2918764.36</v>
      </c>
      <c r="G80" s="1">
        <f>SUMIFS([1]QUERY_FOR_TRNSTRANSPOSED_0008!$F:$F,[1]QUERY_FOR_TRNSTRANSPOSED_0008!$A:$A,A80)</f>
        <v>-1179227.7399999998</v>
      </c>
      <c r="H80" s="19">
        <f t="shared" si="2"/>
        <v>0</v>
      </c>
      <c r="I80" s="19">
        <f t="shared" si="3"/>
        <v>-1179227.74</v>
      </c>
    </row>
    <row r="81" spans="1:9" x14ac:dyDescent="0.35">
      <c r="A81" t="s">
        <v>29</v>
      </c>
      <c r="B81" s="1">
        <v>40272.71</v>
      </c>
      <c r="C81" s="1">
        <v>40461.69</v>
      </c>
      <c r="D81" s="1">
        <v>188.98</v>
      </c>
      <c r="E81" s="1">
        <v>0</v>
      </c>
      <c r="F81" s="1">
        <v>0</v>
      </c>
      <c r="G81" s="1">
        <f>SUMIFS([1]QUERY_FOR_TRNSTRANSPOSED_0008!$F:$F,[1]QUERY_FOR_TRNSTRANSPOSED_0008!$A:$A,A81)</f>
        <v>40272.71</v>
      </c>
      <c r="H81" s="19">
        <f t="shared" si="2"/>
        <v>0</v>
      </c>
      <c r="I81" s="19">
        <f t="shared" si="3"/>
        <v>40272.71</v>
      </c>
    </row>
    <row r="82" spans="1:9" x14ac:dyDescent="0.35">
      <c r="A82" t="s">
        <v>253</v>
      </c>
      <c r="B82" s="1">
        <v>1000</v>
      </c>
      <c r="C82" s="1">
        <v>2000</v>
      </c>
      <c r="D82" s="1">
        <v>1000</v>
      </c>
      <c r="E82" s="1">
        <v>0</v>
      </c>
      <c r="F82" s="1">
        <v>0</v>
      </c>
      <c r="G82" s="1">
        <f>SUMIFS([1]QUERY_FOR_TRNSTRANSPOSED_0008!$F:$F,[1]QUERY_FOR_TRNSTRANSPOSED_0008!$A:$A,A82)</f>
        <v>1000</v>
      </c>
      <c r="H82" s="19">
        <f t="shared" si="2"/>
        <v>0</v>
      </c>
      <c r="I82" s="19">
        <f t="shared" si="3"/>
        <v>1000</v>
      </c>
    </row>
    <row r="83" spans="1:9" x14ac:dyDescent="0.35">
      <c r="A83" t="s">
        <v>31</v>
      </c>
      <c r="B83" s="1">
        <v>289060.68</v>
      </c>
      <c r="C83" s="1">
        <v>293036.38</v>
      </c>
      <c r="D83" s="1">
        <v>3975.7</v>
      </c>
      <c r="E83" s="1">
        <v>0</v>
      </c>
      <c r="F83" s="1">
        <v>0</v>
      </c>
      <c r="G83" s="1">
        <f>SUMIFS([1]QUERY_FOR_TRNSTRANSPOSED_0008!$F:$F,[1]QUERY_FOR_TRNSTRANSPOSED_0008!$A:$A,A83)</f>
        <v>289060.68</v>
      </c>
      <c r="H83" s="19">
        <f t="shared" si="2"/>
        <v>0</v>
      </c>
      <c r="I83" s="19">
        <f t="shared" si="3"/>
        <v>289060.68</v>
      </c>
    </row>
    <row r="84" spans="1:9" x14ac:dyDescent="0.35">
      <c r="A84" t="s">
        <v>150</v>
      </c>
      <c r="B84" s="1">
        <v>8485801.0199999996</v>
      </c>
      <c r="C84" s="1">
        <v>11024206.93</v>
      </c>
      <c r="D84" s="1">
        <v>2538405.91</v>
      </c>
      <c r="E84" s="1">
        <v>0</v>
      </c>
      <c r="F84" s="1">
        <v>0</v>
      </c>
      <c r="G84" s="1">
        <f>SUMIFS([1]QUERY_FOR_TRNSTRANSPOSED_0008!$F:$F,[1]QUERY_FOR_TRNSTRANSPOSED_0008!$A:$A,A84)</f>
        <v>8485801.0199999996</v>
      </c>
      <c r="H84" s="19">
        <f t="shared" si="2"/>
        <v>0</v>
      </c>
      <c r="I84" s="19">
        <f t="shared" si="3"/>
        <v>8485801.0199999996</v>
      </c>
    </row>
    <row r="85" spans="1:9" x14ac:dyDescent="0.35">
      <c r="A85" t="s">
        <v>149</v>
      </c>
      <c r="B85" s="1">
        <v>18058.87</v>
      </c>
      <c r="C85" s="1">
        <v>279483.39</v>
      </c>
      <c r="D85" s="1">
        <v>261424.52</v>
      </c>
      <c r="E85" s="1">
        <v>4189563.65</v>
      </c>
      <c r="F85" s="1">
        <v>5741166.29</v>
      </c>
      <c r="G85" s="1">
        <f>SUMIFS([1]QUERY_FOR_TRNSTRANSPOSED_0008!$F:$F,[1]QUERY_FOR_TRNSTRANSPOSED_0008!$A:$A,A85)</f>
        <v>-1533543.7700000003</v>
      </c>
      <c r="H85" s="19">
        <f t="shared" si="2"/>
        <v>0</v>
      </c>
      <c r="I85" s="19">
        <f t="shared" si="3"/>
        <v>-1533543.7700000005</v>
      </c>
    </row>
    <row r="86" spans="1:9" x14ac:dyDescent="0.35">
      <c r="A86" t="s">
        <v>151</v>
      </c>
      <c r="B86" s="1">
        <v>771170.4</v>
      </c>
      <c r="C86" s="1">
        <v>771170.4</v>
      </c>
      <c r="D86" s="1">
        <v>0</v>
      </c>
      <c r="E86" s="1">
        <v>0</v>
      </c>
      <c r="F86" s="1">
        <v>0</v>
      </c>
      <c r="G86" s="1">
        <f>SUMIFS([1]QUERY_FOR_TRNSTRANSPOSED_0008!$F:$F,[1]QUERY_FOR_TRNSTRANSPOSED_0008!$A:$A,A86)</f>
        <v>771170.4</v>
      </c>
      <c r="H86" s="19">
        <f t="shared" si="2"/>
        <v>0</v>
      </c>
      <c r="I86" s="19">
        <f t="shared" si="3"/>
        <v>771170.4</v>
      </c>
    </row>
    <row r="87" spans="1:9" x14ac:dyDescent="0.35">
      <c r="A87" t="s">
        <v>67</v>
      </c>
      <c r="B87" s="1">
        <v>139651.98000000001</v>
      </c>
      <c r="C87" s="1">
        <v>143110.45000000001</v>
      </c>
      <c r="D87" s="1">
        <v>3458.47</v>
      </c>
      <c r="E87" s="1">
        <v>0</v>
      </c>
      <c r="F87" s="1">
        <v>0</v>
      </c>
      <c r="G87" s="1">
        <f>SUMIFS([1]QUERY_FOR_TRNSTRANSPOSED_0008!$F:$F,[1]QUERY_FOR_TRNSTRANSPOSED_0008!$A:$A,A87)</f>
        <v>139651.98000000001</v>
      </c>
      <c r="H87" s="19">
        <f t="shared" si="2"/>
        <v>0</v>
      </c>
      <c r="I87" s="19">
        <f t="shared" si="3"/>
        <v>139651.98000000001</v>
      </c>
    </row>
    <row r="88" spans="1:9" x14ac:dyDescent="0.35">
      <c r="A88" t="s">
        <v>66</v>
      </c>
      <c r="B88" s="1">
        <v>-8964.61</v>
      </c>
      <c r="C88" s="1">
        <v>52168.1</v>
      </c>
      <c r="D88" s="1">
        <v>61132.71</v>
      </c>
      <c r="E88" s="1">
        <v>0</v>
      </c>
      <c r="F88" s="1">
        <v>0</v>
      </c>
      <c r="G88" s="1">
        <f>SUMIFS([1]QUERY_FOR_TRNSTRANSPOSED_0008!$F:$F,[1]QUERY_FOR_TRNSTRANSPOSED_0008!$A:$A,A88)</f>
        <v>-8964.61</v>
      </c>
      <c r="H88" s="19">
        <f t="shared" si="2"/>
        <v>0</v>
      </c>
      <c r="I88" s="19">
        <f t="shared" si="3"/>
        <v>-8964.61</v>
      </c>
    </row>
    <row r="89" spans="1:9" x14ac:dyDescent="0.35">
      <c r="A89" t="s">
        <v>227</v>
      </c>
      <c r="B89" s="1">
        <v>0</v>
      </c>
      <c r="C89" s="1">
        <v>0</v>
      </c>
      <c r="D89" s="1">
        <v>0</v>
      </c>
      <c r="E89" s="1">
        <v>22577147.710000001</v>
      </c>
      <c r="F89" s="1">
        <v>33758722.979999997</v>
      </c>
      <c r="G89" s="1">
        <f>SUMIFS([1]QUERY_FOR_TRNSTRANSPOSED_0008!$F:$F,[1]QUERY_FOR_TRNSTRANSPOSED_0008!$A:$A,A89)</f>
        <v>-11181575.27</v>
      </c>
      <c r="H89" s="19">
        <f t="shared" si="2"/>
        <v>0</v>
      </c>
      <c r="I89" s="19">
        <f t="shared" si="3"/>
        <v>-11181575.269999996</v>
      </c>
    </row>
    <row r="90" spans="1:9" x14ac:dyDescent="0.35">
      <c r="A90" t="s">
        <v>24</v>
      </c>
      <c r="B90" s="1">
        <v>1756045.83</v>
      </c>
      <c r="C90" s="1">
        <v>2133587.83</v>
      </c>
      <c r="D90" s="1">
        <v>377542</v>
      </c>
      <c r="E90" s="1">
        <v>0</v>
      </c>
      <c r="F90" s="1">
        <v>0</v>
      </c>
      <c r="G90" s="1">
        <f>SUMIFS([1]QUERY_FOR_TRNSTRANSPOSED_0008!$F:$F,[1]QUERY_FOR_TRNSTRANSPOSED_0008!$A:$A,A90)</f>
        <v>1756045.83</v>
      </c>
      <c r="H90" s="19">
        <f t="shared" si="2"/>
        <v>0</v>
      </c>
      <c r="I90" s="19">
        <f t="shared" si="3"/>
        <v>1756045.83</v>
      </c>
    </row>
    <row r="91" spans="1:9" x14ac:dyDescent="0.35">
      <c r="A91" t="s">
        <v>141</v>
      </c>
      <c r="B91" s="1">
        <v>14325481.76</v>
      </c>
      <c r="C91" s="1">
        <v>14369993.76</v>
      </c>
      <c r="D91" s="1">
        <v>44512</v>
      </c>
      <c r="E91" s="1">
        <v>0</v>
      </c>
      <c r="F91" s="1">
        <v>0</v>
      </c>
      <c r="G91" s="1">
        <f>SUMIFS([1]QUERY_FOR_TRNSTRANSPOSED_0008!$F:$F,[1]QUERY_FOR_TRNSTRANSPOSED_0008!$A:$A,A91)</f>
        <v>14325481.76</v>
      </c>
      <c r="H91" s="19">
        <f t="shared" si="2"/>
        <v>0</v>
      </c>
      <c r="I91" s="19">
        <f t="shared" si="3"/>
        <v>14325481.76</v>
      </c>
    </row>
    <row r="92" spans="1:9" x14ac:dyDescent="0.35">
      <c r="A92" t="s">
        <v>142</v>
      </c>
      <c r="B92" s="1">
        <v>5495.61</v>
      </c>
      <c r="C92" s="1">
        <v>5495.61</v>
      </c>
      <c r="D92" s="1">
        <v>0</v>
      </c>
      <c r="E92" s="1">
        <v>0</v>
      </c>
      <c r="F92" s="1">
        <v>0</v>
      </c>
      <c r="G92" s="1">
        <f>SUMIFS([1]QUERY_FOR_TRNSTRANSPOSED_0008!$F:$F,[1]QUERY_FOR_TRNSTRANSPOSED_0008!$A:$A,A92)</f>
        <v>5495.61</v>
      </c>
      <c r="H92" s="19">
        <f t="shared" si="2"/>
        <v>0</v>
      </c>
      <c r="I92" s="19">
        <f t="shared" si="3"/>
        <v>5495.61</v>
      </c>
    </row>
    <row r="93" spans="1:9" x14ac:dyDescent="0.35">
      <c r="A93" t="s">
        <v>84</v>
      </c>
      <c r="B93" s="1">
        <v>0</v>
      </c>
      <c r="C93" s="1">
        <v>0</v>
      </c>
      <c r="D93" s="1">
        <v>0</v>
      </c>
      <c r="E93" s="1">
        <v>591631.59</v>
      </c>
      <c r="F93" s="1">
        <v>8071352.7300000004</v>
      </c>
      <c r="G93" s="1">
        <f>SUMIFS([1]QUERY_FOR_TRNSTRANSPOSED_0008!$F:$F,[1]QUERY_FOR_TRNSTRANSPOSED_0008!$A:$A,A93)</f>
        <v>-7479721.1399999997</v>
      </c>
      <c r="H93" s="19">
        <f t="shared" si="2"/>
        <v>0</v>
      </c>
      <c r="I93" s="19">
        <f t="shared" si="3"/>
        <v>-7479721.1400000006</v>
      </c>
    </row>
    <row r="94" spans="1:9" x14ac:dyDescent="0.35">
      <c r="A94" t="s">
        <v>245</v>
      </c>
      <c r="B94" s="1">
        <v>0</v>
      </c>
      <c r="C94" s="1">
        <v>0</v>
      </c>
      <c r="D94" s="1">
        <v>0</v>
      </c>
      <c r="E94" s="1">
        <v>32069.8</v>
      </c>
      <c r="F94" s="1">
        <v>368726.17</v>
      </c>
      <c r="G94" s="1">
        <f>SUMIFS([1]QUERY_FOR_TRNSTRANSPOSED_0008!$F:$F,[1]QUERY_FOR_TRNSTRANSPOSED_0008!$A:$A,A94)</f>
        <v>-336656.37</v>
      </c>
      <c r="H94" s="19">
        <f t="shared" si="2"/>
        <v>0</v>
      </c>
      <c r="I94" s="19">
        <f t="shared" si="3"/>
        <v>-336656.37</v>
      </c>
    </row>
    <row r="95" spans="1:9" x14ac:dyDescent="0.35">
      <c r="A95" t="s">
        <v>26</v>
      </c>
      <c r="B95" s="1">
        <v>2938</v>
      </c>
      <c r="C95" s="1">
        <v>3001</v>
      </c>
      <c r="D95" s="1">
        <v>63</v>
      </c>
      <c r="E95" s="1">
        <v>0</v>
      </c>
      <c r="F95" s="1">
        <v>0</v>
      </c>
      <c r="G95" s="1">
        <f>SUMIFS([1]QUERY_FOR_TRNSTRANSPOSED_0008!$F:$F,[1]QUERY_FOR_TRNSTRANSPOSED_0008!$A:$A,A95)</f>
        <v>2938</v>
      </c>
      <c r="H95" s="19">
        <f t="shared" si="2"/>
        <v>0</v>
      </c>
      <c r="I95" s="19">
        <f t="shared" si="3"/>
        <v>2938</v>
      </c>
    </row>
    <row r="96" spans="1:9" x14ac:dyDescent="0.35">
      <c r="A96" t="s">
        <v>25</v>
      </c>
      <c r="B96" s="1">
        <v>646342.32999999996</v>
      </c>
      <c r="C96" s="1">
        <v>651657.44999999995</v>
      </c>
      <c r="D96" s="1">
        <v>5315.12</v>
      </c>
      <c r="E96" s="1">
        <v>0</v>
      </c>
      <c r="F96" s="1">
        <v>0</v>
      </c>
      <c r="G96" s="1">
        <f>SUMIFS([1]QUERY_FOR_TRNSTRANSPOSED_0008!$F:$F,[1]QUERY_FOR_TRNSTRANSPOSED_0008!$A:$A,A96)</f>
        <v>646342.32999999996</v>
      </c>
      <c r="H96" s="19">
        <f t="shared" si="2"/>
        <v>0</v>
      </c>
      <c r="I96" s="19">
        <f t="shared" si="3"/>
        <v>646342.32999999996</v>
      </c>
    </row>
    <row r="97" spans="1:9" x14ac:dyDescent="0.35">
      <c r="A97" t="s">
        <v>27</v>
      </c>
      <c r="B97" s="1">
        <v>1941855.06</v>
      </c>
      <c r="C97" s="1">
        <v>1956235.14</v>
      </c>
      <c r="D97" s="1">
        <v>14380.08</v>
      </c>
      <c r="E97" s="1">
        <v>0</v>
      </c>
      <c r="F97" s="1">
        <v>0</v>
      </c>
      <c r="G97" s="1">
        <f>SUMIFS([1]QUERY_FOR_TRNSTRANSPOSED_0008!$F:$F,[1]QUERY_FOR_TRNSTRANSPOSED_0008!$A:$A,A97)</f>
        <v>1941855.06</v>
      </c>
      <c r="H97" s="19">
        <f t="shared" si="2"/>
        <v>0</v>
      </c>
      <c r="I97" s="19">
        <f t="shared" si="3"/>
        <v>1941855.0599999998</v>
      </c>
    </row>
    <row r="98" spans="1:9" x14ac:dyDescent="0.35">
      <c r="A98" t="s">
        <v>32</v>
      </c>
      <c r="B98" s="1">
        <v>0</v>
      </c>
      <c r="C98" s="1">
        <v>0</v>
      </c>
      <c r="D98" s="1">
        <v>0</v>
      </c>
      <c r="E98" s="1">
        <v>2537225.31</v>
      </c>
      <c r="F98" s="1">
        <v>4086636.53</v>
      </c>
      <c r="G98" s="1">
        <f>SUMIFS([1]QUERY_FOR_TRNSTRANSPOSED_0008!$F:$F,[1]QUERY_FOR_TRNSTRANSPOSED_0008!$A:$A,A98)</f>
        <v>-1549411.2200000002</v>
      </c>
      <c r="H98" s="19">
        <f t="shared" si="2"/>
        <v>0</v>
      </c>
      <c r="I98" s="19">
        <f t="shared" si="3"/>
        <v>-1549411.2199999997</v>
      </c>
    </row>
    <row r="99" spans="1:9" x14ac:dyDescent="0.35">
      <c r="A99" t="s">
        <v>33</v>
      </c>
      <c r="B99" s="1">
        <v>-18.399999999999999</v>
      </c>
      <c r="C99" s="1">
        <v>198.18</v>
      </c>
      <c r="D99" s="1">
        <v>216.58</v>
      </c>
      <c r="E99" s="1">
        <v>0</v>
      </c>
      <c r="F99" s="1">
        <v>0</v>
      </c>
      <c r="G99" s="1">
        <f>SUMIFS([1]QUERY_FOR_TRNSTRANSPOSED_0008!$F:$F,[1]QUERY_FOR_TRNSTRANSPOSED_0008!$A:$A,A99)</f>
        <v>-18.399999999999999</v>
      </c>
      <c r="H99" s="19">
        <f t="shared" si="2"/>
        <v>0</v>
      </c>
      <c r="I99" s="19">
        <f t="shared" si="3"/>
        <v>-18.400000000000006</v>
      </c>
    </row>
    <row r="100" spans="1:9" x14ac:dyDescent="0.35">
      <c r="A100" t="s">
        <v>109</v>
      </c>
      <c r="B100" s="1">
        <v>21385.4</v>
      </c>
      <c r="C100" s="1">
        <v>22230.400000000001</v>
      </c>
      <c r="D100" s="1">
        <v>845</v>
      </c>
      <c r="E100" s="1">
        <v>0</v>
      </c>
      <c r="F100" s="1">
        <v>4380</v>
      </c>
      <c r="G100" s="1">
        <f>SUMIFS([1]QUERY_FOR_TRNSTRANSPOSED_0008!$F:$F,[1]QUERY_FOR_TRNSTRANSPOSED_0008!$A:$A,A100)</f>
        <v>17005.400000000001</v>
      </c>
      <c r="H100" s="19">
        <f t="shared" si="2"/>
        <v>0</v>
      </c>
      <c r="I100" s="19">
        <f t="shared" si="3"/>
        <v>17005.400000000001</v>
      </c>
    </row>
    <row r="101" spans="1:9" x14ac:dyDescent="0.35">
      <c r="A101" t="s">
        <v>110</v>
      </c>
      <c r="B101" s="1">
        <v>76239.41</v>
      </c>
      <c r="C101" s="1">
        <v>79124.89</v>
      </c>
      <c r="D101" s="1">
        <v>2885.48</v>
      </c>
      <c r="E101" s="1">
        <v>0</v>
      </c>
      <c r="F101" s="1">
        <v>0</v>
      </c>
      <c r="G101" s="1">
        <f>SUMIFS([1]QUERY_FOR_TRNSTRANSPOSED_0008!$F:$F,[1]QUERY_FOR_TRNSTRANSPOSED_0008!$A:$A,A101)</f>
        <v>76239.41</v>
      </c>
      <c r="H101" s="19">
        <f t="shared" si="2"/>
        <v>0</v>
      </c>
      <c r="I101" s="19">
        <f t="shared" si="3"/>
        <v>76239.41</v>
      </c>
    </row>
    <row r="102" spans="1:9" x14ac:dyDescent="0.35">
      <c r="A102" t="s">
        <v>251</v>
      </c>
      <c r="B102" s="1">
        <v>0</v>
      </c>
      <c r="C102" s="1">
        <v>0</v>
      </c>
      <c r="D102" s="1">
        <v>0</v>
      </c>
      <c r="E102" s="1">
        <v>96970.880000000005</v>
      </c>
      <c r="F102" s="1">
        <v>1207681.3500000001</v>
      </c>
      <c r="G102" s="1">
        <f>SUMIFS([1]QUERY_FOR_TRNSTRANSPOSED_0008!$F:$F,[1]QUERY_FOR_TRNSTRANSPOSED_0008!$A:$A,A102)</f>
        <v>-1110710.47</v>
      </c>
      <c r="H102" s="19">
        <f t="shared" si="2"/>
        <v>0</v>
      </c>
      <c r="I102" s="19">
        <f t="shared" si="3"/>
        <v>-1110710.4700000002</v>
      </c>
    </row>
    <row r="103" spans="1:9" x14ac:dyDescent="0.35">
      <c r="A103" t="s">
        <v>97</v>
      </c>
      <c r="B103" s="1">
        <v>8169</v>
      </c>
      <c r="C103" s="1">
        <v>8838</v>
      </c>
      <c r="D103" s="1">
        <v>669</v>
      </c>
      <c r="E103" s="1">
        <v>0</v>
      </c>
      <c r="F103" s="1">
        <v>0</v>
      </c>
      <c r="G103" s="1">
        <f>SUMIFS([1]QUERY_FOR_TRNSTRANSPOSED_0008!$F:$F,[1]QUERY_FOR_TRNSTRANSPOSED_0008!$A:$A,A103)</f>
        <v>8169</v>
      </c>
      <c r="H103" s="19">
        <f t="shared" si="2"/>
        <v>0</v>
      </c>
      <c r="I103" s="19">
        <f t="shared" si="3"/>
        <v>8169</v>
      </c>
    </row>
    <row r="104" spans="1:9" x14ac:dyDescent="0.35">
      <c r="A104" t="s">
        <v>82</v>
      </c>
      <c r="B104" s="1">
        <v>125998.39999999999</v>
      </c>
      <c r="C104" s="1">
        <v>174890.42</v>
      </c>
      <c r="D104" s="1">
        <v>48892.02</v>
      </c>
      <c r="E104" s="1">
        <v>0</v>
      </c>
      <c r="F104" s="1">
        <v>0</v>
      </c>
      <c r="G104" s="1">
        <f>SUMIFS([1]QUERY_FOR_TRNSTRANSPOSED_0008!$F:$F,[1]QUERY_FOR_TRNSTRANSPOSED_0008!$A:$A,A104)</f>
        <v>125998.39999999999</v>
      </c>
      <c r="H104" s="19">
        <f t="shared" si="2"/>
        <v>0</v>
      </c>
      <c r="I104" s="19">
        <f t="shared" si="3"/>
        <v>125998.40000000002</v>
      </c>
    </row>
    <row r="105" spans="1:9" x14ac:dyDescent="0.35">
      <c r="A105" t="s">
        <v>81</v>
      </c>
      <c r="B105" s="1">
        <v>121704.68</v>
      </c>
      <c r="C105" s="1">
        <v>125550.74</v>
      </c>
      <c r="D105" s="1">
        <v>3846.06</v>
      </c>
      <c r="E105" s="1">
        <v>0</v>
      </c>
      <c r="F105" s="1">
        <v>0</v>
      </c>
      <c r="G105" s="1">
        <f>SUMIFS([1]QUERY_FOR_TRNSTRANSPOSED_0008!$F:$F,[1]QUERY_FOR_TRNSTRANSPOSED_0008!$A:$A,A105)</f>
        <v>121704.68</v>
      </c>
      <c r="H105" s="19">
        <f t="shared" si="2"/>
        <v>0</v>
      </c>
      <c r="I105" s="19">
        <f t="shared" si="3"/>
        <v>121704.68000000001</v>
      </c>
    </row>
    <row r="106" spans="1:9" x14ac:dyDescent="0.35">
      <c r="A106" t="s">
        <v>90</v>
      </c>
      <c r="B106" s="1">
        <v>114025.12</v>
      </c>
      <c r="C106" s="1">
        <v>114025.12</v>
      </c>
      <c r="D106" s="1">
        <v>0</v>
      </c>
      <c r="E106" s="1">
        <v>0</v>
      </c>
      <c r="F106" s="1">
        <v>0</v>
      </c>
      <c r="G106" s="1">
        <f>SUMIFS([1]QUERY_FOR_TRNSTRANSPOSED_0008!$F:$F,[1]QUERY_FOR_TRNSTRANSPOSED_0008!$A:$A,A106)</f>
        <v>114025.12</v>
      </c>
      <c r="H106" s="19">
        <f t="shared" si="2"/>
        <v>0</v>
      </c>
      <c r="I106" s="19">
        <f t="shared" si="3"/>
        <v>114025.12</v>
      </c>
    </row>
    <row r="107" spans="1:9" x14ac:dyDescent="0.35">
      <c r="A107" t="s">
        <v>91</v>
      </c>
      <c r="B107" s="1">
        <v>12450063.960000001</v>
      </c>
      <c r="C107" s="1">
        <v>12450063.960000001</v>
      </c>
      <c r="D107" s="1">
        <v>0</v>
      </c>
      <c r="E107" s="1">
        <v>0</v>
      </c>
      <c r="F107" s="1">
        <v>0</v>
      </c>
      <c r="G107" s="1">
        <f>SUMIFS([1]QUERY_FOR_TRNSTRANSPOSED_0008!$F:$F,[1]QUERY_FOR_TRNSTRANSPOSED_0008!$A:$A,A107)</f>
        <v>12450063.960000001</v>
      </c>
      <c r="H107" s="19">
        <f t="shared" si="2"/>
        <v>0</v>
      </c>
      <c r="I107" s="19">
        <f t="shared" si="3"/>
        <v>12450063.960000001</v>
      </c>
    </row>
    <row r="108" spans="1:9" x14ac:dyDescent="0.35">
      <c r="A108" t="s">
        <v>72</v>
      </c>
      <c r="B108" s="1">
        <v>30512.97</v>
      </c>
      <c r="C108" s="1">
        <v>32878.449999999997</v>
      </c>
      <c r="D108" s="1">
        <v>2365.48</v>
      </c>
      <c r="E108" s="1">
        <v>0</v>
      </c>
      <c r="F108" s="1">
        <v>0</v>
      </c>
      <c r="G108" s="1">
        <f>SUMIFS([1]QUERY_FOR_TRNSTRANSPOSED_0008!$F:$F,[1]QUERY_FOR_TRNSTRANSPOSED_0008!$A:$A,A108)</f>
        <v>30512.97</v>
      </c>
      <c r="H108" s="19">
        <f t="shared" si="2"/>
        <v>0</v>
      </c>
      <c r="I108" s="19">
        <f t="shared" si="3"/>
        <v>30512.969999999998</v>
      </c>
    </row>
    <row r="109" spans="1:9" x14ac:dyDescent="0.35">
      <c r="A109" t="s">
        <v>240</v>
      </c>
      <c r="B109" s="1">
        <v>0</v>
      </c>
      <c r="C109" s="1">
        <v>0</v>
      </c>
      <c r="D109" s="1">
        <v>0</v>
      </c>
      <c r="E109" s="1">
        <v>164250.59</v>
      </c>
      <c r="F109" s="1">
        <v>2228034.38</v>
      </c>
      <c r="G109" s="1">
        <f>SUMIFS([1]QUERY_FOR_TRNSTRANSPOSED_0008!$F:$F,[1]QUERY_FOR_TRNSTRANSPOSED_0008!$A:$A,A109)</f>
        <v>-2063783.79</v>
      </c>
      <c r="H109" s="19">
        <f t="shared" si="2"/>
        <v>0</v>
      </c>
      <c r="I109" s="19">
        <f t="shared" si="3"/>
        <v>-2063783.7899999998</v>
      </c>
    </row>
    <row r="110" spans="1:9" x14ac:dyDescent="0.35">
      <c r="A110" t="s">
        <v>92</v>
      </c>
      <c r="B110" s="1">
        <v>400460</v>
      </c>
      <c r="C110" s="1">
        <v>407155</v>
      </c>
      <c r="D110" s="1">
        <v>6695</v>
      </c>
      <c r="E110" s="1">
        <v>0</v>
      </c>
      <c r="F110" s="1">
        <v>0</v>
      </c>
      <c r="G110" s="1">
        <f>SUMIFS([1]QUERY_FOR_TRNSTRANSPOSED_0008!$F:$F,[1]QUERY_FOR_TRNSTRANSPOSED_0008!$A:$A,A110)</f>
        <v>400460</v>
      </c>
      <c r="H110" s="19">
        <f t="shared" si="2"/>
        <v>0</v>
      </c>
      <c r="I110" s="19">
        <f t="shared" si="3"/>
        <v>400460</v>
      </c>
    </row>
    <row r="111" spans="1:9" x14ac:dyDescent="0.35">
      <c r="A111" t="s">
        <v>69</v>
      </c>
      <c r="B111" s="1">
        <v>2617.5</v>
      </c>
      <c r="C111" s="1">
        <v>2617.5</v>
      </c>
      <c r="D111" s="1">
        <v>0</v>
      </c>
      <c r="E111" s="1">
        <v>0</v>
      </c>
      <c r="F111" s="1">
        <v>0</v>
      </c>
      <c r="G111" s="1">
        <f>SUMIFS([1]QUERY_FOR_TRNSTRANSPOSED_0008!$F:$F,[1]QUERY_FOR_TRNSTRANSPOSED_0008!$A:$A,A111)</f>
        <v>2617.5</v>
      </c>
      <c r="H111" s="19">
        <f t="shared" si="2"/>
        <v>0</v>
      </c>
      <c r="I111" s="19">
        <f t="shared" si="3"/>
        <v>2617.5</v>
      </c>
    </row>
    <row r="112" spans="1:9" x14ac:dyDescent="0.35">
      <c r="A112" t="s">
        <v>70</v>
      </c>
      <c r="B112" s="1">
        <v>3006466.62</v>
      </c>
      <c r="C112" s="1">
        <v>3008313.38</v>
      </c>
      <c r="D112" s="1">
        <v>1846.76</v>
      </c>
      <c r="E112" s="1">
        <v>0</v>
      </c>
      <c r="F112" s="1">
        <v>0</v>
      </c>
      <c r="G112" s="1">
        <f>SUMIFS([1]QUERY_FOR_TRNSTRANSPOSED_0008!$F:$F,[1]QUERY_FOR_TRNSTRANSPOSED_0008!$A:$A,A112)</f>
        <v>3006466.62</v>
      </c>
      <c r="H112" s="19">
        <f t="shared" si="2"/>
        <v>0</v>
      </c>
      <c r="I112" s="19">
        <f t="shared" si="3"/>
        <v>3006466.62</v>
      </c>
    </row>
    <row r="113" spans="1:9" x14ac:dyDescent="0.35">
      <c r="A113" t="s">
        <v>243</v>
      </c>
      <c r="B113" s="1">
        <v>86.36</v>
      </c>
      <c r="C113" s="1">
        <v>86.36</v>
      </c>
      <c r="D113" s="1">
        <v>0</v>
      </c>
      <c r="E113" s="1">
        <v>0</v>
      </c>
      <c r="F113" s="1">
        <v>0</v>
      </c>
      <c r="G113" s="1">
        <f>SUMIFS([1]QUERY_FOR_TRNSTRANSPOSED_0008!$F:$F,[1]QUERY_FOR_TRNSTRANSPOSED_0008!$A:$A,A113)</f>
        <v>86.36</v>
      </c>
      <c r="H113" s="19">
        <f t="shared" si="2"/>
        <v>0</v>
      </c>
      <c r="I113" s="19">
        <f t="shared" si="3"/>
        <v>86.36</v>
      </c>
    </row>
    <row r="114" spans="1:9" x14ac:dyDescent="0.35">
      <c r="A114" t="s">
        <v>143</v>
      </c>
      <c r="B114" s="1">
        <v>22217.360000000001</v>
      </c>
      <c r="C114" s="1">
        <v>23573.17</v>
      </c>
      <c r="D114" s="1">
        <v>1355.81</v>
      </c>
      <c r="E114" s="1">
        <v>0</v>
      </c>
      <c r="F114" s="1">
        <v>0</v>
      </c>
      <c r="G114" s="1">
        <f>SUMIFS([1]QUERY_FOR_TRNSTRANSPOSED_0008!$F:$F,[1]QUERY_FOR_TRNSTRANSPOSED_0008!$A:$A,A114)</f>
        <v>22217.360000000001</v>
      </c>
      <c r="H114" s="19">
        <f t="shared" si="2"/>
        <v>0</v>
      </c>
      <c r="I114" s="19">
        <f t="shared" si="3"/>
        <v>22217.359999999997</v>
      </c>
    </row>
    <row r="115" spans="1:9" x14ac:dyDescent="0.35">
      <c r="A115" t="s">
        <v>138</v>
      </c>
      <c r="B115" s="1">
        <v>2058966.73</v>
      </c>
      <c r="C115" s="1">
        <v>2058966.73</v>
      </c>
      <c r="D115" s="1">
        <v>0</v>
      </c>
      <c r="E115" s="1">
        <v>0</v>
      </c>
      <c r="F115" s="1">
        <v>0</v>
      </c>
      <c r="G115" s="1">
        <f>SUMIFS([1]QUERY_FOR_TRNSTRANSPOSED_0008!$F:$F,[1]QUERY_FOR_TRNSTRANSPOSED_0008!$A:$A,A115)</f>
        <v>2058966.73</v>
      </c>
      <c r="H115" s="19">
        <f t="shared" si="2"/>
        <v>0</v>
      </c>
      <c r="I115" s="19">
        <f t="shared" si="3"/>
        <v>2058966.73</v>
      </c>
    </row>
    <row r="116" spans="1:9" x14ac:dyDescent="0.35">
      <c r="A116" t="s">
        <v>242</v>
      </c>
      <c r="B116" s="1">
        <v>0</v>
      </c>
      <c r="C116" s="1">
        <v>0</v>
      </c>
      <c r="D116" s="1">
        <v>0</v>
      </c>
      <c r="E116" s="1">
        <v>0.01</v>
      </c>
      <c r="F116" s="1">
        <v>341202.48</v>
      </c>
      <c r="G116" s="1">
        <f>SUMIFS([1]QUERY_FOR_TRNSTRANSPOSED_0008!$F:$F,[1]QUERY_FOR_TRNSTRANSPOSED_0008!$A:$A,A116)</f>
        <v>-341202.47</v>
      </c>
      <c r="H116" s="19">
        <f t="shared" si="2"/>
        <v>0</v>
      </c>
      <c r="I116" s="19">
        <f t="shared" si="3"/>
        <v>-341202.47</v>
      </c>
    </row>
    <row r="117" spans="1:9" x14ac:dyDescent="0.35">
      <c r="A117" t="s">
        <v>73</v>
      </c>
      <c r="B117" s="1">
        <v>105257.56</v>
      </c>
      <c r="C117" s="1">
        <v>107711.21</v>
      </c>
      <c r="D117" s="1">
        <v>2453.65</v>
      </c>
      <c r="E117" s="1">
        <v>0</v>
      </c>
      <c r="F117" s="1">
        <v>0</v>
      </c>
      <c r="G117" s="1">
        <f>SUMIFS([1]QUERY_FOR_TRNSTRANSPOSED_0008!$F:$F,[1]QUERY_FOR_TRNSTRANSPOSED_0008!$A:$A,A117)</f>
        <v>105257.56</v>
      </c>
      <c r="H117" s="19">
        <f t="shared" si="2"/>
        <v>0</v>
      </c>
      <c r="I117" s="19">
        <f t="shared" si="3"/>
        <v>105257.56000000001</v>
      </c>
    </row>
    <row r="118" spans="1:9" x14ac:dyDescent="0.35">
      <c r="A118" t="s">
        <v>236</v>
      </c>
      <c r="B118" s="1">
        <v>13.73</v>
      </c>
      <c r="C118" s="1">
        <v>13.73</v>
      </c>
      <c r="D118" s="1">
        <v>0</v>
      </c>
      <c r="E118" s="1">
        <v>0</v>
      </c>
      <c r="F118" s="1">
        <v>0</v>
      </c>
      <c r="G118" s="1">
        <f>SUMIFS([1]QUERY_FOR_TRNSTRANSPOSED_0008!$F:$F,[1]QUERY_FOR_TRNSTRANSPOSED_0008!$A:$A,A118)</f>
        <v>13.73</v>
      </c>
      <c r="H118" s="19">
        <f t="shared" si="2"/>
        <v>0</v>
      </c>
      <c r="I118" s="19">
        <f t="shared" si="3"/>
        <v>13.73</v>
      </c>
    </row>
    <row r="119" spans="1:9" x14ac:dyDescent="0.35">
      <c r="A119" t="s">
        <v>173</v>
      </c>
      <c r="B119" s="1">
        <v>215690.14</v>
      </c>
      <c r="C119" s="1">
        <v>221235.59</v>
      </c>
      <c r="D119" s="1">
        <v>5545.45</v>
      </c>
      <c r="E119" s="1">
        <v>0</v>
      </c>
      <c r="F119" s="1">
        <v>0</v>
      </c>
      <c r="G119" s="1">
        <f>SUMIFS([1]QUERY_FOR_TRNSTRANSPOSED_0008!$F:$F,[1]QUERY_FOR_TRNSTRANSPOSED_0008!$A:$A,A119)</f>
        <v>215690.14</v>
      </c>
      <c r="H119" s="19">
        <f t="shared" si="2"/>
        <v>0</v>
      </c>
      <c r="I119" s="19">
        <f t="shared" si="3"/>
        <v>215690.13999999998</v>
      </c>
    </row>
    <row r="120" spans="1:9" x14ac:dyDescent="0.35">
      <c r="A120" t="s">
        <v>238</v>
      </c>
      <c r="B120" s="1">
        <v>0</v>
      </c>
      <c r="C120" s="1">
        <v>0</v>
      </c>
      <c r="D120" s="1">
        <v>0</v>
      </c>
      <c r="E120" s="1">
        <v>5566.46</v>
      </c>
      <c r="F120" s="1">
        <v>0</v>
      </c>
      <c r="G120" s="1">
        <f>SUMIFS([1]QUERY_FOR_TRNSTRANSPOSED_0008!$F:$F,[1]QUERY_FOR_TRNSTRANSPOSED_0008!$A:$A,A120)</f>
        <v>5566.46</v>
      </c>
      <c r="H120" s="19">
        <f t="shared" si="2"/>
        <v>0</v>
      </c>
      <c r="I120" s="19">
        <f t="shared" si="3"/>
        <v>5566.46</v>
      </c>
    </row>
    <row r="121" spans="1:9" x14ac:dyDescent="0.35">
      <c r="A121" t="s">
        <v>54</v>
      </c>
      <c r="B121" s="1">
        <v>0</v>
      </c>
      <c r="C121" s="1">
        <v>0</v>
      </c>
      <c r="D121" s="1">
        <v>0</v>
      </c>
      <c r="E121" s="1">
        <v>449702.72</v>
      </c>
      <c r="F121" s="1">
        <v>7267005.0899999999</v>
      </c>
      <c r="G121" s="1">
        <f>SUMIFS([1]QUERY_FOR_TRNSTRANSPOSED_0008!$F:$F,[1]QUERY_FOR_TRNSTRANSPOSED_0008!$A:$A,A121)</f>
        <v>-6817302.3700000001</v>
      </c>
      <c r="H121" s="19">
        <f t="shared" si="2"/>
        <v>0</v>
      </c>
      <c r="I121" s="19">
        <f t="shared" si="3"/>
        <v>-6817302.3700000001</v>
      </c>
    </row>
    <row r="122" spans="1:9" x14ac:dyDescent="0.35">
      <c r="A122" t="s">
        <v>55</v>
      </c>
      <c r="B122" s="1">
        <v>859130.75</v>
      </c>
      <c r="C122" s="1">
        <v>869280.5</v>
      </c>
      <c r="D122" s="1">
        <v>10149.75</v>
      </c>
      <c r="E122" s="1">
        <v>0</v>
      </c>
      <c r="F122" s="1">
        <v>0</v>
      </c>
      <c r="G122" s="1">
        <f>SUMIFS([1]QUERY_FOR_TRNSTRANSPOSED_0008!$F:$F,[1]QUERY_FOR_TRNSTRANSPOSED_0008!$A:$A,A122)</f>
        <v>859130.75</v>
      </c>
      <c r="H122" s="19">
        <f t="shared" si="2"/>
        <v>0</v>
      </c>
      <c r="I122" s="19">
        <f t="shared" si="3"/>
        <v>859130.75</v>
      </c>
    </row>
    <row r="123" spans="1:9" x14ac:dyDescent="0.35">
      <c r="A123" t="s">
        <v>58</v>
      </c>
      <c r="B123" s="1">
        <v>1351</v>
      </c>
      <c r="C123" s="1">
        <v>1351</v>
      </c>
      <c r="D123" s="1">
        <v>0</v>
      </c>
      <c r="E123" s="1">
        <v>104009.24</v>
      </c>
      <c r="F123" s="1">
        <v>554267.18000000005</v>
      </c>
      <c r="G123" s="1">
        <f>SUMIFS([1]QUERY_FOR_TRNSTRANSPOSED_0008!$F:$F,[1]QUERY_FOR_TRNSTRANSPOSED_0008!$A:$A,A123)</f>
        <v>-448906.94</v>
      </c>
      <c r="H123" s="19">
        <f t="shared" si="2"/>
        <v>0</v>
      </c>
      <c r="I123" s="19">
        <f t="shared" si="3"/>
        <v>-448906.94000000006</v>
      </c>
    </row>
    <row r="124" spans="1:9" x14ac:dyDescent="0.35">
      <c r="A124" t="s">
        <v>57</v>
      </c>
      <c r="B124" s="1">
        <v>408282.98</v>
      </c>
      <c r="C124" s="1">
        <v>489472.39</v>
      </c>
      <c r="D124" s="1">
        <v>81189.41</v>
      </c>
      <c r="E124" s="1">
        <v>0</v>
      </c>
      <c r="F124" s="1">
        <v>0</v>
      </c>
      <c r="G124" s="1">
        <f>SUMIFS([1]QUERY_FOR_TRNSTRANSPOSED_0008!$F:$F,[1]QUERY_FOR_TRNSTRANSPOSED_0008!$A:$A,A124)</f>
        <v>408282.98</v>
      </c>
      <c r="H124" s="19">
        <f t="shared" si="2"/>
        <v>0</v>
      </c>
      <c r="I124" s="19">
        <f t="shared" si="3"/>
        <v>408282.98</v>
      </c>
    </row>
    <row r="125" spans="1:9" x14ac:dyDescent="0.35">
      <c r="A125" t="s">
        <v>56</v>
      </c>
      <c r="B125" s="1">
        <v>1228887.4099999999</v>
      </c>
      <c r="C125" s="1">
        <v>1255652.98</v>
      </c>
      <c r="D125" s="1">
        <v>26765.57</v>
      </c>
      <c r="E125" s="1">
        <v>0</v>
      </c>
      <c r="F125" s="1">
        <v>0</v>
      </c>
      <c r="G125" s="1">
        <f>SUMIFS([1]QUERY_FOR_TRNSTRANSPOSED_0008!$F:$F,[1]QUERY_FOR_TRNSTRANSPOSED_0008!$A:$A,A125)</f>
        <v>1228887.4099999999</v>
      </c>
      <c r="H125" s="19">
        <f t="shared" si="2"/>
        <v>0</v>
      </c>
      <c r="I125" s="19">
        <f t="shared" si="3"/>
        <v>1228887.4099999999</v>
      </c>
    </row>
    <row r="126" spans="1:9" x14ac:dyDescent="0.35">
      <c r="A126" t="s">
        <v>186</v>
      </c>
      <c r="B126" s="1">
        <v>39567.800000000003</v>
      </c>
      <c r="C126" s="1">
        <v>39567.800000000003</v>
      </c>
      <c r="D126" s="1">
        <v>0</v>
      </c>
      <c r="E126" s="1">
        <v>0</v>
      </c>
      <c r="F126" s="1">
        <v>0</v>
      </c>
      <c r="G126" s="1">
        <f>SUMIFS([1]QUERY_FOR_TRNSTRANSPOSED_0008!$F:$F,[1]QUERY_FOR_TRNSTRANSPOSED_0008!$A:$A,A126)</f>
        <v>39567.800000000003</v>
      </c>
      <c r="H126" s="19">
        <f t="shared" si="2"/>
        <v>0</v>
      </c>
      <c r="I126" s="19">
        <f t="shared" si="3"/>
        <v>39567.800000000003</v>
      </c>
    </row>
    <row r="127" spans="1:9" x14ac:dyDescent="0.35">
      <c r="A127" t="s">
        <v>187</v>
      </c>
      <c r="B127" s="1">
        <v>-72344.710000000006</v>
      </c>
      <c r="C127" s="1">
        <v>66793.039999999994</v>
      </c>
      <c r="D127" s="1">
        <v>139137.75</v>
      </c>
      <c r="E127" s="1">
        <v>0</v>
      </c>
      <c r="F127" s="1">
        <v>0</v>
      </c>
      <c r="G127" s="1">
        <f>SUMIFS([1]QUERY_FOR_TRNSTRANSPOSED_0008!$F:$F,[1]QUERY_FOR_TRNSTRANSPOSED_0008!$A:$A,A127)</f>
        <v>-72344.710000000006</v>
      </c>
      <c r="H127" s="19">
        <f t="shared" si="2"/>
        <v>0</v>
      </c>
      <c r="I127" s="19">
        <f t="shared" si="3"/>
        <v>-72344.710000000006</v>
      </c>
    </row>
    <row r="128" spans="1:9" x14ac:dyDescent="0.35">
      <c r="A128" t="s">
        <v>95</v>
      </c>
      <c r="B128" s="1">
        <v>0</v>
      </c>
      <c r="C128" s="1">
        <v>0</v>
      </c>
      <c r="D128" s="1">
        <v>0</v>
      </c>
      <c r="E128" s="1">
        <v>218745</v>
      </c>
      <c r="F128" s="1">
        <v>5184944.62</v>
      </c>
      <c r="G128" s="1">
        <f>SUMIFS([1]QUERY_FOR_TRNSTRANSPOSED_0008!$F:$F,[1]QUERY_FOR_TRNSTRANSPOSED_0008!$A:$A,A128)</f>
        <v>-4966199.62</v>
      </c>
      <c r="H128" s="19">
        <f t="shared" si="2"/>
        <v>0</v>
      </c>
      <c r="I128" s="19">
        <f t="shared" si="3"/>
        <v>-4966199.62</v>
      </c>
    </row>
    <row r="129" spans="1:9" x14ac:dyDescent="0.35">
      <c r="A129" t="s">
        <v>85</v>
      </c>
      <c r="B129" s="1">
        <v>33416.83</v>
      </c>
      <c r="C129" s="1">
        <v>33492.83</v>
      </c>
      <c r="D129" s="1">
        <v>76</v>
      </c>
      <c r="E129" s="1">
        <v>0</v>
      </c>
      <c r="F129" s="1">
        <v>0</v>
      </c>
      <c r="G129" s="1">
        <f>SUMIFS([1]QUERY_FOR_TRNSTRANSPOSED_0008!$F:$F,[1]QUERY_FOR_TRNSTRANSPOSED_0008!$A:$A,A129)</f>
        <v>33416.83</v>
      </c>
      <c r="H129" s="19">
        <f t="shared" si="2"/>
        <v>0</v>
      </c>
      <c r="I129" s="19">
        <f t="shared" si="3"/>
        <v>33416.83</v>
      </c>
    </row>
    <row r="130" spans="1:9" x14ac:dyDescent="0.35">
      <c r="A130" t="s">
        <v>87</v>
      </c>
      <c r="B130" s="1">
        <v>1683815.88</v>
      </c>
      <c r="C130" s="1">
        <v>1683815.88</v>
      </c>
      <c r="D130" s="1">
        <v>0</v>
      </c>
      <c r="E130" s="1">
        <v>0</v>
      </c>
      <c r="F130" s="1">
        <v>667969.61</v>
      </c>
      <c r="G130" s="1">
        <f>SUMIFS([1]QUERY_FOR_TRNSTRANSPOSED_0008!$F:$F,[1]QUERY_FOR_TRNSTRANSPOSED_0008!$A:$A,A130)</f>
        <v>1015846.27</v>
      </c>
      <c r="H130" s="19">
        <f t="shared" si="2"/>
        <v>0</v>
      </c>
      <c r="I130" s="19">
        <f t="shared" si="3"/>
        <v>1015846.2699999999</v>
      </c>
    </row>
    <row r="131" spans="1:9" x14ac:dyDescent="0.35">
      <c r="A131" t="s">
        <v>86</v>
      </c>
      <c r="B131" s="1">
        <v>0</v>
      </c>
      <c r="C131" s="1">
        <v>0</v>
      </c>
      <c r="D131" s="1">
        <v>0</v>
      </c>
      <c r="E131" s="1">
        <v>1036.51</v>
      </c>
      <c r="F131" s="1">
        <v>11899.05</v>
      </c>
      <c r="G131" s="1">
        <f>SUMIFS([1]QUERY_FOR_TRNSTRANSPOSED_0008!$F:$F,[1]QUERY_FOR_TRNSTRANSPOSED_0008!$A:$A,A131)</f>
        <v>-10862.54</v>
      </c>
      <c r="H131" s="19">
        <f t="shared" si="2"/>
        <v>0</v>
      </c>
      <c r="I131" s="19">
        <f t="shared" si="3"/>
        <v>-10862.539999999999</v>
      </c>
    </row>
    <row r="132" spans="1:9" x14ac:dyDescent="0.35">
      <c r="A132" t="s">
        <v>166</v>
      </c>
      <c r="B132" s="1">
        <v>0</v>
      </c>
      <c r="C132" s="1">
        <v>0</v>
      </c>
      <c r="D132" s="1">
        <v>0</v>
      </c>
      <c r="E132" s="1">
        <v>1.96</v>
      </c>
      <c r="F132" s="1">
        <v>2501712.7000000002</v>
      </c>
      <c r="G132" s="1">
        <f>SUMIFS([1]QUERY_FOR_TRNSTRANSPOSED_0008!$F:$F,[1]QUERY_FOR_TRNSTRANSPOSED_0008!$A:$A,A132)</f>
        <v>-2501710.7399999998</v>
      </c>
      <c r="H132" s="19">
        <f t="shared" ref="H132:H195" si="4">(G132-B132)+(F132-E132)</f>
        <v>0</v>
      </c>
      <c r="I132" s="19">
        <f t="shared" si="3"/>
        <v>-2501710.7400000002</v>
      </c>
    </row>
    <row r="133" spans="1:9" x14ac:dyDescent="0.35">
      <c r="A133" t="s">
        <v>136</v>
      </c>
      <c r="B133" s="1">
        <v>-8946.34</v>
      </c>
      <c r="C133" s="1">
        <v>1716.51</v>
      </c>
      <c r="D133" s="1">
        <v>10662.85</v>
      </c>
      <c r="E133" s="1">
        <v>537297.12</v>
      </c>
      <c r="F133" s="1">
        <v>1431286.87</v>
      </c>
      <c r="G133" s="1">
        <f>SUMIFS([1]QUERY_FOR_TRNSTRANSPOSED_0008!$F:$F,[1]QUERY_FOR_TRNSTRANSPOSED_0008!$A:$A,A133)</f>
        <v>-902936.09</v>
      </c>
      <c r="H133" s="19">
        <f t="shared" si="4"/>
        <v>0</v>
      </c>
      <c r="I133" s="19">
        <f t="shared" ref="I133:I196" si="5">C133-D133+E133-F133</f>
        <v>-902936.09000000008</v>
      </c>
    </row>
    <row r="134" spans="1:9" x14ac:dyDescent="0.35">
      <c r="A134" t="s">
        <v>137</v>
      </c>
      <c r="B134" s="1">
        <v>1856722.81</v>
      </c>
      <c r="C134" s="1">
        <v>1893084.06</v>
      </c>
      <c r="D134" s="1">
        <v>36361.25</v>
      </c>
      <c r="E134" s="1">
        <v>0</v>
      </c>
      <c r="F134" s="1">
        <v>0</v>
      </c>
      <c r="G134" s="1">
        <f>SUMIFS([1]QUERY_FOR_TRNSTRANSPOSED_0008!$F:$F,[1]QUERY_FOR_TRNSTRANSPOSED_0008!$A:$A,A134)</f>
        <v>1856722.81</v>
      </c>
      <c r="H134" s="19">
        <f t="shared" si="4"/>
        <v>0</v>
      </c>
      <c r="I134" s="19">
        <f t="shared" si="5"/>
        <v>1856722.81</v>
      </c>
    </row>
    <row r="135" spans="1:9" x14ac:dyDescent="0.35">
      <c r="A135" t="s">
        <v>75</v>
      </c>
      <c r="B135" s="1">
        <v>8076.51</v>
      </c>
      <c r="C135" s="1">
        <v>8365.4699999999993</v>
      </c>
      <c r="D135" s="1">
        <v>288.95999999999998</v>
      </c>
      <c r="E135" s="1">
        <v>14.61</v>
      </c>
      <c r="F135" s="1">
        <v>223077</v>
      </c>
      <c r="G135" s="1">
        <f>SUMIFS([1]QUERY_FOR_TRNSTRANSPOSED_0008!$F:$F,[1]QUERY_FOR_TRNSTRANSPOSED_0008!$A:$A,A135)</f>
        <v>-214985.88</v>
      </c>
      <c r="H135" s="19">
        <f t="shared" si="4"/>
        <v>0</v>
      </c>
      <c r="I135" s="19">
        <f t="shared" si="5"/>
        <v>-214985.88</v>
      </c>
    </row>
    <row r="136" spans="1:9" x14ac:dyDescent="0.35">
      <c r="A136" t="s">
        <v>76</v>
      </c>
      <c r="B136" s="1">
        <v>2564072.54</v>
      </c>
      <c r="C136" s="1">
        <v>2562254.96</v>
      </c>
      <c r="D136" s="1">
        <v>-1817.58</v>
      </c>
      <c r="E136" s="1">
        <v>0</v>
      </c>
      <c r="F136" s="1">
        <v>0</v>
      </c>
      <c r="G136" s="1">
        <f>SUMIFS([1]QUERY_FOR_TRNSTRANSPOSED_0008!$F:$F,[1]QUERY_FOR_TRNSTRANSPOSED_0008!$A:$A,A136)</f>
        <v>2564072.54</v>
      </c>
      <c r="H136" s="19">
        <f t="shared" si="4"/>
        <v>0</v>
      </c>
      <c r="I136" s="19">
        <f t="shared" si="5"/>
        <v>2564072.54</v>
      </c>
    </row>
    <row r="137" spans="1:9" x14ac:dyDescent="0.35">
      <c r="A137" t="s">
        <v>148</v>
      </c>
      <c r="B137" s="1">
        <v>0</v>
      </c>
      <c r="C137" s="1">
        <v>0</v>
      </c>
      <c r="D137" s="1">
        <v>0</v>
      </c>
      <c r="E137" s="1">
        <v>0</v>
      </c>
      <c r="F137" s="1">
        <v>1239134.8899999999</v>
      </c>
      <c r="G137" s="1">
        <f>SUMIFS([1]QUERY_FOR_TRNSTRANSPOSED_0008!$F:$F,[1]QUERY_FOR_TRNSTRANSPOSED_0008!$A:$A,A137)</f>
        <v>-1239134.8899999999</v>
      </c>
      <c r="H137" s="19">
        <f t="shared" si="4"/>
        <v>0</v>
      </c>
      <c r="I137" s="19">
        <f t="shared" si="5"/>
        <v>-1239134.8899999999</v>
      </c>
    </row>
    <row r="138" spans="1:9" x14ac:dyDescent="0.35">
      <c r="A138" t="s">
        <v>167</v>
      </c>
      <c r="B138" s="1">
        <v>650</v>
      </c>
      <c r="C138" s="1">
        <v>800</v>
      </c>
      <c r="D138" s="1">
        <v>150</v>
      </c>
      <c r="E138" s="1">
        <v>0</v>
      </c>
      <c r="F138" s="1">
        <v>0</v>
      </c>
      <c r="G138" s="1">
        <f>SUMIFS([1]QUERY_FOR_TRNSTRANSPOSED_0008!$F:$F,[1]QUERY_FOR_TRNSTRANSPOSED_0008!$A:$A,A138)</f>
        <v>650</v>
      </c>
      <c r="H138" s="19">
        <f t="shared" si="4"/>
        <v>0</v>
      </c>
      <c r="I138" s="19">
        <f t="shared" si="5"/>
        <v>650</v>
      </c>
    </row>
    <row r="139" spans="1:9" x14ac:dyDescent="0.35">
      <c r="A139" t="s">
        <v>157</v>
      </c>
      <c r="B139" s="1">
        <v>360914.1</v>
      </c>
      <c r="C139" s="1">
        <v>386640.19</v>
      </c>
      <c r="D139" s="1">
        <v>25726.09</v>
      </c>
      <c r="E139" s="1">
        <v>0</v>
      </c>
      <c r="F139" s="1">
        <v>0</v>
      </c>
      <c r="G139" s="1">
        <f>SUMIFS([1]QUERY_FOR_TRNSTRANSPOSED_0008!$F:$F,[1]QUERY_FOR_TRNSTRANSPOSED_0008!$A:$A,A139)</f>
        <v>360914.1</v>
      </c>
      <c r="H139" s="19">
        <f t="shared" si="4"/>
        <v>0</v>
      </c>
      <c r="I139" s="19">
        <f t="shared" si="5"/>
        <v>360914.1</v>
      </c>
    </row>
    <row r="140" spans="1:9" x14ac:dyDescent="0.35">
      <c r="A140" t="s">
        <v>49</v>
      </c>
      <c r="B140" s="1">
        <v>1206204.25</v>
      </c>
      <c r="C140" s="1">
        <v>1224782.5</v>
      </c>
      <c r="D140" s="1">
        <v>18578.25</v>
      </c>
      <c r="E140" s="1">
        <v>0</v>
      </c>
      <c r="F140" s="1">
        <v>0</v>
      </c>
      <c r="G140" s="1">
        <f>SUMIFS([1]QUERY_FOR_TRNSTRANSPOSED_0008!$F:$F,[1]QUERY_FOR_TRNSTRANSPOSED_0008!$A:$A,A140)</f>
        <v>1206204.25</v>
      </c>
      <c r="H140" s="19">
        <f t="shared" si="4"/>
        <v>0</v>
      </c>
      <c r="I140" s="19">
        <f t="shared" si="5"/>
        <v>1206204.25</v>
      </c>
    </row>
    <row r="141" spans="1:9" x14ac:dyDescent="0.35">
      <c r="A141" t="s">
        <v>51</v>
      </c>
      <c r="B141" s="1">
        <v>73434.77</v>
      </c>
      <c r="C141" s="1">
        <v>75187.429999999993</v>
      </c>
      <c r="D141" s="1">
        <v>1752.66</v>
      </c>
      <c r="E141" s="1">
        <v>208.18</v>
      </c>
      <c r="F141" s="1">
        <v>400088.08</v>
      </c>
      <c r="G141" s="1">
        <f>SUMIFS([1]QUERY_FOR_TRNSTRANSPOSED_0008!$F:$F,[1]QUERY_FOR_TRNSTRANSPOSED_0008!$A:$A,A141)</f>
        <v>-326445.13</v>
      </c>
      <c r="H141" s="19">
        <f t="shared" si="4"/>
        <v>0</v>
      </c>
      <c r="I141" s="19">
        <f t="shared" si="5"/>
        <v>-326445.13</v>
      </c>
    </row>
    <row r="142" spans="1:9" x14ac:dyDescent="0.35">
      <c r="A142" t="s">
        <v>50</v>
      </c>
      <c r="B142" s="1">
        <v>7215416.3200000003</v>
      </c>
      <c r="C142" s="1">
        <v>7218836.0499999998</v>
      </c>
      <c r="D142" s="1">
        <v>3419.73</v>
      </c>
      <c r="E142" s="1">
        <v>0</v>
      </c>
      <c r="F142" s="1">
        <v>5069518.9400000004</v>
      </c>
      <c r="G142" s="1">
        <f>SUMIFS([1]QUERY_FOR_TRNSTRANSPOSED_0008!$F:$F,[1]QUERY_FOR_TRNSTRANSPOSED_0008!$A:$A,A142)</f>
        <v>2145897.38</v>
      </c>
      <c r="H142" s="19">
        <f t="shared" si="4"/>
        <v>0</v>
      </c>
      <c r="I142" s="19">
        <f t="shared" si="5"/>
        <v>2145897.379999999</v>
      </c>
    </row>
    <row r="143" spans="1:9" x14ac:dyDescent="0.35">
      <c r="A143" t="s">
        <v>171</v>
      </c>
      <c r="B143" s="1">
        <v>26622.75</v>
      </c>
      <c r="C143" s="1">
        <v>26622.75</v>
      </c>
      <c r="D143" s="1">
        <v>0</v>
      </c>
      <c r="E143" s="1">
        <v>0</v>
      </c>
      <c r="F143" s="1">
        <v>0</v>
      </c>
      <c r="G143" s="1">
        <f>SUMIFS([1]QUERY_FOR_TRNSTRANSPOSED_0008!$F:$F,[1]QUERY_FOR_TRNSTRANSPOSED_0008!$A:$A,A143)</f>
        <v>26622.75</v>
      </c>
      <c r="H143" s="19">
        <f t="shared" si="4"/>
        <v>0</v>
      </c>
      <c r="I143" s="19">
        <f t="shared" si="5"/>
        <v>26622.75</v>
      </c>
    </row>
    <row r="144" spans="1:9" x14ac:dyDescent="0.35">
      <c r="A144" t="s">
        <v>248</v>
      </c>
      <c r="B144" s="1">
        <v>39853.5</v>
      </c>
      <c r="C144" s="1">
        <v>39853.5</v>
      </c>
      <c r="D144" s="1">
        <v>0</v>
      </c>
      <c r="E144" s="1">
        <v>0</v>
      </c>
      <c r="F144" s="1">
        <v>0</v>
      </c>
      <c r="G144" s="1">
        <f>SUMIFS([1]QUERY_FOR_TRNSTRANSPOSED_0008!$F:$F,[1]QUERY_FOR_TRNSTRANSPOSED_0008!$A:$A,A144)</f>
        <v>39853.5</v>
      </c>
      <c r="H144" s="19">
        <f t="shared" si="4"/>
        <v>0</v>
      </c>
      <c r="I144" s="19">
        <f t="shared" si="5"/>
        <v>39853.5</v>
      </c>
    </row>
    <row r="145" spans="1:9" x14ac:dyDescent="0.35">
      <c r="A145" t="s">
        <v>239</v>
      </c>
      <c r="B145" s="1">
        <v>0</v>
      </c>
      <c r="C145" s="1">
        <v>0</v>
      </c>
      <c r="D145" s="1">
        <v>0</v>
      </c>
      <c r="E145" s="1">
        <v>0</v>
      </c>
      <c r="F145" s="1">
        <v>16.36</v>
      </c>
      <c r="G145" s="1">
        <f>SUMIFS([1]QUERY_FOR_TRNSTRANSPOSED_0008!$F:$F,[1]QUERY_FOR_TRNSTRANSPOSED_0008!$A:$A,A145)</f>
        <v>-16.36</v>
      </c>
      <c r="H145" s="19">
        <f t="shared" si="4"/>
        <v>0</v>
      </c>
      <c r="I145" s="19">
        <f t="shared" si="5"/>
        <v>-16.36</v>
      </c>
    </row>
    <row r="146" spans="1:9" x14ac:dyDescent="0.35">
      <c r="A146" t="s">
        <v>60</v>
      </c>
      <c r="B146" s="1">
        <v>951414.25</v>
      </c>
      <c r="C146" s="1">
        <v>966073.98</v>
      </c>
      <c r="D146" s="1">
        <v>14659.73</v>
      </c>
      <c r="E146" s="1">
        <v>0</v>
      </c>
      <c r="F146" s="1">
        <v>0</v>
      </c>
      <c r="G146" s="1">
        <f>SUMIFS([1]QUERY_FOR_TRNSTRANSPOSED_0008!$F:$F,[1]QUERY_FOR_TRNSTRANSPOSED_0008!$A:$A,A146)</f>
        <v>951414.25</v>
      </c>
      <c r="H146" s="19">
        <f t="shared" si="4"/>
        <v>0</v>
      </c>
      <c r="I146" s="19">
        <f t="shared" si="5"/>
        <v>951414.25</v>
      </c>
    </row>
    <row r="147" spans="1:9" x14ac:dyDescent="0.35">
      <c r="A147" t="s">
        <v>61</v>
      </c>
      <c r="B147" s="1">
        <v>-467389.81</v>
      </c>
      <c r="C147" s="1">
        <v>-636323.91</v>
      </c>
      <c r="D147" s="1">
        <v>-168934.1</v>
      </c>
      <c r="E147" s="1">
        <v>0</v>
      </c>
      <c r="F147" s="1">
        <v>0</v>
      </c>
      <c r="G147" s="1">
        <f>SUMIFS([1]QUERY_FOR_TRNSTRANSPOSED_0008!$F:$F,[1]QUERY_FOR_TRNSTRANSPOSED_0008!$A:$A,A147)</f>
        <v>-467389.81</v>
      </c>
      <c r="H147" s="19">
        <f t="shared" si="4"/>
        <v>0</v>
      </c>
      <c r="I147" s="19">
        <f t="shared" si="5"/>
        <v>-467389.81000000006</v>
      </c>
    </row>
    <row r="148" spans="1:9" x14ac:dyDescent="0.35">
      <c r="A148" t="s">
        <v>161</v>
      </c>
      <c r="B148" s="1">
        <v>3614017.38</v>
      </c>
      <c r="C148" s="1">
        <v>3709810.52</v>
      </c>
      <c r="D148" s="1">
        <v>95793.14</v>
      </c>
      <c r="E148" s="1">
        <v>0</v>
      </c>
      <c r="F148" s="1">
        <v>0</v>
      </c>
      <c r="G148" s="1">
        <f>SUMIFS([1]QUERY_FOR_TRNSTRANSPOSED_0008!$F:$F,[1]QUERY_FOR_TRNSTRANSPOSED_0008!$A:$A,A148)</f>
        <v>3614017.38</v>
      </c>
      <c r="H148" s="19">
        <f t="shared" si="4"/>
        <v>0</v>
      </c>
      <c r="I148" s="19">
        <f t="shared" si="5"/>
        <v>3614017.38</v>
      </c>
    </row>
    <row r="149" spans="1:9" x14ac:dyDescent="0.35">
      <c r="A149" t="s">
        <v>176</v>
      </c>
      <c r="B149" s="1">
        <v>-1181.7</v>
      </c>
      <c r="C149" s="1">
        <v>111.1</v>
      </c>
      <c r="D149" s="1">
        <v>1292.8</v>
      </c>
      <c r="E149" s="1">
        <v>0</v>
      </c>
      <c r="F149" s="1">
        <v>0</v>
      </c>
      <c r="G149" s="1">
        <f>SUMIFS([1]QUERY_FOR_TRNSTRANSPOSED_0008!$F:$F,[1]QUERY_FOR_TRNSTRANSPOSED_0008!$A:$A,A149)</f>
        <v>-1181.7</v>
      </c>
      <c r="H149" s="19">
        <f t="shared" si="4"/>
        <v>0</v>
      </c>
      <c r="I149" s="19">
        <f t="shared" si="5"/>
        <v>-1181.7</v>
      </c>
    </row>
    <row r="150" spans="1:9" x14ac:dyDescent="0.35">
      <c r="A150" t="s">
        <v>80</v>
      </c>
      <c r="B150" s="1">
        <v>438181.89</v>
      </c>
      <c r="C150" s="1">
        <v>438181.89</v>
      </c>
      <c r="D150" s="1">
        <v>0</v>
      </c>
      <c r="E150" s="1">
        <v>0</v>
      </c>
      <c r="F150" s="1">
        <v>0</v>
      </c>
      <c r="G150" s="1">
        <f>SUMIFS([1]QUERY_FOR_TRNSTRANSPOSED_0008!$F:$F,[1]QUERY_FOR_TRNSTRANSPOSED_0008!$A:$A,A150)</f>
        <v>438181.89</v>
      </c>
      <c r="H150" s="19">
        <f t="shared" si="4"/>
        <v>0</v>
      </c>
      <c r="I150" s="19">
        <f t="shared" si="5"/>
        <v>438181.89</v>
      </c>
    </row>
    <row r="151" spans="1:9" x14ac:dyDescent="0.35">
      <c r="A151" t="s">
        <v>232</v>
      </c>
      <c r="B151" s="1">
        <v>0</v>
      </c>
      <c r="C151" s="1">
        <v>0</v>
      </c>
      <c r="D151" s="1">
        <v>0</v>
      </c>
      <c r="E151" s="1">
        <v>1856384.59</v>
      </c>
      <c r="F151" s="1">
        <v>3324063.01</v>
      </c>
      <c r="G151" s="1">
        <f>SUMIFS([1]QUERY_FOR_TRNSTRANSPOSED_0008!$F:$F,[1]QUERY_FOR_TRNSTRANSPOSED_0008!$A:$A,A151)</f>
        <v>-1467678.42</v>
      </c>
      <c r="H151" s="19">
        <f t="shared" si="4"/>
        <v>0</v>
      </c>
      <c r="I151" s="19">
        <f t="shared" si="5"/>
        <v>-1467678.4199999997</v>
      </c>
    </row>
    <row r="152" spans="1:9" x14ac:dyDescent="0.35">
      <c r="A152" t="s">
        <v>177</v>
      </c>
      <c r="B152" s="1">
        <v>508972.5</v>
      </c>
      <c r="C152" s="1">
        <v>482397.9</v>
      </c>
      <c r="D152" s="1">
        <v>-26574.6</v>
      </c>
      <c r="E152" s="1">
        <v>0</v>
      </c>
      <c r="F152" s="1">
        <v>0</v>
      </c>
      <c r="G152" s="1">
        <f>SUMIFS([1]QUERY_FOR_TRNSTRANSPOSED_0008!$F:$F,[1]QUERY_FOR_TRNSTRANSPOSED_0008!$A:$A,A152)</f>
        <v>508972.5</v>
      </c>
      <c r="H152" s="19">
        <f t="shared" si="4"/>
        <v>0</v>
      </c>
      <c r="I152" s="19">
        <f t="shared" si="5"/>
        <v>508972.5</v>
      </c>
    </row>
    <row r="153" spans="1:9" x14ac:dyDescent="0.35">
      <c r="A153" t="s">
        <v>225</v>
      </c>
      <c r="B153" s="1">
        <v>0</v>
      </c>
      <c r="C153" s="1">
        <v>0</v>
      </c>
      <c r="D153" s="1">
        <v>0</v>
      </c>
      <c r="E153" s="1">
        <v>0</v>
      </c>
      <c r="F153" s="1">
        <v>2218025.2400000002</v>
      </c>
      <c r="G153" s="1">
        <f>SUMIFS([1]QUERY_FOR_TRNSTRANSPOSED_0008!$F:$F,[1]QUERY_FOR_TRNSTRANSPOSED_0008!$A:$A,A153)</f>
        <v>-2218025.2400000002</v>
      </c>
      <c r="H153" s="19">
        <f t="shared" si="4"/>
        <v>0</v>
      </c>
      <c r="I153" s="19">
        <f t="shared" si="5"/>
        <v>-2218025.2400000002</v>
      </c>
    </row>
    <row r="154" spans="1:9" x14ac:dyDescent="0.35">
      <c r="A154" t="s">
        <v>152</v>
      </c>
      <c r="B154" s="1">
        <v>7629312.7000000002</v>
      </c>
      <c r="C154" s="1">
        <v>8693750.2100000009</v>
      </c>
      <c r="D154" s="1">
        <v>1064437.51</v>
      </c>
      <c r="E154" s="1">
        <v>0</v>
      </c>
      <c r="F154" s="1">
        <v>0</v>
      </c>
      <c r="G154" s="1">
        <f>SUMIFS([1]QUERY_FOR_TRNSTRANSPOSED_0008!$F:$F,[1]QUERY_FOR_TRNSTRANSPOSED_0008!$A:$A,A154)</f>
        <v>7629312.7000000002</v>
      </c>
      <c r="H154" s="19">
        <f t="shared" si="4"/>
        <v>0</v>
      </c>
      <c r="I154" s="19">
        <f t="shared" si="5"/>
        <v>7629312.7000000011</v>
      </c>
    </row>
    <row r="155" spans="1:9" x14ac:dyDescent="0.35">
      <c r="A155" t="s">
        <v>169</v>
      </c>
      <c r="B155" s="1">
        <v>15739</v>
      </c>
      <c r="C155" s="1">
        <v>16624</v>
      </c>
      <c r="D155" s="1">
        <v>885</v>
      </c>
      <c r="E155" s="1">
        <v>0</v>
      </c>
      <c r="F155" s="1">
        <v>0</v>
      </c>
      <c r="G155" s="1">
        <f>SUMIFS([1]QUERY_FOR_TRNSTRANSPOSED_0008!$F:$F,[1]QUERY_FOR_TRNSTRANSPOSED_0008!$A:$A,A155)</f>
        <v>15739</v>
      </c>
      <c r="H155" s="19">
        <f t="shared" si="4"/>
        <v>0</v>
      </c>
      <c r="I155" s="19">
        <f t="shared" si="5"/>
        <v>15739</v>
      </c>
    </row>
    <row r="156" spans="1:9" x14ac:dyDescent="0.35">
      <c r="A156" t="s">
        <v>168</v>
      </c>
      <c r="B156" s="1">
        <v>23523737.260000002</v>
      </c>
      <c r="C156" s="1">
        <v>28436313.190000001</v>
      </c>
      <c r="D156" s="1">
        <v>4912575.93</v>
      </c>
      <c r="E156" s="1">
        <v>0</v>
      </c>
      <c r="F156" s="1">
        <v>0</v>
      </c>
      <c r="G156" s="1">
        <f>SUMIFS([1]QUERY_FOR_TRNSTRANSPOSED_0008!$F:$F,[1]QUERY_FOR_TRNSTRANSPOSED_0008!$A:$A,A156)</f>
        <v>23523737.260000002</v>
      </c>
      <c r="H156" s="19">
        <f t="shared" si="4"/>
        <v>0</v>
      </c>
      <c r="I156" s="19">
        <f t="shared" si="5"/>
        <v>23523737.260000002</v>
      </c>
    </row>
    <row r="157" spans="1:9" x14ac:dyDescent="0.35">
      <c r="A157" t="s">
        <v>139</v>
      </c>
      <c r="B157" s="1">
        <v>20975172.219999999</v>
      </c>
      <c r="C157" s="1">
        <v>22987850.449999999</v>
      </c>
      <c r="D157" s="1">
        <v>2012678.23</v>
      </c>
      <c r="E157" s="1">
        <v>0</v>
      </c>
      <c r="F157" s="1">
        <v>0</v>
      </c>
      <c r="G157" s="1">
        <f>SUMIFS([1]QUERY_FOR_TRNSTRANSPOSED_0008!$F:$F,[1]QUERY_FOR_TRNSTRANSPOSED_0008!$A:$A,A157)</f>
        <v>20975172.219999999</v>
      </c>
      <c r="H157" s="19">
        <f t="shared" si="4"/>
        <v>0</v>
      </c>
      <c r="I157" s="19">
        <f t="shared" si="5"/>
        <v>20975172.219999999</v>
      </c>
    </row>
    <row r="158" spans="1:9" x14ac:dyDescent="0.35">
      <c r="A158" t="s">
        <v>65</v>
      </c>
      <c r="B158" s="1">
        <v>934758.29</v>
      </c>
      <c r="C158" s="1">
        <v>1046230.61</v>
      </c>
      <c r="D158" s="1">
        <v>111472.32000000001</v>
      </c>
      <c r="E158" s="1">
        <v>0</v>
      </c>
      <c r="F158" s="1">
        <v>0</v>
      </c>
      <c r="G158" s="1">
        <f>SUMIFS([1]QUERY_FOR_TRNSTRANSPOSED_0008!$F:$F,[1]QUERY_FOR_TRNSTRANSPOSED_0008!$A:$A,A158)</f>
        <v>934758.29</v>
      </c>
      <c r="H158" s="19">
        <f t="shared" si="4"/>
        <v>0</v>
      </c>
      <c r="I158" s="19">
        <f t="shared" si="5"/>
        <v>934758.29</v>
      </c>
    </row>
    <row r="159" spans="1:9" x14ac:dyDescent="0.35">
      <c r="A159" t="s">
        <v>53</v>
      </c>
      <c r="B159" s="1">
        <v>14308.8</v>
      </c>
      <c r="C159" s="1">
        <v>14308.8</v>
      </c>
      <c r="D159" s="1">
        <v>0</v>
      </c>
      <c r="E159" s="1">
        <v>0</v>
      </c>
      <c r="F159" s="1">
        <v>0</v>
      </c>
      <c r="G159" s="1">
        <f>SUMIFS([1]QUERY_FOR_TRNSTRANSPOSED_0008!$F:$F,[1]QUERY_FOR_TRNSTRANSPOSED_0008!$A:$A,A159)</f>
        <v>14308.8</v>
      </c>
      <c r="H159" s="19">
        <f t="shared" si="4"/>
        <v>0</v>
      </c>
      <c r="I159" s="19">
        <f t="shared" si="5"/>
        <v>14308.8</v>
      </c>
    </row>
    <row r="160" spans="1:9" x14ac:dyDescent="0.35">
      <c r="A160" t="s">
        <v>202</v>
      </c>
      <c r="B160" s="1">
        <v>42953.83</v>
      </c>
      <c r="C160" s="1">
        <v>43781.43</v>
      </c>
      <c r="D160" s="1">
        <v>827.6</v>
      </c>
      <c r="E160" s="1">
        <v>0</v>
      </c>
      <c r="F160" s="1">
        <v>0</v>
      </c>
      <c r="G160" s="1">
        <f>SUMIFS([1]QUERY_FOR_TRNSTRANSPOSED_0008!$F:$F,[1]QUERY_FOR_TRNSTRANSPOSED_0008!$A:$A,A160)</f>
        <v>42953.83</v>
      </c>
      <c r="H160" s="19">
        <f t="shared" si="4"/>
        <v>0</v>
      </c>
      <c r="I160" s="19">
        <f t="shared" si="5"/>
        <v>42953.83</v>
      </c>
    </row>
    <row r="161" spans="1:9" x14ac:dyDescent="0.35">
      <c r="A161" t="s">
        <v>204</v>
      </c>
      <c r="B161" s="1">
        <v>63801.61</v>
      </c>
      <c r="C161" s="1">
        <v>66467.839999999997</v>
      </c>
      <c r="D161" s="1">
        <v>2666.23</v>
      </c>
      <c r="E161" s="1">
        <v>0</v>
      </c>
      <c r="F161" s="1">
        <v>0</v>
      </c>
      <c r="G161" s="1">
        <f>SUMIFS([1]QUERY_FOR_TRNSTRANSPOSED_0008!$F:$F,[1]QUERY_FOR_TRNSTRANSPOSED_0008!$A:$A,A161)</f>
        <v>63801.61</v>
      </c>
      <c r="H161" s="19">
        <f t="shared" si="4"/>
        <v>0</v>
      </c>
      <c r="I161" s="19">
        <f t="shared" si="5"/>
        <v>63801.609999999993</v>
      </c>
    </row>
    <row r="162" spans="1:9" x14ac:dyDescent="0.35">
      <c r="A162" t="s">
        <v>203</v>
      </c>
      <c r="B162" s="1">
        <v>1232693.94</v>
      </c>
      <c r="C162" s="1">
        <v>1508757.07</v>
      </c>
      <c r="D162" s="1">
        <v>276063.13</v>
      </c>
      <c r="E162" s="1">
        <v>0</v>
      </c>
      <c r="F162" s="1">
        <v>0</v>
      </c>
      <c r="G162" s="1">
        <f>SUMIFS([1]QUERY_FOR_TRNSTRANSPOSED_0008!$F:$F,[1]QUERY_FOR_TRNSTRANSPOSED_0008!$A:$A,A162)</f>
        <v>1232693.94</v>
      </c>
      <c r="H162" s="19">
        <f t="shared" si="4"/>
        <v>0</v>
      </c>
      <c r="I162" s="19">
        <f t="shared" si="5"/>
        <v>1232693.94</v>
      </c>
    </row>
    <row r="163" spans="1:9" x14ac:dyDescent="0.35">
      <c r="A163" t="s">
        <v>172</v>
      </c>
      <c r="B163" s="1">
        <v>263542.59999999998</v>
      </c>
      <c r="C163" s="1">
        <v>266003.68</v>
      </c>
      <c r="D163" s="1">
        <v>2461.08</v>
      </c>
      <c r="E163" s="1">
        <v>0</v>
      </c>
      <c r="F163" s="1">
        <v>0</v>
      </c>
      <c r="G163" s="1">
        <f>SUMIFS([1]QUERY_FOR_TRNSTRANSPOSED_0008!$F:$F,[1]QUERY_FOR_TRNSTRANSPOSED_0008!$A:$A,A163)</f>
        <v>263542.59999999998</v>
      </c>
      <c r="H163" s="19">
        <f t="shared" si="4"/>
        <v>0</v>
      </c>
      <c r="I163" s="19">
        <f t="shared" si="5"/>
        <v>263542.59999999998</v>
      </c>
    </row>
    <row r="164" spans="1:9" x14ac:dyDescent="0.35">
      <c r="A164" t="s">
        <v>209</v>
      </c>
      <c r="B164" s="1">
        <v>76520.77</v>
      </c>
      <c r="C164" s="1">
        <v>120499.78</v>
      </c>
      <c r="D164" s="1">
        <v>43979.01</v>
      </c>
      <c r="E164" s="1">
        <v>0</v>
      </c>
      <c r="F164" s="1">
        <v>0</v>
      </c>
      <c r="G164" s="1">
        <f>SUMIFS([1]QUERY_FOR_TRNSTRANSPOSED_0008!$F:$F,[1]QUERY_FOR_TRNSTRANSPOSED_0008!$A:$A,A164)</f>
        <v>76520.77</v>
      </c>
      <c r="H164" s="19">
        <f t="shared" si="4"/>
        <v>0</v>
      </c>
      <c r="I164" s="19">
        <f t="shared" si="5"/>
        <v>76520.76999999999</v>
      </c>
    </row>
    <row r="165" spans="1:9" x14ac:dyDescent="0.35">
      <c r="A165" t="s">
        <v>130</v>
      </c>
      <c r="B165" s="1">
        <v>-10616.3</v>
      </c>
      <c r="C165" s="1">
        <v>12.8</v>
      </c>
      <c r="D165" s="1">
        <v>10629.1</v>
      </c>
      <c r="E165" s="1">
        <v>40354.03</v>
      </c>
      <c r="F165" s="1">
        <v>153829.35999999999</v>
      </c>
      <c r="G165" s="1">
        <f>SUMIFS([1]QUERY_FOR_TRNSTRANSPOSED_0008!$F:$F,[1]QUERY_FOR_TRNSTRANSPOSED_0008!$A:$A,A165)</f>
        <v>-124091.62999999999</v>
      </c>
      <c r="H165" s="19">
        <f t="shared" si="4"/>
        <v>0</v>
      </c>
      <c r="I165" s="19">
        <f t="shared" si="5"/>
        <v>-124091.62999999999</v>
      </c>
    </row>
    <row r="166" spans="1:9" x14ac:dyDescent="0.35">
      <c r="A166" t="s">
        <v>164</v>
      </c>
      <c r="B166" s="1">
        <v>267460</v>
      </c>
      <c r="C166" s="1">
        <v>268900</v>
      </c>
      <c r="D166" s="1">
        <v>1440</v>
      </c>
      <c r="E166" s="1">
        <v>0</v>
      </c>
      <c r="F166" s="1">
        <v>0</v>
      </c>
      <c r="G166" s="1">
        <f>SUMIFS([1]QUERY_FOR_TRNSTRANSPOSED_0008!$F:$F,[1]QUERY_FOR_TRNSTRANSPOSED_0008!$A:$A,A166)</f>
        <v>267460</v>
      </c>
      <c r="H166" s="19">
        <f t="shared" si="4"/>
        <v>0</v>
      </c>
      <c r="I166" s="19">
        <f t="shared" si="5"/>
        <v>267460</v>
      </c>
    </row>
    <row r="167" spans="1:9" x14ac:dyDescent="0.35">
      <c r="A167" t="s">
        <v>162</v>
      </c>
      <c r="B167" s="1">
        <v>659095.25</v>
      </c>
      <c r="C167" s="1">
        <v>673948.5</v>
      </c>
      <c r="D167" s="1">
        <v>14853.25</v>
      </c>
      <c r="E167" s="1">
        <v>0</v>
      </c>
      <c r="F167" s="1">
        <v>0</v>
      </c>
      <c r="G167" s="1">
        <f>SUMIFS([1]QUERY_FOR_TRNSTRANSPOSED_0008!$F:$F,[1]QUERY_FOR_TRNSTRANSPOSED_0008!$A:$A,A167)</f>
        <v>659095.25</v>
      </c>
      <c r="H167" s="19">
        <f t="shared" si="4"/>
        <v>0</v>
      </c>
      <c r="I167" s="19">
        <f t="shared" si="5"/>
        <v>659095.25</v>
      </c>
    </row>
    <row r="168" spans="1:9" x14ac:dyDescent="0.35">
      <c r="A168" t="s">
        <v>163</v>
      </c>
      <c r="B168" s="1">
        <v>253695</v>
      </c>
      <c r="C168" s="1">
        <v>255550</v>
      </c>
      <c r="D168" s="1">
        <v>1855</v>
      </c>
      <c r="E168" s="1">
        <v>0</v>
      </c>
      <c r="F168" s="1">
        <v>0</v>
      </c>
      <c r="G168" s="1">
        <f>SUMIFS([1]QUERY_FOR_TRNSTRANSPOSED_0008!$F:$F,[1]QUERY_FOR_TRNSTRANSPOSED_0008!$A:$A,A168)</f>
        <v>253695</v>
      </c>
      <c r="H168" s="19">
        <f t="shared" si="4"/>
        <v>0</v>
      </c>
      <c r="I168" s="19">
        <f t="shared" si="5"/>
        <v>253695</v>
      </c>
    </row>
    <row r="169" spans="1:9" x14ac:dyDescent="0.35">
      <c r="A169" t="s">
        <v>219</v>
      </c>
      <c r="B169" s="1">
        <v>29261.99</v>
      </c>
      <c r="C169" s="1">
        <v>29261.99</v>
      </c>
      <c r="D169" s="1">
        <v>0</v>
      </c>
      <c r="E169" s="1">
        <v>0</v>
      </c>
      <c r="F169" s="1">
        <v>10736.83</v>
      </c>
      <c r="G169" s="1">
        <f>SUMIFS([1]QUERY_FOR_TRNSTRANSPOSED_0008!$F:$F,[1]QUERY_FOR_TRNSTRANSPOSED_0008!$A:$A,A169)</f>
        <v>18525.159999999996</v>
      </c>
      <c r="H169" s="19">
        <f t="shared" si="4"/>
        <v>0</v>
      </c>
      <c r="I169" s="19">
        <f t="shared" si="5"/>
        <v>18525.160000000003</v>
      </c>
    </row>
    <row r="170" spans="1:9" x14ac:dyDescent="0.35">
      <c r="A170" t="s">
        <v>47</v>
      </c>
      <c r="B170" s="1">
        <v>679284.53</v>
      </c>
      <c r="C170" s="1">
        <v>703262.52</v>
      </c>
      <c r="D170" s="1">
        <v>23977.99</v>
      </c>
      <c r="E170" s="1">
        <v>0</v>
      </c>
      <c r="F170" s="1">
        <v>0</v>
      </c>
      <c r="G170" s="1">
        <f>SUMIFS([1]QUERY_FOR_TRNSTRANSPOSED_0008!$F:$F,[1]QUERY_FOR_TRNSTRANSPOSED_0008!$A:$A,A170)</f>
        <v>679284.53</v>
      </c>
      <c r="H170" s="19">
        <f t="shared" si="4"/>
        <v>0</v>
      </c>
      <c r="I170" s="19">
        <f t="shared" si="5"/>
        <v>679284.53</v>
      </c>
    </row>
    <row r="171" spans="1:9" x14ac:dyDescent="0.35">
      <c r="A171" t="s">
        <v>48</v>
      </c>
      <c r="B171" s="1">
        <v>691800.4</v>
      </c>
      <c r="C171" s="1">
        <v>692900.49</v>
      </c>
      <c r="D171" s="1">
        <v>1100.0899999999999</v>
      </c>
      <c r="E171" s="1">
        <v>0</v>
      </c>
      <c r="F171" s="1">
        <v>0</v>
      </c>
      <c r="G171" s="1">
        <f>SUMIFS([1]QUERY_FOR_TRNSTRANSPOSED_0008!$F:$F,[1]QUERY_FOR_TRNSTRANSPOSED_0008!$A:$A,A171)</f>
        <v>691800.4</v>
      </c>
      <c r="H171" s="19">
        <f t="shared" si="4"/>
        <v>0</v>
      </c>
      <c r="I171" s="19">
        <f t="shared" si="5"/>
        <v>691800.4</v>
      </c>
    </row>
    <row r="172" spans="1:9" x14ac:dyDescent="0.35">
      <c r="A172" t="s">
        <v>221</v>
      </c>
      <c r="B172" s="1">
        <v>54075</v>
      </c>
      <c r="C172" s="1">
        <v>56425</v>
      </c>
      <c r="D172" s="1">
        <v>2350</v>
      </c>
      <c r="E172" s="1">
        <v>0</v>
      </c>
      <c r="F172" s="1">
        <v>0</v>
      </c>
      <c r="G172" s="1">
        <f>SUMIFS([1]QUERY_FOR_TRNSTRANSPOSED_0008!$F:$F,[1]QUERY_FOR_TRNSTRANSPOSED_0008!$A:$A,A172)</f>
        <v>54075</v>
      </c>
      <c r="H172" s="19">
        <f t="shared" si="4"/>
        <v>0</v>
      </c>
      <c r="I172" s="19">
        <f t="shared" si="5"/>
        <v>54075</v>
      </c>
    </row>
    <row r="173" spans="1:9" x14ac:dyDescent="0.35">
      <c r="A173" t="s">
        <v>222</v>
      </c>
      <c r="B173" s="1">
        <v>-2026692.37</v>
      </c>
      <c r="C173" s="1">
        <v>4149272.91</v>
      </c>
      <c r="D173" s="1">
        <v>6175965.2800000003</v>
      </c>
      <c r="E173" s="1">
        <v>2116.13</v>
      </c>
      <c r="F173" s="1">
        <v>218705.04</v>
      </c>
      <c r="G173" s="1">
        <f>SUMIFS([1]QUERY_FOR_TRNSTRANSPOSED_0008!$F:$F,[1]QUERY_FOR_TRNSTRANSPOSED_0008!$A:$A,A173)</f>
        <v>-2243281.2800000003</v>
      </c>
      <c r="H173" s="19">
        <f t="shared" si="4"/>
        <v>0</v>
      </c>
      <c r="I173" s="19">
        <f t="shared" si="5"/>
        <v>-2243281.2800000003</v>
      </c>
    </row>
    <row r="174" spans="1:9" x14ac:dyDescent="0.35">
      <c r="A174" t="s">
        <v>132</v>
      </c>
      <c r="B174" s="1">
        <v>172205.19</v>
      </c>
      <c r="C174" s="1">
        <v>172825.76</v>
      </c>
      <c r="D174" s="1">
        <v>620.57000000000005</v>
      </c>
      <c r="E174" s="1">
        <v>0</v>
      </c>
      <c r="F174" s="1">
        <v>0</v>
      </c>
      <c r="G174" s="1">
        <f>SUMIFS([1]QUERY_FOR_TRNSTRANSPOSED_0008!$F:$F,[1]QUERY_FOR_TRNSTRANSPOSED_0008!$A:$A,A174)</f>
        <v>172205.19</v>
      </c>
      <c r="H174" s="19">
        <f t="shared" si="4"/>
        <v>0</v>
      </c>
      <c r="I174" s="19">
        <f t="shared" si="5"/>
        <v>172205.19</v>
      </c>
    </row>
    <row r="175" spans="1:9" x14ac:dyDescent="0.35">
      <c r="A175" t="s">
        <v>133</v>
      </c>
      <c r="B175" s="1">
        <v>110097.5</v>
      </c>
      <c r="C175" s="1">
        <v>110885</v>
      </c>
      <c r="D175" s="1">
        <v>787.5</v>
      </c>
      <c r="E175" s="1">
        <v>1305072.81</v>
      </c>
      <c r="F175" s="1">
        <v>1957740.23</v>
      </c>
      <c r="G175" s="1">
        <f>SUMIFS([1]QUERY_FOR_TRNSTRANSPOSED_0008!$F:$F,[1]QUERY_FOR_TRNSTRANSPOSED_0008!$A:$A,A175)</f>
        <v>-542569.91999999993</v>
      </c>
      <c r="H175" s="19">
        <f t="shared" si="4"/>
        <v>0</v>
      </c>
      <c r="I175" s="19">
        <f t="shared" si="5"/>
        <v>-542569.91999999993</v>
      </c>
    </row>
    <row r="176" spans="1:9" x14ac:dyDescent="0.35">
      <c r="A176" t="s">
        <v>114</v>
      </c>
      <c r="B176" s="1">
        <v>1600030.09</v>
      </c>
      <c r="C176" s="1">
        <v>1617209.87</v>
      </c>
      <c r="D176" s="1">
        <v>17179.78</v>
      </c>
      <c r="E176" s="1">
        <v>0</v>
      </c>
      <c r="F176" s="1">
        <v>0</v>
      </c>
      <c r="G176" s="1">
        <f>SUMIFS([1]QUERY_FOR_TRNSTRANSPOSED_0008!$F:$F,[1]QUERY_FOR_TRNSTRANSPOSED_0008!$A:$A,A176)</f>
        <v>1600030.09</v>
      </c>
      <c r="H176" s="19">
        <f t="shared" si="4"/>
        <v>0</v>
      </c>
      <c r="I176" s="19">
        <f t="shared" si="5"/>
        <v>1600030.09</v>
      </c>
    </row>
    <row r="177" spans="1:9" x14ac:dyDescent="0.35">
      <c r="A177" t="s">
        <v>153</v>
      </c>
      <c r="B177" s="1">
        <v>5850.3</v>
      </c>
      <c r="C177" s="1">
        <v>5850.3</v>
      </c>
      <c r="D177" s="1">
        <v>0</v>
      </c>
      <c r="E177" s="1">
        <v>0</v>
      </c>
      <c r="F177" s="1">
        <v>0</v>
      </c>
      <c r="G177" s="1">
        <f>SUMIFS([1]QUERY_FOR_TRNSTRANSPOSED_0008!$F:$F,[1]QUERY_FOR_TRNSTRANSPOSED_0008!$A:$A,A177)</f>
        <v>5850.3</v>
      </c>
      <c r="H177" s="19">
        <f t="shared" si="4"/>
        <v>0</v>
      </c>
      <c r="I177" s="19">
        <f t="shared" si="5"/>
        <v>5850.3</v>
      </c>
    </row>
    <row r="178" spans="1:9" x14ac:dyDescent="0.35">
      <c r="A178" t="s">
        <v>154</v>
      </c>
      <c r="B178" s="1">
        <v>51455</v>
      </c>
      <c r="C178" s="1">
        <v>51455</v>
      </c>
      <c r="D178" s="1">
        <v>0</v>
      </c>
      <c r="E178" s="1">
        <v>0</v>
      </c>
      <c r="F178" s="1">
        <v>0</v>
      </c>
      <c r="G178" s="1">
        <f>SUMIFS([1]QUERY_FOR_TRNSTRANSPOSED_0008!$F:$F,[1]QUERY_FOR_TRNSTRANSPOSED_0008!$A:$A,A178)</f>
        <v>51455</v>
      </c>
      <c r="H178" s="19">
        <f t="shared" si="4"/>
        <v>0</v>
      </c>
      <c r="I178" s="19">
        <f t="shared" si="5"/>
        <v>51455</v>
      </c>
    </row>
    <row r="179" spans="1:9" x14ac:dyDescent="0.35">
      <c r="A179" t="s">
        <v>159</v>
      </c>
      <c r="B179" s="1">
        <v>115723.88</v>
      </c>
      <c r="C179" s="1">
        <v>146438.9</v>
      </c>
      <c r="D179" s="1">
        <v>30715.02</v>
      </c>
      <c r="E179" s="1">
        <v>0</v>
      </c>
      <c r="F179" s="1">
        <v>0</v>
      </c>
      <c r="G179" s="1">
        <f>SUMIFS([1]QUERY_FOR_TRNSTRANSPOSED_0008!$F:$F,[1]QUERY_FOR_TRNSTRANSPOSED_0008!$A:$A,A179)</f>
        <v>115723.88</v>
      </c>
      <c r="H179" s="19">
        <f t="shared" si="4"/>
        <v>0</v>
      </c>
      <c r="I179" s="19">
        <f t="shared" si="5"/>
        <v>115723.87999999999</v>
      </c>
    </row>
    <row r="180" spans="1:9" x14ac:dyDescent="0.35">
      <c r="A180" t="s">
        <v>160</v>
      </c>
      <c r="B180" s="1">
        <v>467.4</v>
      </c>
      <c r="C180" s="1">
        <v>1200</v>
      </c>
      <c r="D180" s="1">
        <v>732.6</v>
      </c>
      <c r="E180" s="1">
        <v>0</v>
      </c>
      <c r="F180" s="1">
        <v>0</v>
      </c>
      <c r="G180" s="1">
        <f>SUMIFS([1]QUERY_FOR_TRNSTRANSPOSED_0008!$F:$F,[1]QUERY_FOR_TRNSTRANSPOSED_0008!$A:$A,A180)</f>
        <v>467.4</v>
      </c>
      <c r="H180" s="19">
        <f t="shared" si="4"/>
        <v>0</v>
      </c>
      <c r="I180" s="19">
        <f t="shared" si="5"/>
        <v>467.4</v>
      </c>
    </row>
    <row r="181" spans="1:9" x14ac:dyDescent="0.35">
      <c r="A181" t="s">
        <v>193</v>
      </c>
      <c r="B181" s="1">
        <v>112041</v>
      </c>
      <c r="C181" s="1">
        <v>112551</v>
      </c>
      <c r="D181" s="1">
        <v>510</v>
      </c>
      <c r="E181" s="1">
        <v>0</v>
      </c>
      <c r="F181" s="1">
        <v>0</v>
      </c>
      <c r="G181" s="1">
        <f>SUMIFS([1]QUERY_FOR_TRNSTRANSPOSED_0008!$F:$F,[1]QUERY_FOR_TRNSTRANSPOSED_0008!$A:$A,A181)</f>
        <v>112041</v>
      </c>
      <c r="H181" s="19">
        <f t="shared" si="4"/>
        <v>0</v>
      </c>
      <c r="I181" s="19">
        <f t="shared" si="5"/>
        <v>112041</v>
      </c>
    </row>
    <row r="182" spans="1:9" x14ac:dyDescent="0.35">
      <c r="A182" t="s">
        <v>101</v>
      </c>
      <c r="B182" s="1">
        <v>618913.46</v>
      </c>
      <c r="C182" s="1">
        <v>641161.35</v>
      </c>
      <c r="D182" s="1">
        <v>22247.89</v>
      </c>
      <c r="E182" s="1">
        <v>0</v>
      </c>
      <c r="F182" s="1">
        <v>0</v>
      </c>
      <c r="G182" s="1">
        <f>SUMIFS([1]QUERY_FOR_TRNSTRANSPOSED_0008!$F:$F,[1]QUERY_FOR_TRNSTRANSPOSED_0008!$A:$A,A182)</f>
        <v>618913.46</v>
      </c>
      <c r="H182" s="19">
        <f t="shared" si="4"/>
        <v>0</v>
      </c>
      <c r="I182" s="19">
        <f t="shared" si="5"/>
        <v>618913.46</v>
      </c>
    </row>
    <row r="183" spans="1:9" x14ac:dyDescent="0.35">
      <c r="A183" t="s">
        <v>100</v>
      </c>
      <c r="B183" s="1">
        <v>0</v>
      </c>
      <c r="C183" s="1">
        <v>0</v>
      </c>
      <c r="D183" s="1">
        <v>0</v>
      </c>
      <c r="E183" s="1">
        <v>859554.79</v>
      </c>
      <c r="F183" s="1">
        <v>1744074.44</v>
      </c>
      <c r="G183" s="1">
        <f>SUMIFS([1]QUERY_FOR_TRNSTRANSPOSED_0008!$F:$F,[1]QUERY_FOR_TRNSTRANSPOSED_0008!$A:$A,A183)</f>
        <v>-884519.65</v>
      </c>
      <c r="H183" s="19">
        <f t="shared" si="4"/>
        <v>0</v>
      </c>
      <c r="I183" s="19">
        <f t="shared" si="5"/>
        <v>-884519.64999999991</v>
      </c>
    </row>
    <row r="184" spans="1:9" x14ac:dyDescent="0.35">
      <c r="A184" t="s">
        <v>199</v>
      </c>
      <c r="B184" s="1">
        <v>1308950.75</v>
      </c>
      <c r="C184" s="1">
        <v>2527937.08</v>
      </c>
      <c r="D184" s="1">
        <v>1218986.33</v>
      </c>
      <c r="E184" s="1">
        <v>0</v>
      </c>
      <c r="F184" s="1">
        <v>0</v>
      </c>
      <c r="G184" s="1">
        <f>SUMIFS([1]QUERY_FOR_TRNSTRANSPOSED_0008!$F:$F,[1]QUERY_FOR_TRNSTRANSPOSED_0008!$A:$A,A184)</f>
        <v>1308950.75</v>
      </c>
      <c r="H184" s="19">
        <f t="shared" si="4"/>
        <v>0</v>
      </c>
      <c r="I184" s="19">
        <f t="shared" si="5"/>
        <v>1308950.75</v>
      </c>
    </row>
    <row r="185" spans="1:9" x14ac:dyDescent="0.35">
      <c r="A185" t="s">
        <v>200</v>
      </c>
      <c r="B185" s="1">
        <v>357759.53</v>
      </c>
      <c r="C185" s="1">
        <v>404070.17</v>
      </c>
      <c r="D185" s="1">
        <v>46310.64</v>
      </c>
      <c r="E185" s="1">
        <v>14610501.99</v>
      </c>
      <c r="F185" s="1">
        <v>19013066.379999999</v>
      </c>
      <c r="G185" s="1">
        <f>SUMIFS([1]QUERY_FOR_TRNSTRANSPOSED_0008!$F:$F,[1]QUERY_FOR_TRNSTRANSPOSED_0008!$A:$A,A185)</f>
        <v>-4044804.86</v>
      </c>
      <c r="H185" s="19">
        <f t="shared" si="4"/>
        <v>0</v>
      </c>
      <c r="I185" s="19">
        <f t="shared" si="5"/>
        <v>-4044804.8599999994</v>
      </c>
    </row>
    <row r="186" spans="1:9" x14ac:dyDescent="0.35">
      <c r="A186" t="s">
        <v>106</v>
      </c>
      <c r="B186" s="1">
        <v>316719.18</v>
      </c>
      <c r="C186" s="1">
        <v>339194.4</v>
      </c>
      <c r="D186" s="1">
        <v>22475.22</v>
      </c>
      <c r="E186" s="1">
        <v>60</v>
      </c>
      <c r="F186" s="1">
        <v>0</v>
      </c>
      <c r="G186" s="1">
        <f>SUMIFS([1]QUERY_FOR_TRNSTRANSPOSED_0008!$F:$F,[1]QUERY_FOR_TRNSTRANSPOSED_0008!$A:$A,A186)</f>
        <v>316779.18</v>
      </c>
      <c r="H186" s="19">
        <f t="shared" si="4"/>
        <v>0</v>
      </c>
      <c r="I186" s="19">
        <f t="shared" si="5"/>
        <v>316779.18000000005</v>
      </c>
    </row>
    <row r="187" spans="1:9" x14ac:dyDescent="0.35">
      <c r="A187" t="s">
        <v>185</v>
      </c>
      <c r="B187" s="1">
        <v>20300</v>
      </c>
      <c r="C187" s="1">
        <v>20300</v>
      </c>
      <c r="D187" s="1">
        <v>0</v>
      </c>
      <c r="E187" s="1">
        <v>0</v>
      </c>
      <c r="F187" s="1">
        <v>0</v>
      </c>
      <c r="G187" s="1">
        <f>SUMIFS([1]QUERY_FOR_TRNSTRANSPOSED_0008!$F:$F,[1]QUERY_FOR_TRNSTRANSPOSED_0008!$A:$A,A187)</f>
        <v>20300</v>
      </c>
      <c r="H187" s="19">
        <f t="shared" si="4"/>
        <v>0</v>
      </c>
      <c r="I187" s="19">
        <f t="shared" si="5"/>
        <v>20300</v>
      </c>
    </row>
    <row r="188" spans="1:9" x14ac:dyDescent="0.35">
      <c r="A188" t="s">
        <v>226</v>
      </c>
      <c r="B188" s="1">
        <v>122.03</v>
      </c>
      <c r="C188" s="1">
        <v>122.03</v>
      </c>
      <c r="D188" s="1">
        <v>0</v>
      </c>
      <c r="E188" s="1">
        <v>0</v>
      </c>
      <c r="F188" s="1">
        <v>0</v>
      </c>
      <c r="G188" s="1">
        <f>SUMIFS([1]QUERY_FOR_TRNSTRANSPOSED_0008!$F:$F,[1]QUERY_FOR_TRNSTRANSPOSED_0008!$A:$A,A188)</f>
        <v>122.03</v>
      </c>
      <c r="H188" s="19">
        <f t="shared" si="4"/>
        <v>0</v>
      </c>
      <c r="I188" s="19">
        <f t="shared" si="5"/>
        <v>122.03</v>
      </c>
    </row>
    <row r="189" spans="1:9" x14ac:dyDescent="0.35">
      <c r="A189" t="s">
        <v>189</v>
      </c>
      <c r="B189" s="1">
        <v>625</v>
      </c>
      <c r="C189" s="1">
        <v>650</v>
      </c>
      <c r="D189" s="1">
        <v>25</v>
      </c>
      <c r="E189" s="1">
        <v>0</v>
      </c>
      <c r="F189" s="1">
        <v>0</v>
      </c>
      <c r="G189" s="1">
        <f>SUMIFS([1]QUERY_FOR_TRNSTRANSPOSED_0008!$F:$F,[1]QUERY_FOR_TRNSTRANSPOSED_0008!$A:$A,A189)</f>
        <v>625</v>
      </c>
      <c r="H189" s="19">
        <f t="shared" si="4"/>
        <v>0</v>
      </c>
      <c r="I189" s="19">
        <f t="shared" si="5"/>
        <v>625</v>
      </c>
    </row>
    <row r="190" spans="1:9" x14ac:dyDescent="0.35">
      <c r="A190" t="s">
        <v>216</v>
      </c>
      <c r="B190" s="1">
        <v>167761.64000000001</v>
      </c>
      <c r="C190" s="1">
        <v>169553.36</v>
      </c>
      <c r="D190" s="1">
        <v>1791.72</v>
      </c>
      <c r="E190" s="1">
        <v>190.73</v>
      </c>
      <c r="F190" s="1">
        <v>207672.14</v>
      </c>
      <c r="G190" s="1">
        <f>SUMIFS([1]QUERY_FOR_TRNSTRANSPOSED_0008!$F:$F,[1]QUERY_FOR_TRNSTRANSPOSED_0008!$A:$A,A190)</f>
        <v>-39719.770000000011</v>
      </c>
      <c r="H190" s="19">
        <f t="shared" si="4"/>
        <v>0</v>
      </c>
      <c r="I190" s="19">
        <f t="shared" si="5"/>
        <v>-39719.770000000019</v>
      </c>
    </row>
    <row r="191" spans="1:9" x14ac:dyDescent="0.35">
      <c r="A191" t="s">
        <v>93</v>
      </c>
      <c r="B191" s="1">
        <v>4418012.92</v>
      </c>
      <c r="C191" s="1">
        <v>4457074.68</v>
      </c>
      <c r="D191" s="1">
        <v>39061.760000000002</v>
      </c>
      <c r="E191" s="1">
        <v>0</v>
      </c>
      <c r="F191" s="1">
        <v>0</v>
      </c>
      <c r="G191" s="1">
        <f>SUMIFS([1]QUERY_FOR_TRNSTRANSPOSED_0008!$F:$F,[1]QUERY_FOR_TRNSTRANSPOSED_0008!$A:$A,A191)</f>
        <v>4418012.92</v>
      </c>
      <c r="H191" s="19">
        <f t="shared" si="4"/>
        <v>0</v>
      </c>
      <c r="I191" s="19">
        <f t="shared" si="5"/>
        <v>4418012.92</v>
      </c>
    </row>
    <row r="192" spans="1:9" x14ac:dyDescent="0.35">
      <c r="A192" t="s">
        <v>175</v>
      </c>
      <c r="B192" s="1">
        <v>10395602.49</v>
      </c>
      <c r="C192" s="1">
        <v>10627063.470000001</v>
      </c>
      <c r="D192" s="1">
        <v>231460.98</v>
      </c>
      <c r="E192" s="1">
        <v>0</v>
      </c>
      <c r="F192" s="1">
        <v>0</v>
      </c>
      <c r="G192" s="1">
        <f>SUMIFS([1]QUERY_FOR_TRNSTRANSPOSED_0008!$F:$F,[1]QUERY_FOR_TRNSTRANSPOSED_0008!$A:$A,A192)</f>
        <v>10395602.49</v>
      </c>
      <c r="H192" s="19">
        <f t="shared" si="4"/>
        <v>0</v>
      </c>
      <c r="I192" s="19">
        <f t="shared" si="5"/>
        <v>10395602.49</v>
      </c>
    </row>
    <row r="193" spans="1:9" x14ac:dyDescent="0.35">
      <c r="A193" t="s">
        <v>79</v>
      </c>
      <c r="B193" s="1">
        <v>233773.43</v>
      </c>
      <c r="C193" s="1">
        <v>238867.8</v>
      </c>
      <c r="D193" s="1">
        <v>5094.37</v>
      </c>
      <c r="E193" s="1">
        <v>0</v>
      </c>
      <c r="F193" s="1">
        <v>0</v>
      </c>
      <c r="G193" s="1">
        <f>SUMIFS([1]QUERY_FOR_TRNSTRANSPOSED_0008!$F:$F,[1]QUERY_FOR_TRNSTRANSPOSED_0008!$A:$A,A193)</f>
        <v>233773.43</v>
      </c>
      <c r="H193" s="19">
        <f t="shared" si="4"/>
        <v>0</v>
      </c>
      <c r="I193" s="19">
        <f t="shared" si="5"/>
        <v>233773.43</v>
      </c>
    </row>
    <row r="194" spans="1:9" x14ac:dyDescent="0.35">
      <c r="A194" t="s">
        <v>228</v>
      </c>
      <c r="B194" s="1">
        <v>0</v>
      </c>
      <c r="C194" s="1">
        <v>0</v>
      </c>
      <c r="D194" s="1">
        <v>0</v>
      </c>
      <c r="E194" s="1">
        <v>4094268.06</v>
      </c>
      <c r="F194" s="1">
        <v>5297181.1399999997</v>
      </c>
      <c r="G194" s="1">
        <f>SUMIFS([1]QUERY_FOR_TRNSTRANSPOSED_0008!$F:$F,[1]QUERY_FOR_TRNSTRANSPOSED_0008!$A:$A,A194)</f>
        <v>-1202913.08</v>
      </c>
      <c r="H194" s="19">
        <f t="shared" si="4"/>
        <v>0</v>
      </c>
      <c r="I194" s="19">
        <f t="shared" si="5"/>
        <v>-1202913.0799999996</v>
      </c>
    </row>
    <row r="195" spans="1:9" x14ac:dyDescent="0.35">
      <c r="A195" t="s">
        <v>218</v>
      </c>
      <c r="B195" s="1">
        <v>0</v>
      </c>
      <c r="C195" s="1">
        <v>0</v>
      </c>
      <c r="D195" s="1">
        <v>0</v>
      </c>
      <c r="E195" s="1">
        <v>0</v>
      </c>
      <c r="F195" s="1">
        <v>119023.26</v>
      </c>
      <c r="G195" s="1">
        <f>SUMIFS([1]QUERY_FOR_TRNSTRANSPOSED_0008!$F:$F,[1]QUERY_FOR_TRNSTRANSPOSED_0008!$A:$A,A195)</f>
        <v>-119023.26</v>
      </c>
      <c r="H195" s="19">
        <f t="shared" si="4"/>
        <v>0</v>
      </c>
      <c r="I195" s="19">
        <f t="shared" si="5"/>
        <v>-119023.26</v>
      </c>
    </row>
    <row r="196" spans="1:9" x14ac:dyDescent="0.35">
      <c r="A196" t="s">
        <v>249</v>
      </c>
      <c r="B196" s="1">
        <v>200000</v>
      </c>
      <c r="C196" s="1">
        <v>219559.9</v>
      </c>
      <c r="D196" s="1">
        <v>19559.900000000001</v>
      </c>
      <c r="E196" s="1">
        <v>0</v>
      </c>
      <c r="F196" s="1">
        <v>0</v>
      </c>
      <c r="G196" s="1">
        <f>SUMIFS([1]QUERY_FOR_TRNSTRANSPOSED_0008!$F:$F,[1]QUERY_FOR_TRNSTRANSPOSED_0008!$A:$A,A196)</f>
        <v>200000</v>
      </c>
      <c r="H196" s="19">
        <f t="shared" ref="H196:H256" si="6">(G196-B196)+(F196-E196)</f>
        <v>0</v>
      </c>
      <c r="I196" s="19">
        <f t="shared" si="5"/>
        <v>200000</v>
      </c>
    </row>
    <row r="197" spans="1:9" x14ac:dyDescent="0.35">
      <c r="A197" t="s">
        <v>208</v>
      </c>
      <c r="B197" s="1">
        <v>229925.66</v>
      </c>
      <c r="C197" s="1">
        <v>232959.59</v>
      </c>
      <c r="D197" s="1">
        <v>3033.93</v>
      </c>
      <c r="E197" s="1">
        <v>0</v>
      </c>
      <c r="F197" s="1">
        <v>0</v>
      </c>
      <c r="G197" s="1">
        <f>SUMIFS([1]QUERY_FOR_TRNSTRANSPOSED_0008!$F:$F,[1]QUERY_FOR_TRNSTRANSPOSED_0008!$A:$A,A197)</f>
        <v>229925.66</v>
      </c>
      <c r="H197" s="19">
        <f t="shared" si="6"/>
        <v>0</v>
      </c>
      <c r="I197" s="19">
        <f t="shared" ref="I197:I256" si="7">C197-D197+E197-F197</f>
        <v>229925.66</v>
      </c>
    </row>
    <row r="198" spans="1:9" x14ac:dyDescent="0.35">
      <c r="A198" t="s">
        <v>181</v>
      </c>
      <c r="B198" s="1">
        <v>70137.460000000006</v>
      </c>
      <c r="C198" s="1">
        <v>71889.960000000006</v>
      </c>
      <c r="D198" s="1">
        <v>1752.5</v>
      </c>
      <c r="E198" s="1">
        <v>0</v>
      </c>
      <c r="F198" s="1">
        <v>0</v>
      </c>
      <c r="G198" s="1">
        <f>SUMIFS([1]QUERY_FOR_TRNSTRANSPOSED_0008!$F:$F,[1]QUERY_FOR_TRNSTRANSPOSED_0008!$A:$A,A198)</f>
        <v>70137.460000000006</v>
      </c>
      <c r="H198" s="19">
        <f t="shared" si="6"/>
        <v>0</v>
      </c>
      <c r="I198" s="19">
        <f t="shared" si="7"/>
        <v>70137.460000000006</v>
      </c>
    </row>
    <row r="199" spans="1:9" x14ac:dyDescent="0.35">
      <c r="A199" t="s">
        <v>179</v>
      </c>
      <c r="B199" s="1">
        <v>-2335.83</v>
      </c>
      <c r="C199" s="1">
        <v>-2335.83</v>
      </c>
      <c r="D199" s="1">
        <v>0</v>
      </c>
      <c r="E199" s="1">
        <v>0</v>
      </c>
      <c r="F199" s="1">
        <v>0</v>
      </c>
      <c r="G199" s="1">
        <f>SUMIFS([1]QUERY_FOR_TRNSTRANSPOSED_0008!$F:$F,[1]QUERY_FOR_TRNSTRANSPOSED_0008!$A:$A,A199)</f>
        <v>-2335.83</v>
      </c>
      <c r="H199" s="19">
        <f t="shared" si="6"/>
        <v>0</v>
      </c>
      <c r="I199" s="19">
        <f t="shared" si="7"/>
        <v>-2335.83</v>
      </c>
    </row>
    <row r="200" spans="1:9" x14ac:dyDescent="0.35">
      <c r="A200" t="s">
        <v>212</v>
      </c>
      <c r="B200" s="1">
        <v>-13119.31</v>
      </c>
      <c r="C200" s="1">
        <v>-19119.310000000001</v>
      </c>
      <c r="D200" s="1">
        <v>-6000</v>
      </c>
      <c r="E200" s="1">
        <v>0</v>
      </c>
      <c r="F200" s="1">
        <v>0</v>
      </c>
      <c r="G200" s="1">
        <f>SUMIFS([1]QUERY_FOR_TRNSTRANSPOSED_0008!$F:$F,[1]QUERY_FOR_TRNSTRANSPOSED_0008!$A:$A,A200)</f>
        <v>-13119.31</v>
      </c>
      <c r="H200" s="19">
        <f t="shared" si="6"/>
        <v>0</v>
      </c>
      <c r="I200" s="19">
        <f t="shared" si="7"/>
        <v>-13119.310000000001</v>
      </c>
    </row>
    <row r="201" spans="1:9" x14ac:dyDescent="0.35">
      <c r="A201" t="s">
        <v>211</v>
      </c>
      <c r="B201" s="1">
        <v>18220811.48</v>
      </c>
      <c r="C201" s="1">
        <v>18368650.530000001</v>
      </c>
      <c r="D201" s="1">
        <v>147839.04999999999</v>
      </c>
      <c r="E201" s="1">
        <v>0</v>
      </c>
      <c r="F201" s="1">
        <v>0</v>
      </c>
      <c r="G201" s="1">
        <f>SUMIFS([1]QUERY_FOR_TRNSTRANSPOSED_0008!$F:$F,[1]QUERY_FOR_TRNSTRANSPOSED_0008!$A:$A,A201)</f>
        <v>18220811.48</v>
      </c>
      <c r="H201" s="19">
        <f t="shared" si="6"/>
        <v>0</v>
      </c>
      <c r="I201" s="19">
        <f t="shared" si="7"/>
        <v>18220811.48</v>
      </c>
    </row>
    <row r="202" spans="1:9" x14ac:dyDescent="0.35">
      <c r="A202" t="s">
        <v>197</v>
      </c>
      <c r="B202" s="1">
        <v>405215.68</v>
      </c>
      <c r="C202" s="1">
        <v>410575.58</v>
      </c>
      <c r="D202" s="1">
        <v>5359.9</v>
      </c>
      <c r="E202" s="1">
        <v>0</v>
      </c>
      <c r="F202" s="1">
        <v>0</v>
      </c>
      <c r="G202" s="1">
        <f>SUMIFS([1]QUERY_FOR_TRNSTRANSPOSED_0008!$F:$F,[1]QUERY_FOR_TRNSTRANSPOSED_0008!$A:$A,A202)</f>
        <v>405215.68</v>
      </c>
      <c r="H202" s="19">
        <f t="shared" si="6"/>
        <v>0</v>
      </c>
      <c r="I202" s="19">
        <f t="shared" si="7"/>
        <v>405215.68</v>
      </c>
    </row>
    <row r="203" spans="1:9" x14ac:dyDescent="0.35">
      <c r="A203" t="s">
        <v>198</v>
      </c>
      <c r="B203" s="1">
        <v>38643.440000000002</v>
      </c>
      <c r="C203" s="1">
        <v>39270.74</v>
      </c>
      <c r="D203" s="1">
        <v>627.29999999999995</v>
      </c>
      <c r="E203" s="1">
        <v>0</v>
      </c>
      <c r="F203" s="1">
        <v>0</v>
      </c>
      <c r="G203" s="1">
        <f>SUMIFS([1]QUERY_FOR_TRNSTRANSPOSED_0008!$F:$F,[1]QUERY_FOR_TRNSTRANSPOSED_0008!$A:$A,A203)</f>
        <v>38643.440000000002</v>
      </c>
      <c r="H203" s="19">
        <f t="shared" si="6"/>
        <v>0</v>
      </c>
      <c r="I203" s="19">
        <f t="shared" si="7"/>
        <v>38643.439999999995</v>
      </c>
    </row>
    <row r="204" spans="1:9" x14ac:dyDescent="0.35">
      <c r="A204" t="s">
        <v>201</v>
      </c>
      <c r="B204" s="1">
        <v>-12680.77</v>
      </c>
      <c r="C204" s="1">
        <v>108.42</v>
      </c>
      <c r="D204" s="1">
        <v>12789.19</v>
      </c>
      <c r="E204" s="1">
        <v>0</v>
      </c>
      <c r="F204" s="1">
        <v>0</v>
      </c>
      <c r="G204" s="1">
        <f>SUMIFS([1]QUERY_FOR_TRNSTRANSPOSED_0008!$F:$F,[1]QUERY_FOR_TRNSTRANSPOSED_0008!$A:$A,A204)</f>
        <v>-12680.77</v>
      </c>
      <c r="H204" s="19">
        <f t="shared" si="6"/>
        <v>0</v>
      </c>
      <c r="I204" s="19">
        <f t="shared" si="7"/>
        <v>-12680.77</v>
      </c>
    </row>
    <row r="205" spans="1:9" x14ac:dyDescent="0.35">
      <c r="A205" t="s">
        <v>190</v>
      </c>
      <c r="B205" s="1">
        <v>1143238.1499999999</v>
      </c>
      <c r="C205" s="1">
        <v>1209536.44</v>
      </c>
      <c r="D205" s="1">
        <v>66298.289999999994</v>
      </c>
      <c r="E205" s="1">
        <v>0</v>
      </c>
      <c r="F205" s="1">
        <v>0</v>
      </c>
      <c r="G205" s="1">
        <f>SUMIFS([1]QUERY_FOR_TRNSTRANSPOSED_0008!$F:$F,[1]QUERY_FOR_TRNSTRANSPOSED_0008!$A:$A,A205)</f>
        <v>1143238.1499999999</v>
      </c>
      <c r="H205" s="19">
        <f t="shared" si="6"/>
        <v>0</v>
      </c>
      <c r="I205" s="19">
        <f t="shared" si="7"/>
        <v>1143238.1499999999</v>
      </c>
    </row>
    <row r="206" spans="1:9" x14ac:dyDescent="0.35">
      <c r="A206" t="s">
        <v>192</v>
      </c>
      <c r="B206" s="1">
        <v>3836.56</v>
      </c>
      <c r="C206" s="1">
        <v>4478.83</v>
      </c>
      <c r="D206" s="1">
        <v>642.27</v>
      </c>
      <c r="E206" s="1">
        <v>0</v>
      </c>
      <c r="F206" s="1">
        <v>0</v>
      </c>
      <c r="G206" s="1">
        <f>SUMIFS([1]QUERY_FOR_TRNSTRANSPOSED_0008!$F:$F,[1]QUERY_FOR_TRNSTRANSPOSED_0008!$A:$A,A206)</f>
        <v>3836.56</v>
      </c>
      <c r="H206" s="19">
        <f t="shared" si="6"/>
        <v>0</v>
      </c>
      <c r="I206" s="19">
        <f t="shared" si="7"/>
        <v>3836.56</v>
      </c>
    </row>
    <row r="207" spans="1:9" x14ac:dyDescent="0.35">
      <c r="A207" t="s">
        <v>230</v>
      </c>
      <c r="B207" s="1">
        <v>0</v>
      </c>
      <c r="C207" s="1">
        <v>0</v>
      </c>
      <c r="D207" s="1">
        <v>0</v>
      </c>
      <c r="E207" s="1">
        <v>274244.65999999997</v>
      </c>
      <c r="F207" s="1">
        <v>346919.32</v>
      </c>
      <c r="G207" s="1">
        <f>SUMIFS([1]QUERY_FOR_TRNSTRANSPOSED_0008!$F:$F,[1]QUERY_FOR_TRNSTRANSPOSED_0008!$A:$A,A207)</f>
        <v>-72674.66</v>
      </c>
      <c r="H207" s="19">
        <f t="shared" si="6"/>
        <v>0</v>
      </c>
      <c r="I207" s="19">
        <f t="shared" si="7"/>
        <v>-72674.660000000033</v>
      </c>
    </row>
    <row r="208" spans="1:9" x14ac:dyDescent="0.35">
      <c r="A208" t="s">
        <v>235</v>
      </c>
      <c r="B208" s="1">
        <v>0</v>
      </c>
      <c r="C208" s="1">
        <v>0</v>
      </c>
      <c r="D208" s="1">
        <v>0</v>
      </c>
      <c r="E208" s="1">
        <v>12103216.289999999</v>
      </c>
      <c r="F208" s="1">
        <v>18361979.629999999</v>
      </c>
      <c r="G208" s="1">
        <f>SUMIFS([1]QUERY_FOR_TRNSTRANSPOSED_0008!$F:$F,[1]QUERY_FOR_TRNSTRANSPOSED_0008!$A:$A,A208)</f>
        <v>-6258763.3399999999</v>
      </c>
      <c r="H208" s="19">
        <f t="shared" si="6"/>
        <v>0</v>
      </c>
      <c r="I208" s="19">
        <f t="shared" si="7"/>
        <v>-6258763.3399999999</v>
      </c>
    </row>
    <row r="209" spans="1:9" x14ac:dyDescent="0.35">
      <c r="A209" t="s">
        <v>184</v>
      </c>
      <c r="B209" s="1">
        <v>4890</v>
      </c>
      <c r="C209" s="1">
        <v>4890</v>
      </c>
      <c r="D209" s="1">
        <v>0</v>
      </c>
      <c r="E209" s="1">
        <v>0</v>
      </c>
      <c r="F209" s="1">
        <v>0</v>
      </c>
      <c r="G209" s="1">
        <f>SUMIFS([1]QUERY_FOR_TRNSTRANSPOSED_0008!$F:$F,[1]QUERY_FOR_TRNSTRANSPOSED_0008!$A:$A,A209)</f>
        <v>4890</v>
      </c>
      <c r="H209" s="19">
        <f t="shared" si="6"/>
        <v>0</v>
      </c>
      <c r="I209" s="19">
        <f t="shared" si="7"/>
        <v>4890</v>
      </c>
    </row>
    <row r="210" spans="1:9" x14ac:dyDescent="0.35">
      <c r="A210" t="s">
        <v>183</v>
      </c>
      <c r="B210" s="1">
        <v>81940648.5</v>
      </c>
      <c r="C210" s="1">
        <v>82148007.280000001</v>
      </c>
      <c r="D210" s="1">
        <v>207358.78</v>
      </c>
      <c r="E210" s="1">
        <v>0</v>
      </c>
      <c r="F210" s="1">
        <v>0</v>
      </c>
      <c r="G210" s="1">
        <f>SUMIFS([1]QUERY_FOR_TRNSTRANSPOSED_0008!$F:$F,[1]QUERY_FOR_TRNSTRANSPOSED_0008!$A:$A,A210)</f>
        <v>81940648.5</v>
      </c>
      <c r="H210" s="19">
        <f t="shared" si="6"/>
        <v>0</v>
      </c>
      <c r="I210" s="19">
        <f t="shared" si="7"/>
        <v>81940648.5</v>
      </c>
    </row>
    <row r="211" spans="1:9" x14ac:dyDescent="0.35">
      <c r="A211" t="s">
        <v>188</v>
      </c>
      <c r="B211" s="1">
        <v>1907278.09</v>
      </c>
      <c r="C211" s="1">
        <v>2199101.87</v>
      </c>
      <c r="D211" s="1">
        <v>291823.78000000003</v>
      </c>
      <c r="E211" s="1">
        <v>0</v>
      </c>
      <c r="F211" s="1">
        <v>0</v>
      </c>
      <c r="G211" s="1">
        <f>SUMIFS([1]QUERY_FOR_TRNSTRANSPOSED_0008!$F:$F,[1]QUERY_FOR_TRNSTRANSPOSED_0008!$A:$A,A211)</f>
        <v>1907278.09</v>
      </c>
      <c r="H211" s="19">
        <f t="shared" si="6"/>
        <v>0</v>
      </c>
      <c r="I211" s="19">
        <f t="shared" si="7"/>
        <v>1907278.09</v>
      </c>
    </row>
    <row r="212" spans="1:9" x14ac:dyDescent="0.35">
      <c r="A212" t="s">
        <v>258</v>
      </c>
      <c r="B212" s="1">
        <v>86249.42</v>
      </c>
      <c r="C212" s="1">
        <v>86657.42</v>
      </c>
      <c r="D212" s="1">
        <v>408</v>
      </c>
      <c r="E212" s="1">
        <v>6517.5</v>
      </c>
      <c r="F212" s="1">
        <v>0</v>
      </c>
      <c r="G212" s="1">
        <f>SUMIFS([1]QUERY_FOR_TRNSTRANSPOSED_0008!$F:$F,[1]QUERY_FOR_TRNSTRANSPOSED_0008!$A:$A,A212)</f>
        <v>92766.92</v>
      </c>
      <c r="H212" s="19">
        <f t="shared" si="6"/>
        <v>0</v>
      </c>
      <c r="I212" s="19">
        <f t="shared" si="7"/>
        <v>92766.92</v>
      </c>
    </row>
    <row r="213" spans="1:9" x14ac:dyDescent="0.35">
      <c r="A213" t="s">
        <v>213</v>
      </c>
      <c r="B213" s="1">
        <v>12239865.539999999</v>
      </c>
      <c r="C213" s="1">
        <v>12250663.33</v>
      </c>
      <c r="D213" s="1">
        <v>10797.79</v>
      </c>
      <c r="E213" s="1">
        <v>0</v>
      </c>
      <c r="F213" s="1">
        <v>0</v>
      </c>
      <c r="G213" s="1">
        <f>SUMIFS([1]QUERY_FOR_TRNSTRANSPOSED_0008!$F:$F,[1]QUERY_FOR_TRNSTRANSPOSED_0008!$A:$A,A213)</f>
        <v>12239865.539999999</v>
      </c>
      <c r="H213" s="19">
        <f t="shared" si="6"/>
        <v>0</v>
      </c>
      <c r="I213" s="19">
        <f t="shared" si="7"/>
        <v>12239865.540000001</v>
      </c>
    </row>
    <row r="214" spans="1:9" x14ac:dyDescent="0.35">
      <c r="A214" t="s">
        <v>126</v>
      </c>
      <c r="B214" s="1">
        <v>2333970.41</v>
      </c>
      <c r="C214" s="1">
        <v>2335720.75</v>
      </c>
      <c r="D214" s="1">
        <v>1750.34</v>
      </c>
      <c r="E214" s="1">
        <v>0</v>
      </c>
      <c r="F214" s="1">
        <v>0</v>
      </c>
      <c r="G214" s="1">
        <f>SUMIFS([1]QUERY_FOR_TRNSTRANSPOSED_0008!$F:$F,[1]QUERY_FOR_TRNSTRANSPOSED_0008!$A:$A,A214)</f>
        <v>2333970.41</v>
      </c>
      <c r="H214" s="19">
        <f t="shared" si="6"/>
        <v>0</v>
      </c>
      <c r="I214" s="19">
        <f t="shared" si="7"/>
        <v>2333970.41</v>
      </c>
    </row>
    <row r="215" spans="1:9" x14ac:dyDescent="0.35">
      <c r="A215" t="s">
        <v>206</v>
      </c>
      <c r="B215" s="1">
        <v>228880</v>
      </c>
      <c r="C215" s="1">
        <v>229480</v>
      </c>
      <c r="D215" s="1">
        <v>600</v>
      </c>
      <c r="E215" s="1">
        <v>77296.679999999993</v>
      </c>
      <c r="F215" s="1">
        <v>267081.68</v>
      </c>
      <c r="G215" s="1">
        <f>SUMIFS([1]QUERY_FOR_TRNSTRANSPOSED_0008!$F:$F,[1]QUERY_FOR_TRNSTRANSPOSED_0008!$A:$A,A215)</f>
        <v>39095</v>
      </c>
      <c r="H215" s="19">
        <f t="shared" si="6"/>
        <v>0</v>
      </c>
      <c r="I215" s="19">
        <f t="shared" si="7"/>
        <v>39095</v>
      </c>
    </row>
    <row r="216" spans="1:9" x14ac:dyDescent="0.35">
      <c r="A216" t="s">
        <v>117</v>
      </c>
      <c r="B216" s="1">
        <v>9412.17</v>
      </c>
      <c r="C216" s="1">
        <v>13128.59</v>
      </c>
      <c r="D216" s="1">
        <v>3716.42</v>
      </c>
      <c r="E216" s="1">
        <v>0</v>
      </c>
      <c r="F216" s="1">
        <v>0</v>
      </c>
      <c r="G216" s="1">
        <f>SUMIFS([1]QUERY_FOR_TRNSTRANSPOSED_0008!$F:$F,[1]QUERY_FOR_TRNSTRANSPOSED_0008!$A:$A,A216)</f>
        <v>9412.17</v>
      </c>
      <c r="H216" s="19">
        <f t="shared" si="6"/>
        <v>0</v>
      </c>
      <c r="I216" s="19">
        <f t="shared" si="7"/>
        <v>9412.17</v>
      </c>
    </row>
    <row r="217" spans="1:9" x14ac:dyDescent="0.35">
      <c r="A217" t="s">
        <v>105</v>
      </c>
      <c r="B217" s="1">
        <v>-130267.07</v>
      </c>
      <c r="C217" s="1">
        <v>67974.02</v>
      </c>
      <c r="D217" s="1">
        <v>198241.09</v>
      </c>
      <c r="E217" s="1">
        <v>0</v>
      </c>
      <c r="F217" s="1">
        <v>0</v>
      </c>
      <c r="G217" s="1">
        <f>SUMIFS([1]QUERY_FOR_TRNSTRANSPOSED_0008!$F:$F,[1]QUERY_FOR_TRNSTRANSPOSED_0008!$A:$A,A217)</f>
        <v>-130267.07</v>
      </c>
      <c r="H217" s="19">
        <f t="shared" si="6"/>
        <v>0</v>
      </c>
      <c r="I217" s="19">
        <f t="shared" si="7"/>
        <v>-130267.06999999999</v>
      </c>
    </row>
    <row r="218" spans="1:9" x14ac:dyDescent="0.35">
      <c r="A218" t="s">
        <v>104</v>
      </c>
      <c r="B218" s="1">
        <v>994101.53</v>
      </c>
      <c r="C218" s="1">
        <v>1103435.79</v>
      </c>
      <c r="D218" s="1">
        <v>109334.26</v>
      </c>
      <c r="E218" s="1">
        <v>0</v>
      </c>
      <c r="F218" s="1">
        <v>0</v>
      </c>
      <c r="G218" s="1">
        <f>SUMIFS([1]QUERY_FOR_TRNSTRANSPOSED_0008!$F:$F,[1]QUERY_FOR_TRNSTRANSPOSED_0008!$A:$A,A218)</f>
        <v>994101.53</v>
      </c>
      <c r="H218" s="19">
        <f t="shared" si="6"/>
        <v>0</v>
      </c>
      <c r="I218" s="19">
        <f t="shared" si="7"/>
        <v>994101.53</v>
      </c>
    </row>
    <row r="219" spans="1:9" x14ac:dyDescent="0.35">
      <c r="A219" t="s">
        <v>103</v>
      </c>
      <c r="B219" s="1">
        <v>9817036.5</v>
      </c>
      <c r="C219" s="1">
        <v>9886990.0999999996</v>
      </c>
      <c r="D219" s="1">
        <v>69953.600000000006</v>
      </c>
      <c r="E219" s="1">
        <v>0</v>
      </c>
      <c r="F219" s="1">
        <v>0</v>
      </c>
      <c r="G219" s="1">
        <f>SUMIFS([1]QUERY_FOR_TRNSTRANSPOSED_0008!$F:$F,[1]QUERY_FOR_TRNSTRANSPOSED_0008!$A:$A,A219)</f>
        <v>9817036.5</v>
      </c>
      <c r="H219" s="19">
        <f t="shared" si="6"/>
        <v>0</v>
      </c>
      <c r="I219" s="19">
        <f t="shared" si="7"/>
        <v>9817036.5</v>
      </c>
    </row>
    <row r="220" spans="1:9" x14ac:dyDescent="0.35">
      <c r="A220" t="s">
        <v>165</v>
      </c>
      <c r="B220" s="1">
        <v>357.29</v>
      </c>
      <c r="C220" s="1">
        <v>582.29</v>
      </c>
      <c r="D220" s="1">
        <v>225</v>
      </c>
      <c r="E220" s="1">
        <v>0</v>
      </c>
      <c r="F220" s="1">
        <v>0</v>
      </c>
      <c r="G220" s="1">
        <f>SUMIFS([1]QUERY_FOR_TRNSTRANSPOSED_0008!$F:$F,[1]QUERY_FOR_TRNSTRANSPOSED_0008!$A:$A,A220)</f>
        <v>357.28999999999996</v>
      </c>
      <c r="H220" s="19">
        <f t="shared" si="6"/>
        <v>-5.6843418860808015E-14</v>
      </c>
      <c r="I220" s="19">
        <f t="shared" si="7"/>
        <v>357.28999999999996</v>
      </c>
    </row>
    <row r="221" spans="1:9" x14ac:dyDescent="0.35">
      <c r="A221" t="s">
        <v>205</v>
      </c>
      <c r="B221" s="1">
        <v>77135.570000000007</v>
      </c>
      <c r="C221" s="1">
        <v>77308.820000000007</v>
      </c>
      <c r="D221" s="1">
        <v>173.25</v>
      </c>
      <c r="E221" s="1">
        <v>0</v>
      </c>
      <c r="F221" s="1">
        <v>0</v>
      </c>
      <c r="G221" s="1">
        <f>SUMIFS([1]QUERY_FOR_TRNSTRANSPOSED_0008!$F:$F,[1]QUERY_FOR_TRNSTRANSPOSED_0008!$A:$A,A221)</f>
        <v>77135.569999999992</v>
      </c>
      <c r="H221" s="19">
        <f t="shared" si="6"/>
        <v>-1.4551915228366852E-11</v>
      </c>
      <c r="I221" s="19">
        <f t="shared" si="7"/>
        <v>77135.570000000007</v>
      </c>
    </row>
    <row r="222" spans="1:9" x14ac:dyDescent="0.35">
      <c r="A222" t="s">
        <v>77</v>
      </c>
      <c r="B222" s="1">
        <v>141908.29</v>
      </c>
      <c r="C222" s="1">
        <v>356863.98</v>
      </c>
      <c r="D222" s="1">
        <v>214955.69</v>
      </c>
      <c r="E222" s="1">
        <v>0</v>
      </c>
      <c r="F222" s="1">
        <v>0</v>
      </c>
      <c r="G222" s="1">
        <f>SUMIFS([1]QUERY_FOR_TRNSTRANSPOSED_0008!$F:$F,[1]QUERY_FOR_TRNSTRANSPOSED_0008!$A:$A,A222)</f>
        <v>141908.28999999998</v>
      </c>
      <c r="H222" s="19">
        <f t="shared" si="6"/>
        <v>-2.9103830456733704E-11</v>
      </c>
      <c r="I222" s="19">
        <f t="shared" si="7"/>
        <v>141908.28999999998</v>
      </c>
    </row>
    <row r="223" spans="1:9" x14ac:dyDescent="0.35">
      <c r="A223" t="s">
        <v>122</v>
      </c>
      <c r="B223" s="1">
        <v>286001.88</v>
      </c>
      <c r="C223" s="1">
        <v>288016.88</v>
      </c>
      <c r="D223" s="1">
        <v>2015</v>
      </c>
      <c r="E223" s="1">
        <v>0</v>
      </c>
      <c r="F223" s="1">
        <v>211.91</v>
      </c>
      <c r="G223" s="1">
        <f>SUMIFS([1]QUERY_FOR_TRNSTRANSPOSED_0008!$F:$F,[1]QUERY_FOR_TRNSTRANSPOSED_0008!$A:$A,A223)</f>
        <v>285789.96999999997</v>
      </c>
      <c r="H223" s="19">
        <f t="shared" si="6"/>
        <v>-3.2599700716673397E-11</v>
      </c>
      <c r="I223" s="19">
        <f t="shared" si="7"/>
        <v>285789.97000000003</v>
      </c>
    </row>
    <row r="224" spans="1:9" x14ac:dyDescent="0.35">
      <c r="A224" t="s">
        <v>145</v>
      </c>
      <c r="B224" s="1">
        <v>297924.53000000003</v>
      </c>
      <c r="C224" s="1">
        <v>306869.28000000003</v>
      </c>
      <c r="D224" s="1">
        <v>8944.75</v>
      </c>
      <c r="E224" s="1">
        <v>0</v>
      </c>
      <c r="F224" s="1">
        <v>0</v>
      </c>
      <c r="G224" s="1">
        <f>SUMIFS([1]QUERY_FOR_TRNSTRANSPOSED_0008!$F:$F,[1]QUERY_FOR_TRNSTRANSPOSED_0008!$A:$A,A224)</f>
        <v>297924.52999999997</v>
      </c>
      <c r="H224" s="19">
        <f t="shared" si="6"/>
        <v>-5.8207660913467407E-11</v>
      </c>
      <c r="I224" s="19">
        <f t="shared" si="7"/>
        <v>297924.53000000003</v>
      </c>
    </row>
    <row r="225" spans="1:9" x14ac:dyDescent="0.35">
      <c r="A225" t="s">
        <v>220</v>
      </c>
      <c r="B225" s="1">
        <v>13536.3</v>
      </c>
      <c r="C225" s="1">
        <v>3243240.96</v>
      </c>
      <c r="D225" s="1">
        <v>3229704.66</v>
      </c>
      <c r="E225" s="1">
        <v>0</v>
      </c>
      <c r="F225" s="1">
        <v>0</v>
      </c>
      <c r="G225" s="1">
        <f>SUMIFS([1]QUERY_FOR_TRNSTRANSPOSED_0008!$F:$F,[1]QUERY_FOR_TRNSTRANSPOSED_0008!$A:$A,A225)</f>
        <v>13536.299999999776</v>
      </c>
      <c r="H225" s="19">
        <f t="shared" si="6"/>
        <v>-2.2373569663614035E-10</v>
      </c>
      <c r="I225" s="19">
        <f t="shared" si="7"/>
        <v>13536.299999999814</v>
      </c>
    </row>
    <row r="226" spans="1:9" x14ac:dyDescent="0.35">
      <c r="A226" t="s">
        <v>89</v>
      </c>
      <c r="B226" s="1">
        <v>2025551.32</v>
      </c>
      <c r="C226" s="1">
        <v>2026589.08</v>
      </c>
      <c r="D226" s="1">
        <v>1037.76</v>
      </c>
      <c r="E226" s="1">
        <v>0</v>
      </c>
      <c r="F226" s="1">
        <v>0</v>
      </c>
      <c r="G226" s="1">
        <f>SUMIFS([1]QUERY_FOR_TRNSTRANSPOSED_0008!$F:$F,[1]QUERY_FOR_TRNSTRANSPOSED_0008!$A:$A,A226)</f>
        <v>2025551.3199999998</v>
      </c>
      <c r="H226" s="19">
        <f t="shared" si="6"/>
        <v>-2.3283064365386963E-10</v>
      </c>
      <c r="I226" s="19">
        <f t="shared" si="7"/>
        <v>2025551.32</v>
      </c>
    </row>
    <row r="227" spans="1:9" x14ac:dyDescent="0.35">
      <c r="A227" t="s">
        <v>121</v>
      </c>
      <c r="B227" s="1">
        <v>2528240.2000000002</v>
      </c>
      <c r="C227" s="1">
        <v>2530454.5299999998</v>
      </c>
      <c r="D227" s="1">
        <v>2214.33</v>
      </c>
      <c r="E227" s="1">
        <v>0</v>
      </c>
      <c r="F227" s="1">
        <v>0</v>
      </c>
      <c r="G227" s="1">
        <f>SUMIFS([1]QUERY_FOR_TRNSTRANSPOSED_0008!$F:$F,[1]QUERY_FOR_TRNSTRANSPOSED_0008!$A:$A,A227)</f>
        <v>2528240.1999999997</v>
      </c>
      <c r="H227" s="19">
        <f t="shared" si="6"/>
        <v>-4.6566128730773926E-10</v>
      </c>
      <c r="I227" s="19">
        <f t="shared" si="7"/>
        <v>2528240.1999999997</v>
      </c>
    </row>
    <row r="228" spans="1:9" x14ac:dyDescent="0.35">
      <c r="A228" t="s">
        <v>15</v>
      </c>
      <c r="B228" s="1">
        <v>4135883.21</v>
      </c>
      <c r="C228" s="1">
        <v>4215648.01</v>
      </c>
      <c r="D228" s="1">
        <v>79764.800000000003</v>
      </c>
      <c r="E228" s="1">
        <v>0</v>
      </c>
      <c r="F228" s="1">
        <v>0</v>
      </c>
      <c r="G228" s="1">
        <f>SUMIFS([1]QUERY_FOR_TRNSTRANSPOSED_0008!$F:$F,[1]QUERY_FOR_TRNSTRANSPOSED_0008!$A:$A,A228)</f>
        <v>4135883.2099999995</v>
      </c>
      <c r="H228" s="19">
        <f t="shared" si="6"/>
        <v>-4.6566128730773926E-10</v>
      </c>
      <c r="I228" s="19">
        <f t="shared" si="7"/>
        <v>4135883.21</v>
      </c>
    </row>
    <row r="229" spans="1:9" x14ac:dyDescent="0.35">
      <c r="A229" t="s">
        <v>118</v>
      </c>
      <c r="B229" s="1">
        <v>9650477.5</v>
      </c>
      <c r="C229" s="1">
        <v>9851489.3599999994</v>
      </c>
      <c r="D229" s="1">
        <v>201011.86</v>
      </c>
      <c r="E229" s="1">
        <v>0</v>
      </c>
      <c r="F229" s="1">
        <v>0</v>
      </c>
      <c r="G229" s="1">
        <f>SUMIFS([1]QUERY_FOR_TRNSTRANSPOSED_0008!$F:$F,[1]QUERY_FOR_TRNSTRANSPOSED_0008!$A:$A,A229)</f>
        <v>9650477.4999999981</v>
      </c>
      <c r="H229" s="19">
        <f t="shared" si="6"/>
        <v>-1.862645149230957E-9</v>
      </c>
      <c r="I229" s="19">
        <f t="shared" si="7"/>
        <v>9650477.5</v>
      </c>
    </row>
    <row r="230" spans="1:9" x14ac:dyDescent="0.35">
      <c r="A230" t="s">
        <v>111</v>
      </c>
      <c r="B230" s="1">
        <v>20167921.350000001</v>
      </c>
      <c r="C230" s="1">
        <v>20276252.52</v>
      </c>
      <c r="D230" s="1">
        <v>108331.17</v>
      </c>
      <c r="E230" s="1">
        <v>0</v>
      </c>
      <c r="F230" s="1">
        <v>0</v>
      </c>
      <c r="G230" s="1">
        <f>SUMIFS([1]QUERY_FOR_TRNSTRANSPOSED_0008!$F:$F,[1]QUERY_FOR_TRNSTRANSPOSED_0008!$A:$A,A230)</f>
        <v>20167921.349999998</v>
      </c>
      <c r="H230" s="19">
        <f t="shared" si="6"/>
        <v>-3.7252902984619141E-9</v>
      </c>
      <c r="I230" s="19">
        <f t="shared" si="7"/>
        <v>20167921.349999998</v>
      </c>
    </row>
    <row r="231" spans="1:9" x14ac:dyDescent="0.35">
      <c r="A231" t="s">
        <v>182</v>
      </c>
      <c r="B231" s="1">
        <v>0</v>
      </c>
      <c r="C231" s="1">
        <v>0</v>
      </c>
      <c r="D231" s="1">
        <v>0</v>
      </c>
      <c r="E231" s="1">
        <v>1338379.57</v>
      </c>
      <c r="F231" s="1">
        <v>2377493.87</v>
      </c>
      <c r="G231" s="1">
        <f>SUMIFS([1]QUERY_FOR_TRNSTRANSPOSED_0008!$F:$F,[1]QUERY_FOR_TRNSTRANSPOSED_0008!$A:$A,A231)</f>
        <v>-1039114.31</v>
      </c>
      <c r="H231" s="19">
        <f t="shared" si="6"/>
        <v>-1.0000000009313226E-2</v>
      </c>
      <c r="I231" s="19">
        <f t="shared" si="7"/>
        <v>-1039114.3</v>
      </c>
    </row>
    <row r="232" spans="1:9" x14ac:dyDescent="0.35">
      <c r="A232" t="s">
        <v>170</v>
      </c>
      <c r="B232" s="1">
        <v>308152.88</v>
      </c>
      <c r="C232" s="1">
        <v>345486.3</v>
      </c>
      <c r="D232" s="1">
        <v>37333.42</v>
      </c>
      <c r="E232" s="1">
        <v>65800.600000000006</v>
      </c>
      <c r="F232" s="1">
        <v>67094.73</v>
      </c>
      <c r="G232" s="1">
        <f>SUMIFS([1]QUERY_FOR_TRNSTRANSPOSED_0008!$F:$F,[1]QUERY_FOR_TRNSTRANSPOSED_0008!$A:$A,A232)</f>
        <v>306858.74</v>
      </c>
      <c r="H232" s="19">
        <f t="shared" si="6"/>
        <v>-1.0000000023865141E-2</v>
      </c>
      <c r="I232" s="19">
        <f t="shared" si="7"/>
        <v>306858.75</v>
      </c>
    </row>
    <row r="233" spans="1:9" x14ac:dyDescent="0.35">
      <c r="A233" t="s">
        <v>140</v>
      </c>
      <c r="B233" s="1">
        <v>843251.65</v>
      </c>
      <c r="C233" s="1">
        <v>904999.07</v>
      </c>
      <c r="D233" s="1">
        <v>61747.42</v>
      </c>
      <c r="E233" s="1">
        <v>0</v>
      </c>
      <c r="F233" s="1">
        <v>0</v>
      </c>
      <c r="G233" s="1">
        <f>SUMIFS([1]QUERY_FOR_TRNSTRANSPOSED_0008!$F:$F,[1]QUERY_FOR_TRNSTRANSPOSED_0008!$A:$A,A233)</f>
        <v>843234.87000000011</v>
      </c>
      <c r="H233" s="19">
        <f t="shared" si="6"/>
        <v>-16.779999999911524</v>
      </c>
      <c r="I233" s="19">
        <f t="shared" si="7"/>
        <v>843251.64999999991</v>
      </c>
    </row>
    <row r="234" spans="1:9" x14ac:dyDescent="0.35">
      <c r="A234" t="s">
        <v>107</v>
      </c>
      <c r="B234" s="1">
        <v>4067087.02</v>
      </c>
      <c r="C234" s="1">
        <v>4074688.22</v>
      </c>
      <c r="D234" s="1">
        <v>7601.2</v>
      </c>
      <c r="E234" s="1">
        <v>0</v>
      </c>
      <c r="F234" s="1">
        <v>0</v>
      </c>
      <c r="G234" s="1">
        <f>SUMIFS([1]QUERY_FOR_TRNSTRANSPOSED_0008!$F:$F,[1]QUERY_FOR_TRNSTRANSPOSED_0008!$A:$A,A234)</f>
        <v>4067069.5200000005</v>
      </c>
      <c r="H234" s="19">
        <f t="shared" si="6"/>
        <v>-17.499999999534339</v>
      </c>
      <c r="I234" s="19">
        <f t="shared" si="7"/>
        <v>4067087.02</v>
      </c>
    </row>
    <row r="235" spans="1:9" x14ac:dyDescent="0.35">
      <c r="A235" t="s">
        <v>134</v>
      </c>
      <c r="B235" s="1">
        <v>3906498.29</v>
      </c>
      <c r="C235" s="1">
        <v>3988030.25</v>
      </c>
      <c r="D235" s="1">
        <v>81531.960000000006</v>
      </c>
      <c r="E235" s="1">
        <v>0</v>
      </c>
      <c r="F235" s="1">
        <v>0</v>
      </c>
      <c r="G235" s="1">
        <f>SUMIFS([1]QUERY_FOR_TRNSTRANSPOSED_0008!$F:$F,[1]QUERY_FOR_TRNSTRANSPOSED_0008!$A:$A,A235)</f>
        <v>3906478.29</v>
      </c>
      <c r="H235" s="19">
        <f t="shared" si="6"/>
        <v>-20</v>
      </c>
      <c r="I235" s="19">
        <f t="shared" si="7"/>
        <v>3906498.29</v>
      </c>
    </row>
    <row r="236" spans="1:9" x14ac:dyDescent="0.35">
      <c r="A236" t="s">
        <v>135</v>
      </c>
      <c r="B236" s="1">
        <v>0</v>
      </c>
      <c r="C236" s="1">
        <v>0</v>
      </c>
      <c r="D236" s="1">
        <v>0</v>
      </c>
      <c r="E236" s="1">
        <v>0.01</v>
      </c>
      <c r="F236" s="1">
        <v>3521.91</v>
      </c>
      <c r="G236" s="1">
        <f>SUMIFS([1]QUERY_FOR_TRNSTRANSPOSED_0008!$F:$F,[1]QUERY_FOR_TRNSTRANSPOSED_0008!$A:$A,A236)</f>
        <v>-3566.9</v>
      </c>
      <c r="H236" s="19">
        <f t="shared" si="6"/>
        <v>-45.000000000000455</v>
      </c>
      <c r="I236" s="19">
        <f t="shared" si="7"/>
        <v>-3521.8999999999996</v>
      </c>
    </row>
    <row r="237" spans="1:9" x14ac:dyDescent="0.35">
      <c r="A237" t="s">
        <v>96</v>
      </c>
      <c r="B237" s="1">
        <v>189150.37</v>
      </c>
      <c r="C237" s="1">
        <v>196333.62</v>
      </c>
      <c r="D237" s="1">
        <v>7183.25</v>
      </c>
      <c r="E237" s="1">
        <v>0</v>
      </c>
      <c r="F237" s="1">
        <v>0</v>
      </c>
      <c r="G237" s="1">
        <f>SUMIFS([1]QUERY_FOR_TRNSTRANSPOSED_0008!$F:$F,[1]QUERY_FOR_TRNSTRANSPOSED_0008!$A:$A,A237)</f>
        <v>189028.99</v>
      </c>
      <c r="H237" s="19">
        <f t="shared" si="6"/>
        <v>-121.38000000000466</v>
      </c>
      <c r="I237" s="19">
        <f t="shared" si="7"/>
        <v>189150.37</v>
      </c>
    </row>
    <row r="238" spans="1:9" x14ac:dyDescent="0.35">
      <c r="A238" t="s">
        <v>63</v>
      </c>
      <c r="B238" s="1">
        <v>400364.58</v>
      </c>
      <c r="C238" s="1">
        <v>408446.71999999997</v>
      </c>
      <c r="D238" s="1">
        <v>8082.14</v>
      </c>
      <c r="E238" s="1">
        <v>0</v>
      </c>
      <c r="F238" s="1">
        <v>0</v>
      </c>
      <c r="G238" s="1">
        <f>SUMIFS([1]QUERY_FOR_TRNSTRANSPOSED_0008!$F:$F,[1]QUERY_FOR_TRNSTRANSPOSED_0008!$A:$A,A238)</f>
        <v>399948.57999999996</v>
      </c>
      <c r="H238" s="19">
        <f t="shared" si="6"/>
        <v>-416.00000000005821</v>
      </c>
      <c r="I238" s="19">
        <f t="shared" si="7"/>
        <v>400364.57999999996</v>
      </c>
    </row>
    <row r="239" spans="1:9" x14ac:dyDescent="0.35">
      <c r="A239" t="s">
        <v>144</v>
      </c>
      <c r="B239" s="1">
        <v>270100.2</v>
      </c>
      <c r="C239" s="1">
        <v>270713.2</v>
      </c>
      <c r="D239" s="1">
        <v>613</v>
      </c>
      <c r="E239" s="1">
        <v>0</v>
      </c>
      <c r="F239" s="1">
        <v>0</v>
      </c>
      <c r="G239" s="1">
        <f>SUMIFS([1]QUERY_FOR_TRNSTRANSPOSED_0008!$F:$F,[1]QUERY_FOR_TRNSTRANSPOSED_0008!$A:$A,A239)</f>
        <v>269100.2</v>
      </c>
      <c r="H239" s="19">
        <f t="shared" si="6"/>
        <v>-1000</v>
      </c>
      <c r="I239" s="19">
        <f t="shared" si="7"/>
        <v>270100.2</v>
      </c>
    </row>
    <row r="240" spans="1:9" x14ac:dyDescent="0.35">
      <c r="A240" t="s">
        <v>62</v>
      </c>
      <c r="B240" s="1">
        <v>1007835.58</v>
      </c>
      <c r="C240" s="1">
        <v>1025621.74</v>
      </c>
      <c r="D240" s="1">
        <v>17786.16</v>
      </c>
      <c r="E240" s="1">
        <v>265266.73</v>
      </c>
      <c r="F240" s="1">
        <v>1021933.78</v>
      </c>
      <c r="G240" s="1">
        <f>SUMIFS([1]QUERY_FOR_TRNSTRANSPOSED_0008!$F:$F,[1]QUERY_FOR_TRNSTRANSPOSED_0008!$A:$A,A240)</f>
        <v>247168.53000000003</v>
      </c>
      <c r="H240" s="19">
        <f t="shared" si="6"/>
        <v>-3999.9999999998836</v>
      </c>
      <c r="I240" s="19">
        <f t="shared" si="7"/>
        <v>251168.53000000003</v>
      </c>
    </row>
    <row r="241" spans="1:9" x14ac:dyDescent="0.35">
      <c r="A241" t="s">
        <v>237</v>
      </c>
      <c r="B241" s="1">
        <v>10431.35</v>
      </c>
      <c r="C241" s="1">
        <v>4350328.79</v>
      </c>
      <c r="D241" s="1">
        <v>4339897.4400000004</v>
      </c>
      <c r="E241" s="1">
        <v>0</v>
      </c>
      <c r="F241" s="1">
        <v>0</v>
      </c>
      <c r="G241" s="1">
        <f>SUMIFS([1]QUERY_FOR_TRNSTRANSPOSED_0008!$F:$F,[1]QUERY_FOR_TRNSTRANSPOSED_0008!$A:$A,A241)</f>
        <v>4658.1099999998696</v>
      </c>
      <c r="H241" s="19">
        <f t="shared" si="6"/>
        <v>-5773.2400000001307</v>
      </c>
      <c r="I241" s="19">
        <f t="shared" si="7"/>
        <v>10431.349999999627</v>
      </c>
    </row>
    <row r="242" spans="1:9" x14ac:dyDescent="0.35">
      <c r="A242" t="s">
        <v>156</v>
      </c>
      <c r="B242" s="1">
        <v>0</v>
      </c>
      <c r="C242" s="1">
        <v>0</v>
      </c>
      <c r="D242" s="1">
        <v>0</v>
      </c>
      <c r="E242" s="1">
        <v>4024651.03</v>
      </c>
      <c r="F242" s="1">
        <v>5886350.6200000001</v>
      </c>
      <c r="G242" s="1">
        <f>SUMIFS([1]QUERY_FOR_TRNSTRANSPOSED_0008!$F:$F,[1]QUERY_FOR_TRNSTRANSPOSED_0008!$A:$A,A242)</f>
        <v>-1882076.05</v>
      </c>
      <c r="H242" s="19">
        <f t="shared" si="6"/>
        <v>-20376.45999999973</v>
      </c>
      <c r="I242" s="19">
        <f t="shared" si="7"/>
        <v>-1861699.5900000003</v>
      </c>
    </row>
    <row r="243" spans="1:9" x14ac:dyDescent="0.35">
      <c r="A243" t="s">
        <v>233</v>
      </c>
      <c r="B243" s="1">
        <v>0</v>
      </c>
      <c r="C243" s="1">
        <v>0</v>
      </c>
      <c r="D243" s="1">
        <v>0</v>
      </c>
      <c r="E243" s="1">
        <v>1577.05</v>
      </c>
      <c r="F243" s="1">
        <v>1065</v>
      </c>
      <c r="G243" s="1">
        <f>SUMIFS([1]QUERY_FOR_TRNSTRANSPOSED_0008!$F:$F,[1]QUERY_FOR_TRNSTRANSPOSED_0008!$A:$A,A243)</f>
        <v>-41660.379999999997</v>
      </c>
      <c r="H243" s="19">
        <f t="shared" si="6"/>
        <v>-42172.43</v>
      </c>
      <c r="I243" s="19">
        <f t="shared" si="7"/>
        <v>512.04999999999995</v>
      </c>
    </row>
    <row r="244" spans="1:9" x14ac:dyDescent="0.35">
      <c r="A244" t="s">
        <v>94</v>
      </c>
      <c r="B244" s="1">
        <v>445000</v>
      </c>
      <c r="C244" s="1">
        <v>30276347.960000001</v>
      </c>
      <c r="D244" s="1">
        <v>29831347.960000001</v>
      </c>
      <c r="E244" s="1">
        <v>0</v>
      </c>
      <c r="F244" s="1">
        <v>0</v>
      </c>
      <c r="G244" s="1">
        <f>SUMIFS([1]QUERY_FOR_TRNSTRANSPOSED_0008!$F:$F,[1]QUERY_FOR_TRNSTRANSPOSED_0008!$A:$A,A244)</f>
        <v>395000.00000000093</v>
      </c>
      <c r="H244" s="19">
        <f t="shared" si="6"/>
        <v>-49999.999999999069</v>
      </c>
      <c r="I244" s="19">
        <f t="shared" si="7"/>
        <v>445000</v>
      </c>
    </row>
    <row r="245" spans="1:9" x14ac:dyDescent="0.35">
      <c r="A245" t="s">
        <v>207</v>
      </c>
      <c r="B245" s="1">
        <v>35739322.68</v>
      </c>
      <c r="C245" s="1">
        <v>37603479.439999998</v>
      </c>
      <c r="D245" s="1">
        <v>1864156.76</v>
      </c>
      <c r="E245" s="1">
        <v>0</v>
      </c>
      <c r="F245" s="1">
        <v>0</v>
      </c>
      <c r="G245" s="1">
        <f>SUMIFS([1]QUERY_FOR_TRNSTRANSPOSED_0008!$F:$F,[1]QUERY_FOR_TRNSTRANSPOSED_0008!$A:$A,A245)</f>
        <v>35662697.719999999</v>
      </c>
      <c r="H245" s="19">
        <f t="shared" si="6"/>
        <v>-76624.960000000894</v>
      </c>
      <c r="I245" s="19">
        <f t="shared" si="7"/>
        <v>35739322.68</v>
      </c>
    </row>
    <row r="246" spans="1:9" x14ac:dyDescent="0.35">
      <c r="A246" t="s">
        <v>215</v>
      </c>
      <c r="B246" s="1">
        <v>148605.62</v>
      </c>
      <c r="C246" s="1">
        <v>148605.62</v>
      </c>
      <c r="D246" s="1">
        <v>0</v>
      </c>
      <c r="E246" s="1">
        <v>0</v>
      </c>
      <c r="F246" s="1">
        <v>0</v>
      </c>
      <c r="G246" s="1">
        <f>SUMIFS([1]QUERY_FOR_TRNSTRANSPOSED_0008!$F:$F,[1]QUERY_FOR_TRNSTRANSPOSED_0008!$A:$A,A246)</f>
        <v>3116.2299999999814</v>
      </c>
      <c r="H246" s="19">
        <f t="shared" si="6"/>
        <v>-145489.39000000001</v>
      </c>
      <c r="I246" s="19">
        <f t="shared" si="7"/>
        <v>148605.62</v>
      </c>
    </row>
    <row r="247" spans="1:9" x14ac:dyDescent="0.35">
      <c r="A247" t="s">
        <v>108</v>
      </c>
      <c r="B247" s="1">
        <v>0</v>
      </c>
      <c r="C247" s="1">
        <v>0</v>
      </c>
      <c r="D247" s="1">
        <v>0</v>
      </c>
      <c r="E247" s="1">
        <v>0</v>
      </c>
      <c r="F247" s="1">
        <v>150753.29</v>
      </c>
      <c r="G247" s="1">
        <f>SUMIFS([1]QUERY_FOR_TRNSTRANSPOSED_0008!$F:$F,[1]QUERY_FOR_TRNSTRANSPOSED_0008!$A:$A,A247)</f>
        <v>-305267</v>
      </c>
      <c r="H247" s="19">
        <f t="shared" si="6"/>
        <v>-154513.71</v>
      </c>
      <c r="I247" s="19">
        <f t="shared" si="7"/>
        <v>-150753.29</v>
      </c>
    </row>
    <row r="248" spans="1:9" x14ac:dyDescent="0.35">
      <c r="A248" t="s">
        <v>256</v>
      </c>
      <c r="B248" s="1">
        <v>0</v>
      </c>
      <c r="C248" s="1">
        <v>0</v>
      </c>
      <c r="D248" s="1">
        <v>0</v>
      </c>
      <c r="E248" s="1">
        <v>10120177.960000001</v>
      </c>
      <c r="F248" s="1">
        <v>10762417.609999999</v>
      </c>
      <c r="G248" s="1">
        <f>SUMIFS([1]QUERY_FOR_TRNSTRANSPOSED_0008!$F:$F,[1]QUERY_FOR_TRNSTRANSPOSED_0008!$A:$A,A248)</f>
        <v>-833215.14</v>
      </c>
      <c r="H248" s="19">
        <f t="shared" si="6"/>
        <v>-190975.4900000015</v>
      </c>
      <c r="I248" s="19">
        <f t="shared" si="7"/>
        <v>-642239.64999999851</v>
      </c>
    </row>
    <row r="249" spans="1:9" x14ac:dyDescent="0.35">
      <c r="A249" t="s">
        <v>71</v>
      </c>
      <c r="B249" s="1">
        <v>16044949.060000001</v>
      </c>
      <c r="C249" s="1">
        <v>16654883.41</v>
      </c>
      <c r="D249" s="1">
        <v>609934.35</v>
      </c>
      <c r="E249" s="1">
        <v>0</v>
      </c>
      <c r="F249" s="1">
        <v>0</v>
      </c>
      <c r="G249" s="1">
        <f>SUMIFS([1]QUERY_FOR_TRNSTRANSPOSED_0008!$F:$F,[1]QUERY_FOR_TRNSTRANSPOSED_0008!$A:$A,A249)</f>
        <v>15762131.750000002</v>
      </c>
      <c r="H249" s="19">
        <f t="shared" si="6"/>
        <v>-282817.30999999866</v>
      </c>
      <c r="I249" s="19">
        <f t="shared" si="7"/>
        <v>16044949.060000001</v>
      </c>
    </row>
    <row r="250" spans="1:9" x14ac:dyDescent="0.35">
      <c r="A250" t="s">
        <v>247</v>
      </c>
      <c r="B250" s="1">
        <v>0</v>
      </c>
      <c r="C250" s="1">
        <v>0</v>
      </c>
      <c r="D250" s="1">
        <v>0</v>
      </c>
      <c r="E250" s="1">
        <v>19120457.09</v>
      </c>
      <c r="F250" s="1">
        <v>22850912.149999999</v>
      </c>
      <c r="G250" s="1">
        <f>SUMIFS([1]QUERY_FOR_TRNSTRANSPOSED_0008!$F:$F,[1]QUERY_FOR_TRNSTRANSPOSED_0008!$A:$A,A250)</f>
        <v>-4105170.06</v>
      </c>
      <c r="H250" s="19">
        <f t="shared" si="6"/>
        <v>-374715.0000000014</v>
      </c>
      <c r="I250" s="19">
        <f t="shared" si="7"/>
        <v>-3730455.0599999987</v>
      </c>
    </row>
    <row r="251" spans="1:9" x14ac:dyDescent="0.35">
      <c r="A251" t="s">
        <v>74</v>
      </c>
      <c r="B251" s="1">
        <v>4577490.68</v>
      </c>
      <c r="C251" s="1">
        <v>4626919.67</v>
      </c>
      <c r="D251" s="1">
        <v>49428.99</v>
      </c>
      <c r="E251" s="1">
        <v>0</v>
      </c>
      <c r="F251" s="1">
        <v>0</v>
      </c>
      <c r="G251" s="1">
        <f>SUMIFS([1]QUERY_FOR_TRNSTRANSPOSED_0008!$F:$F,[1]QUERY_FOR_TRNSTRANSPOSED_0008!$A:$A,A251)</f>
        <v>3770030.22</v>
      </c>
      <c r="H251" s="19">
        <f t="shared" si="6"/>
        <v>-807460.4599999995</v>
      </c>
      <c r="I251" s="19">
        <f t="shared" si="7"/>
        <v>4577490.68</v>
      </c>
    </row>
    <row r="252" spans="1:9" x14ac:dyDescent="0.35">
      <c r="A252" t="s">
        <v>12</v>
      </c>
      <c r="B252" s="1">
        <v>34683.760000000002</v>
      </c>
      <c r="C252" s="1">
        <v>36122.04</v>
      </c>
      <c r="D252" s="1">
        <v>1438.28</v>
      </c>
      <c r="E252" s="1">
        <v>408481.37</v>
      </c>
      <c r="F252" s="1">
        <v>604470.07999999996</v>
      </c>
      <c r="G252" s="1">
        <f>SUMIFS([1]QUERY_FOR_TRNSTRANSPOSED_0008!$F:$F,[1]QUERY_FOR_TRNSTRANSPOSED_0008!$A:$A,A252)</f>
        <v>-1027437.8200000003</v>
      </c>
      <c r="H252" s="19">
        <f t="shared" si="6"/>
        <v>-866132.87000000034</v>
      </c>
      <c r="I252" s="19">
        <f t="shared" si="7"/>
        <v>-161304.94999999995</v>
      </c>
    </row>
    <row r="253" spans="1:9" x14ac:dyDescent="0.35">
      <c r="A253" t="s">
        <v>195</v>
      </c>
      <c r="B253" s="1">
        <v>6579658.9000000004</v>
      </c>
      <c r="C253" s="1">
        <v>27800405.100000001</v>
      </c>
      <c r="D253" s="1">
        <v>21220746.199999999</v>
      </c>
      <c r="E253" s="1">
        <v>16845510.850000001</v>
      </c>
      <c r="F253" s="1">
        <v>31455934.140000001</v>
      </c>
      <c r="G253" s="1">
        <f>SUMIFS([1]QUERY_FOR_TRNSTRANSPOSED_0008!$F:$F,[1]QUERY_FOR_TRNSTRANSPOSED_0008!$A:$A,A253)</f>
        <v>-8950419.1399999987</v>
      </c>
      <c r="H253" s="19">
        <f t="shared" si="6"/>
        <v>-919654.75</v>
      </c>
      <c r="I253" s="19">
        <f t="shared" si="7"/>
        <v>-8030764.3899999969</v>
      </c>
    </row>
    <row r="254" spans="1:9" x14ac:dyDescent="0.35">
      <c r="A254" t="s">
        <v>83</v>
      </c>
      <c r="B254" s="1">
        <v>10492917.560000001</v>
      </c>
      <c r="C254" s="1">
        <v>10878171.59</v>
      </c>
      <c r="D254" s="1">
        <v>385254.03</v>
      </c>
      <c r="E254" s="1">
        <v>0</v>
      </c>
      <c r="F254" s="1">
        <v>0</v>
      </c>
      <c r="G254" s="1">
        <f>SUMIFS([1]QUERY_FOR_TRNSTRANSPOSED_0008!$F:$F,[1]QUERY_FOR_TRNSTRANSPOSED_0008!$A:$A,A254)</f>
        <v>8825349.209999999</v>
      </c>
      <c r="H254" s="19">
        <f t="shared" si="6"/>
        <v>-1667568.3500000015</v>
      </c>
      <c r="I254" s="19">
        <f t="shared" si="7"/>
        <v>10492917.560000001</v>
      </c>
    </row>
    <row r="255" spans="1:9" x14ac:dyDescent="0.35">
      <c r="A255" t="s">
        <v>7</v>
      </c>
      <c r="B255" s="1">
        <v>2743528.09</v>
      </c>
      <c r="C255" s="1">
        <v>2924057.65</v>
      </c>
      <c r="D255" s="1">
        <v>180529.56</v>
      </c>
      <c r="E255" s="1">
        <v>2582499.4300000002</v>
      </c>
      <c r="F255" s="1">
        <v>3331855.43</v>
      </c>
      <c r="G255" s="1">
        <f>SUMIFS([1]QUERY_FOR_TRNSTRANSPOSED_0008!$F:$F,[1]QUERY_FOR_TRNSTRANSPOSED_0008!$A:$A,A255)</f>
        <v>-545951.11</v>
      </c>
      <c r="H255" s="19">
        <f t="shared" si="6"/>
        <v>-2540123.1999999997</v>
      </c>
      <c r="I255" s="19">
        <f t="shared" si="7"/>
        <v>1994172.0899999994</v>
      </c>
    </row>
    <row r="256" spans="1:9" x14ac:dyDescent="0.35">
      <c r="A256" t="s">
        <v>210</v>
      </c>
      <c r="B256" s="1">
        <v>36093458.219999999</v>
      </c>
      <c r="C256" s="1">
        <v>36281908.43</v>
      </c>
      <c r="D256" s="1">
        <v>188450.21</v>
      </c>
      <c r="E256" s="1">
        <v>48.96</v>
      </c>
      <c r="F256" s="1">
        <v>36429.760000000002</v>
      </c>
      <c r="G256" s="1">
        <f>SUMIFS([1]QUERY_FOR_TRNSTRANSPOSED_0008!$F:$F,[1]QUERY_FOR_TRNSTRANSPOSED_0008!$A:$A,A256)</f>
        <v>23567256.479999997</v>
      </c>
      <c r="H256" s="19">
        <f t="shared" si="6"/>
        <v>-12489820.940000001</v>
      </c>
      <c r="I256" s="19">
        <f t="shared" si="7"/>
        <v>36057077.420000002</v>
      </c>
    </row>
  </sheetData>
  <autoFilter ref="A3:H256">
    <sortState ref="A2:H254">
      <sortCondition descending="1" ref="H1:H254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"/>
  <sheetViews>
    <sheetView topLeftCell="XFD1048576" workbookViewId="0"/>
  </sheetViews>
  <sheetFormatPr defaultColWidth="0" defaultRowHeight="14.5" customHeight="1" zeroHeight="1" x14ac:dyDescent="0.35"/>
  <cols>
    <col min="1" max="16384" width="8.81640625" hidden="1"/>
  </cols>
  <sheetData>
    <row r="1" hidden="1" x14ac:dyDescent="0.3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zoomScale="80" zoomScaleNormal="80" workbookViewId="0"/>
  </sheetViews>
  <sheetFormatPr defaultColWidth="10.90625" defaultRowHeight="14.5" x14ac:dyDescent="0.35"/>
  <cols>
    <col min="2" max="2" width="15.54296875" bestFit="1" customWidth="1"/>
    <col min="3" max="3" width="14.08984375" bestFit="1" customWidth="1"/>
    <col min="4" max="4" width="12.90625" bestFit="1" customWidth="1"/>
    <col min="5" max="6" width="16.54296875" bestFit="1" customWidth="1"/>
    <col min="7" max="7" width="15.08984375" bestFit="1" customWidth="1"/>
    <col min="8" max="8" width="14.54296875" bestFit="1" customWidth="1"/>
    <col min="9" max="9" width="17.08984375" bestFit="1" customWidth="1"/>
    <col min="10" max="10" width="13.54296875" customWidth="1"/>
    <col min="11" max="11" width="16" bestFit="1" customWidth="1"/>
  </cols>
  <sheetData>
    <row r="1" spans="1:11" x14ac:dyDescent="0.35">
      <c r="A1" s="4" t="s">
        <v>327</v>
      </c>
      <c r="B1" s="21" t="s">
        <v>328</v>
      </c>
    </row>
    <row r="3" spans="1:11" x14ac:dyDescent="0.35">
      <c r="A3" s="4" t="s">
        <v>0</v>
      </c>
      <c r="B3" s="4" t="s">
        <v>318</v>
      </c>
      <c r="C3" s="4" t="s">
        <v>1</v>
      </c>
      <c r="D3" s="4" t="s">
        <v>2</v>
      </c>
      <c r="E3" s="4" t="s">
        <v>3</v>
      </c>
      <c r="F3" s="4" t="s">
        <v>4</v>
      </c>
      <c r="G3" s="20" t="s">
        <v>223</v>
      </c>
      <c r="H3" s="20" t="s">
        <v>259</v>
      </c>
      <c r="I3" s="20" t="s">
        <v>326</v>
      </c>
    </row>
    <row r="4" spans="1:11" x14ac:dyDescent="0.35">
      <c r="A4" t="s">
        <v>317</v>
      </c>
      <c r="B4" s="1">
        <v>4938771.92</v>
      </c>
      <c r="C4" s="1">
        <v>4957004.51</v>
      </c>
      <c r="D4" s="1">
        <v>18232.59</v>
      </c>
      <c r="E4" s="1">
        <v>0</v>
      </c>
      <c r="F4" s="1">
        <v>0</v>
      </c>
      <c r="G4" s="1">
        <f>SUMIFS([1]QUERY_FOR_TRNSTRANSPOSED_0008!$F:$F,[1]QUERY_FOR_TRNSTRANSPOSED_0008!$A:$A,A4)</f>
        <v>9231824.0899999999</v>
      </c>
      <c r="H4" s="1">
        <f t="shared" ref="H4:H35" si="0">(G4-B4)+(F4-E4)</f>
        <v>4293052.17</v>
      </c>
      <c r="I4" s="1">
        <f>C4-D4+E4-F4</f>
        <v>4938771.92</v>
      </c>
      <c r="J4" s="1"/>
      <c r="K4" s="1"/>
    </row>
    <row r="5" spans="1:11" x14ac:dyDescent="0.35">
      <c r="A5" t="s">
        <v>316</v>
      </c>
      <c r="B5" s="1">
        <v>-621.35</v>
      </c>
      <c r="C5" s="1">
        <v>0</v>
      </c>
      <c r="D5" s="1">
        <v>621.35</v>
      </c>
      <c r="E5" s="1">
        <v>165633.93</v>
      </c>
      <c r="F5" s="1">
        <v>25656018.800000001</v>
      </c>
      <c r="G5" s="1">
        <f>SUMIFS([1]QUERY_FOR_TRNSTRANSPOSED_0008!$F:$F,[1]QUERY_FOR_TRNSTRANSPOSED_0008!$A:$A,A5)</f>
        <v>-25490961.220000003</v>
      </c>
      <c r="H5" s="1">
        <f t="shared" si="0"/>
        <v>45</v>
      </c>
      <c r="I5" s="1">
        <f t="shared" ref="I5:I61" si="1">C5-D5+E5-F5</f>
        <v>-25491006.220000003</v>
      </c>
      <c r="J5" s="1"/>
      <c r="K5" s="1"/>
    </row>
    <row r="6" spans="1:11" x14ac:dyDescent="0.35">
      <c r="A6" t="s">
        <v>315</v>
      </c>
      <c r="B6" s="1">
        <v>16168170.16</v>
      </c>
      <c r="C6" s="1">
        <v>16338701.51</v>
      </c>
      <c r="D6" s="1">
        <v>170531.35</v>
      </c>
      <c r="E6" s="1">
        <v>0</v>
      </c>
      <c r="F6" s="1">
        <v>0</v>
      </c>
      <c r="G6" s="1">
        <f>SUMIFS([1]QUERY_FOR_TRNSTRANSPOSED_0008!$F:$F,[1]QUERY_FOR_TRNSTRANSPOSED_0008!$A:$A,A6)</f>
        <v>16168170.160000002</v>
      </c>
      <c r="H6" s="1">
        <f t="shared" si="0"/>
        <v>1.862645149230957E-9</v>
      </c>
      <c r="I6" s="1">
        <f t="shared" si="1"/>
        <v>16168170.16</v>
      </c>
      <c r="J6" s="1"/>
      <c r="K6" s="1"/>
    </row>
    <row r="7" spans="1:11" x14ac:dyDescent="0.35">
      <c r="A7" t="s">
        <v>314</v>
      </c>
      <c r="B7" s="1">
        <v>5838422.4199999999</v>
      </c>
      <c r="C7" s="1">
        <v>5838422.4199999999</v>
      </c>
      <c r="D7" s="1">
        <v>0</v>
      </c>
      <c r="E7" s="1">
        <v>0</v>
      </c>
      <c r="F7" s="1">
        <v>0</v>
      </c>
      <c r="G7" s="1">
        <f>SUMIFS([1]QUERY_FOR_TRNSTRANSPOSED_0008!$F:$F,[1]QUERY_FOR_TRNSTRANSPOSED_0008!$A:$A,A7)</f>
        <v>5838422.4200000009</v>
      </c>
      <c r="H7" s="1">
        <f t="shared" si="0"/>
        <v>9.3132257461547852E-10</v>
      </c>
      <c r="I7" s="1">
        <f t="shared" si="1"/>
        <v>5838422.4199999999</v>
      </c>
      <c r="J7" s="1"/>
      <c r="K7" s="1"/>
    </row>
    <row r="8" spans="1:11" x14ac:dyDescent="0.35">
      <c r="A8" t="s">
        <v>313</v>
      </c>
      <c r="B8" s="1">
        <v>52847.99</v>
      </c>
      <c r="C8" s="1">
        <v>52847.99</v>
      </c>
      <c r="D8" s="1">
        <v>0</v>
      </c>
      <c r="E8" s="1">
        <v>0</v>
      </c>
      <c r="F8" s="1">
        <v>0</v>
      </c>
      <c r="G8" s="1">
        <f>SUMIFS([1]QUERY_FOR_TRNSTRANSPOSED_0008!$F:$F,[1]QUERY_FOR_TRNSTRANSPOSED_0008!$A:$A,A8)</f>
        <v>52847.990000000005</v>
      </c>
      <c r="H8" s="1">
        <f t="shared" si="0"/>
        <v>7.2759576141834259E-12</v>
      </c>
      <c r="I8" s="1">
        <f t="shared" si="1"/>
        <v>52847.99</v>
      </c>
      <c r="J8" s="1"/>
      <c r="K8" s="1"/>
    </row>
    <row r="9" spans="1:11" x14ac:dyDescent="0.35">
      <c r="A9" t="s">
        <v>312</v>
      </c>
      <c r="B9" s="1">
        <v>0</v>
      </c>
      <c r="C9" s="1">
        <v>0</v>
      </c>
      <c r="D9" s="1">
        <v>0</v>
      </c>
      <c r="E9" s="1">
        <v>18742.439999999999</v>
      </c>
      <c r="F9" s="1">
        <v>18706.22</v>
      </c>
      <c r="G9" s="1">
        <f>SUMIFS([1]QUERY_FOR_TRNSTRANSPOSED_0008!$F:$F,[1]QUERY_FOR_TRNSTRANSPOSED_0008!$A:$A,A9)</f>
        <v>36.220000000000297</v>
      </c>
      <c r="H9" s="1">
        <f t="shared" si="0"/>
        <v>2.7711166694643907E-12</v>
      </c>
      <c r="I9" s="1">
        <f t="shared" si="1"/>
        <v>36.219999999997526</v>
      </c>
      <c r="J9" s="1"/>
      <c r="K9" s="1"/>
    </row>
    <row r="10" spans="1:11" x14ac:dyDescent="0.35">
      <c r="A10" t="s">
        <v>311</v>
      </c>
      <c r="B10" s="1">
        <v>-141276.14000000001</v>
      </c>
      <c r="C10" s="1">
        <v>135965.20000000001</v>
      </c>
      <c r="D10" s="1">
        <v>277241.34000000003</v>
      </c>
      <c r="E10" s="1">
        <v>0</v>
      </c>
      <c r="F10" s="1">
        <v>0</v>
      </c>
      <c r="G10" s="1">
        <f>SUMIFS([1]QUERY_FOR_TRNSTRANSPOSED_0008!$F:$F,[1]QUERY_FOR_TRNSTRANSPOSED_0008!$A:$A,A10)</f>
        <v>-141276.14000000001</v>
      </c>
      <c r="H10" s="1">
        <f t="shared" si="0"/>
        <v>0</v>
      </c>
      <c r="I10" s="1">
        <f t="shared" si="1"/>
        <v>-141276.14000000001</v>
      </c>
      <c r="J10" s="1"/>
      <c r="K10" s="1"/>
    </row>
    <row r="11" spans="1:11" x14ac:dyDescent="0.35">
      <c r="A11" t="s">
        <v>310</v>
      </c>
      <c r="B11" s="1">
        <v>818880.65</v>
      </c>
      <c r="C11" s="1">
        <v>820181.85</v>
      </c>
      <c r="D11" s="1">
        <v>1301.2</v>
      </c>
      <c r="E11" s="1">
        <v>0</v>
      </c>
      <c r="F11" s="1">
        <v>0</v>
      </c>
      <c r="G11" s="1">
        <f>SUMIFS([1]QUERY_FOR_TRNSTRANSPOSED_0008!$F:$F,[1]QUERY_FOR_TRNSTRANSPOSED_0008!$A:$A,A11)</f>
        <v>818880.65</v>
      </c>
      <c r="H11" s="1">
        <f t="shared" si="0"/>
        <v>0</v>
      </c>
      <c r="I11" s="1">
        <f t="shared" si="1"/>
        <v>818880.65</v>
      </c>
      <c r="J11" s="1"/>
      <c r="K11" s="1"/>
    </row>
    <row r="12" spans="1:11" x14ac:dyDescent="0.35">
      <c r="A12" t="s">
        <v>309</v>
      </c>
      <c r="B12" s="1">
        <v>206958.95</v>
      </c>
      <c r="C12" s="1">
        <v>217566.57</v>
      </c>
      <c r="D12" s="1">
        <v>10607.62</v>
      </c>
      <c r="E12" s="1">
        <v>0</v>
      </c>
      <c r="F12" s="1">
        <v>0</v>
      </c>
      <c r="G12" s="1">
        <f>SUMIFS([1]QUERY_FOR_TRNSTRANSPOSED_0008!$F:$F,[1]QUERY_FOR_TRNSTRANSPOSED_0008!$A:$A,A12)</f>
        <v>206958.95</v>
      </c>
      <c r="H12" s="1">
        <f t="shared" si="0"/>
        <v>0</v>
      </c>
      <c r="I12" s="1">
        <f t="shared" si="1"/>
        <v>206958.95</v>
      </c>
      <c r="J12" s="1"/>
      <c r="K12" s="1"/>
    </row>
    <row r="13" spans="1:11" x14ac:dyDescent="0.35">
      <c r="A13" t="s">
        <v>308</v>
      </c>
      <c r="B13" s="1">
        <v>-9542.34</v>
      </c>
      <c r="C13" s="1">
        <v>-9767.34</v>
      </c>
      <c r="D13" s="1">
        <v>-225</v>
      </c>
      <c r="E13" s="1">
        <v>0</v>
      </c>
      <c r="F13" s="1">
        <v>0</v>
      </c>
      <c r="G13" s="1">
        <f>SUMIFS([1]QUERY_FOR_TRNSTRANSPOSED_0008!$F:$F,[1]QUERY_FOR_TRNSTRANSPOSED_0008!$A:$A,A13)</f>
        <v>-9542.34</v>
      </c>
      <c r="H13" s="1">
        <f t="shared" si="0"/>
        <v>0</v>
      </c>
      <c r="I13" s="1">
        <f t="shared" si="1"/>
        <v>-9542.34</v>
      </c>
      <c r="J13" s="1"/>
      <c r="K13" s="1"/>
    </row>
    <row r="14" spans="1:11" x14ac:dyDescent="0.35">
      <c r="A14" t="s">
        <v>307</v>
      </c>
      <c r="B14" s="1">
        <v>0</v>
      </c>
      <c r="C14" s="1">
        <v>0</v>
      </c>
      <c r="D14" s="1">
        <v>0</v>
      </c>
      <c r="E14" s="1">
        <v>6163.37</v>
      </c>
      <c r="F14" s="1">
        <v>2697.87</v>
      </c>
      <c r="G14" s="1">
        <f>SUMIFS([1]QUERY_FOR_TRNSTRANSPOSED_0008!$F:$F,[1]QUERY_FOR_TRNSTRANSPOSED_0008!$A:$A,A14)</f>
        <v>3465.5</v>
      </c>
      <c r="H14" s="1">
        <f t="shared" si="0"/>
        <v>0</v>
      </c>
      <c r="I14" s="1">
        <f t="shared" si="1"/>
        <v>3465.5</v>
      </c>
      <c r="J14" s="1"/>
      <c r="K14" s="1"/>
    </row>
    <row r="15" spans="1:11" x14ac:dyDescent="0.35">
      <c r="A15" t="s">
        <v>306</v>
      </c>
      <c r="B15" s="1">
        <v>0</v>
      </c>
      <c r="C15" s="1">
        <v>0</v>
      </c>
      <c r="D15" s="1">
        <v>0</v>
      </c>
      <c r="E15" s="1">
        <v>2862544.22</v>
      </c>
      <c r="F15" s="1">
        <v>18901215.719999999</v>
      </c>
      <c r="G15" s="1">
        <f>SUMIFS([1]QUERY_FOR_TRNSTRANSPOSED_0008!$F:$F,[1]QUERY_FOR_TRNSTRANSPOSED_0008!$A:$A,A15)</f>
        <v>-16038671.5</v>
      </c>
      <c r="H15" s="1">
        <f t="shared" si="0"/>
        <v>0</v>
      </c>
      <c r="I15" s="1">
        <f t="shared" si="1"/>
        <v>-16038671.499999998</v>
      </c>
      <c r="J15" s="1"/>
      <c r="K15" s="1"/>
    </row>
    <row r="16" spans="1:11" x14ac:dyDescent="0.35">
      <c r="A16" t="s">
        <v>305</v>
      </c>
      <c r="B16" s="1">
        <v>-312699.46000000002</v>
      </c>
      <c r="C16" s="1">
        <v>-258759.46</v>
      </c>
      <c r="D16" s="1">
        <v>53940</v>
      </c>
      <c r="E16" s="1">
        <v>0</v>
      </c>
      <c r="F16" s="1">
        <v>0</v>
      </c>
      <c r="G16" s="1">
        <f>SUMIFS([1]QUERY_FOR_TRNSTRANSPOSED_0008!$F:$F,[1]QUERY_FOR_TRNSTRANSPOSED_0008!$A:$A,A16)</f>
        <v>-312699.46000000002</v>
      </c>
      <c r="H16" s="1">
        <f t="shared" si="0"/>
        <v>0</v>
      </c>
      <c r="I16" s="1">
        <f t="shared" si="1"/>
        <v>-312699.45999999996</v>
      </c>
      <c r="J16" s="1"/>
      <c r="K16" s="1"/>
    </row>
    <row r="17" spans="1:11" x14ac:dyDescent="0.35">
      <c r="A17" t="s">
        <v>304</v>
      </c>
      <c r="B17" s="1">
        <v>100841.43</v>
      </c>
      <c r="C17" s="1">
        <v>100841.43</v>
      </c>
      <c r="D17" s="1">
        <v>0</v>
      </c>
      <c r="E17" s="1">
        <v>0</v>
      </c>
      <c r="F17" s="1">
        <v>0</v>
      </c>
      <c r="G17" s="1">
        <f>SUMIFS([1]QUERY_FOR_TRNSTRANSPOSED_0008!$F:$F,[1]QUERY_FOR_TRNSTRANSPOSED_0008!$A:$A,A17)</f>
        <v>100841.43</v>
      </c>
      <c r="H17" s="1">
        <f t="shared" si="0"/>
        <v>0</v>
      </c>
      <c r="I17" s="1">
        <f t="shared" si="1"/>
        <v>100841.43</v>
      </c>
      <c r="J17" s="1"/>
      <c r="K17" s="1"/>
    </row>
    <row r="18" spans="1:11" x14ac:dyDescent="0.35">
      <c r="A18" t="s">
        <v>303</v>
      </c>
      <c r="B18" s="1">
        <v>4489780.38</v>
      </c>
      <c r="C18" s="1">
        <v>9176985.9499999993</v>
      </c>
      <c r="D18" s="1">
        <v>4687205.57</v>
      </c>
      <c r="E18" s="1">
        <v>0</v>
      </c>
      <c r="F18" s="1">
        <v>0</v>
      </c>
      <c r="G18" s="1">
        <f>SUMIFS([1]QUERY_FOR_TRNSTRANSPOSED_0008!$F:$F,[1]QUERY_FOR_TRNSTRANSPOSED_0008!$A:$A,A18)</f>
        <v>4489780.38</v>
      </c>
      <c r="H18" s="1">
        <f t="shared" si="0"/>
        <v>0</v>
      </c>
      <c r="I18" s="1">
        <f t="shared" si="1"/>
        <v>4489780.379999999</v>
      </c>
      <c r="J18" s="1"/>
      <c r="K18" s="1"/>
    </row>
    <row r="19" spans="1:11" x14ac:dyDescent="0.35">
      <c r="A19" t="s">
        <v>302</v>
      </c>
      <c r="B19" s="1">
        <v>0</v>
      </c>
      <c r="C19" s="1">
        <v>0</v>
      </c>
      <c r="D19" s="1">
        <v>0</v>
      </c>
      <c r="E19" s="1">
        <v>0</v>
      </c>
      <c r="F19" s="1">
        <v>-10854035.75</v>
      </c>
      <c r="G19" s="1">
        <f>SUMIFS([1]QUERY_FOR_TRNSTRANSPOSED_0008!$F:$F,[1]QUERY_FOR_TRNSTRANSPOSED_0008!$A:$A,A19)</f>
        <v>10854035.75</v>
      </c>
      <c r="H19" s="1">
        <f t="shared" si="0"/>
        <v>0</v>
      </c>
      <c r="I19" s="1">
        <f t="shared" si="1"/>
        <v>10854035.75</v>
      </c>
    </row>
    <row r="20" spans="1:11" x14ac:dyDescent="0.35">
      <c r="A20" t="s">
        <v>301</v>
      </c>
      <c r="B20" s="1">
        <v>0</v>
      </c>
      <c r="C20" s="1">
        <v>0</v>
      </c>
      <c r="D20" s="1">
        <v>0</v>
      </c>
      <c r="E20" s="1">
        <v>0</v>
      </c>
      <c r="F20" s="1">
        <v>-14635157.779999999</v>
      </c>
      <c r="G20" s="1">
        <f>SUMIFS([1]QUERY_FOR_TRNSTRANSPOSED_0008!$F:$F,[1]QUERY_FOR_TRNSTRANSPOSED_0008!$A:$A,A20)</f>
        <v>14635157.779999999</v>
      </c>
      <c r="H20" s="1">
        <f t="shared" si="0"/>
        <v>0</v>
      </c>
      <c r="I20" s="1">
        <f t="shared" si="1"/>
        <v>14635157.779999999</v>
      </c>
    </row>
    <row r="21" spans="1:11" x14ac:dyDescent="0.35">
      <c r="A21" t="s">
        <v>300</v>
      </c>
      <c r="B21" s="1">
        <v>27750</v>
      </c>
      <c r="C21" s="1">
        <v>28750</v>
      </c>
      <c r="D21" s="1">
        <v>1000</v>
      </c>
      <c r="E21" s="1">
        <v>0</v>
      </c>
      <c r="F21" s="1">
        <v>0</v>
      </c>
      <c r="G21" s="1">
        <f>SUMIFS([1]QUERY_FOR_TRNSTRANSPOSED_0008!$F:$F,[1]QUERY_FOR_TRNSTRANSPOSED_0008!$A:$A,A21)</f>
        <v>27750</v>
      </c>
      <c r="H21" s="1">
        <f t="shared" si="0"/>
        <v>0</v>
      </c>
      <c r="I21" s="1">
        <f t="shared" si="1"/>
        <v>27750</v>
      </c>
    </row>
    <row r="22" spans="1:11" x14ac:dyDescent="0.35">
      <c r="A22" t="s">
        <v>299</v>
      </c>
      <c r="B22" s="1">
        <v>183116.64</v>
      </c>
      <c r="C22" s="1">
        <v>183116.64</v>
      </c>
      <c r="D22" s="1">
        <v>0</v>
      </c>
      <c r="E22" s="1">
        <v>0</v>
      </c>
      <c r="F22" s="1">
        <v>0</v>
      </c>
      <c r="G22" s="1">
        <f>SUMIFS([1]QUERY_FOR_TRNSTRANSPOSED_0008!$F:$F,[1]QUERY_FOR_TRNSTRANSPOSED_0008!$A:$A,A22)</f>
        <v>183116.64</v>
      </c>
      <c r="H22" s="1">
        <f t="shared" si="0"/>
        <v>0</v>
      </c>
      <c r="I22" s="1">
        <f t="shared" si="1"/>
        <v>183116.64</v>
      </c>
    </row>
    <row r="23" spans="1:11" x14ac:dyDescent="0.35">
      <c r="A23" t="s">
        <v>298</v>
      </c>
      <c r="B23" s="1">
        <v>3436953.81</v>
      </c>
      <c r="C23" s="1">
        <v>3817147.81</v>
      </c>
      <c r="D23" s="1">
        <v>380194</v>
      </c>
      <c r="E23" s="1">
        <v>0</v>
      </c>
      <c r="F23" s="1">
        <v>0</v>
      </c>
      <c r="G23" s="1">
        <f>SUMIFS([1]QUERY_FOR_TRNSTRANSPOSED_0008!$F:$F,[1]QUERY_FOR_TRNSTRANSPOSED_0008!$A:$A,A23)</f>
        <v>3436953.81</v>
      </c>
      <c r="H23" s="1">
        <f t="shared" si="0"/>
        <v>0</v>
      </c>
      <c r="I23" s="1">
        <f t="shared" si="1"/>
        <v>3436953.81</v>
      </c>
    </row>
    <row r="24" spans="1:11" x14ac:dyDescent="0.35">
      <c r="A24" t="s">
        <v>297</v>
      </c>
      <c r="B24" s="1">
        <v>1428778.02</v>
      </c>
      <c r="C24" s="1">
        <v>1438266.98</v>
      </c>
      <c r="D24" s="1">
        <v>9488.9599999999991</v>
      </c>
      <c r="E24" s="1">
        <v>0</v>
      </c>
      <c r="F24" s="1">
        <v>0</v>
      </c>
      <c r="G24" s="1">
        <f>SUMIFS([1]QUERY_FOR_TRNSTRANSPOSED_0008!$F:$F,[1]QUERY_FOR_TRNSTRANSPOSED_0008!$A:$A,A24)</f>
        <v>1428778.02</v>
      </c>
      <c r="H24" s="1">
        <f t="shared" si="0"/>
        <v>0</v>
      </c>
      <c r="I24" s="1">
        <f t="shared" si="1"/>
        <v>1428778.02</v>
      </c>
    </row>
    <row r="25" spans="1:11" x14ac:dyDescent="0.35">
      <c r="A25" t="s">
        <v>296</v>
      </c>
      <c r="B25" s="1">
        <v>51246.03</v>
      </c>
      <c r="C25" s="1">
        <v>55895.48</v>
      </c>
      <c r="D25" s="1">
        <v>4649.45</v>
      </c>
      <c r="E25" s="1">
        <v>0</v>
      </c>
      <c r="F25" s="1">
        <v>0</v>
      </c>
      <c r="G25" s="1">
        <f>SUMIFS([1]QUERY_FOR_TRNSTRANSPOSED_0008!$F:$F,[1]QUERY_FOR_TRNSTRANSPOSED_0008!$A:$A,A25)</f>
        <v>51246.03</v>
      </c>
      <c r="H25" s="1">
        <f t="shared" si="0"/>
        <v>0</v>
      </c>
      <c r="I25" s="1">
        <f t="shared" si="1"/>
        <v>51246.030000000006</v>
      </c>
    </row>
    <row r="26" spans="1:11" x14ac:dyDescent="0.35">
      <c r="A26" t="s">
        <v>295</v>
      </c>
      <c r="B26" s="1">
        <v>-59523.72</v>
      </c>
      <c r="C26" s="1">
        <v>0</v>
      </c>
      <c r="D26" s="1">
        <v>59523.72</v>
      </c>
      <c r="E26" s="1">
        <v>0</v>
      </c>
      <c r="F26" s="1">
        <v>0</v>
      </c>
      <c r="G26" s="1">
        <f>SUMIFS([1]QUERY_FOR_TRNSTRANSPOSED_0008!$F:$F,[1]QUERY_FOR_TRNSTRANSPOSED_0008!$A:$A,A26)</f>
        <v>-59523.72</v>
      </c>
      <c r="H26" s="1">
        <f t="shared" si="0"/>
        <v>0</v>
      </c>
      <c r="I26" s="1">
        <f t="shared" si="1"/>
        <v>-59523.72</v>
      </c>
    </row>
    <row r="27" spans="1:11" x14ac:dyDescent="0.35">
      <c r="A27" t="s">
        <v>294</v>
      </c>
      <c r="B27" s="1">
        <v>0</v>
      </c>
      <c r="C27" s="1">
        <v>0</v>
      </c>
      <c r="D27" s="1">
        <v>0</v>
      </c>
      <c r="E27" s="1">
        <v>6186.26</v>
      </c>
      <c r="F27" s="1">
        <v>17339.650000000001</v>
      </c>
      <c r="G27" s="1">
        <f>SUMIFS([1]QUERY_FOR_TRNSTRANSPOSED_0008!$F:$F,[1]QUERY_FOR_TRNSTRANSPOSED_0008!$A:$A,A27)</f>
        <v>-11153.39</v>
      </c>
      <c r="H27" s="1">
        <f t="shared" si="0"/>
        <v>0</v>
      </c>
      <c r="I27" s="1">
        <f t="shared" si="1"/>
        <v>-11153.390000000001</v>
      </c>
    </row>
    <row r="28" spans="1:11" x14ac:dyDescent="0.35">
      <c r="A28" t="s">
        <v>293</v>
      </c>
      <c r="B28" s="1">
        <v>110857.58</v>
      </c>
      <c r="C28" s="1">
        <v>110857.58</v>
      </c>
      <c r="D28" s="1">
        <v>0</v>
      </c>
      <c r="E28" s="1">
        <v>0</v>
      </c>
      <c r="F28" s="1">
        <v>0</v>
      </c>
      <c r="G28" s="1">
        <f>SUMIFS([1]QUERY_FOR_TRNSTRANSPOSED_0008!$F:$F,[1]QUERY_FOR_TRNSTRANSPOSED_0008!$A:$A,A28)</f>
        <v>110857.58</v>
      </c>
      <c r="H28" s="1">
        <f t="shared" si="0"/>
        <v>0</v>
      </c>
      <c r="I28" s="1">
        <f t="shared" si="1"/>
        <v>110857.58</v>
      </c>
    </row>
    <row r="29" spans="1:11" x14ac:dyDescent="0.35">
      <c r="A29" t="s">
        <v>292</v>
      </c>
      <c r="B29" s="1">
        <v>-10466.459999999999</v>
      </c>
      <c r="C29" s="1">
        <v>-10466.459999999999</v>
      </c>
      <c r="D29" s="1">
        <v>0</v>
      </c>
      <c r="E29" s="1">
        <v>0</v>
      </c>
      <c r="F29" s="1">
        <v>0</v>
      </c>
      <c r="G29" s="1">
        <f>SUMIFS([1]QUERY_FOR_TRNSTRANSPOSED_0008!$F:$F,[1]QUERY_FOR_TRNSTRANSPOSED_0008!$A:$A,A29)</f>
        <v>-10466.459999999999</v>
      </c>
      <c r="H29" s="1">
        <f t="shared" si="0"/>
        <v>0</v>
      </c>
      <c r="I29" s="1">
        <f t="shared" si="1"/>
        <v>-10466.459999999999</v>
      </c>
    </row>
    <row r="30" spans="1:11" x14ac:dyDescent="0.35">
      <c r="A30" t="s">
        <v>291</v>
      </c>
      <c r="B30" s="1">
        <v>333551.28999999998</v>
      </c>
      <c r="C30" s="1">
        <v>335614.91</v>
      </c>
      <c r="D30" s="1">
        <v>2063.62</v>
      </c>
      <c r="E30" s="1">
        <v>0</v>
      </c>
      <c r="F30" s="1">
        <v>0</v>
      </c>
      <c r="G30" s="1">
        <f>SUMIFS([1]QUERY_FOR_TRNSTRANSPOSED_0008!$F:$F,[1]QUERY_FOR_TRNSTRANSPOSED_0008!$A:$A,A30)</f>
        <v>333551.28999999998</v>
      </c>
      <c r="H30" s="1">
        <f t="shared" si="0"/>
        <v>0</v>
      </c>
      <c r="I30" s="1">
        <f t="shared" si="1"/>
        <v>333551.28999999998</v>
      </c>
    </row>
    <row r="31" spans="1:11" x14ac:dyDescent="0.35">
      <c r="A31" t="s">
        <v>290</v>
      </c>
      <c r="B31" s="1">
        <v>-1151.25</v>
      </c>
      <c r="C31" s="1">
        <v>150561.07999999999</v>
      </c>
      <c r="D31" s="1">
        <v>151712.32999999999</v>
      </c>
      <c r="E31" s="1">
        <v>0</v>
      </c>
      <c r="F31" s="1">
        <v>0</v>
      </c>
      <c r="G31" s="1">
        <f>SUMIFS([1]QUERY_FOR_TRNSTRANSPOSED_0008!$F:$F,[1]QUERY_FOR_TRNSTRANSPOSED_0008!$A:$A,A31)</f>
        <v>-1151.25</v>
      </c>
      <c r="H31" s="1">
        <f t="shared" si="0"/>
        <v>0</v>
      </c>
      <c r="I31" s="1">
        <f t="shared" si="1"/>
        <v>-1151.25</v>
      </c>
    </row>
    <row r="32" spans="1:11" x14ac:dyDescent="0.35">
      <c r="A32" t="s">
        <v>289</v>
      </c>
      <c r="B32" s="1">
        <v>53951.64</v>
      </c>
      <c r="C32" s="1">
        <v>53951.64</v>
      </c>
      <c r="D32" s="1">
        <v>0</v>
      </c>
      <c r="E32" s="1">
        <v>0</v>
      </c>
      <c r="F32" s="1">
        <v>0</v>
      </c>
      <c r="G32" s="1">
        <f>SUMIFS([1]QUERY_FOR_TRNSTRANSPOSED_0008!$F:$F,[1]QUERY_FOR_TRNSTRANSPOSED_0008!$A:$A,A32)</f>
        <v>53951.64</v>
      </c>
      <c r="H32" s="1">
        <f t="shared" si="0"/>
        <v>0</v>
      </c>
      <c r="I32" s="1">
        <f t="shared" si="1"/>
        <v>53951.64</v>
      </c>
    </row>
    <row r="33" spans="1:9" x14ac:dyDescent="0.35">
      <c r="A33" t="s">
        <v>288</v>
      </c>
      <c r="B33" s="1">
        <v>368085.11</v>
      </c>
      <c r="C33" s="1">
        <v>368085.11</v>
      </c>
      <c r="D33" s="1">
        <v>0</v>
      </c>
      <c r="E33" s="1">
        <v>0</v>
      </c>
      <c r="F33" s="1">
        <v>0</v>
      </c>
      <c r="G33" s="1">
        <f>SUMIFS([1]QUERY_FOR_TRNSTRANSPOSED_0008!$F:$F,[1]QUERY_FOR_TRNSTRANSPOSED_0008!$A:$A,A33)</f>
        <v>368085.11</v>
      </c>
      <c r="H33" s="1">
        <f t="shared" si="0"/>
        <v>0</v>
      </c>
      <c r="I33" s="1">
        <f t="shared" si="1"/>
        <v>368085.11</v>
      </c>
    </row>
    <row r="34" spans="1:9" x14ac:dyDescent="0.35">
      <c r="A34" t="s">
        <v>287</v>
      </c>
      <c r="B34" s="1">
        <v>190349.25</v>
      </c>
      <c r="C34" s="1">
        <v>191606.56</v>
      </c>
      <c r="D34" s="1">
        <v>1257.31</v>
      </c>
      <c r="E34" s="1">
        <v>0</v>
      </c>
      <c r="F34" s="1">
        <v>0</v>
      </c>
      <c r="G34" s="1">
        <f>SUMIFS([1]QUERY_FOR_TRNSTRANSPOSED_0008!$F:$F,[1]QUERY_FOR_TRNSTRANSPOSED_0008!$A:$A,A34)</f>
        <v>190349.25</v>
      </c>
      <c r="H34" s="1">
        <f t="shared" si="0"/>
        <v>0</v>
      </c>
      <c r="I34" s="1">
        <f t="shared" si="1"/>
        <v>190349.25</v>
      </c>
    </row>
    <row r="35" spans="1:9" x14ac:dyDescent="0.35">
      <c r="A35" t="s">
        <v>286</v>
      </c>
      <c r="B35" s="1">
        <v>139170.84</v>
      </c>
      <c r="C35" s="1">
        <v>139620.84</v>
      </c>
      <c r="D35" s="1">
        <v>450</v>
      </c>
      <c r="E35" s="1">
        <v>0</v>
      </c>
      <c r="F35" s="1">
        <v>0</v>
      </c>
      <c r="G35" s="1">
        <f>SUMIFS([1]QUERY_FOR_TRNSTRANSPOSED_0008!$F:$F,[1]QUERY_FOR_TRNSTRANSPOSED_0008!$A:$A,A35)</f>
        <v>139170.84</v>
      </c>
      <c r="H35" s="1">
        <f t="shared" si="0"/>
        <v>0</v>
      </c>
      <c r="I35" s="1">
        <f t="shared" si="1"/>
        <v>139170.84</v>
      </c>
    </row>
    <row r="36" spans="1:9" x14ac:dyDescent="0.35">
      <c r="A36" t="s">
        <v>285</v>
      </c>
      <c r="B36" s="1">
        <v>13032.65</v>
      </c>
      <c r="C36" s="1">
        <v>13032.65</v>
      </c>
      <c r="D36" s="1">
        <v>0</v>
      </c>
      <c r="E36" s="1">
        <v>0</v>
      </c>
      <c r="F36" s="1">
        <v>0</v>
      </c>
      <c r="G36" s="1">
        <f>SUMIFS([1]QUERY_FOR_TRNSTRANSPOSED_0008!$F:$F,[1]QUERY_FOR_TRNSTRANSPOSED_0008!$A:$A,A36)</f>
        <v>13032.65</v>
      </c>
      <c r="H36" s="1">
        <f t="shared" ref="H36:H61" si="2">(G36-B36)+(F36-E36)</f>
        <v>0</v>
      </c>
      <c r="I36" s="1">
        <f t="shared" si="1"/>
        <v>13032.65</v>
      </c>
    </row>
    <row r="37" spans="1:9" x14ac:dyDescent="0.35">
      <c r="A37" t="s">
        <v>284</v>
      </c>
      <c r="B37" s="1">
        <v>100</v>
      </c>
      <c r="C37" s="1">
        <v>100</v>
      </c>
      <c r="D37" s="1">
        <v>0</v>
      </c>
      <c r="E37" s="1">
        <v>0</v>
      </c>
      <c r="F37" s="1">
        <v>0</v>
      </c>
      <c r="G37" s="1">
        <f>SUMIFS([1]QUERY_FOR_TRNSTRANSPOSED_0008!$F:$F,[1]QUERY_FOR_TRNSTRANSPOSED_0008!$A:$A,A37)</f>
        <v>100</v>
      </c>
      <c r="H37" s="1">
        <f t="shared" si="2"/>
        <v>0</v>
      </c>
      <c r="I37" s="1">
        <f t="shared" si="1"/>
        <v>100</v>
      </c>
    </row>
    <row r="38" spans="1:9" x14ac:dyDescent="0.35">
      <c r="A38" t="s">
        <v>283</v>
      </c>
      <c r="B38" s="1">
        <v>32625</v>
      </c>
      <c r="C38" s="1">
        <v>32625</v>
      </c>
      <c r="D38" s="1">
        <v>0</v>
      </c>
      <c r="E38" s="1">
        <v>0</v>
      </c>
      <c r="F38" s="1">
        <v>0</v>
      </c>
      <c r="G38" s="1">
        <f>SUMIFS([1]QUERY_FOR_TRNSTRANSPOSED_0008!$F:$F,[1]QUERY_FOR_TRNSTRANSPOSED_0008!$A:$A,A38)</f>
        <v>32625</v>
      </c>
      <c r="H38" s="1">
        <f t="shared" si="2"/>
        <v>0</v>
      </c>
      <c r="I38" s="1">
        <f t="shared" si="1"/>
        <v>32625</v>
      </c>
    </row>
    <row r="39" spans="1:9" x14ac:dyDescent="0.35">
      <c r="A39" t="s">
        <v>282</v>
      </c>
      <c r="B39" s="1">
        <v>1879.87</v>
      </c>
      <c r="C39" s="1">
        <v>1879.87</v>
      </c>
      <c r="D39" s="1">
        <v>0</v>
      </c>
      <c r="E39" s="1">
        <v>0</v>
      </c>
      <c r="F39" s="1">
        <v>0</v>
      </c>
      <c r="G39" s="1">
        <f>SUMIFS([1]QUERY_FOR_TRNSTRANSPOSED_0008!$F:$F,[1]QUERY_FOR_TRNSTRANSPOSED_0008!$A:$A,A39)</f>
        <v>1879.87</v>
      </c>
      <c r="H39" s="1">
        <f t="shared" si="2"/>
        <v>0</v>
      </c>
      <c r="I39" s="1">
        <f t="shared" si="1"/>
        <v>1879.87</v>
      </c>
    </row>
    <row r="40" spans="1:9" x14ac:dyDescent="0.35">
      <c r="A40" t="s">
        <v>281</v>
      </c>
      <c r="B40" s="1">
        <v>1000.02</v>
      </c>
      <c r="C40" s="1">
        <v>1000.02</v>
      </c>
      <c r="D40" s="1">
        <v>0</v>
      </c>
      <c r="E40" s="1">
        <v>0</v>
      </c>
      <c r="F40" s="1">
        <v>0</v>
      </c>
      <c r="G40" s="1">
        <f>SUMIFS([1]QUERY_FOR_TRNSTRANSPOSED_0008!$F:$F,[1]QUERY_FOR_TRNSTRANSPOSED_0008!$A:$A,A40)</f>
        <v>1000.02</v>
      </c>
      <c r="H40" s="1">
        <f t="shared" si="2"/>
        <v>0</v>
      </c>
      <c r="I40" s="1">
        <f t="shared" si="1"/>
        <v>1000.02</v>
      </c>
    </row>
    <row r="41" spans="1:9" x14ac:dyDescent="0.35">
      <c r="A41" t="s">
        <v>280</v>
      </c>
      <c r="B41" s="1">
        <v>61620</v>
      </c>
      <c r="C41" s="1">
        <v>61750</v>
      </c>
      <c r="D41" s="1">
        <v>130</v>
      </c>
      <c r="E41" s="1">
        <v>0</v>
      </c>
      <c r="F41" s="1">
        <v>0</v>
      </c>
      <c r="G41" s="1">
        <f>SUMIFS([1]QUERY_FOR_TRNSTRANSPOSED_0008!$F:$F,[1]QUERY_FOR_TRNSTRANSPOSED_0008!$A:$A,A41)</f>
        <v>61620</v>
      </c>
      <c r="H41" s="1">
        <f t="shared" si="2"/>
        <v>0</v>
      </c>
      <c r="I41" s="1">
        <f t="shared" si="1"/>
        <v>61620</v>
      </c>
    </row>
    <row r="42" spans="1:9" x14ac:dyDescent="0.35">
      <c r="A42" t="s">
        <v>279</v>
      </c>
      <c r="B42" s="1">
        <v>1309695.5900000001</v>
      </c>
      <c r="C42" s="1">
        <v>1426446.56</v>
      </c>
      <c r="D42" s="1">
        <v>116750.97</v>
      </c>
      <c r="E42" s="1">
        <v>0</v>
      </c>
      <c r="F42" s="1">
        <v>0</v>
      </c>
      <c r="G42" s="1">
        <f>SUMIFS([1]QUERY_FOR_TRNSTRANSPOSED_0008!$F:$F,[1]QUERY_FOR_TRNSTRANSPOSED_0008!$A:$A,A42)</f>
        <v>1309695.5900000001</v>
      </c>
      <c r="H42" s="1">
        <f t="shared" si="2"/>
        <v>0</v>
      </c>
      <c r="I42" s="1">
        <f t="shared" si="1"/>
        <v>1309695.5900000001</v>
      </c>
    </row>
    <row r="43" spans="1:9" x14ac:dyDescent="0.35">
      <c r="A43" t="s">
        <v>278</v>
      </c>
      <c r="B43" s="1">
        <v>225000</v>
      </c>
      <c r="C43" s="1">
        <v>225000</v>
      </c>
      <c r="D43" s="1">
        <v>0</v>
      </c>
      <c r="E43" s="1">
        <v>0</v>
      </c>
      <c r="F43" s="1">
        <v>0</v>
      </c>
      <c r="G43" s="1">
        <f>SUMIFS([1]QUERY_FOR_TRNSTRANSPOSED_0008!$F:$F,[1]QUERY_FOR_TRNSTRANSPOSED_0008!$A:$A,A43)</f>
        <v>225000</v>
      </c>
      <c r="H43" s="1">
        <f t="shared" si="2"/>
        <v>0</v>
      </c>
      <c r="I43" s="1">
        <f t="shared" si="1"/>
        <v>225000</v>
      </c>
    </row>
    <row r="44" spans="1:9" x14ac:dyDescent="0.35">
      <c r="A44" t="s">
        <v>277</v>
      </c>
      <c r="B44" s="1">
        <v>4838.9799999999996</v>
      </c>
      <c r="C44" s="1">
        <v>4838.9799999999996</v>
      </c>
      <c r="D44" s="1">
        <v>0</v>
      </c>
      <c r="E44" s="1">
        <v>0</v>
      </c>
      <c r="F44" s="1">
        <v>0</v>
      </c>
      <c r="G44" s="1">
        <f>SUMIFS([1]QUERY_FOR_TRNSTRANSPOSED_0008!$F:$F,[1]QUERY_FOR_TRNSTRANSPOSED_0008!$A:$A,A44)</f>
        <v>4838.9799999999996</v>
      </c>
      <c r="H44" s="1">
        <f t="shared" si="2"/>
        <v>0</v>
      </c>
      <c r="I44" s="1">
        <f t="shared" si="1"/>
        <v>4838.9799999999996</v>
      </c>
    </row>
    <row r="45" spans="1:9" x14ac:dyDescent="0.35">
      <c r="A45" t="s">
        <v>276</v>
      </c>
      <c r="B45" s="1">
        <v>46202968.039999999</v>
      </c>
      <c r="C45" s="1">
        <v>52249342.880000003</v>
      </c>
      <c r="D45" s="1">
        <v>6046374.8399999999</v>
      </c>
      <c r="E45" s="1">
        <v>0</v>
      </c>
      <c r="F45" s="1">
        <v>0</v>
      </c>
      <c r="G45" s="1">
        <f>SUMIFS([1]QUERY_FOR_TRNSTRANSPOSED_0008!$F:$F,[1]QUERY_FOR_TRNSTRANSPOSED_0008!$A:$A,A45)</f>
        <v>46202968.039999999</v>
      </c>
      <c r="H45" s="1">
        <f t="shared" si="2"/>
        <v>0</v>
      </c>
      <c r="I45" s="1">
        <f t="shared" si="1"/>
        <v>46202968.040000007</v>
      </c>
    </row>
    <row r="46" spans="1:9" x14ac:dyDescent="0.35">
      <c r="A46" t="s">
        <v>275</v>
      </c>
      <c r="B46" s="1">
        <v>339023.27</v>
      </c>
      <c r="C46" s="1">
        <v>340584.96000000002</v>
      </c>
      <c r="D46" s="1">
        <v>1561.69</v>
      </c>
      <c r="E46" s="1">
        <v>0</v>
      </c>
      <c r="F46" s="1">
        <v>0</v>
      </c>
      <c r="G46" s="1">
        <f>SUMIFS([1]QUERY_FOR_TRNSTRANSPOSED_0008!$F:$F,[1]QUERY_FOR_TRNSTRANSPOSED_0008!$A:$A,A46)</f>
        <v>339023.27</v>
      </c>
      <c r="H46" s="1">
        <f t="shared" si="2"/>
        <v>0</v>
      </c>
      <c r="I46" s="1">
        <f t="shared" si="1"/>
        <v>339023.27</v>
      </c>
    </row>
    <row r="47" spans="1:9" x14ac:dyDescent="0.35">
      <c r="A47" t="s">
        <v>274</v>
      </c>
      <c r="B47" s="1">
        <v>1095869.1499999999</v>
      </c>
      <c r="C47" s="1">
        <v>1112838.3999999999</v>
      </c>
      <c r="D47" s="1">
        <v>16969.25</v>
      </c>
      <c r="E47" s="1">
        <v>0</v>
      </c>
      <c r="F47" s="1">
        <v>0</v>
      </c>
      <c r="G47" s="1">
        <f>SUMIFS([1]QUERY_FOR_TRNSTRANSPOSED_0008!$F:$F,[1]QUERY_FOR_TRNSTRANSPOSED_0008!$A:$A,A47)</f>
        <v>1095869.1499999999</v>
      </c>
      <c r="H47" s="1">
        <f t="shared" si="2"/>
        <v>0</v>
      </c>
      <c r="I47" s="1">
        <f t="shared" si="1"/>
        <v>1095869.1499999999</v>
      </c>
    </row>
    <row r="48" spans="1:9" x14ac:dyDescent="0.35">
      <c r="A48" t="s">
        <v>273</v>
      </c>
      <c r="B48" s="1">
        <v>792642.66</v>
      </c>
      <c r="C48" s="1">
        <v>792642.66</v>
      </c>
      <c r="D48" s="1">
        <v>0</v>
      </c>
      <c r="E48" s="1">
        <v>0</v>
      </c>
      <c r="F48" s="1">
        <v>0</v>
      </c>
      <c r="G48" s="1">
        <f>SUMIFS([1]QUERY_FOR_TRNSTRANSPOSED_0008!$F:$F,[1]QUERY_FOR_TRNSTRANSPOSED_0008!$A:$A,A48)</f>
        <v>792642.66</v>
      </c>
      <c r="H48" s="1">
        <f t="shared" si="2"/>
        <v>0</v>
      </c>
      <c r="I48" s="1">
        <f t="shared" si="1"/>
        <v>792642.66</v>
      </c>
    </row>
    <row r="49" spans="1:9" x14ac:dyDescent="0.35">
      <c r="A49" t="s">
        <v>272</v>
      </c>
      <c r="B49" s="1">
        <v>7283.45</v>
      </c>
      <c r="C49" s="1">
        <v>7283.45</v>
      </c>
      <c r="D49" s="1">
        <v>0</v>
      </c>
      <c r="E49" s="1">
        <v>0</v>
      </c>
      <c r="F49" s="1">
        <v>0</v>
      </c>
      <c r="G49" s="1">
        <f>SUMIFS([1]QUERY_FOR_TRNSTRANSPOSED_0008!$F:$F,[1]QUERY_FOR_TRNSTRANSPOSED_0008!$A:$A,A49)</f>
        <v>7283.45</v>
      </c>
      <c r="H49" s="1">
        <f t="shared" si="2"/>
        <v>0</v>
      </c>
      <c r="I49" s="1">
        <f t="shared" si="1"/>
        <v>7283.45</v>
      </c>
    </row>
    <row r="50" spans="1:9" x14ac:dyDescent="0.35">
      <c r="A50" t="s">
        <v>271</v>
      </c>
      <c r="B50" s="1">
        <v>-21.23</v>
      </c>
      <c r="C50" s="1">
        <v>-21.23</v>
      </c>
      <c r="D50" s="1">
        <v>0</v>
      </c>
      <c r="E50" s="1">
        <v>0</v>
      </c>
      <c r="F50" s="1">
        <v>0</v>
      </c>
      <c r="G50" s="1">
        <f>SUMIFS([1]QUERY_FOR_TRNSTRANSPOSED_0008!$F:$F,[1]QUERY_FOR_TRNSTRANSPOSED_0008!$A:$A,A50)</f>
        <v>-21.230000000000011</v>
      </c>
      <c r="H50" s="1">
        <f t="shared" si="2"/>
        <v>-1.0658141036401503E-14</v>
      </c>
      <c r="I50" s="1">
        <f t="shared" si="1"/>
        <v>-21.23</v>
      </c>
    </row>
    <row r="51" spans="1:9" x14ac:dyDescent="0.35">
      <c r="A51" t="s">
        <v>270</v>
      </c>
      <c r="B51" s="1">
        <v>66760.86</v>
      </c>
      <c r="C51" s="1">
        <v>74347.5</v>
      </c>
      <c r="D51" s="1">
        <v>7586.64</v>
      </c>
      <c r="E51" s="1">
        <v>449.99</v>
      </c>
      <c r="F51" s="1">
        <v>1703.57</v>
      </c>
      <c r="G51" s="1">
        <f>SUMIFS([1]QUERY_FOR_TRNSTRANSPOSED_0008!$F:$F,[1]QUERY_FOR_TRNSTRANSPOSED_0008!$A:$A,A51)</f>
        <v>65507.28</v>
      </c>
      <c r="H51" s="1">
        <f t="shared" si="2"/>
        <v>-1.8189894035458565E-12</v>
      </c>
      <c r="I51" s="1">
        <f t="shared" si="1"/>
        <v>65507.280000000006</v>
      </c>
    </row>
    <row r="52" spans="1:9" x14ac:dyDescent="0.35">
      <c r="A52" t="s">
        <v>269</v>
      </c>
      <c r="B52" s="1">
        <v>271510.27</v>
      </c>
      <c r="C52" s="1">
        <v>285630.2</v>
      </c>
      <c r="D52" s="1">
        <v>14119.93</v>
      </c>
      <c r="E52" s="1">
        <v>0</v>
      </c>
      <c r="F52" s="1">
        <v>0</v>
      </c>
      <c r="G52" s="1">
        <f>SUMIFS([1]QUERY_FOR_TRNSTRANSPOSED_0008!$F:$F,[1]QUERY_FOR_TRNSTRANSPOSED_0008!$A:$A,A52)</f>
        <v>271510.26999999996</v>
      </c>
      <c r="H52" s="1">
        <f t="shared" si="2"/>
        <v>-5.8207660913467407E-11</v>
      </c>
      <c r="I52" s="1">
        <f t="shared" si="1"/>
        <v>271510.27</v>
      </c>
    </row>
    <row r="53" spans="1:9" x14ac:dyDescent="0.35">
      <c r="A53" t="s">
        <v>268</v>
      </c>
      <c r="B53" s="1">
        <v>0</v>
      </c>
      <c r="C53" s="1">
        <v>0</v>
      </c>
      <c r="D53" s="1">
        <v>0</v>
      </c>
      <c r="E53" s="1">
        <v>1902880.26</v>
      </c>
      <c r="F53" s="1">
        <v>1936427.95</v>
      </c>
      <c r="G53" s="1">
        <f>SUMIFS([1]QUERY_FOR_TRNSTRANSPOSED_0008!$F:$F,[1]QUERY_FOR_TRNSTRANSPOSED_0008!$A:$A,A53)</f>
        <v>-33547.69</v>
      </c>
      <c r="H53" s="1">
        <f t="shared" si="2"/>
        <v>-5.8207660913467407E-11</v>
      </c>
      <c r="I53" s="1">
        <f t="shared" si="1"/>
        <v>-33547.689999999944</v>
      </c>
    </row>
    <row r="54" spans="1:9" x14ac:dyDescent="0.35">
      <c r="A54" t="s">
        <v>267</v>
      </c>
      <c r="B54" s="1">
        <v>2741972.66</v>
      </c>
      <c r="C54" s="1">
        <v>2844103.25</v>
      </c>
      <c r="D54" s="1">
        <v>102130.59</v>
      </c>
      <c r="E54" s="1">
        <v>0</v>
      </c>
      <c r="F54" s="1">
        <v>0</v>
      </c>
      <c r="G54" s="1">
        <f>SUMIFS([1]QUERY_FOR_TRNSTRANSPOSED_0008!$F:$F,[1]QUERY_FOR_TRNSTRANSPOSED_0008!$A:$A,A54)</f>
        <v>2741972.6599999997</v>
      </c>
      <c r="H54" s="1">
        <f t="shared" si="2"/>
        <v>-4.6566128730773926E-10</v>
      </c>
      <c r="I54" s="1">
        <f t="shared" si="1"/>
        <v>2741972.66</v>
      </c>
    </row>
    <row r="55" spans="1:9" x14ac:dyDescent="0.35">
      <c r="A55" t="s">
        <v>266</v>
      </c>
      <c r="B55" s="1">
        <v>6739826.2300000004</v>
      </c>
      <c r="C55" s="1">
        <v>6862462</v>
      </c>
      <c r="D55" s="1">
        <v>122635.77</v>
      </c>
      <c r="E55" s="1">
        <v>0</v>
      </c>
      <c r="F55" s="1">
        <v>0</v>
      </c>
      <c r="G55" s="1">
        <f>SUMIFS([1]QUERY_FOR_TRNSTRANSPOSED_0008!$F:$F,[1]QUERY_FOR_TRNSTRANSPOSED_0008!$A:$A,A55)</f>
        <v>6739826.2299999995</v>
      </c>
      <c r="H55" s="1">
        <f t="shared" si="2"/>
        <v>-9.3132257461547852E-10</v>
      </c>
      <c r="I55" s="1">
        <f t="shared" si="1"/>
        <v>6739826.2300000004</v>
      </c>
    </row>
    <row r="56" spans="1:9" x14ac:dyDescent="0.35">
      <c r="A56" t="s">
        <v>265</v>
      </c>
      <c r="B56" s="1">
        <v>-12879224.789999999</v>
      </c>
      <c r="C56" s="1">
        <v>-12879224.789999999</v>
      </c>
      <c r="D56" s="1">
        <v>0</v>
      </c>
      <c r="E56" s="1">
        <v>0</v>
      </c>
      <c r="F56" s="1">
        <v>0</v>
      </c>
      <c r="G56" s="1">
        <f>SUMIFS([1]QUERY_FOR_TRNSTRANSPOSED_0008!$F:$F,[1]QUERY_FOR_TRNSTRANSPOSED_0008!$A:$A,A56)</f>
        <v>-12879224.790000001</v>
      </c>
      <c r="H56" s="1">
        <f t="shared" si="2"/>
        <v>-1.862645149230957E-9</v>
      </c>
      <c r="I56" s="1">
        <f t="shared" si="1"/>
        <v>-12879224.789999999</v>
      </c>
    </row>
    <row r="57" spans="1:9" x14ac:dyDescent="0.35">
      <c r="A57" t="s">
        <v>264</v>
      </c>
      <c r="B57" s="1">
        <v>61307.38</v>
      </c>
      <c r="C57" s="1">
        <v>67113.210000000006</v>
      </c>
      <c r="D57" s="1">
        <v>5805.83</v>
      </c>
      <c r="E57" s="1">
        <v>0</v>
      </c>
      <c r="F57" s="1">
        <v>0</v>
      </c>
      <c r="G57" s="1">
        <f>SUMIFS([1]QUERY_FOR_TRNSTRANSPOSED_0008!$F:$F,[1]QUERY_FOR_TRNSTRANSPOSED_0008!$A:$A,A57)</f>
        <v>61275.24</v>
      </c>
      <c r="H57" s="1">
        <f t="shared" si="2"/>
        <v>-32.139999999999418</v>
      </c>
      <c r="I57" s="1">
        <f t="shared" si="1"/>
        <v>61307.380000000005</v>
      </c>
    </row>
    <row r="58" spans="1:9" x14ac:dyDescent="0.35">
      <c r="A58" t="s">
        <v>263</v>
      </c>
      <c r="B58" s="1">
        <v>-37363.629999999997</v>
      </c>
      <c r="C58" s="1">
        <v>-37355.56</v>
      </c>
      <c r="D58" s="1">
        <v>8.07</v>
      </c>
      <c r="E58" s="1">
        <v>0</v>
      </c>
      <c r="F58" s="1">
        <v>0</v>
      </c>
      <c r="G58" s="1">
        <f>SUMIFS([1]QUERY_FOR_TRNSTRANSPOSED_0008!$F:$F,[1]QUERY_FOR_TRNSTRANSPOSED_0008!$A:$A,A58)</f>
        <v>-86542.03</v>
      </c>
      <c r="H58" s="1">
        <f t="shared" si="2"/>
        <v>-49178.400000000001</v>
      </c>
      <c r="I58" s="1">
        <f t="shared" si="1"/>
        <v>-37363.629999999997</v>
      </c>
    </row>
    <row r="59" spans="1:9" x14ac:dyDescent="0.35">
      <c r="A59" t="s">
        <v>262</v>
      </c>
      <c r="B59" s="1">
        <v>0</v>
      </c>
      <c r="C59" s="1">
        <v>0</v>
      </c>
      <c r="D59" s="1">
        <v>0</v>
      </c>
      <c r="E59" s="1">
        <v>26087667.16</v>
      </c>
      <c r="F59" s="1">
        <v>31279898.32</v>
      </c>
      <c r="G59" s="1">
        <f>SUMIFS([1]QUERY_FOR_TRNSTRANSPOSED_0008!$F:$F,[1]QUERY_FOR_TRNSTRANSPOSED_0008!$A:$A,A59)</f>
        <v>-5328863.4499999993</v>
      </c>
      <c r="H59" s="1">
        <f t="shared" si="2"/>
        <v>-136632.28999999911</v>
      </c>
      <c r="I59" s="1">
        <f t="shared" si="1"/>
        <v>-5192231.16</v>
      </c>
    </row>
    <row r="60" spans="1:9" x14ac:dyDescent="0.35">
      <c r="A60" t="s">
        <v>261</v>
      </c>
      <c r="B60" s="1">
        <v>0</v>
      </c>
      <c r="C60" s="1">
        <v>0</v>
      </c>
      <c r="D60" s="1">
        <v>0</v>
      </c>
      <c r="E60" s="1">
        <v>1657933998.26</v>
      </c>
      <c r="F60" s="1">
        <v>1498962914.24</v>
      </c>
      <c r="G60" s="1">
        <f>SUMIFS([1]QUERY_FOR_TRNSTRANSPOSED_0008!$F:$F,[1]QUERY_FOR_TRNSTRANSPOSED_0008!$A:$A,A60)</f>
        <v>157561878.05000001</v>
      </c>
      <c r="H60" s="1">
        <f t="shared" si="2"/>
        <v>-1409205.969999969</v>
      </c>
      <c r="I60" s="1">
        <f t="shared" si="1"/>
        <v>158971084.01999998</v>
      </c>
    </row>
    <row r="61" spans="1:9" x14ac:dyDescent="0.35">
      <c r="A61" t="s">
        <v>260</v>
      </c>
      <c r="B61" s="1">
        <v>0</v>
      </c>
      <c r="C61" s="1">
        <v>0</v>
      </c>
      <c r="D61" s="1">
        <v>0</v>
      </c>
      <c r="E61" s="1">
        <v>35853679.619999997</v>
      </c>
      <c r="F61" s="1">
        <v>214430974.94</v>
      </c>
      <c r="G61" s="1">
        <f>SUMIFS([1]QUERY_FOR_TRNSTRANSPOSED_0008!$F:$F,[1]QUERY_FOR_TRNSTRANSPOSED_0008!$A:$A,A61)</f>
        <v>-183577295.31999999</v>
      </c>
      <c r="H61" s="1">
        <f t="shared" si="2"/>
        <v>-5000000</v>
      </c>
      <c r="I61" s="1">
        <f t="shared" si="1"/>
        <v>-178577295.31999999</v>
      </c>
    </row>
    <row r="62" spans="1:9" x14ac:dyDescent="0.35">
      <c r="F62" s="2"/>
      <c r="G62" s="2"/>
    </row>
  </sheetData>
  <autoFilter ref="A3:H61">
    <sortState ref="A2:H59">
      <sortCondition descending="1" ref="H1:H59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G7"/>
  <sheetViews>
    <sheetView showGridLines="0" workbookViewId="0"/>
  </sheetViews>
  <sheetFormatPr defaultRowHeight="14.5" x14ac:dyDescent="0.35"/>
  <cols>
    <col min="1" max="1" width="23.54296875" bestFit="1" customWidth="1"/>
    <col min="2" max="2" width="14.6328125" bestFit="1" customWidth="1"/>
    <col min="3" max="3" width="14.54296875" bestFit="1" customWidth="1"/>
    <col min="4" max="4" width="14" bestFit="1" customWidth="1"/>
    <col min="7" max="7" width="19.6328125" bestFit="1" customWidth="1"/>
    <col min="8" max="8" width="23.54296875" bestFit="1" customWidth="1"/>
  </cols>
  <sheetData>
    <row r="1" spans="1:7" x14ac:dyDescent="0.35">
      <c r="B1" s="5" t="s">
        <v>223</v>
      </c>
      <c r="C1" s="6" t="s">
        <v>319</v>
      </c>
      <c r="D1" s="7" t="s">
        <v>323</v>
      </c>
    </row>
    <row r="2" spans="1:7" x14ac:dyDescent="0.35">
      <c r="A2" s="17" t="s">
        <v>320</v>
      </c>
      <c r="B2" s="8">
        <f>SUM(ct_211_fin!G4:G61)</f>
        <v>42272839.949999988</v>
      </c>
      <c r="C2" s="9">
        <f>SUM(ct_211_fin!I4:I61)</f>
        <v>44574791.579999983</v>
      </c>
      <c r="D2" s="10">
        <f>C2-B2</f>
        <v>2301951.6299999952</v>
      </c>
      <c r="E2" s="3"/>
    </row>
    <row r="3" spans="1:7" x14ac:dyDescent="0.35">
      <c r="A3" s="18" t="s">
        <v>321</v>
      </c>
      <c r="B3" s="11">
        <f>SUM(ct211_nfin!G4:G256)</f>
        <v>454967402.19000012</v>
      </c>
      <c r="C3" s="11">
        <f>SUM(ct211_nfin!I4:I256)</f>
        <v>458398495.11000019</v>
      </c>
      <c r="D3" s="12">
        <f>C3-B3</f>
        <v>3431092.9200000763</v>
      </c>
      <c r="E3" s="3"/>
    </row>
    <row r="4" spans="1:7" x14ac:dyDescent="0.35">
      <c r="A4" s="13" t="s">
        <v>322</v>
      </c>
      <c r="B4" s="14">
        <v>497240242.1400001</v>
      </c>
      <c r="C4" s="15">
        <v>502973286.69000018</v>
      </c>
      <c r="D4" s="16">
        <f>C4-B4</f>
        <v>5733044.5500000715</v>
      </c>
    </row>
    <row r="6" spans="1:7" x14ac:dyDescent="0.35">
      <c r="G6" s="1"/>
    </row>
    <row r="7" spans="1:7" x14ac:dyDescent="0.35">
      <c r="G7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4" ma:contentTypeDescription="Create a new document." ma:contentTypeScope="" ma:versionID="a801877317c22008161799475e5acc2a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508d97b502dca93bb7741c221dcb803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363F05-BF03-4063-97AF-CD2A8081C243}">
  <ds:schemaRefs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572bdb13-c576-4166-8827-65186753b8b5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DF6F67D-C45E-47DF-9F3E-CB1C934231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EA85E0-906D-48CF-A1DC-896173AFAC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NFins-&gt;</vt:lpstr>
      <vt:lpstr>ct211_nfin</vt:lpstr>
      <vt:lpstr>Fins-&gt;</vt:lpstr>
      <vt:lpstr>ct_211_fin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Rita Geraldo de Caguerelho</cp:lastModifiedBy>
  <cp:revision/>
  <dcterms:created xsi:type="dcterms:W3CDTF">2025-01-19T04:28:00Z</dcterms:created>
  <dcterms:modified xsi:type="dcterms:W3CDTF">2025-07-11T14:06:38Z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2025-03-11T11:58:44Z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dc21562d-7f79-4ec3-b079-e2981ff245c3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</Properties>
</file>